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3-24\ARSW Final\"/>
    </mc:Choice>
  </mc:AlternateContent>
  <xr:revisionPtr revIDLastSave="0" documentId="13_ncr:1_{01F26F32-672B-4D2D-B74C-6ED7E67FE387}" xr6:coauthVersionLast="47" xr6:coauthVersionMax="47" xr10:uidLastSave="{00000000-0000-0000-0000-000000000000}"/>
  <bookViews>
    <workbookView xWindow="39150" yWindow="-110" windowWidth="38620" windowHeight="21220" xr2:uid="{00000000-000D-0000-FFFF-FFFF00000000}"/>
  </bookViews>
  <sheets>
    <sheet name="Fund 0001 Journal Entries" sheetId="2" r:id="rId1"/>
    <sheet name="Department Note Disclosure" sheetId="3" r:id="rId2"/>
    <sheet name="SBITA Liabilities" sheetId="4" r:id="rId3"/>
    <sheet name="Check Figures " sheetId="9" r:id="rId4"/>
    <sheet name="Drop Down Menus" sheetId="1" state="hidden" r:id="rId5"/>
    <sheet name="GAAP02Aindex" sheetId="7" state="hidden" r:id="rId6"/>
  </sheets>
  <externalReferences>
    <externalReference r:id="rId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1">'Department Note Disclosure'!$A$3:$D$101</definedName>
    <definedName name="_xlnm.Print_Area" localSheetId="0">'Fund 0001 Journal Entries'!$A$1:$K$99</definedName>
    <definedName name="_xlnm.Print_Area" localSheetId="2">'SBITA Liabilities'!$B$2:$Q$20</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8" i="2" l="1"/>
  <c r="N18" i="4"/>
  <c r="K19" i="2"/>
  <c r="K18" i="2"/>
  <c r="J15" i="2"/>
  <c r="K94" i="2" s="1"/>
  <c r="S21" i="2"/>
  <c r="S19" i="2"/>
  <c r="S18" i="2"/>
  <c r="S17" i="2"/>
  <c r="S15" i="2"/>
  <c r="K57" i="2"/>
  <c r="L57" i="2" s="1"/>
  <c r="F10" i="4" l="1"/>
  <c r="L50" i="2"/>
  <c r="J56" i="2" l="1"/>
  <c r="K96" i="2" s="1"/>
  <c r="J14" i="4"/>
  <c r="H18" i="4"/>
  <c r="H14" i="4"/>
  <c r="H10" i="4"/>
  <c r="L84" i="9" l="1"/>
  <c r="L74" i="9"/>
  <c r="L64" i="9"/>
  <c r="H34" i="9"/>
  <c r="H86" i="9" s="1"/>
  <c r="J34" i="9"/>
  <c r="H85" i="9" s="1"/>
  <c r="J25" i="9"/>
  <c r="H75" i="9" s="1"/>
  <c r="H25" i="9"/>
  <c r="H76" i="9" s="1"/>
  <c r="H17" i="9"/>
  <c r="H66" i="9" s="1"/>
  <c r="J17" i="9"/>
  <c r="H65" i="9" s="1"/>
  <c r="K62" i="2"/>
  <c r="K97" i="2" s="1"/>
  <c r="K52" i="2"/>
  <c r="K46" i="2"/>
  <c r="K95" i="2" s="1"/>
  <c r="J10" i="4" l="1"/>
  <c r="J18" i="4"/>
  <c r="Q20" i="2"/>
  <c r="P16" i="2"/>
  <c r="S16" i="2" l="1"/>
  <c r="J16" i="2"/>
  <c r="K20" i="2"/>
  <c r="S20" i="2"/>
  <c r="D89" i="3"/>
  <c r="D58" i="3"/>
  <c r="J17" i="2" l="1"/>
  <c r="J22" i="2" s="1"/>
  <c r="K21" i="2"/>
  <c r="K22" i="2" s="1"/>
  <c r="D27" i="3"/>
  <c r="B17" i="9" l="1"/>
  <c r="D17" i="9"/>
  <c r="B25" i="9"/>
  <c r="D25" i="9"/>
  <c r="F25" i="9"/>
  <c r="B34" i="9"/>
  <c r="D34" i="9"/>
  <c r="F34" i="9"/>
  <c r="B49" i="9"/>
  <c r="B56" i="9"/>
  <c r="N10" i="4"/>
  <c r="N14" i="4"/>
  <c r="F14" i="4"/>
  <c r="N74" i="9" s="1"/>
  <c r="F18" i="4"/>
  <c r="K53" i="2"/>
  <c r="L34" i="9" l="1"/>
  <c r="L25" i="9"/>
  <c r="C5" i="4"/>
  <c r="D86" i="3"/>
  <c r="D55" i="3"/>
  <c r="D24" i="3"/>
  <c r="B42" i="9" l="1"/>
  <c r="F17" i="9"/>
  <c r="L17" i="9" s="1"/>
  <c r="D52" i="3"/>
  <c r="N57" i="9" l="1"/>
  <c r="N50" i="9"/>
  <c r="N42" i="9"/>
  <c r="N34" i="9"/>
  <c r="N25" i="9"/>
  <c r="N17" i="9"/>
  <c r="K86" i="2"/>
  <c r="J86" i="2"/>
  <c r="K81" i="2"/>
  <c r="J81" i="2"/>
  <c r="L86" i="2" l="1"/>
  <c r="L81" i="2"/>
  <c r="B51" i="2"/>
  <c r="N87" i="9" l="1"/>
  <c r="N84" i="9"/>
  <c r="N77" i="9"/>
  <c r="N76" i="9"/>
  <c r="N75" i="9"/>
  <c r="N67" i="9"/>
  <c r="N66" i="9"/>
  <c r="N65" i="9"/>
  <c r="N64" i="9"/>
  <c r="J63" i="2"/>
  <c r="J47" i="2" l="1"/>
  <c r="J53" i="2"/>
  <c r="L53" i="2" s="1"/>
  <c r="A26" i="2" l="1"/>
  <c r="B14" i="2"/>
  <c r="A12" i="2"/>
  <c r="F8" i="2"/>
  <c r="N85" i="9" l="1"/>
  <c r="C30" i="2"/>
  <c r="C80" i="2"/>
  <c r="J39" i="2"/>
  <c r="K39" i="2"/>
  <c r="L39" i="2" l="1"/>
  <c r="F7" i="4"/>
  <c r="L7" i="4"/>
  <c r="K31" i="2"/>
  <c r="J31" i="2"/>
  <c r="L31" i="2" l="1"/>
  <c r="C4" i="4"/>
  <c r="D81" i="3"/>
  <c r="D75" i="9" l="1"/>
  <c r="J75" i="9" l="1"/>
  <c r="P75" i="9" s="1"/>
  <c r="D85" i="9"/>
  <c r="J85" i="9" s="1"/>
  <c r="P85" i="9" s="1"/>
  <c r="D84" i="9"/>
  <c r="J84" i="9" s="1"/>
  <c r="P84" i="9" s="1"/>
  <c r="D74" i="9"/>
  <c r="J74" i="9" s="1"/>
  <c r="P74" i="9" l="1"/>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L58" i="2" s="1"/>
  <c r="D76" i="9"/>
  <c r="D64" i="9"/>
  <c r="J64" i="9" l="1"/>
  <c r="P64" i="9" s="1"/>
  <c r="J76" i="9"/>
  <c r="P76" i="9" s="1"/>
  <c r="N86" i="9"/>
  <c r="J19" i="4"/>
  <c r="L18" i="4"/>
  <c r="D86" i="9"/>
  <c r="J86" i="9" s="1"/>
  <c r="P34" i="9"/>
  <c r="D35" i="9" s="1"/>
  <c r="D21" i="3"/>
  <c r="P86" i="9" l="1"/>
  <c r="K47" i="2"/>
  <c r="L47" i="2" s="1"/>
  <c r="K63" i="2"/>
  <c r="L63" i="2" s="1"/>
  <c r="P18" i="4"/>
  <c r="P19" i="4" s="1"/>
  <c r="L19" i="4"/>
  <c r="D67" i="9"/>
  <c r="J67" i="9" s="1"/>
  <c r="D77" i="9"/>
  <c r="P25" i="9"/>
  <c r="D27" i="9" s="1"/>
  <c r="J77" i="9" l="1"/>
  <c r="P77" i="9" s="1"/>
  <c r="D78" i="9" s="1"/>
  <c r="P67" i="9"/>
  <c r="D87" i="9"/>
  <c r="P57" i="9"/>
  <c r="B57" i="9" s="1"/>
  <c r="P42" i="9"/>
  <c r="B43" i="9" s="1"/>
  <c r="P50" i="9"/>
  <c r="B50" i="9" s="1"/>
  <c r="J87" i="9" l="1"/>
  <c r="P87" i="9" s="1"/>
  <c r="D88" i="9" s="1"/>
  <c r="D66" i="9"/>
  <c r="J66" i="9" l="1"/>
  <c r="P66" i="9" s="1"/>
  <c r="D65" i="9"/>
  <c r="J65" i="9" s="1"/>
  <c r="P17" i="9"/>
  <c r="D18" i="9" s="1"/>
  <c r="P65" i="9" l="1"/>
  <c r="D68" i="9" s="1"/>
  <c r="D19" i="3"/>
  <c r="C52" i="2" l="1"/>
  <c r="C38" i="2"/>
  <c r="L14" i="4"/>
  <c r="P14" i="4" s="1"/>
  <c r="L10" i="4"/>
  <c r="P10" i="4" s="1"/>
  <c r="F11" i="4"/>
  <c r="N15" i="4" l="1"/>
  <c r="J15" i="4"/>
  <c r="H15" i="4"/>
  <c r="F15" i="4"/>
  <c r="N11" i="4"/>
  <c r="J11" i="4"/>
  <c r="H11" i="4"/>
  <c r="D50" i="3"/>
  <c r="D46" i="3"/>
  <c r="A47" i="3"/>
  <c r="N56" i="9" s="1"/>
  <c r="A16" i="3"/>
  <c r="D15" i="3"/>
  <c r="D92" i="3" l="1"/>
  <c r="D61" i="3"/>
  <c r="D30" i="3"/>
  <c r="A17" i="3"/>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N41"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N49" i="9"/>
  <c r="L15" i="4"/>
  <c r="P15" i="4"/>
  <c r="L11" i="4"/>
  <c r="P11" i="4"/>
  <c r="L22" i="2" l="1"/>
  <c r="K70" i="2"/>
  <c r="J70" i="2"/>
  <c r="L70" i="2" l="1"/>
</calcChain>
</file>

<file path=xl/sharedStrings.xml><?xml version="1.0" encoding="utf-8"?>
<sst xmlns="http://schemas.openxmlformats.org/spreadsheetml/2006/main" count="7628" uniqueCount="1657">
  <si>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</si>
  <si>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</si>
  <si>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</si>
  <si>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</si>
  <si>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</si>
  <si>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</si>
  <si>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</si>
  <si>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</si>
  <si>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</si>
  <si>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</si>
  <si>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</si>
  <si>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</si>
  <si>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</si>
  <si>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</si>
  <si>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</si>
  <si>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</si>
  <si>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</si>
  <si>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</si>
  <si>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</si>
  <si>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</si>
  <si>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</si>
  <si>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</si>
  <si>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</si>
  <si>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</si>
  <si>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</si>
  <si>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</si>
  <si>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</si>
  <si>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</si>
  <si>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</si>
  <si>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</si>
  <si>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</si>
  <si>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</si>
  <si>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</si>
  <si>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</si>
  <si>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</si>
  <si>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</si>
  <si>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</si>
  <si>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</si>
  <si>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</si>
  <si>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</si>
  <si>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</si>
  <si>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</si>
  <si>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</si>
  <si>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</si>
  <si>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</si>
  <si>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</si>
  <si>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</si>
  <si>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</si>
  <si>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</si>
  <si>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</si>
  <si>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</si>
  <si>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</si>
  <si>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</si>
  <si>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</si>
  <si>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</si>
  <si>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</si>
  <si>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</si>
  <si>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</si>
  <si>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</si>
  <si>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</si>
  <si>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</si>
  <si>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</si>
  <si>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</si>
  <si>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</si>
  <si>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</si>
  <si>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</si>
  <si>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</si>
  <si>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</si>
  <si>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</si>
  <si>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</si>
  <si>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</si>
  <si>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</si>
  <si>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</si>
  <si>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</si>
  <si>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</si>
  <si>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</si>
  <si>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</si>
  <si>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</si>
  <si>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</si>
  <si>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</si>
  <si>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</si>
  <si>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</si>
  <si>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</si>
  <si>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</si>
  <si>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</si>
  <si>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</si>
  <si>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</si>
  <si>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</si>
  <si>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</si>
  <si>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</si>
  <si>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</si>
  <si>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</si>
  <si>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</si>
  <si>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</si>
  <si>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</si>
  <si>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</si>
  <si>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</si>
  <si>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</si>
  <si>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</si>
  <si>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</si>
  <si>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</si>
  <si>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</si>
  <si>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</si>
  <si>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</si>
  <si>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</si>
  <si>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</si>
  <si>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</si>
  <si>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</si>
  <si>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</si>
  <si>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</si>
  <si>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</si>
  <si>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</si>
  <si>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</si>
  <si>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</si>
  <si>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</si>
  <si>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</si>
  <si>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</si>
  <si>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</si>
  <si>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</si>
  <si>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</si>
  <si>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</si>
  <si>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</si>
  <si>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</si>
  <si>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</si>
  <si>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</si>
  <si>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</si>
  <si>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</si>
  <si>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</si>
  <si>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</si>
  <si>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</si>
  <si>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</si>
  <si>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</si>
  <si>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</si>
  <si>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</si>
  <si>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</si>
  <si>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</si>
  <si>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</si>
  <si>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</si>
  <si>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</si>
  <si>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</si>
  <si>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</si>
  <si>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</si>
  <si>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</si>
  <si>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</si>
  <si>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</si>
  <si>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</si>
  <si>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</si>
  <si>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</si>
  <si>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</si>
  <si>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</si>
  <si>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</si>
  <si>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</si>
  <si>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</si>
  <si>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</si>
  <si>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</si>
  <si>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</si>
  <si>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</si>
  <si>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</si>
  <si>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</si>
  <si>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</si>
  <si>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</si>
  <si>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</si>
  <si>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</si>
  <si>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</si>
  <si>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</si>
  <si>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</si>
  <si>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</si>
  <si>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</si>
  <si>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</si>
  <si>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</si>
  <si>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</si>
  <si>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</si>
  <si>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</si>
  <si>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</si>
  <si>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</si>
  <si>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</si>
  <si>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</si>
  <si>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</si>
  <si>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</si>
  <si>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</si>
  <si>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</si>
  <si>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</si>
  <si>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</si>
  <si>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</si>
  <si>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</si>
  <si>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</si>
  <si>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</si>
  <si>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</si>
  <si>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</si>
  <si>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</si>
  <si>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</si>
  <si>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</si>
  <si>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</si>
  <si>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</si>
  <si>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</si>
  <si>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</si>
  <si>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</si>
  <si>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</si>
  <si>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</si>
  <si>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</si>
  <si>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</si>
  <si>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</si>
  <si>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</si>
  <si>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</si>
  <si>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</si>
  <si>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</si>
  <si>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</si>
  <si>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</si>
  <si>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</si>
  <si>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</si>
  <si>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</si>
  <si>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</si>
  <si>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</si>
  <si>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</si>
  <si>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</si>
  <si>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</si>
  <si>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</si>
  <si>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</si>
  <si>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</si>
  <si>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</si>
  <si>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</si>
  <si>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</si>
  <si>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</si>
  <si>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</si>
  <si>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</si>
  <si>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</si>
  <si>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</si>
  <si>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</si>
  <si>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</si>
  <si>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</si>
  <si>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</si>
  <si>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</si>
  <si>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</si>
  <si>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</si>
  <si>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</si>
  <si>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</si>
  <si>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</si>
  <si>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</si>
  <si>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</si>
  <si>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</si>
  <si>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</si>
  <si>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</si>
  <si>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</si>
  <si>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</si>
  <si>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</si>
  <si>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</si>
  <si>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</si>
  <si>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</si>
  <si>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</si>
  <si>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</si>
  <si>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</si>
  <si>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</si>
  <si>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</si>
  <si>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</si>
  <si>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</si>
  <si>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</si>
  <si>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</si>
  <si>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</si>
  <si>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</si>
  <si>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</si>
  <si>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</si>
  <si>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</si>
  <si>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</si>
  <si>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</si>
  <si>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</si>
  <si>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</si>
  <si>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</si>
  <si>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</si>
  <si>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</si>
  <si>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</si>
  <si>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</si>
  <si>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</si>
  <si>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</si>
  <si>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</si>
  <si>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</si>
  <si>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</si>
  <si>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</si>
  <si>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</si>
  <si>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</si>
  <si>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</si>
  <si>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</si>
  <si>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</si>
  <si>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</si>
  <si>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</si>
  <si>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</si>
  <si>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</si>
  <si>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</si>
  <si>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</si>
  <si>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</si>
  <si>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</si>
  <si>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</si>
  <si>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</si>
  <si>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</si>
  <si>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</si>
  <si>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</si>
  <si>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</si>
  <si>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</si>
  <si>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</si>
  <si>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</si>
  <si>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</si>
  <si>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</si>
  <si>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</si>
  <si>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</si>
  <si>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</si>
  <si>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</si>
  <si>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</si>
  <si>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</si>
  <si>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</si>
  <si>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</si>
  <si>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</si>
  <si>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</si>
  <si>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</si>
  <si>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</si>
  <si>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</si>
  <si>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</si>
  <si>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</si>
  <si>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</si>
  <si>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</si>
  <si>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</si>
  <si>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</si>
  <si>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</si>
  <si>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</si>
  <si>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</si>
  <si>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</si>
  <si>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</si>
  <si>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</si>
  <si>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</si>
  <si>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</si>
  <si>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</si>
  <si>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</si>
  <si>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</si>
  <si>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</si>
  <si>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</si>
  <si>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</si>
  <si>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</si>
  <si>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</si>
  <si>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</si>
  <si>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</si>
  <si>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</si>
  <si>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</si>
  <si>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</si>
  <si>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</si>
  <si>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</si>
  <si>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</si>
  <si>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</si>
  <si>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</si>
  <si>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</si>
  <si>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</si>
  <si>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</si>
  <si>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</si>
  <si>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</si>
  <si>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</si>
  <si>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</si>
  <si>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</si>
  <si>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</si>
  <si>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</si>
  <si>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</si>
  <si>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</si>
  <si>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</si>
  <si>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</si>
  <si>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</si>
  <si>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</si>
  <si>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</si>
  <si>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</si>
  <si>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</si>
  <si>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</si>
  <si>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</si>
  <si>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</si>
  <si>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</si>
  <si>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</si>
  <si>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</si>
  <si>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</si>
  <si>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</si>
  <si>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</si>
  <si>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</si>
  <si>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</si>
  <si>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</si>
  <si>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</si>
  <si>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</si>
  <si>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</si>
  <si>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</si>
  <si>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</si>
  <si>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</si>
  <si>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</si>
  <si>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</si>
  <si>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</si>
  <si>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</si>
  <si>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</si>
  <si>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</si>
  <si>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</si>
  <si>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</si>
  <si>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</si>
  <si>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</si>
  <si>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</si>
  <si>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</si>
  <si>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</si>
  <si>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</si>
  <si>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</si>
  <si>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</si>
  <si>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</si>
  <si>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</si>
  <si>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</si>
  <si>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</si>
  <si>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</si>
  <si>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</si>
  <si>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</si>
  <si>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</si>
  <si>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</si>
  <si>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</si>
  <si>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</si>
  <si>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</si>
  <si>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</si>
  <si>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</si>
  <si>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</si>
  <si>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</si>
  <si>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</si>
  <si>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</si>
  <si>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</si>
  <si>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</si>
  <si>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</si>
  <si>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</si>
  <si>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</si>
  <si>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</si>
  <si>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</si>
  <si>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</si>
  <si>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</si>
  <si>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</si>
  <si>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</si>
  <si>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</si>
  <si>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</si>
  <si>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</si>
  <si>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</si>
  <si>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</si>
  <si>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</si>
  <si>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</si>
  <si>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</si>
  <si>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</si>
  <si>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</si>
  <si>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</si>
  <si>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</si>
  <si>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</si>
  <si>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</si>
  <si>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</si>
  <si>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</si>
  <si>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</si>
  <si>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</si>
  <si>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</si>
  <si>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</si>
  <si>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</si>
  <si>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</si>
  <si>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</si>
  <si>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</si>
  <si>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</si>
  <si>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</si>
  <si>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</si>
  <si>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</si>
  <si>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</si>
  <si>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</si>
  <si>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</si>
  <si>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</si>
  <si>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</si>
  <si>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</si>
  <si>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</si>
  <si>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</si>
  <si>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</si>
  <si>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</si>
  <si>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</si>
  <si>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</si>
  <si>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</si>
  <si>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</si>
  <si>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</si>
  <si>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</si>
  <si>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</si>
  <si>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</si>
  <si>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</si>
  <si>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</si>
  <si>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</si>
  <si>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</si>
  <si>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</si>
  <si>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</si>
  <si>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</si>
  <si>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</si>
  <si>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</si>
  <si>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</si>
  <si>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</si>
  <si>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</si>
  <si>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</si>
  <si>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</si>
  <si>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</si>
  <si>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</si>
  <si>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</si>
  <si>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</si>
  <si>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</si>
  <si>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</si>
  <si>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</si>
  <si>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</si>
  <si>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</si>
  <si>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</si>
  <si>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</si>
  <si>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</si>
  <si>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</si>
  <si>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</si>
  <si>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</si>
  <si>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</si>
  <si>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</si>
  <si>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</si>
  <si>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</si>
  <si>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</si>
  <si>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</si>
  <si>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</si>
  <si>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</si>
  <si>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</si>
  <si>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</si>
  <si>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</si>
  <si>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</si>
  <si>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</si>
  <si>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</si>
  <si>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</si>
  <si>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</si>
  <si>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</si>
  <si>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</si>
  <si>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</si>
  <si>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</si>
  <si>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</si>
  <si>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</si>
  <si>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</si>
  <si>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</si>
  <si>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</si>
  <si>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</si>
  <si>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</si>
  <si>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</si>
  <si>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</si>
  <si>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</si>
  <si>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</si>
  <si>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</si>
  <si>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</si>
  <si>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</si>
  <si>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</si>
  <si>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</si>
  <si>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</si>
  <si>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</si>
  <si>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</si>
  <si>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</si>
  <si>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</si>
  <si>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</si>
  <si>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</si>
  <si>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</si>
  <si>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</si>
  <si>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</si>
  <si>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</si>
  <si>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</si>
  <si>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</si>
  <si>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</si>
  <si>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</si>
  <si>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</si>
  <si>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</si>
  <si>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</si>
  <si>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</si>
  <si>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</si>
  <si>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</si>
  <si>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</si>
  <si>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</si>
  <si>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</si>
  <si>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</si>
  <si>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</si>
  <si>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</si>
  <si>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</si>
  <si>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</si>
  <si>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</si>
  <si>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</si>
  <si>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</si>
  <si>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</si>
  <si>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</si>
  <si>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</si>
  <si>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</si>
  <si>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</si>
  <si>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</si>
  <si>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</si>
  <si>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</si>
  <si>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</si>
  <si>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</si>
  <si>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</si>
  <si>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</si>
  <si>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</si>
  <si>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</si>
  <si>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</si>
  <si>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</si>
  <si>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</si>
  <si>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</si>
  <si>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</si>
  <si>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</si>
  <si>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</si>
  <si>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</si>
  <si>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</si>
  <si>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</si>
  <si>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</si>
  <si>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</si>
  <si>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</si>
  <si>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</si>
  <si>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</si>
  <si>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</si>
  <si>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</si>
  <si>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</si>
  <si>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</si>
  <si>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</si>
  <si>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</si>
  <si>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</si>
  <si>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</si>
  <si>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</si>
  <si>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</si>
  <si>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</si>
  <si>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</si>
  <si>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</si>
  <si>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</si>
  <si>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</si>
  <si>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</si>
  <si>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</si>
  <si>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</si>
  <si>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</si>
  <si>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</si>
  <si>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</si>
  <si>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</si>
  <si>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</si>
  <si>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</si>
  <si>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</si>
  <si>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</si>
  <si>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</si>
  <si>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</si>
  <si>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</si>
  <si>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</si>
  <si>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</si>
  <si>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</si>
  <si>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</si>
  <si>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</si>
  <si>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</si>
  <si>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</si>
  <si>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</si>
  <si>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</si>
  <si>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</si>
  <si>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</si>
  <si>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</si>
  <si>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</si>
  <si>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</si>
  <si>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</si>
  <si>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</si>
  <si>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</si>
  <si>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</si>
  <si>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</si>
  <si>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</si>
  <si>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</si>
  <si>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</si>
  <si>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</si>
  <si>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</si>
  <si>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</si>
  <si>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</si>
  <si>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</si>
  <si>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</si>
  <si>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</si>
  <si>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</si>
  <si>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</si>
  <si>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</si>
  <si>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</si>
  <si>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</si>
  <si>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</si>
  <si>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</si>
  <si>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</si>
  <si>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</si>
  <si>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</si>
  <si>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</si>
  <si>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</si>
  <si>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</si>
  <si>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</si>
  <si>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</si>
  <si>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</si>
  <si>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</si>
  <si>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</si>
  <si>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</si>
  <si>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</si>
  <si>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</si>
  <si>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</si>
  <si>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</si>
  <si>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</si>
  <si>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</si>
  <si>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</si>
  <si>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</si>
  <si>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</si>
  <si>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</si>
  <si>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</si>
  <si>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</si>
  <si>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</si>
  <si>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</si>
  <si>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</si>
  <si>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</si>
  <si>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</si>
  <si>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</si>
  <si>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</si>
  <si>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</si>
  <si>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</si>
  <si>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</si>
  <si>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</si>
  <si>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</si>
  <si>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</si>
  <si>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</si>
  <si>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</si>
  <si>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</si>
  <si>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</si>
  <si>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</si>
  <si>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</si>
  <si>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</si>
  <si>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</si>
  <si>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</si>
  <si>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</si>
  <si>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</si>
  <si>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</si>
  <si>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</si>
  <si>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</si>
  <si>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</si>
  <si>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</si>
  <si>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</si>
  <si>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</si>
  <si>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</si>
  <si>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</si>
  <si>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</si>
  <si>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</si>
  <si>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</si>
  <si>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</si>
  <si>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</si>
  <si>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</si>
  <si>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</si>
  <si>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</si>
  <si>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</si>
  <si>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</si>
  <si>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</si>
  <si>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</si>
  <si>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</si>
  <si>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</si>
  <si>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</si>
  <si>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</si>
  <si>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</si>
  <si>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</si>
  <si>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</si>
  <si>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</si>
  <si>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</si>
  <si>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</si>
  <si>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</si>
  <si>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</si>
  <si>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</si>
  <si>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</si>
  <si>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</si>
  <si>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</si>
  <si>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</si>
  <si>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</si>
  <si>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</si>
  <si>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</si>
  <si>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</si>
  <si>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</si>
  <si>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</si>
  <si>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</si>
  <si>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</si>
  <si>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</si>
  <si>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</si>
  <si>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</si>
  <si>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</si>
  <si>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</si>
  <si>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</si>
  <si>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</si>
  <si>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</si>
  <si>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</si>
  <si>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</si>
  <si>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</si>
  <si>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</si>
  <si>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</si>
  <si>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</si>
  <si>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</si>
  <si>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</si>
  <si>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</si>
  <si>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</si>
  <si>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</si>
  <si>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</si>
  <si>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</si>
  <si>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</si>
  <si>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</si>
  <si>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</si>
  <si>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</si>
  <si>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</si>
  <si>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</si>
  <si>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</si>
  <si>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</si>
  <si>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</si>
  <si>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</si>
  <si>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</si>
  <si>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</si>
  <si>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</si>
  <si>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</si>
  <si>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</si>
  <si>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</si>
  <si>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</si>
  <si>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</si>
  <si>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</si>
  <si>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</si>
  <si>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</si>
  <si>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</si>
  <si>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</si>
  <si>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</si>
  <si>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</si>
  <si>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</si>
  <si>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</si>
  <si>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</si>
  <si>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</si>
  <si>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</si>
  <si>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</si>
  <si>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</si>
  <si>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</si>
  <si>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</si>
  <si>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</si>
  <si>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</si>
  <si>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</si>
  <si>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</si>
  <si>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</si>
  <si>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</si>
  <si>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</si>
  <si>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</si>
  <si>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</si>
  <si>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</si>
  <si>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</si>
  <si>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</si>
  <si>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</si>
  <si>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</si>
  <si>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</si>
  <si>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</si>
  <si>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</si>
  <si>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</si>
  <si>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</si>
  <si>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</si>
  <si>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</si>
  <si>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</si>
  <si>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</si>
  <si>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</si>
  <si>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</si>
  <si>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</si>
  <si>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</si>
  <si>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</si>
  <si>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</si>
  <si>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</si>
  <si>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</si>
  <si>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</si>
  <si>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</si>
  <si>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</si>
  <si>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</si>
  <si>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</si>
  <si>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</si>
  <si>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</si>
  <si>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</si>
  <si>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</si>
  <si>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</si>
  <si>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</si>
  <si>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</si>
  <si>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</si>
  <si>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</si>
  <si>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</si>
  <si>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</si>
  <si>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</si>
  <si>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</si>
  <si>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</si>
  <si>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</si>
  <si>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</si>
  <si>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</si>
  <si>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</si>
  <si>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</si>
  <si>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</si>
  <si>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</si>
  <si>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</si>
  <si>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</si>
  <si>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</si>
  <si>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</si>
  <si>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</si>
  <si>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</si>
  <si>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</si>
  <si>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</si>
  <si>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</si>
  <si>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</si>
  <si>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</si>
  <si>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</si>
  <si>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</si>
  <si>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</si>
  <si>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</si>
  <si>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</si>
  <si>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</si>
  <si>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</si>
  <si>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</si>
  <si>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</si>
  <si>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</si>
  <si>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</si>
  <si>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</si>
  <si>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</si>
  <si>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</si>
  <si>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</si>
  <si>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</si>
  <si>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</si>
  <si>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</si>
  <si>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</si>
  <si>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</si>
  <si>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</si>
  <si>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</si>
  <si>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</si>
  <si>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</si>
  <si>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</si>
  <si>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</si>
  <si>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</si>
  <si>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</si>
  <si>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</si>
  <si>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</si>
  <si>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</si>
  <si>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</si>
  <si>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</si>
  <si>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</si>
  <si>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</si>
  <si>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</si>
  <si>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</si>
  <si>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</si>
  <si>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</si>
  <si>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</si>
  <si>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</si>
  <si>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</si>
  <si>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</si>
  <si>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</si>
  <si>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</si>
  <si>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</si>
  <si>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</si>
  <si>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</si>
  <si>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</si>
  <si>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</si>
  <si>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</si>
  <si>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</si>
  <si>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</si>
  <si>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</si>
  <si>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</si>
  <si>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</si>
  <si>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</si>
  <si>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</si>
  <si>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</si>
  <si>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</si>
  <si>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</si>
  <si>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</si>
  <si>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</si>
  <si>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</si>
  <si>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</si>
  <si>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</si>
  <si>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</si>
  <si>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</si>
  <si>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</si>
  <si>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</si>
  <si>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</si>
  <si>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</si>
  <si>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</si>
  <si>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</si>
  <si>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</si>
  <si>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</si>
  <si>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</si>
  <si>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</si>
  <si>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</si>
  <si>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</si>
  <si>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</si>
  <si>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</si>
  <si>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</si>
  <si>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</si>
  <si>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</si>
  <si>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</si>
  <si>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</si>
  <si>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</si>
  <si>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</si>
  <si>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</si>
  <si>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</si>
  <si>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</si>
  <si>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</si>
  <si>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</si>
  <si>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</si>
  <si>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</si>
  <si>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</si>
  <si>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</si>
  <si>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</si>
  <si>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</si>
  <si>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</si>
  <si>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</si>
  <si>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</si>
  <si>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</si>
  <si>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</si>
  <si>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</si>
  <si>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</si>
  <si>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</si>
  <si>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</si>
  <si>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</si>
  <si>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</si>
  <si>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</si>
  <si>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</si>
  <si>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</si>
  <si>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</si>
  <si>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</si>
  <si>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</si>
  <si>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</si>
  <si>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</si>
  <si>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</si>
  <si>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</si>
  <si>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</si>
  <si>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</si>
  <si>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</si>
  <si>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</si>
  <si>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</si>
  <si>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</si>
  <si>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</si>
  <si>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</si>
  <si>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</si>
  <si>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</si>
  <si>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</si>
  <si>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</si>
  <si>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</si>
  <si>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</si>
  <si>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</si>
  <si>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</si>
  <si>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</si>
  <si>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</si>
  <si>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</si>
  <si>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</si>
  <si>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</si>
  <si>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</si>
  <si>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</si>
  <si>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</si>
  <si>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</si>
  <si>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</si>
  <si>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</si>
  <si>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</si>
  <si>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</si>
  <si>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</si>
  <si>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</si>
  <si>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</si>
  <si>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</si>
  <si>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</si>
  <si>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</si>
  <si>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</si>
  <si>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</si>
  <si>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</si>
  <si>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</si>
  <si>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</si>
  <si>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</si>
  <si>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</si>
  <si>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</si>
  <si>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</si>
  <si>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</si>
  <si>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</si>
  <si>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</si>
  <si>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</si>
  <si>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</si>
  <si>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</si>
  <si>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</si>
  <si>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</si>
  <si>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</si>
  <si>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</si>
  <si>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</si>
  <si>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</si>
  <si>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</si>
  <si>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</si>
  <si>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</si>
  <si>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</si>
  <si>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</si>
  <si>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</si>
  <si>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</si>
  <si>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</si>
  <si>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</si>
  <si>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</si>
  <si>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</si>
  <si>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</si>
  <si>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</si>
  <si>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</si>
  <si>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</si>
  <si>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</si>
  <si>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</si>
  <si>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</si>
  <si>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</si>
  <si>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</si>
  <si>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</si>
  <si>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</si>
  <si>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</si>
  <si>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</si>
  <si>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</si>
  <si>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</si>
  <si>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</si>
  <si>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</si>
  <si>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</si>
  <si>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</si>
  <si>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</si>
  <si>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</si>
  <si>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</si>
  <si>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</si>
  <si>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</si>
  <si>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</si>
  <si>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</si>
  <si>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</si>
  <si>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</si>
  <si>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</si>
  <si>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</si>
  <si>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</si>
  <si>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</si>
  <si>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</si>
  <si>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</si>
  <si>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</si>
  <si>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</si>
  <si>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</si>
  <si>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</si>
  <si>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</si>
  <si>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</si>
  <si>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</si>
  <si>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</si>
  <si>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</si>
  <si>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</si>
  <si>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</si>
  <si>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</si>
  <si>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</si>
  <si>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</si>
  <si>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</si>
  <si>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</si>
  <si>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</si>
  <si>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</si>
  <si>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</si>
  <si>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</si>
  <si>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</si>
  <si>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</si>
  <si>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</si>
  <si>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</si>
  <si>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</si>
  <si>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</si>
  <si>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</si>
  <si>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</si>
  <si>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</si>
  <si>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</si>
  <si>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</si>
  <si>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</si>
  <si>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</si>
  <si>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</si>
  <si>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</si>
  <si>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</si>
  <si>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</si>
  <si>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</si>
  <si>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</si>
  <si>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</si>
  <si>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</si>
  <si>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</si>
  <si>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</si>
  <si>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</si>
  <si>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</si>
  <si>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</si>
  <si>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</si>
  <si>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</si>
  <si>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</si>
  <si>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</si>
  <si>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</si>
  <si>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</si>
  <si>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</si>
  <si>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</si>
  <si>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</si>
  <si>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</si>
  <si>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</si>
  <si>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</si>
  <si>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</si>
  <si>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</si>
  <si>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</si>
  <si>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</si>
  <si>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</si>
  <si>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</si>
  <si>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</si>
  <si>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</si>
  <si>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</si>
  <si>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</si>
  <si>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</si>
  <si>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</si>
  <si>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</si>
  <si>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</si>
  <si>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</si>
  <si>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</si>
  <si>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</si>
  <si>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</si>
  <si>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</si>
  <si>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</si>
  <si>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</si>
  <si>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</si>
  <si>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</si>
  <si>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</si>
  <si>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</si>
  <si>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</si>
  <si>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</si>
  <si>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</si>
  <si>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</si>
  <si>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</si>
  <si>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</si>
  <si>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</si>
  <si>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</si>
  <si>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</si>
  <si>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</si>
  <si>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</si>
  <si>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</si>
  <si>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</si>
  <si>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</si>
  <si>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</si>
  <si>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</si>
  <si>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</si>
  <si>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</si>
  <si>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</si>
  <si>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</si>
  <si>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</si>
  <si>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</si>
  <si>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</si>
  <si>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</si>
  <si>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</si>
  <si>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</si>
  <si>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</si>
  <si>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</si>
  <si>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</si>
  <si>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</si>
  <si>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</si>
  <si>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</si>
  <si>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</si>
  <si>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</si>
  <si>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</si>
  <si>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</si>
  <si>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</si>
  <si>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</si>
  <si>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</si>
  <si>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</si>
  <si>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</si>
  <si>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</si>
  <si>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</si>
  <si>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</si>
  <si>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</si>
  <si>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</si>
  <si>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</si>
  <si>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</si>
  <si>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</si>
  <si>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</si>
  <si>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</si>
  <si>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</si>
  <si>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</si>
  <si>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</si>
  <si>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</si>
  <si>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</si>
  <si>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</si>
  <si>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</si>
  <si>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</si>
  <si>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</si>
  <si>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</si>
  <si>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</si>
  <si>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</si>
  <si>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</si>
  <si>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</si>
  <si>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</si>
  <si>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</si>
  <si>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</si>
  <si>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</si>
  <si>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</si>
  <si>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</si>
  <si>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</si>
  <si>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</si>
  <si>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</si>
  <si>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</si>
  <si>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</si>
  <si>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</si>
  <si>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</si>
  <si>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</si>
  <si>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</si>
  <si>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</si>
  <si>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</si>
  <si>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</si>
  <si>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</si>
  <si>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</si>
  <si>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</si>
  <si>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</si>
  <si>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</si>
  <si>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</si>
  <si>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</si>
  <si>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</si>
  <si>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</si>
  <si>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</si>
  <si>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</si>
  <si>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</si>
  <si>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</si>
  <si>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</si>
  <si>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</si>
  <si>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</si>
  <si>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</si>
  <si>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</si>
  <si>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</si>
  <si>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</si>
  <si>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</si>
  <si>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</si>
  <si>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</si>
  <si>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</si>
  <si>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</si>
  <si>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</si>
  <si>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</si>
  <si>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</si>
  <si>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</si>
  <si>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</si>
  <si>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</si>
  <si>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</si>
  <si>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</si>
  <si>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</si>
  <si>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</si>
  <si>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</si>
  <si>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</si>
  <si>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</si>
  <si>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</si>
  <si>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</si>
  <si>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</si>
  <si>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</si>
  <si>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</si>
  <si>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</si>
  <si>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</si>
  <si>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</si>
  <si>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</si>
  <si>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</si>
  <si>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</si>
  <si>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</si>
  <si>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</si>
  <si>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</si>
  <si>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</si>
  <si>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</si>
  <si>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</si>
  <si>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</si>
  <si>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</si>
  <si>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</si>
  <si>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</si>
  <si>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</si>
  <si>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</si>
  <si>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</si>
  <si>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</si>
  <si>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</si>
  <si>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</si>
  <si>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</si>
  <si>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</si>
  <si>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</si>
  <si>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</si>
  <si>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</si>
  <si>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</si>
  <si>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</si>
  <si>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</si>
  <si>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</si>
  <si>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</si>
  <si>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</si>
  <si>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</si>
  <si>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</si>
  <si>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</si>
  <si>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</si>
  <si>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</si>
  <si>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</si>
  <si>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</si>
  <si>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</si>
  <si>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</si>
  <si>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</si>
  <si>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</si>
  <si>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</si>
  <si>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</si>
  <si>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</si>
  <si>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</si>
  <si>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</si>
  <si>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</si>
  <si>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</si>
  <si>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</si>
  <si>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</si>
  <si>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</si>
  <si>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</si>
  <si>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</si>
  <si>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</si>
  <si>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</si>
  <si>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</si>
  <si>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</si>
  <si>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</si>
  <si>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</si>
  <si>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</si>
  <si>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</si>
  <si>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</si>
  <si>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</si>
  <si>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</si>
  <si>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</si>
  <si>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</si>
  <si>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</si>
  <si>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</si>
  <si>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</si>
  <si>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</si>
  <si>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</si>
  <si>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</si>
  <si>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</si>
  <si>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</si>
  <si>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</si>
  <si>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</si>
  <si>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</si>
  <si>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</si>
  <si>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</si>
  <si>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</si>
  <si>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</si>
  <si>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</si>
  <si>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</si>
  <si>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</si>
  <si>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</si>
  <si>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</si>
  <si>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</si>
  <si>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</si>
  <si>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</si>
  <si>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</si>
  <si>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</si>
  <si>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</si>
  <si>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</si>
  <si>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</si>
  <si>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</si>
  <si>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</si>
  <si>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</si>
  <si>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</si>
  <si>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</si>
  <si>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</si>
  <si>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</si>
  <si>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</si>
  <si>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</si>
  <si>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</si>
  <si>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</si>
  <si>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</si>
  <si>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</si>
  <si>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</si>
  <si>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</si>
  <si>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</si>
  <si>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</si>
  <si>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</si>
  <si>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</si>
  <si>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</si>
  <si>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</si>
  <si>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</si>
  <si>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</si>
  <si>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</si>
  <si>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</si>
  <si>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</si>
  <si>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</si>
  <si>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</si>
  <si>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</si>
  <si>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</si>
  <si>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</si>
  <si>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</si>
  <si>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</si>
  <si>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</si>
  <si>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</si>
  <si>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</si>
  <si>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</si>
  <si>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</si>
  <si>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</si>
  <si>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</si>
  <si>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</si>
  <si>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</si>
  <si>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</si>
  <si>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</si>
  <si>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</si>
  <si>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</si>
  <si>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</si>
  <si>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</si>
  <si>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</si>
  <si>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</si>
  <si>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</si>
  <si>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</si>
  <si>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</si>
  <si>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</si>
  <si>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</si>
  <si>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</si>
  <si>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</si>
  <si>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</si>
  <si>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</si>
  <si>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</si>
  <si>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</si>
  <si>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</si>
  <si>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</si>
  <si>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</si>
  <si>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</si>
  <si>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</si>
  <si>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</si>
  <si>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</si>
  <si>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</si>
  <si>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</si>
  <si>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</si>
  <si>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</si>
  <si>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</si>
  <si>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</si>
  <si>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</si>
  <si>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</si>
  <si>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</si>
  <si>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</si>
  <si>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</si>
  <si>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</si>
  <si>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</si>
  <si>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</si>
  <si>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</si>
  <si>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</si>
  <si>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</si>
  <si>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</si>
  <si>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</si>
  <si>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</si>
  <si>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</si>
  <si>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</si>
  <si>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</si>
  <si>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</si>
  <si>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</si>
  <si>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</si>
  <si>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</si>
  <si>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</si>
  <si>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</si>
  <si>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</si>
  <si>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</si>
  <si>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</si>
  <si>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</si>
  <si>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</si>
  <si>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</si>
  <si>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</si>
  <si>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</si>
  <si>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</si>
  <si>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</si>
  <si>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</si>
  <si>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</si>
  <si>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</si>
  <si>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</si>
  <si>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</si>
  <si>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</si>
  <si>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</si>
  <si>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</si>
  <si>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</si>
  <si>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</si>
  <si>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</si>
  <si>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</si>
  <si>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</si>
  <si>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</si>
  <si>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</si>
  <si>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</si>
  <si>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</si>
  <si>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</si>
  <si>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</si>
  <si>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</si>
  <si>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</si>
  <si>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</si>
  <si>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</si>
  <si>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</si>
  <si>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</si>
  <si>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</si>
  <si>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</si>
  <si>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</si>
  <si>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</si>
  <si>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</si>
  <si>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</si>
  <si>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</si>
  <si>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</si>
  <si>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</si>
  <si>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</si>
  <si>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</si>
  <si>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</si>
  <si>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</si>
  <si>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</si>
  <si>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</si>
  <si>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</si>
  <si>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</si>
  <si>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</si>
  <si>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</si>
  <si>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</si>
  <si>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</si>
  <si>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</si>
  <si>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</si>
  <si>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Governmental Fund</t>
  </si>
  <si>
    <t>Proprietary - Internal Service Fund</t>
  </si>
  <si>
    <t>Proprietary - Enterprise Fund</t>
  </si>
  <si>
    <t>Fund Type:</t>
  </si>
  <si>
    <t>Proprietary - Internal Service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</si>
  <si>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</si>
  <si>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</si>
  <si>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</si>
  <si>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</si>
  <si>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</si>
  <si>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</si>
  <si>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</si>
  <si>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</si>
  <si>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</si>
  <si>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</si>
  <si>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</si>
  <si>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</si>
  <si>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</si>
  <si>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</si>
  <si>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</si>
  <si>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</si>
  <si>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</si>
  <si>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</si>
  <si>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</si>
  <si>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</si>
  <si>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</si>
  <si>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</si>
  <si>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</si>
  <si>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</si>
  <si>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</si>
  <si>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</si>
  <si>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</si>
  <si>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</si>
  <si>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</si>
  <si>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</si>
  <si>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</si>
  <si>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</si>
  <si>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</si>
  <si>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</si>
  <si>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</si>
  <si>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</si>
  <si>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</si>
  <si>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</si>
  <si>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</si>
  <si>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</si>
  <si>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</si>
  <si>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</si>
  <si>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</si>
  <si>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</si>
  <si>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</si>
  <si>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</si>
  <si>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</si>
  <si>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</si>
  <si>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Cr: Acct 0674 - RIGHT-TO-USE SBITA LIABILITY</t>
  </si>
  <si>
    <t>Dr: Acct 0674 - RIGHT-TO-USE SBITA LIABILITY</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</si>
  <si>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</si>
  <si>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</si>
  <si>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</si>
  <si>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</si>
  <si>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</si>
  <si>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</si>
  <si>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</si>
  <si>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</si>
  <si>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</si>
  <si>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</si>
  <si>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</si>
  <si>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</si>
  <si>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From SCO BB List</t>
  </si>
  <si>
    <t>Difference</t>
  </si>
  <si>
    <t>Report any "Differences" on the Report 18 Differential.</t>
  </si>
  <si>
    <t>No action required.</t>
  </si>
  <si>
    <t>Beginning Balance</t>
  </si>
  <si>
    <t>Deductions (Mod)</t>
  </si>
  <si>
    <t>Additions (Mod)</t>
  </si>
  <si>
    <t>Due within one year</t>
  </si>
  <si>
    <t>Total</t>
  </si>
  <si>
    <t>Totals</t>
  </si>
  <si>
    <t xml:space="preserve">  a) Governmental Funds</t>
  </si>
  <si>
    <t xml:space="preserve">  b) Proprietary - Internal Service Funds</t>
  </si>
  <si>
    <t xml:space="preserve">  c) Proprietary - Enterprise Funds</t>
  </si>
  <si>
    <t>Entry #8</t>
  </si>
  <si>
    <t>Entry #9</t>
  </si>
  <si>
    <r>
      <t xml:space="preserve">The below information must be entered manually.
</t>
    </r>
    <r>
      <rPr>
        <b/>
        <i/>
        <sz val="12"/>
        <color rgb="FFFF0000"/>
        <rFont val="Arial"/>
        <family val="2"/>
      </rPr>
      <t>DO NOT ENTER DECIMALS. PLEASE ROUND TO THE NEAREST DOLLAR.</t>
    </r>
  </si>
  <si>
    <t>Department Beginning Balances</t>
  </si>
  <si>
    <t>(Entry #0)</t>
  </si>
  <si>
    <t>(Entry #2 &amp; 9)</t>
  </si>
  <si>
    <t>(Entry #5 &amp; 8)</t>
  </si>
  <si>
    <t>(Entry #6)</t>
  </si>
  <si>
    <t>NOTE: If multiple funds are included in this workbook, manually complete every yellow field by consolidating the entries by fund type (Governmental, Proprietary ISF, and Proprietary EF).</t>
  </si>
  <si>
    <t>THIS SCHEDULE IS FOR THE CHANGE IN SBITA LIABILITY (ACCOUNT 0674) ONLY. THESE AMOUNTS WILL DIFFER FROM THE REPORT 18 (ASSETS).</t>
  </si>
  <si>
    <t>Department of Developmental Services</t>
  </si>
  <si>
    <t>0001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</si>
</sst>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sz val="12"/>
      <color theme="8" tint="-0.249977111117893"/>
      <name val="Arial"/>
      <family val="2"/>
    </font>
    <font>
      <i/>
      <sz val="12"/>
      <name val="Arial"/>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sz val="11"/>
      <color rgb="FFFF0000"/>
      <name val="Calibri"/>
      <family val="2"/>
      <scheme val="minor"/>
    </font>
    <font>
      <i/>
      <sz val="12"/>
      <color theme="1"/>
      <name val="Arial"/>
      <family val="2"/>
    </font>
    <font>
      <b/>
      <i/>
      <sz val="12"/>
      <color rgb="FFFF0000"/>
      <name val="Arial"/>
      <family val="2"/>
    </font>
    <font>
      <sz val="16"/>
      <color rgb="FFFF0000"/>
      <name val="arial"/>
      <family val="2"/>
    </font>
    <font>
      <b/>
      <i/>
      <sz val="14"/>
      <color theme="1"/>
      <name val="Arial Narrow"/>
      <family val="2"/>
    </font>
    <font>
      <b/>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20">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20">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0" fillId="0" borderId="0" xfId="0" applyNumberFormat="1" applyFont="1" applyAlignment="1" applyProtection="1">
      <alignment horizontal="left"/>
      <protection hidden="1"/>
    </xf>
    <xf numFmtId="165" fontId="30" fillId="0" borderId="0" xfId="0" applyNumberFormat="1" applyFont="1" applyProtection="1">
      <protection hidden="1"/>
    </xf>
    <xf numFmtId="165" fontId="3" fillId="0" borderId="0" xfId="0" applyNumberFormat="1" applyFont="1" applyAlignment="1" applyProtection="1">
      <alignment horizontal="left"/>
      <protection hidden="1"/>
    </xf>
    <xf numFmtId="166" fontId="21" fillId="0" borderId="0" xfId="1" applyNumberFormat="1" applyFont="1" applyAlignment="1" applyProtection="1">
      <alignment horizontal="center" vertical="top"/>
    </xf>
    <xf numFmtId="166" fontId="21" fillId="0" borderId="0" xfId="1" quotePrefix="1" applyNumberFormat="1" applyFont="1" applyAlignment="1" applyProtection="1">
      <alignment horizontal="center" vertical="top"/>
    </xf>
    <xf numFmtId="43" fontId="21" fillId="0" borderId="0" xfId="1" quotePrefix="1" applyFont="1" applyAlignment="1" applyProtection="1">
      <alignment horizontal="center" vertical="top"/>
    </xf>
    <xf numFmtId="43" fontId="21" fillId="0" borderId="0" xfId="1" applyFont="1" applyAlignment="1" applyProtection="1">
      <alignment horizontal="center" vertical="top"/>
    </xf>
    <xf numFmtId="166" fontId="43" fillId="0" borderId="0" xfId="1" quotePrefix="1" applyNumberFormat="1" applyFont="1" applyAlignment="1" applyProtection="1">
      <alignment horizontal="center" vertical="top"/>
    </xf>
    <xf numFmtId="0" fontId="2" fillId="0" borderId="0" xfId="0" applyFont="1" applyAlignment="1" applyProtection="1">
      <alignment vertical="top" wrapText="1"/>
      <protection hidden="1"/>
    </xf>
    <xf numFmtId="0" fontId="4" fillId="0" borderId="0" xfId="0" applyFont="1" applyAlignment="1" applyProtection="1">
      <alignment vertical="top"/>
      <protection hidden="1"/>
    </xf>
    <xf numFmtId="0" fontId="5" fillId="0" borderId="0" xfId="0" applyFont="1" applyAlignment="1" applyProtection="1">
      <alignment vertical="center" wrapText="1"/>
      <protection hidden="1"/>
    </xf>
    <xf numFmtId="0" fontId="2" fillId="0" borderId="0" xfId="0" applyFont="1" applyAlignment="1" applyProtection="1">
      <alignment horizontal="left" vertical="top"/>
      <protection hidden="1"/>
    </xf>
    <xf numFmtId="49" fontId="4" fillId="0" borderId="0" xfId="0" applyNumberFormat="1" applyFont="1" applyAlignment="1" applyProtection="1">
      <alignment vertical="top"/>
      <protection hidden="1"/>
    </xf>
    <xf numFmtId="0" fontId="6" fillId="0" borderId="0" xfId="0" applyFont="1" applyAlignment="1" applyProtection="1">
      <alignment horizontal="left" vertical="top"/>
      <protection hidden="1"/>
    </xf>
    <xf numFmtId="0" fontId="6" fillId="0" borderId="0" xfId="0" quotePrefix="1" applyFont="1" applyAlignment="1" applyProtection="1">
      <alignment horizontal="left" vertical="top"/>
      <protection hidden="1"/>
    </xf>
    <xf numFmtId="164" fontId="6" fillId="0" borderId="0" xfId="0" quotePrefix="1" applyNumberFormat="1" applyFont="1" applyAlignment="1" applyProtection="1">
      <alignment horizontal="left" vertical="top"/>
      <protection hidden="1"/>
    </xf>
    <xf numFmtId="164" fontId="6" fillId="0" borderId="0" xfId="0" quotePrefix="1" applyNumberFormat="1" applyFont="1" applyAlignment="1" applyProtection="1">
      <alignment vertical="top"/>
      <protection hidden="1"/>
    </xf>
    <xf numFmtId="0" fontId="32" fillId="7" borderId="0" xfId="0" applyFont="1" applyFill="1" applyAlignment="1" applyProtection="1">
      <alignment horizontal="left"/>
      <protection hidden="1"/>
    </xf>
    <xf numFmtId="0" fontId="6" fillId="0" borderId="0" xfId="0" applyFont="1" applyAlignment="1" applyProtection="1">
      <alignment horizontal="center"/>
      <protection hidden="1"/>
    </xf>
    <xf numFmtId="0" fontId="6" fillId="0" borderId="0" xfId="0" applyFont="1" applyAlignment="1" applyProtection="1">
      <alignment vertical="top"/>
      <protection hidden="1"/>
    </xf>
    <xf numFmtId="0" fontId="6" fillId="0" borderId="15" xfId="0" applyFont="1" applyBorder="1" applyAlignment="1" applyProtection="1">
      <alignment horizontal="center" vertical="top" wrapText="1"/>
      <protection hidden="1"/>
    </xf>
    <xf numFmtId="0" fontId="38" fillId="0" borderId="0" xfId="0" applyFont="1" applyAlignment="1" applyProtection="1">
      <alignment vertical="top"/>
      <protection hidden="1"/>
    </xf>
    <xf numFmtId="0" fontId="38" fillId="0" borderId="2" xfId="0" applyFont="1" applyBorder="1" applyAlignment="1" applyProtection="1">
      <alignment horizontal="center" vertical="top"/>
      <protection hidden="1"/>
    </xf>
    <xf numFmtId="166" fontId="3" fillId="7" borderId="0" xfId="1" applyNumberFormat="1" applyFont="1" applyFill="1" applyProtection="1">
      <protection hidden="1"/>
    </xf>
    <xf numFmtId="44" fontId="4" fillId="0" borderId="0" xfId="2" applyFont="1" applyProtection="1">
      <protection hidden="1"/>
    </xf>
    <xf numFmtId="38" fontId="4" fillId="0" borderId="0" xfId="0" applyNumberFormat="1" applyFont="1" applyAlignment="1" applyProtection="1">
      <alignment vertical="top"/>
      <protection hidden="1"/>
    </xf>
    <xf numFmtId="0" fontId="28" fillId="0" borderId="0" xfId="0" applyFont="1" applyAlignment="1" applyProtection="1">
      <alignment vertical="top"/>
      <protection hidden="1"/>
    </xf>
    <xf numFmtId="0" fontId="6" fillId="0" borderId="0" xfId="0" applyFont="1" applyAlignment="1" applyProtection="1">
      <alignment vertical="top" wrapText="1"/>
      <protection hidden="1"/>
    </xf>
    <xf numFmtId="165" fontId="4" fillId="7" borderId="0" xfId="1" applyNumberFormat="1" applyFont="1" applyFill="1" applyAlignment="1" applyProtection="1">
      <alignment vertical="top"/>
      <protection hidden="1"/>
    </xf>
    <xf numFmtId="0" fontId="44" fillId="0" borderId="0" xfId="0" applyFont="1" applyAlignment="1" applyProtection="1">
      <alignment vertical="top"/>
      <protection hidden="1"/>
    </xf>
    <xf numFmtId="165" fontId="4" fillId="0" borderId="0" xfId="0" applyNumberFormat="1" applyFont="1" applyAlignment="1" applyProtection="1">
      <alignment vertical="top"/>
      <protection hidden="1"/>
    </xf>
    <xf numFmtId="165" fontId="2" fillId="0" borderId="0" xfId="0" applyNumberFormat="1" applyFont="1" applyProtection="1">
      <protection hidden="1"/>
    </xf>
    <xf numFmtId="165" fontId="31" fillId="0" borderId="0" xfId="0" applyNumberFormat="1" applyFont="1" applyProtection="1">
      <protection hidden="1"/>
    </xf>
    <xf numFmtId="165" fontId="6" fillId="0" borderId="0" xfId="2" applyNumberFormat="1" applyFont="1" applyFill="1" applyProtection="1">
      <protection hidden="1"/>
    </xf>
    <xf numFmtId="166" fontId="4" fillId="0" borderId="0" xfId="0" applyNumberFormat="1" applyFont="1" applyAlignment="1" applyProtection="1">
      <alignment vertical="top"/>
      <protection hidden="1"/>
    </xf>
    <xf numFmtId="165" fontId="28" fillId="0" borderId="0" xfId="0" applyNumberFormat="1" applyFont="1" applyProtection="1">
      <protection hidden="1"/>
    </xf>
    <xf numFmtId="44" fontId="10" fillId="0" borderId="0" xfId="2" applyFont="1" applyProtection="1">
      <protection hidden="1"/>
    </xf>
    <xf numFmtId="0" fontId="4" fillId="0" borderId="0" xfId="0" applyFont="1" applyProtection="1">
      <protection hidden="1"/>
    </xf>
    <xf numFmtId="165" fontId="35" fillId="0" borderId="0" xfId="0" applyNumberFormat="1" applyFont="1" applyAlignment="1" applyProtection="1">
      <alignment horizontal="left"/>
      <protection hidden="1"/>
    </xf>
    <xf numFmtId="165" fontId="42" fillId="0" borderId="0" xfId="0" applyNumberFormat="1" applyFont="1" applyAlignment="1" applyProtection="1">
      <alignment horizontal="left"/>
      <protection hidden="1"/>
    </xf>
    <xf numFmtId="165" fontId="8" fillId="0" borderId="0" xfId="0" applyNumberFormat="1" applyFont="1" applyProtection="1">
      <protection hidden="1"/>
    </xf>
    <xf numFmtId="165" fontId="8" fillId="0" borderId="0" xfId="2" applyNumberFormat="1" applyFont="1" applyProtection="1">
      <protection hidden="1"/>
    </xf>
    <xf numFmtId="165" fontId="8" fillId="0" borderId="0" xfId="0" applyNumberFormat="1" applyFont="1" applyAlignment="1" applyProtection="1">
      <alignment horizontal="left"/>
      <protection hidden="1"/>
    </xf>
    <xf numFmtId="165" fontId="32" fillId="7" borderId="0" xfId="0" applyNumberFormat="1" applyFont="1" applyFill="1" applyProtection="1">
      <protection hidden="1"/>
    </xf>
    <xf numFmtId="165" fontId="33" fillId="7" borderId="0" xfId="0" applyNumberFormat="1" applyFont="1" applyFill="1" applyProtection="1">
      <protection hidden="1"/>
    </xf>
    <xf numFmtId="165" fontId="33" fillId="7" borderId="0" xfId="2" applyNumberFormat="1" applyFont="1" applyFill="1" applyProtection="1">
      <protection hidden="1"/>
    </xf>
    <xf numFmtId="165" fontId="33" fillId="7" borderId="0" xfId="0" applyNumberFormat="1" applyFont="1" applyFill="1" applyAlignment="1" applyProtection="1">
      <alignment horizontal="left"/>
      <protection hidden="1"/>
    </xf>
    <xf numFmtId="0" fontId="6" fillId="0" borderId="0" xfId="0" applyFont="1" applyAlignment="1" applyProtection="1">
      <alignment horizontal="center" vertical="top" wrapText="1"/>
      <protection hidden="1"/>
    </xf>
    <xf numFmtId="165" fontId="28" fillId="0" borderId="0" xfId="0" applyNumberFormat="1" applyFont="1" applyAlignment="1" applyProtection="1">
      <alignment horizontal="left"/>
      <protection hidden="1"/>
    </xf>
    <xf numFmtId="165" fontId="34" fillId="0" borderId="0" xfId="0" applyNumberFormat="1" applyFont="1" applyProtection="1">
      <protection hidden="1"/>
    </xf>
    <xf numFmtId="165" fontId="4" fillId="0" borderId="0" xfId="2" applyNumberFormat="1" applyFont="1" applyFill="1" applyProtection="1">
      <protection hidden="1"/>
    </xf>
    <xf numFmtId="0" fontId="3" fillId="0" borderId="0" xfId="0" applyFont="1" applyAlignment="1" applyProtection="1">
      <alignment vertical="top"/>
      <protection hidden="1"/>
    </xf>
    <xf numFmtId="165" fontId="31" fillId="0" borderId="0" xfId="0" applyNumberFormat="1" applyFont="1" applyAlignment="1" applyProtection="1">
      <alignment vertical="top" wrapText="1"/>
      <protection hidden="1"/>
    </xf>
    <xf numFmtId="165" fontId="28" fillId="0" borderId="0" xfId="0" applyNumberFormat="1" applyFont="1" applyAlignment="1" applyProtection="1">
      <alignment wrapText="1"/>
      <protection hidden="1"/>
    </xf>
    <xf numFmtId="165" fontId="10" fillId="7" borderId="0" xfId="0" applyNumberFormat="1" applyFont="1" applyFill="1" applyProtection="1">
      <protection hidden="1"/>
    </xf>
    <xf numFmtId="165" fontId="30" fillId="7" borderId="0" xfId="0" applyNumberFormat="1" applyFont="1" applyFill="1" applyProtection="1">
      <protection hidden="1"/>
    </xf>
    <xf numFmtId="165" fontId="30" fillId="7" borderId="0" xfId="2" applyNumberFormat="1" applyFont="1" applyFill="1" applyProtection="1">
      <protection hidden="1"/>
    </xf>
    <xf numFmtId="165" fontId="30" fillId="7" borderId="0" xfId="0" applyNumberFormat="1" applyFont="1" applyFill="1" applyAlignment="1" applyProtection="1">
      <alignment horizontal="left"/>
      <protection hidden="1"/>
    </xf>
    <xf numFmtId="0" fontId="34" fillId="0" borderId="0" xfId="0" applyFont="1" applyAlignment="1" applyProtection="1">
      <alignment horizontal="left"/>
      <protection hidden="1"/>
    </xf>
    <xf numFmtId="165" fontId="30" fillId="0" borderId="0" xfId="2" applyNumberFormat="1" applyFont="1" applyFill="1" applyProtection="1">
      <protection hidden="1"/>
    </xf>
    <xf numFmtId="165" fontId="4" fillId="0" borderId="0" xfId="2" applyNumberFormat="1" applyFont="1" applyProtection="1">
      <protection hidden="1"/>
    </xf>
    <xf numFmtId="165" fontId="6" fillId="0" borderId="0" xfId="2" applyNumberFormat="1" applyFont="1" applyProtection="1">
      <protection hidden="1"/>
    </xf>
    <xf numFmtId="165" fontId="31" fillId="0" borderId="0" xfId="0" applyNumberFormat="1" applyFont="1" applyAlignment="1" applyProtection="1">
      <alignment horizontal="left"/>
      <protection hidden="1"/>
    </xf>
    <xf numFmtId="165" fontId="4" fillId="0" borderId="0" xfId="0" applyNumberFormat="1" applyFont="1" applyProtection="1">
      <protection hidden="1"/>
    </xf>
    <xf numFmtId="165" fontId="9" fillId="0" borderId="0" xfId="0" applyNumberFormat="1" applyFont="1" applyProtection="1">
      <protection hidden="1"/>
    </xf>
    <xf numFmtId="165" fontId="9" fillId="0" borderId="0" xfId="2" applyNumberFormat="1" applyFont="1" applyProtection="1">
      <protection hidden="1"/>
    </xf>
    <xf numFmtId="165" fontId="9" fillId="0" borderId="0" xfId="0" applyNumberFormat="1" applyFont="1" applyAlignment="1" applyProtection="1">
      <alignment horizontal="left"/>
      <protection hidden="1"/>
    </xf>
    <xf numFmtId="44" fontId="6" fillId="0" borderId="0" xfId="2" applyFont="1" applyProtection="1">
      <protection hidden="1"/>
    </xf>
    <xf numFmtId="165" fontId="6" fillId="0" borderId="0" xfId="2" applyNumberFormat="1" applyFont="1" applyAlignment="1" applyProtection="1">
      <alignment vertical="top"/>
      <protection hidden="1"/>
    </xf>
    <xf numFmtId="165" fontId="4" fillId="0" borderId="0" xfId="1" applyNumberFormat="1" applyFont="1" applyProtection="1">
      <protection hidden="1"/>
    </xf>
    <xf numFmtId="165" fontId="3" fillId="0" borderId="0" xfId="0" applyNumberFormat="1" applyFont="1" applyProtection="1">
      <protection hidden="1"/>
    </xf>
    <xf numFmtId="165" fontId="4" fillId="0" borderId="0" xfId="1" applyNumberFormat="1" applyFont="1" applyAlignment="1" applyProtection="1">
      <alignment vertical="top"/>
      <protection hidden="1"/>
    </xf>
    <xf numFmtId="0" fontId="32" fillId="7" borderId="0" xfId="0" applyFont="1" applyFill="1" applyAlignment="1" applyProtection="1">
      <alignment horizontal="left" vertical="center"/>
      <protection hidden="1"/>
    </xf>
    <xf numFmtId="165" fontId="32" fillId="7" borderId="0" xfId="0" applyNumberFormat="1" applyFont="1" applyFill="1" applyAlignment="1" applyProtection="1">
      <alignment vertical="center"/>
      <protection hidden="1"/>
    </xf>
    <xf numFmtId="165" fontId="33" fillId="7" borderId="0" xfId="0" applyNumberFormat="1" applyFont="1" applyFill="1" applyAlignment="1" applyProtection="1">
      <alignment vertical="center"/>
      <protection hidden="1"/>
    </xf>
    <xf numFmtId="165" fontId="33" fillId="7" borderId="0" xfId="2" applyNumberFormat="1" applyFont="1" applyFill="1" applyAlignment="1" applyProtection="1">
      <alignment vertical="center"/>
      <protection hidden="1"/>
    </xf>
    <xf numFmtId="165" fontId="33" fillId="7" borderId="0" xfId="0" applyNumberFormat="1" applyFont="1" applyFill="1" applyAlignment="1" applyProtection="1">
      <alignment horizontal="left" vertical="center"/>
      <protection hidden="1"/>
    </xf>
    <xf numFmtId="0" fontId="32" fillId="0" borderId="16" xfId="0" applyFont="1" applyBorder="1" applyAlignment="1" applyProtection="1">
      <alignment horizontal="left"/>
      <protection hidden="1"/>
    </xf>
    <xf numFmtId="165" fontId="32" fillId="0" borderId="18" xfId="0" applyNumberFormat="1" applyFont="1" applyBorder="1" applyProtection="1">
      <protection hidden="1"/>
    </xf>
    <xf numFmtId="165" fontId="33" fillId="0" borderId="18" xfId="0" applyNumberFormat="1" applyFont="1" applyBorder="1" applyProtection="1">
      <protection hidden="1"/>
    </xf>
    <xf numFmtId="165" fontId="33" fillId="0" borderId="18" xfId="2" applyNumberFormat="1" applyFont="1" applyFill="1" applyBorder="1" applyProtection="1">
      <protection hidden="1"/>
    </xf>
    <xf numFmtId="165" fontId="33" fillId="0" borderId="17" xfId="2" applyNumberFormat="1" applyFont="1" applyFill="1" applyBorder="1" applyProtection="1">
      <protection hidden="1"/>
    </xf>
    <xf numFmtId="0" fontId="0" fillId="0" borderId="0" xfId="0" applyProtection="1">
      <protection hidden="1"/>
    </xf>
    <xf numFmtId="0" fontId="7" fillId="0" borderId="0" xfId="0" applyFont="1" applyAlignment="1" applyProtection="1">
      <alignment horizontal="center" vertical="top"/>
      <protection hidden="1"/>
    </xf>
    <xf numFmtId="43" fontId="4" fillId="0" borderId="0" xfId="0" applyNumberFormat="1" applyFont="1" applyAlignment="1" applyProtection="1">
      <alignment vertical="top"/>
      <protection hidden="1"/>
    </xf>
    <xf numFmtId="166" fontId="4" fillId="7" borderId="0" xfId="0" applyNumberFormat="1" applyFont="1" applyFill="1" applyAlignment="1" applyProtection="1">
      <alignment vertical="top"/>
      <protection hidden="1"/>
    </xf>
    <xf numFmtId="44" fontId="4" fillId="0" borderId="0" xfId="0" applyNumberFormat="1" applyFont="1" applyAlignment="1" applyProtection="1">
      <alignment vertical="top"/>
      <protection hidden="1"/>
    </xf>
    <xf numFmtId="165" fontId="4" fillId="2" borderId="0" xfId="2" applyNumberFormat="1" applyFont="1" applyFill="1" applyProtection="1">
      <protection locked="0" hidden="1"/>
    </xf>
    <xf numFmtId="165" fontId="4" fillId="2" borderId="0" xfId="2" applyNumberFormat="1" applyFont="1" applyFill="1" applyAlignment="1" applyProtection="1">
      <protection locked="0" hidden="1"/>
    </xf>
    <xf numFmtId="165" fontId="4" fillId="2" borderId="0" xfId="0" applyNumberFormat="1" applyFont="1" applyFill="1" applyProtection="1">
      <protection locked="0" hidden="1"/>
    </xf>
    <xf numFmtId="165" fontId="3" fillId="2" borderId="0" xfId="2" applyNumberFormat="1" applyFont="1" applyFill="1" applyProtection="1">
      <protection locked="0" hidden="1"/>
    </xf>
    <xf numFmtId="0" fontId="2" fillId="0" borderId="0" xfId="0" applyFont="1" applyAlignment="1">
      <alignment vertical="top" wrapText="1"/>
    </xf>
    <xf numFmtId="0" fontId="2" fillId="0" borderId="0" xfId="0" applyFont="1" applyAlignment="1">
      <alignment horizontal="center"/>
    </xf>
    <xf numFmtId="0" fontId="6" fillId="0" borderId="0" xfId="0" applyFont="1" applyAlignment="1">
      <alignment horizontal="left" vertical="top" wrapText="1"/>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20" fillId="0" borderId="0" xfId="3" applyFont="1"/>
    <xf numFmtId="0" fontId="20" fillId="0" borderId="0" xfId="3" applyFont="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horizontal="center" vertical="top" wrapText="1"/>
    </xf>
    <xf numFmtId="0" fontId="22" fillId="0" borderId="0" xfId="3" applyFont="1" applyAlignment="1">
      <alignment vertical="top" wrapText="1"/>
    </xf>
    <xf numFmtId="0" fontId="22" fillId="0" borderId="0" xfId="3" applyFont="1" applyAlignment="1">
      <alignment horizontal="center" vertical="top"/>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vertical="top"/>
    </xf>
    <xf numFmtId="0" fontId="22" fillId="0" borderId="1" xfId="3" applyFont="1" applyBorder="1" applyAlignment="1">
      <alignment vertical="top"/>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43" fillId="0" borderId="0" xfId="3" applyFont="1" applyAlignment="1">
      <alignment horizontal="center"/>
    </xf>
    <xf numFmtId="0" fontId="24" fillId="0" borderId="0" xfId="3" applyFont="1" applyAlignment="1">
      <alignment vertical="top"/>
    </xf>
    <xf numFmtId="0" fontId="18" fillId="0" borderId="0" xfId="3" applyFont="1"/>
    <xf numFmtId="0" fontId="18" fillId="6" borderId="0" xfId="3" applyFont="1" applyFill="1"/>
    <xf numFmtId="0" fontId="1" fillId="6" borderId="0" xfId="3" applyFill="1"/>
    <xf numFmtId="0" fontId="1" fillId="6" borderId="0" xfId="3" applyFill="1" applyAlignment="1">
      <alignment horizontal="center"/>
    </xf>
    <xf numFmtId="38" fontId="14" fillId="3" borderId="0" xfId="0" applyNumberFormat="1" applyFont="1" applyFill="1" applyAlignment="1">
      <alignment horizontal="center" wrapText="1"/>
    </xf>
    <xf numFmtId="38" fontId="47" fillId="3" borderId="0" xfId="0" applyNumberFormat="1" applyFont="1" applyFill="1" applyAlignment="1">
      <alignment horizontal="center" wrapText="1"/>
    </xf>
    <xf numFmtId="38" fontId="47" fillId="3" borderId="0" xfId="0" applyNumberFormat="1" applyFont="1" applyFill="1" applyAlignment="1">
      <alignment horizontal="center"/>
    </xf>
    <xf numFmtId="0" fontId="48" fillId="3" borderId="0" xfId="0" applyFont="1" applyFill="1"/>
    <xf numFmtId="165" fontId="35" fillId="0" borderId="0" xfId="0" applyNumberFormat="1" applyFont="1" applyAlignment="1" applyProtection="1">
      <alignment horizontal="left"/>
      <protection hidden="1"/>
    </xf>
    <xf numFmtId="165" fontId="39" fillId="0" borderId="0" xfId="0" applyNumberFormat="1" applyFont="1" applyAlignment="1" applyProtection="1">
      <alignment horizontal="left" wrapText="1"/>
      <protection hidden="1"/>
    </xf>
    <xf numFmtId="165" fontId="34" fillId="0" borderId="14" xfId="0" applyNumberFormat="1" applyFont="1" applyBorder="1" applyAlignment="1" applyProtection="1">
      <alignment horizontal="left"/>
      <protection hidden="1"/>
    </xf>
    <xf numFmtId="165" fontId="34" fillId="0" borderId="0" xfId="0" applyNumberFormat="1" applyFont="1" applyAlignment="1" applyProtection="1">
      <alignment horizontal="left"/>
      <protection hidden="1"/>
    </xf>
    <xf numFmtId="0" fontId="34" fillId="0" borderId="14" xfId="0" applyFont="1" applyBorder="1" applyAlignment="1" applyProtection="1">
      <alignment horizontal="left"/>
      <protection hidden="1"/>
    </xf>
    <xf numFmtId="0" fontId="34" fillId="0" borderId="0" xfId="0" applyFont="1" applyAlignment="1" applyProtection="1">
      <alignment horizontal="left"/>
      <protection hidden="1"/>
    </xf>
    <xf numFmtId="165" fontId="3" fillId="0" borderId="0" xfId="0" applyNumberFormat="1" applyFont="1" applyAlignment="1" applyProtection="1">
      <alignment horizontal="left"/>
      <protection hidden="1"/>
    </xf>
    <xf numFmtId="165" fontId="34" fillId="0" borderId="14" xfId="0" applyNumberFormat="1" applyFont="1" applyBorder="1" applyProtection="1">
      <protection hidden="1"/>
    </xf>
    <xf numFmtId="165" fontId="34" fillId="0" borderId="0" xfId="0" applyNumberFormat="1" applyFont="1" applyProtection="1">
      <protection hidden="1"/>
    </xf>
    <xf numFmtId="0" fontId="2" fillId="0" borderId="0" xfId="0" applyFont="1" applyAlignment="1" applyProtection="1">
      <alignment horizontal="left" vertical="top"/>
      <protection hidden="1"/>
    </xf>
    <xf numFmtId="164" fontId="6" fillId="0" borderId="0" xfId="0" quotePrefix="1" applyNumberFormat="1" applyFont="1" applyAlignment="1" applyProtection="1">
      <alignment horizontal="left" vertical="top"/>
      <protection hidden="1"/>
    </xf>
    <xf numFmtId="164" fontId="6" fillId="2" borderId="0" xfId="0" quotePrefix="1" applyNumberFormat="1" applyFont="1" applyFill="1" applyAlignment="1" applyProtection="1">
      <alignment horizontal="left" vertical="top"/>
      <protection locked="0" hidden="1"/>
    </xf>
    <xf numFmtId="0" fontId="32" fillId="7" borderId="0" xfId="0" applyFont="1" applyFill="1" applyAlignment="1" applyProtection="1">
      <alignment horizontal="left"/>
      <protection hidden="1"/>
    </xf>
    <xf numFmtId="0" fontId="6" fillId="2" borderId="0" xfId="0" applyFont="1" applyFill="1" applyAlignment="1" applyProtection="1">
      <alignment horizontal="left" vertical="top"/>
      <protection locked="0" hidden="1"/>
    </xf>
    <xf numFmtId="0" fontId="36" fillId="0" borderId="0" xfId="0" applyFont="1" applyAlignment="1" applyProtection="1">
      <alignment horizontal="center" vertical="top" wrapText="1"/>
      <protection hidden="1"/>
    </xf>
    <xf numFmtId="0" fontId="38" fillId="0" borderId="0" xfId="0" applyFont="1" applyAlignment="1" applyProtection="1">
      <alignment horizontal="left" vertical="center" wrapText="1"/>
      <protection hidden="1"/>
    </xf>
    <xf numFmtId="49" fontId="6" fillId="2" borderId="0" xfId="1" applyNumberFormat="1" applyFont="1" applyFill="1" applyBorder="1" applyAlignment="1" applyProtection="1">
      <alignment horizontal="left"/>
      <protection locked="0" hidden="1"/>
    </xf>
    <xf numFmtId="0" fontId="6" fillId="0" borderId="0" xfId="0" applyFont="1" applyAlignment="1" applyProtection="1">
      <alignment horizontal="left" vertical="top"/>
      <protection hidden="1"/>
    </xf>
    <xf numFmtId="0" fontId="38" fillId="0" borderId="16" xfId="0" applyFont="1" applyBorder="1" applyAlignment="1" applyProtection="1">
      <alignment horizontal="center" vertical="top"/>
      <protection hidden="1"/>
    </xf>
    <xf numFmtId="0" fontId="38" fillId="0" borderId="17" xfId="0" applyFont="1" applyBorder="1" applyAlignment="1" applyProtection="1">
      <alignment horizontal="center" vertical="top"/>
      <protection hidden="1"/>
    </xf>
    <xf numFmtId="0" fontId="11" fillId="0" borderId="0" xfId="0" applyFont="1" applyAlignment="1">
      <alignment horizontal="center" wrapText="1"/>
    </xf>
    <xf numFmtId="0" fontId="11" fillId="0" borderId="0" xfId="0" applyFont="1" applyAlignment="1">
      <alignment horizontal="center"/>
    </xf>
    <xf numFmtId="0" fontId="3" fillId="0" borderId="0" xfId="0" applyFont="1" applyAlignment="1">
      <alignment horizontal="left"/>
    </xf>
    <xf numFmtId="164" fontId="3" fillId="0" borderId="0" xfId="0" applyNumberFormat="1" applyFont="1" applyAlignment="1">
      <alignment horizontal="left"/>
    </xf>
    <xf numFmtId="0" fontId="4" fillId="0" borderId="0" xfId="0" applyFont="1" applyAlignment="1">
      <alignment horizontal="left" vertical="top" wrapText="1"/>
    </xf>
    <xf numFmtId="0" fontId="4" fillId="0" borderId="1" xfId="0" applyFont="1" applyBorder="1" applyAlignment="1">
      <alignment horizontal="left" vertical="top" wrapText="1"/>
    </xf>
    <xf numFmtId="0" fontId="4" fillId="0" borderId="0" xfId="0" applyFont="1" applyAlignment="1">
      <alignment horizontal="center" vertical="center" wrapText="1"/>
    </xf>
    <xf numFmtId="0" fontId="6" fillId="2" borderId="0" xfId="0" applyFont="1" applyFill="1" applyAlignment="1" applyProtection="1">
      <alignment horizontal="left"/>
      <protection locked="0"/>
    </xf>
    <xf numFmtId="0" fontId="3" fillId="0" borderId="0" xfId="0" applyFont="1" applyAlignment="1">
      <alignment horizontal="left" vertical="top" wrapText="1"/>
    </xf>
    <xf numFmtId="0" fontId="46" fillId="0" borderId="0" xfId="0" applyFont="1" applyAlignment="1">
      <alignment horizontal="left" vertical="top" wrapText="1"/>
    </xf>
    <xf numFmtId="0" fontId="3" fillId="0" borderId="0" xfId="0" applyFont="1" applyAlignment="1">
      <alignment horizontal="center" vertical="top" wrapText="1"/>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22" fillId="0" borderId="0" xfId="3" applyFont="1" applyAlignment="1">
      <alignment horizontal="left" vertical="top"/>
    </xf>
    <xf numFmtId="0" fontId="19" fillId="5" borderId="0" xfId="3" applyFont="1" applyFill="1" applyAlignment="1">
      <alignment horizontal="left"/>
    </xf>
    <xf numFmtId="0" fontId="18" fillId="6" borderId="0" xfId="3" applyFont="1" applyFill="1" applyAlignment="1">
      <alignment horizontal="left"/>
    </xf>
    <xf numFmtId="0" fontId="26" fillId="2" borderId="0" xfId="3" applyFont="1" applyFill="1" applyAlignment="1">
      <alignment horizontal="left" vertical="top" wrapText="1"/>
    </xf>
    <xf numFmtId="0" fontId="22" fillId="0" borderId="13" xfId="3" applyFont="1" applyBorder="1" applyAlignment="1">
      <alignment horizontal="left" vertical="top"/>
    </xf>
    <xf numFmtId="0" fontId="22" fillId="0" borderId="13" xfId="3" applyFont="1" applyBorder="1" applyAlignment="1">
      <alignment horizontal="center" vertical="top" wrapText="1"/>
    </xf>
    <xf numFmtId="0" fontId="22" fillId="0" borderId="13" xfId="3" applyFont="1" applyBorder="1" applyAlignment="1">
      <alignment horizontal="center" vertical="top"/>
    </xf>
    <xf numFmtId="0" fontId="21" fillId="0" borderId="0" xfId="3" applyFont="1" applyAlignment="1">
      <alignment horizontal="left" vertical="top" wrapText="1"/>
    </xf>
    <xf numFmtId="0" fontId="22" fillId="0" borderId="19" xfId="3" applyFont="1" applyBorder="1" applyAlignment="1">
      <alignment horizontal="center" vertical="top" wrapText="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b/>
        <i val="0"/>
        <color rgb="FF006100"/>
      </font>
      <fill>
        <patternFill>
          <bgColor rgb="FFC6EFCE"/>
        </patternFill>
      </fill>
    </dxf>
    <dxf>
      <font>
        <b/>
        <i val="0"/>
        <color rgb="FFFF0000"/>
      </font>
      <fill>
        <patternFill>
          <fgColor rgb="FFFF0000"/>
          <bgColor theme="5" tint="0.39994506668294322"/>
        </patternFill>
      </fill>
    </dxf>
  </dxfs>
  <tableStyles count="0" defaultTableStyle="TableStyleMedium2" defaultPivotStyle="PivotStyleLight16"/>
  <colors>
    <mruColors>
      <color rgb="FFFA8A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 val="GASB67_Exhibits"/>
      <sheetName val="Deferred_Amounts_Exhibits"/>
      <sheetName val="GASB68_Exhibits"/>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 sheetId="28"/>
      <sheetData sheetId="29"/>
      <sheetData sheetId="3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XFC115"/>
  <sheetViews>
    <sheetView tabSelected="1" zoomScale="70" zoomScaleNormal="70" workbookViewId="0">
      <selection activeCell="K38" sqref="K38"/>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89" t="s">
        <v>1602</v>
      </c>
      <c r="B1" s="189"/>
      <c r="C1" s="189"/>
      <c r="D1" s="189"/>
      <c r="E1" s="189"/>
      <c r="F1" s="189"/>
      <c r="G1" s="189"/>
      <c r="H1" s="189"/>
      <c r="I1" s="189"/>
      <c r="J1" s="189"/>
      <c r="K1" s="189"/>
      <c r="L1" s="26"/>
      <c r="M1" s="26"/>
      <c r="N1" s="26"/>
      <c r="O1" s="26"/>
      <c r="P1" s="26"/>
      <c r="Q1" s="26"/>
      <c r="R1" s="26"/>
      <c r="S1" s="26"/>
      <c r="T1" s="26"/>
    </row>
    <row r="2" spans="1:25" ht="18" x14ac:dyDescent="0.25">
      <c r="A2" s="190" t="s">
        <v>1564</v>
      </c>
      <c r="B2" s="190"/>
      <c r="C2" s="190"/>
      <c r="D2" s="190"/>
      <c r="E2" s="190"/>
      <c r="F2" s="190"/>
      <c r="G2" s="190"/>
      <c r="H2" s="190"/>
      <c r="I2" s="190"/>
      <c r="J2" s="190"/>
      <c r="K2" s="190"/>
      <c r="L2" s="28"/>
      <c r="M2" s="28"/>
      <c r="N2" s="28"/>
      <c r="O2" s="28"/>
      <c r="P2" s="28"/>
      <c r="Q2" s="28"/>
      <c r="R2" s="28"/>
      <c r="S2" s="28"/>
      <c r="T2" s="28"/>
    </row>
    <row r="3" spans="1:25" ht="15.75" x14ac:dyDescent="0.25">
      <c r="A3" s="184" t="s">
        <v>0</v>
      </c>
      <c r="B3" s="184"/>
      <c r="C3" s="184"/>
      <c r="D3" s="184"/>
      <c r="E3" s="184"/>
      <c r="F3" s="188" t="s">
        <v>16</v>
      </c>
      <c r="G3" s="188"/>
      <c r="H3" s="188"/>
      <c r="I3" s="188"/>
    </row>
    <row r="4" spans="1:25" ht="15.75" x14ac:dyDescent="0.25">
      <c r="A4" s="184" t="s">
        <v>1580</v>
      </c>
      <c r="B4" s="184"/>
      <c r="C4" s="184"/>
      <c r="D4" s="184"/>
      <c r="E4" s="184"/>
      <c r="F4" s="188" t="s">
        <v>1655</v>
      </c>
      <c r="G4" s="188"/>
      <c r="H4" s="188"/>
      <c r="I4" s="188"/>
    </row>
    <row r="5" spans="1:25" ht="15.75" x14ac:dyDescent="0.2">
      <c r="A5" s="184" t="s">
        <v>1596</v>
      </c>
      <c r="B5" s="184"/>
      <c r="C5" s="184"/>
      <c r="D5" s="184"/>
      <c r="E5" s="184"/>
      <c r="F5" s="191" t="s">
        <v>762</v>
      </c>
      <c r="G5" s="191"/>
      <c r="H5" s="191"/>
      <c r="I5" s="191"/>
      <c r="J5" s="30"/>
      <c r="K5" s="30"/>
      <c r="L5" s="31"/>
      <c r="M5" s="31"/>
      <c r="N5" s="31"/>
      <c r="O5" s="31"/>
      <c r="P5" s="31"/>
      <c r="Q5" s="31"/>
      <c r="R5" s="31"/>
      <c r="S5" s="31"/>
      <c r="T5" s="31"/>
      <c r="U5" s="31"/>
      <c r="V5" s="31"/>
    </row>
    <row r="6" spans="1:25" ht="15.75" x14ac:dyDescent="0.2">
      <c r="A6" s="184" t="s">
        <v>1</v>
      </c>
      <c r="B6" s="184"/>
      <c r="C6" s="184"/>
      <c r="D6" s="184"/>
      <c r="E6" s="184"/>
      <c r="F6" s="186" t="s">
        <v>1656</v>
      </c>
      <c r="G6" s="186"/>
      <c r="H6" s="186"/>
      <c r="I6" s="186"/>
      <c r="L6" s="32"/>
      <c r="M6" s="32"/>
      <c r="N6" s="32"/>
      <c r="O6" s="32"/>
      <c r="P6" s="32"/>
      <c r="Q6" s="32"/>
      <c r="R6" s="32"/>
      <c r="S6" s="32"/>
      <c r="T6" s="32"/>
      <c r="U6" s="31"/>
      <c r="V6" s="31"/>
      <c r="X6" s="18"/>
    </row>
    <row r="7" spans="1:25" ht="15.75" x14ac:dyDescent="0.2">
      <c r="A7" s="184" t="s">
        <v>1568</v>
      </c>
      <c r="B7" s="184"/>
      <c r="C7" s="184"/>
      <c r="D7" s="184"/>
      <c r="E7" s="184"/>
      <c r="F7" s="188" t="s">
        <v>1565</v>
      </c>
      <c r="G7" s="188"/>
      <c r="H7" s="188"/>
      <c r="I7" s="188"/>
      <c r="L7" s="32"/>
      <c r="M7" s="32"/>
      <c r="N7" s="32"/>
      <c r="O7" s="32"/>
      <c r="P7" s="32"/>
      <c r="Q7" s="32"/>
      <c r="R7" s="32"/>
      <c r="S7" s="32"/>
      <c r="T7" s="32"/>
      <c r="U7" s="31"/>
      <c r="V7" s="31"/>
      <c r="X7" s="18"/>
    </row>
    <row r="8" spans="1:25" ht="15.75" x14ac:dyDescent="0.2">
      <c r="A8" s="184" t="s">
        <v>2</v>
      </c>
      <c r="B8" s="184"/>
      <c r="C8" s="184"/>
      <c r="D8" s="184"/>
      <c r="E8" s="184"/>
      <c r="F8" s="185" t="str">
        <f>IF(OR($F$7='Drop Down Menus'!B2,$F$7='Drop Down Menus'!$B$3),'Drop Down Menus'!$D$9,IFERROR(VLOOKUP($F$5,GAAP02Aindex!$A$2:$D$900,4,FALSE),"Unidentified"))</f>
        <v>HEALTH AND HUMAN SERVICES</v>
      </c>
      <c r="G8" s="185"/>
      <c r="H8" s="185"/>
      <c r="I8" s="185"/>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7" t="str">
        <f>IF($F$3="2022–2023","Establish Beginning Balances (SBITAs commenced on or before 07/01/2022)","Establish Beginning Balances (existing SBITAs only)")</f>
        <v>Establish Beginning Balances (existing SBITAs only)</v>
      </c>
      <c r="B12" s="187"/>
      <c r="C12" s="187"/>
      <c r="D12" s="187"/>
      <c r="E12" s="187"/>
      <c r="F12" s="187"/>
      <c r="G12" s="187"/>
      <c r="H12" s="187"/>
      <c r="I12" s="187"/>
      <c r="J12" s="187"/>
      <c r="K12" s="187"/>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78" t="str">
        <f>IF($F$3="2022–2023","To establish the beginning balance of SBITAs as of 07/01/2022.","Roll forward prior year right-to-use SBITAs to record opening balances.")</f>
        <v>Roll forward prior year right-to-use SBITAs to record opening balances.</v>
      </c>
      <c r="C14" s="178"/>
      <c r="D14" s="178"/>
      <c r="E14" s="178"/>
      <c r="F14" s="178"/>
      <c r="G14" s="178"/>
      <c r="H14" s="178"/>
      <c r="I14" s="178"/>
      <c r="J14" s="178"/>
      <c r="K14" s="178"/>
      <c r="L14" s="37"/>
      <c r="M14" s="193" t="s">
        <v>1648</v>
      </c>
      <c r="N14" s="194"/>
      <c r="O14" s="37"/>
      <c r="P14" s="193" t="s">
        <v>1632</v>
      </c>
      <c r="Q14" s="194"/>
      <c r="R14" s="39"/>
      <c r="S14" s="40" t="s">
        <v>1633</v>
      </c>
    </row>
    <row r="15" spans="1:25" ht="16.5" customHeight="1" x14ac:dyDescent="0.2">
      <c r="B15" s="181" t="s">
        <v>1574</v>
      </c>
      <c r="C15" s="181"/>
      <c r="D15" s="181"/>
      <c r="E15" s="181"/>
      <c r="F15" s="181"/>
      <c r="G15" s="181"/>
      <c r="H15" s="181"/>
      <c r="I15" s="181"/>
      <c r="J15" s="41">
        <f>ROUND(M15,0)</f>
        <v>1577862</v>
      </c>
      <c r="K15" s="42"/>
      <c r="M15" s="105">
        <v>1577862</v>
      </c>
      <c r="P15" s="105">
        <v>1577863</v>
      </c>
      <c r="S15" s="43">
        <f>M15-P15</f>
        <v>-1</v>
      </c>
      <c r="T15" s="44" t="s">
        <v>1634</v>
      </c>
    </row>
    <row r="16" spans="1:25" ht="16.5" customHeight="1" x14ac:dyDescent="0.2">
      <c r="A16" s="45"/>
      <c r="B16" s="181" t="s">
        <v>1582</v>
      </c>
      <c r="C16" s="181"/>
      <c r="D16" s="181"/>
      <c r="E16" s="181"/>
      <c r="F16" s="181"/>
      <c r="G16" s="181"/>
      <c r="H16" s="181"/>
      <c r="I16" s="181"/>
      <c r="J16" s="41">
        <f>ROUND(P16,0)</f>
        <v>33436</v>
      </c>
      <c r="K16" s="42"/>
      <c r="M16" s="105">
        <v>33436</v>
      </c>
      <c r="P16" s="46">
        <f>IF(SUM($Q$18:$Q$19)&gt;$P$15,SUM($Q$18:$Q$19)-$P$15,0)</f>
        <v>33436</v>
      </c>
      <c r="S16" s="43">
        <f>M16-P16</f>
        <v>0</v>
      </c>
      <c r="T16" s="47" t="s">
        <v>1635</v>
      </c>
    </row>
    <row r="17" spans="1:25" ht="16.5" customHeight="1" x14ac:dyDescent="0.2">
      <c r="A17" s="45"/>
      <c r="B17" s="181" t="s">
        <v>1583</v>
      </c>
      <c r="C17" s="181"/>
      <c r="D17" s="181"/>
      <c r="E17" s="181"/>
      <c r="F17" s="181"/>
      <c r="G17" s="181"/>
      <c r="H17" s="181"/>
      <c r="I17" s="181"/>
      <c r="J17" s="41">
        <f>ROUND(IF(SUM($K$18:$K$20)&gt;SUM($J$15:$J$16),SUM($K$18:$K$20)-SUM($J$15:$J$16),0),0)</f>
        <v>1</v>
      </c>
      <c r="K17" s="42"/>
      <c r="M17" s="105"/>
      <c r="P17" s="48"/>
      <c r="S17" s="43">
        <f>M17-P17</f>
        <v>0</v>
      </c>
      <c r="T17" s="47" t="s">
        <v>1635</v>
      </c>
    </row>
    <row r="18" spans="1:25" ht="16.5" customHeight="1" x14ac:dyDescent="0.2">
      <c r="A18" s="45"/>
      <c r="B18" s="20"/>
      <c r="C18" s="181" t="s">
        <v>1581</v>
      </c>
      <c r="D18" s="181"/>
      <c r="E18" s="181"/>
      <c r="F18" s="181"/>
      <c r="G18" s="181"/>
      <c r="H18" s="181"/>
      <c r="I18" s="181"/>
      <c r="J18" s="42"/>
      <c r="K18" s="41">
        <f>ROUND(N18,0)</f>
        <v>1077820</v>
      </c>
      <c r="N18" s="105">
        <v>1077820</v>
      </c>
      <c r="Q18" s="105">
        <v>1077820</v>
      </c>
      <c r="S18" s="43">
        <f>N18-Q18</f>
        <v>0</v>
      </c>
      <c r="T18" s="47" t="s">
        <v>1635</v>
      </c>
    </row>
    <row r="19" spans="1:25" ht="16.5" customHeight="1" x14ac:dyDescent="0.25">
      <c r="A19" s="45"/>
      <c r="B19" s="49"/>
      <c r="C19" s="181" t="s">
        <v>1618</v>
      </c>
      <c r="D19" s="181"/>
      <c r="E19" s="181"/>
      <c r="F19" s="181"/>
      <c r="G19" s="181"/>
      <c r="H19" s="181"/>
      <c r="I19" s="181"/>
      <c r="J19" s="42"/>
      <c r="K19" s="41">
        <f>ROUND(N19,0)</f>
        <v>533479</v>
      </c>
      <c r="N19" s="105">
        <v>533479</v>
      </c>
      <c r="Q19" s="105">
        <v>533479</v>
      </c>
      <c r="S19" s="43">
        <f>N19-Q19</f>
        <v>0</v>
      </c>
      <c r="T19" s="47" t="s">
        <v>1635</v>
      </c>
      <c r="X19" s="18"/>
    </row>
    <row r="20" spans="1:25" ht="16.5" customHeight="1" x14ac:dyDescent="0.25">
      <c r="A20" s="45"/>
      <c r="B20" s="49"/>
      <c r="C20" s="181" t="s">
        <v>1584</v>
      </c>
      <c r="D20" s="181"/>
      <c r="E20" s="181"/>
      <c r="F20" s="181"/>
      <c r="G20" s="181"/>
      <c r="H20" s="181"/>
      <c r="I20" s="181"/>
      <c r="K20" s="41">
        <f>ROUND(Q20,0)</f>
        <v>0</v>
      </c>
      <c r="N20" s="105"/>
      <c r="Q20" s="46">
        <f>IF(SUM($Q$18:$Q$19)&lt;$P$15,-SUM($Q$18:$Q$19)+$P$15,0)</f>
        <v>0</v>
      </c>
      <c r="S20" s="43">
        <f>N20-Q20</f>
        <v>0</v>
      </c>
      <c r="T20" s="47" t="s">
        <v>1635</v>
      </c>
      <c r="Y20" s="19"/>
    </row>
    <row r="21" spans="1:25" ht="16.5" customHeight="1" x14ac:dyDescent="0.25">
      <c r="A21" s="45"/>
      <c r="B21" s="49"/>
      <c r="C21" s="181" t="s">
        <v>1585</v>
      </c>
      <c r="D21" s="181"/>
      <c r="E21" s="181"/>
      <c r="F21" s="181"/>
      <c r="G21" s="181"/>
      <c r="H21" s="181"/>
      <c r="I21" s="181"/>
      <c r="J21" s="42"/>
      <c r="K21" s="41">
        <f>ROUND(IF(SUM($K$18:$K$20)&lt;SUM($J$15:$J$16),-SUM($K$18:$K$20)+SUM($J$15:$J$16),0),0)</f>
        <v>0</v>
      </c>
      <c r="N21" s="105"/>
      <c r="S21" s="43">
        <f>N21-Q21</f>
        <v>0</v>
      </c>
      <c r="T21" s="47" t="s">
        <v>1635</v>
      </c>
      <c r="Y21" s="19"/>
    </row>
    <row r="22" spans="1:25" ht="16.5" customHeight="1" x14ac:dyDescent="0.2">
      <c r="A22" s="45"/>
      <c r="B22" s="50"/>
      <c r="C22" s="50"/>
      <c r="D22" s="50"/>
      <c r="E22" s="50"/>
      <c r="F22" s="50"/>
      <c r="G22" s="50"/>
      <c r="H22" s="50"/>
      <c r="I22" s="50"/>
      <c r="J22" s="51">
        <f>ROUND(SUM(J15:J17),0)</f>
        <v>1611299</v>
      </c>
      <c r="K22" s="51">
        <f>ROUND(SUM(K18:K21),0)</f>
        <v>1611299</v>
      </c>
      <c r="L22" s="192" t="str">
        <f>IF(J22=K22,"&lt;- Debits and Credits equal each other.","&lt;- Debits and Credits do not equal each other.")</f>
        <v>&lt;- Debits and Credits equal each other.</v>
      </c>
      <c r="M22" s="192"/>
      <c r="N22" s="192"/>
      <c r="O22" s="192"/>
      <c r="P22" s="192"/>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75" t="s">
        <v>1599</v>
      </c>
      <c r="C24" s="175"/>
      <c r="D24" s="175"/>
      <c r="E24" s="175"/>
      <c r="F24" s="175"/>
      <c r="G24" s="175"/>
      <c r="H24" s="175"/>
      <c r="I24" s="175"/>
      <c r="J24" s="175"/>
      <c r="K24" s="175"/>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77" t="s">
        <v>1600</v>
      </c>
      <c r="C27" s="178"/>
      <c r="D27" s="178"/>
      <c r="E27" s="178"/>
      <c r="F27" s="178"/>
      <c r="G27" s="178"/>
      <c r="H27" s="178"/>
      <c r="I27" s="178"/>
      <c r="J27" s="178"/>
      <c r="K27" s="178"/>
      <c r="L27" s="37"/>
      <c r="M27" s="37"/>
      <c r="N27" s="37"/>
      <c r="O27" s="37"/>
      <c r="P27" s="37"/>
      <c r="Q27" s="37"/>
      <c r="R27" s="37"/>
      <c r="S27" s="37"/>
      <c r="T27" s="37"/>
    </row>
    <row r="28" spans="1:25" ht="16.5" customHeight="1" x14ac:dyDescent="0.2">
      <c r="A28" s="45"/>
      <c r="B28" s="181" t="s">
        <v>1571</v>
      </c>
      <c r="C28" s="181"/>
      <c r="D28" s="181"/>
      <c r="E28" s="181"/>
      <c r="F28" s="181"/>
      <c r="G28" s="181"/>
      <c r="H28" s="181"/>
      <c r="I28" s="181"/>
      <c r="J28" s="105">
        <v>207379</v>
      </c>
      <c r="K28" s="42"/>
      <c r="L28" s="37"/>
      <c r="M28" s="37"/>
      <c r="N28" s="37"/>
      <c r="O28" s="37"/>
      <c r="P28" s="37"/>
      <c r="Q28" s="37"/>
      <c r="R28" s="37"/>
      <c r="S28" s="37"/>
      <c r="T28" s="37"/>
    </row>
    <row r="29" spans="1:25" ht="16.5" customHeight="1" x14ac:dyDescent="0.25">
      <c r="A29" s="45"/>
      <c r="B29" s="49"/>
      <c r="C29" s="181" t="s">
        <v>1572</v>
      </c>
      <c r="D29" s="181"/>
      <c r="E29" s="181"/>
      <c r="F29" s="181"/>
      <c r="G29" s="181"/>
      <c r="H29" s="181"/>
      <c r="I29" s="181"/>
      <c r="J29" s="42"/>
      <c r="K29" s="105">
        <v>207379</v>
      </c>
      <c r="L29" s="37"/>
      <c r="M29" s="37"/>
      <c r="N29" s="37"/>
      <c r="O29" s="37"/>
      <c r="P29" s="37"/>
      <c r="Q29" s="37"/>
      <c r="R29" s="37"/>
      <c r="S29" s="37"/>
      <c r="T29" s="37"/>
    </row>
    <row r="30" spans="1:25" ht="16.5" customHeight="1" x14ac:dyDescent="0.25">
      <c r="A30" s="45"/>
      <c r="B30" s="49"/>
      <c r="C30" s="181" t="str">
        <f>VLOOKUP($F$8,'Drop Down Menus'!$D$2:$G$10,4,FALSE)</f>
        <v>Cr: Acct 0815 - HLTH&amp;HUM SV SV.LAB(GAAP ADJ)</v>
      </c>
      <c r="D30" s="181"/>
      <c r="E30" s="181"/>
      <c r="F30" s="181"/>
      <c r="G30" s="181"/>
      <c r="H30" s="181"/>
      <c r="I30" s="181"/>
      <c r="J30" s="42"/>
      <c r="K30" s="105"/>
    </row>
    <row r="31" spans="1:25" ht="16.5" customHeight="1" x14ac:dyDescent="0.2">
      <c r="A31" s="65"/>
      <c r="B31" s="50"/>
      <c r="C31" s="50"/>
      <c r="D31" s="50"/>
      <c r="E31" s="50"/>
      <c r="F31" s="50"/>
      <c r="G31" s="50"/>
      <c r="H31" s="50"/>
      <c r="I31" s="50"/>
      <c r="J31" s="51">
        <f>ROUND(SUM(J28:J30),2)</f>
        <v>207379</v>
      </c>
      <c r="K31" s="51">
        <f>ROUND(SUM(K28:K30),2)</f>
        <v>207379</v>
      </c>
      <c r="L31" s="192" t="str">
        <f>IF(J31=K31,"&lt;- Debits and Credits equal each other.","&lt;- Debits and Credits do not equal each other.")</f>
        <v>&lt;- Debits and Credits equal each other.</v>
      </c>
      <c r="M31" s="192"/>
      <c r="N31" s="192"/>
      <c r="O31" s="192"/>
      <c r="P31" s="192"/>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82" t="s">
        <v>1601</v>
      </c>
      <c r="C33" s="183"/>
      <c r="D33" s="183"/>
      <c r="E33" s="183"/>
      <c r="F33" s="183"/>
      <c r="G33" s="183"/>
      <c r="H33" s="183"/>
      <c r="I33" s="183"/>
      <c r="J33" s="183"/>
      <c r="K33" s="183"/>
      <c r="L33" s="37"/>
      <c r="M33" s="37"/>
      <c r="N33" s="37"/>
      <c r="O33" s="37"/>
      <c r="P33" s="37"/>
      <c r="Q33" s="37"/>
      <c r="R33" s="37"/>
      <c r="S33" s="37"/>
      <c r="T33" s="37"/>
    </row>
    <row r="34" spans="1:20" ht="16.5" customHeight="1" x14ac:dyDescent="0.3">
      <c r="A34" s="65"/>
      <c r="B34" s="181" t="s">
        <v>1574</v>
      </c>
      <c r="C34" s="181"/>
      <c r="D34" s="181"/>
      <c r="E34" s="181"/>
      <c r="F34" s="181"/>
      <c r="G34" s="181"/>
      <c r="H34" s="181"/>
      <c r="I34" s="181"/>
      <c r="J34" s="105">
        <v>207379</v>
      </c>
      <c r="K34" s="67"/>
      <c r="L34" s="37"/>
      <c r="M34" s="37"/>
      <c r="N34" s="37"/>
      <c r="O34" s="37"/>
      <c r="P34" s="37"/>
      <c r="Q34" s="37"/>
      <c r="R34" s="37"/>
      <c r="S34" s="37"/>
      <c r="T34" s="37"/>
    </row>
    <row r="35" spans="1:20" ht="16.5" customHeight="1" x14ac:dyDescent="0.2">
      <c r="B35" s="181" t="s">
        <v>1573</v>
      </c>
      <c r="C35" s="181"/>
      <c r="D35" s="181"/>
      <c r="E35" s="181"/>
      <c r="F35" s="181"/>
      <c r="G35" s="181"/>
      <c r="H35" s="181"/>
      <c r="I35" s="181"/>
      <c r="J35" s="105">
        <v>207379</v>
      </c>
      <c r="K35" s="68"/>
    </row>
    <row r="36" spans="1:20" ht="16.5" customHeight="1" x14ac:dyDescent="0.2">
      <c r="A36" s="45"/>
      <c r="B36" s="69"/>
      <c r="C36" s="181" t="s">
        <v>1575</v>
      </c>
      <c r="D36" s="181"/>
      <c r="E36" s="181"/>
      <c r="F36" s="181"/>
      <c r="G36" s="181"/>
      <c r="H36" s="181"/>
      <c r="I36" s="181"/>
      <c r="J36" s="68"/>
      <c r="K36" s="105">
        <v>207379</v>
      </c>
    </row>
    <row r="37" spans="1:20" ht="16.5" customHeight="1" x14ac:dyDescent="0.2">
      <c r="A37" s="45"/>
      <c r="C37" s="181" t="s">
        <v>1618</v>
      </c>
      <c r="D37" s="181"/>
      <c r="E37" s="181"/>
      <c r="F37" s="181"/>
      <c r="G37" s="181"/>
      <c r="H37" s="181"/>
      <c r="I37" s="181"/>
      <c r="J37" s="68"/>
      <c r="K37" s="105">
        <v>207379</v>
      </c>
    </row>
    <row r="38" spans="1:20" ht="16.5" customHeight="1" x14ac:dyDescent="0.25">
      <c r="A38" s="45"/>
      <c r="B38" s="49"/>
      <c r="C38" s="181" t="str">
        <f>VLOOKUP($F$8,'Drop Down Menus'!$D$2:$G$10,4,FALSE)</f>
        <v>Cr: Acct 0815 - HLTH&amp;HUM SV SV.LAB(GAAP ADJ)</v>
      </c>
      <c r="D38" s="181"/>
      <c r="E38" s="181"/>
      <c r="F38" s="181"/>
      <c r="G38" s="181"/>
      <c r="H38" s="181"/>
      <c r="I38" s="181"/>
      <c r="J38" s="68"/>
      <c r="K38" s="105"/>
    </row>
    <row r="39" spans="1:20" ht="16.5" customHeight="1" x14ac:dyDescent="0.2">
      <c r="A39" s="45"/>
      <c r="B39" s="70"/>
      <c r="C39" s="70"/>
      <c r="D39" s="70"/>
      <c r="E39" s="70"/>
      <c r="F39" s="70"/>
      <c r="G39" s="70"/>
      <c r="H39" s="70"/>
      <c r="I39" s="70"/>
      <c r="J39" s="51">
        <f>ROUND(SUM(J34:J35),2)</f>
        <v>414758</v>
      </c>
      <c r="K39" s="51">
        <f>ROUND(SUM(K36:K38),2)</f>
        <v>414758</v>
      </c>
      <c r="L39" s="192" t="str">
        <f>IF(J39=K39,"&lt;- Debits and Credits equal each other.","&lt;- Debits and Credits do not equal each other.")</f>
        <v>&lt;- Debits and Credits equal each other.</v>
      </c>
      <c r="M39" s="192"/>
      <c r="N39" s="192"/>
      <c r="O39" s="192"/>
      <c r="P39" s="192"/>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75" t="s">
        <v>1603</v>
      </c>
      <c r="C41" s="175"/>
      <c r="D41" s="175"/>
      <c r="E41" s="175"/>
      <c r="F41" s="175"/>
      <c r="G41" s="175"/>
      <c r="H41" s="175"/>
      <c r="I41" s="175"/>
      <c r="J41" s="175"/>
      <c r="K41" s="175"/>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81" t="s">
        <v>1576</v>
      </c>
      <c r="C45" s="181"/>
      <c r="D45" s="181"/>
      <c r="E45" s="181"/>
      <c r="F45" s="181"/>
      <c r="G45" s="181"/>
      <c r="H45" s="181"/>
      <c r="I45" s="181"/>
      <c r="J45" s="105">
        <v>347009</v>
      </c>
      <c r="K45" s="78"/>
    </row>
    <row r="46" spans="1:20" ht="16.5" customHeight="1" x14ac:dyDescent="0.2">
      <c r="A46" s="45"/>
      <c r="B46" s="69"/>
      <c r="C46" s="181" t="s">
        <v>1581</v>
      </c>
      <c r="D46" s="181"/>
      <c r="E46" s="181"/>
      <c r="F46" s="181"/>
      <c r="G46" s="181"/>
      <c r="H46" s="181"/>
      <c r="I46" s="181"/>
      <c r="J46" s="68"/>
      <c r="K46" s="105">
        <f>J45</f>
        <v>347009</v>
      </c>
    </row>
    <row r="47" spans="1:20" ht="16.5" customHeight="1" x14ac:dyDescent="0.2">
      <c r="A47" s="65"/>
      <c r="B47" s="50"/>
      <c r="C47" s="50"/>
      <c r="D47" s="50"/>
      <c r="E47" s="50"/>
      <c r="F47" s="50"/>
      <c r="G47" s="50"/>
      <c r="H47" s="50"/>
      <c r="I47" s="50"/>
      <c r="J47" s="79">
        <f>ROUND(SUM(J45:J45),2)</f>
        <v>347009</v>
      </c>
      <c r="K47" s="79">
        <f>ROUND(SUM(K46),2)</f>
        <v>347009</v>
      </c>
      <c r="L47" s="192" t="str">
        <f>IF(J47=K47,"&lt;- Debits and Credits equal each other.","&lt;- Debits and Credits do not equal each other.")</f>
        <v>&lt;- Debits and Credits equal each other.</v>
      </c>
      <c r="M47" s="192"/>
      <c r="N47" s="192"/>
      <c r="O47" s="192"/>
      <c r="P47" s="192"/>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81" t="s">
        <v>1605</v>
      </c>
      <c r="C50" s="181"/>
      <c r="D50" s="181"/>
      <c r="E50" s="181"/>
      <c r="F50" s="181"/>
      <c r="G50" s="181"/>
      <c r="H50" s="181"/>
      <c r="I50" s="181"/>
      <c r="J50" s="106">
        <v>339395</v>
      </c>
      <c r="K50" s="81"/>
      <c r="L50" s="27" t="str">
        <f>IF($J$50=$K$57,"","&lt;- Accts 0848 must agree")</f>
        <v/>
      </c>
    </row>
    <row r="51" spans="1:20" ht="16.5" customHeight="1" x14ac:dyDescent="0.2">
      <c r="A51" s="45"/>
      <c r="B51" s="181" t="str">
        <f>IF(OR($F$7="Proprietary - Internal Service Fund",$F$7="Proprietary - Enterprise Fund"),"Dr: Acct 0894 - INTEREST EXPENSE AND FISCAL CHARGES","Dr: Acct 0851 - DEBT SERVICE - INTEREST LEASES")</f>
        <v>Dr: Acct 0851 - DEBT SERVICE - INTEREST LEASES</v>
      </c>
      <c r="C51" s="181"/>
      <c r="D51" s="181"/>
      <c r="E51" s="181"/>
      <c r="F51" s="181"/>
      <c r="G51" s="181"/>
      <c r="H51" s="181"/>
      <c r="I51" s="181"/>
      <c r="J51" s="106">
        <v>5383</v>
      </c>
      <c r="K51" s="81"/>
    </row>
    <row r="52" spans="1:20" ht="16.5" customHeight="1" x14ac:dyDescent="0.25">
      <c r="A52" s="45"/>
      <c r="B52" s="49"/>
      <c r="C52" s="181" t="str">
        <f>VLOOKUP($F$8,'Drop Down Menus'!$D$2:$G$10,4,FALSE)</f>
        <v>Cr: Acct 0815 - HLTH&amp;HUM SV SV.LAB(GAAP ADJ)</v>
      </c>
      <c r="D52" s="181"/>
      <c r="E52" s="181"/>
      <c r="F52" s="181"/>
      <c r="G52" s="181"/>
      <c r="H52" s="181"/>
      <c r="I52" s="181"/>
      <c r="J52" s="81"/>
      <c r="K52" s="107">
        <f>+J50+J51</f>
        <v>344778</v>
      </c>
    </row>
    <row r="53" spans="1:20" ht="16.5" customHeight="1" x14ac:dyDescent="0.2">
      <c r="A53" s="65"/>
      <c r="B53" s="50"/>
      <c r="C53" s="50"/>
      <c r="D53" s="50"/>
      <c r="E53" s="50"/>
      <c r="F53" s="50"/>
      <c r="G53" s="50"/>
      <c r="H53" s="50"/>
      <c r="I53" s="50"/>
      <c r="J53" s="79">
        <f>ROUND(SUM(J50:J51),2)</f>
        <v>344778</v>
      </c>
      <c r="K53" s="79">
        <f>ROUND(SUM(K52,),2)</f>
        <v>344778</v>
      </c>
      <c r="L53" s="192" t="str">
        <f>IF(J53=K53,"&lt;- Debits and Credits equal each other.","&lt;- Debits and Credits do not equal each other.")</f>
        <v>&lt;- Debits and Credits equal each other.</v>
      </c>
      <c r="M53" s="192"/>
      <c r="N53" s="192"/>
      <c r="O53" s="192"/>
      <c r="P53" s="192"/>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81" t="s">
        <v>1619</v>
      </c>
      <c r="C56" s="181"/>
      <c r="D56" s="181"/>
      <c r="E56" s="181"/>
      <c r="F56" s="181"/>
      <c r="G56" s="181"/>
      <c r="H56" s="181"/>
      <c r="I56" s="181"/>
      <c r="J56" s="105">
        <f>K57</f>
        <v>339395</v>
      </c>
      <c r="K56" s="68"/>
    </row>
    <row r="57" spans="1:20" ht="16.5" customHeight="1" x14ac:dyDescent="0.25">
      <c r="A57" s="45"/>
      <c r="B57" s="49"/>
      <c r="C57" s="181" t="s">
        <v>1607</v>
      </c>
      <c r="D57" s="181"/>
      <c r="E57" s="181"/>
      <c r="F57" s="181"/>
      <c r="G57" s="181"/>
      <c r="H57" s="181"/>
      <c r="I57" s="181"/>
      <c r="J57" s="68"/>
      <c r="K57" s="105">
        <f>J50</f>
        <v>339395</v>
      </c>
      <c r="L57" s="27" t="str">
        <f>IF($J$50=$K$57,"","&lt;- Accts 0848 must agree")</f>
        <v/>
      </c>
    </row>
    <row r="58" spans="1:20" ht="16.5" customHeight="1" x14ac:dyDescent="0.2">
      <c r="A58" s="65"/>
      <c r="B58" s="50"/>
      <c r="C58" s="50"/>
      <c r="D58" s="50"/>
      <c r="E58" s="50"/>
      <c r="F58" s="50"/>
      <c r="G58" s="50"/>
      <c r="H58" s="50"/>
      <c r="I58" s="50"/>
      <c r="J58" s="79">
        <f>ROUND(SUM(J56:J56),2)</f>
        <v>339395</v>
      </c>
      <c r="K58" s="79">
        <f>ROUND(SUM(K57),2)</f>
        <v>339395</v>
      </c>
      <c r="L58" s="192" t="str">
        <f>IF(J58=K58,"&lt;- Debits and Credits equal each other.","&lt;- Debits and Credits do not equal each other.")</f>
        <v>&lt;- Debits and Credits equal each other.</v>
      </c>
      <c r="M58" s="192"/>
      <c r="N58" s="192"/>
      <c r="O58" s="192"/>
      <c r="P58" s="192"/>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81" t="s">
        <v>1619</v>
      </c>
      <c r="C61" s="181"/>
      <c r="D61" s="181"/>
      <c r="E61" s="181"/>
      <c r="F61" s="181"/>
      <c r="G61" s="181"/>
      <c r="H61" s="181"/>
      <c r="I61" s="181"/>
      <c r="J61" s="108">
        <v>194084</v>
      </c>
      <c r="K61" s="78"/>
    </row>
    <row r="62" spans="1:20" ht="16.5" customHeight="1" x14ac:dyDescent="0.25">
      <c r="A62" s="45"/>
      <c r="B62" s="49"/>
      <c r="C62" s="181" t="s">
        <v>1616</v>
      </c>
      <c r="D62" s="181"/>
      <c r="E62" s="181"/>
      <c r="F62" s="181"/>
      <c r="G62" s="181"/>
      <c r="H62" s="181"/>
      <c r="I62" s="181"/>
      <c r="J62" s="78"/>
      <c r="K62" s="105">
        <f>J61</f>
        <v>194084</v>
      </c>
    </row>
    <row r="63" spans="1:20" ht="16.5" customHeight="1" x14ac:dyDescent="0.2">
      <c r="A63" s="45"/>
      <c r="B63" s="176" t="s">
        <v>1615</v>
      </c>
      <c r="C63" s="176"/>
      <c r="D63" s="176"/>
      <c r="E63" s="176"/>
      <c r="F63" s="176"/>
      <c r="G63" s="176"/>
      <c r="H63" s="176"/>
      <c r="I63" s="176"/>
      <c r="J63" s="79">
        <f>ROUND(SUM(J61:J61),2)</f>
        <v>194084</v>
      </c>
      <c r="K63" s="79">
        <f>ROUND(SUM(K62),2)</f>
        <v>194084</v>
      </c>
      <c r="L63" s="192" t="str">
        <f>IF(J63=K63,"&lt;- Debits and Credits equal each other.","&lt;- Debits and Credits do not equal each other.")</f>
        <v>&lt;- Debits and Credits equal each other.</v>
      </c>
      <c r="M63" s="192"/>
      <c r="N63" s="192"/>
      <c r="O63" s="192"/>
      <c r="P63" s="192"/>
      <c r="Q63" s="37"/>
      <c r="R63" s="37"/>
      <c r="S63" s="37"/>
      <c r="T63" s="37"/>
    </row>
    <row r="64" spans="1:20" ht="16.5" customHeight="1" x14ac:dyDescent="0.2">
      <c r="A64" s="45"/>
      <c r="B64" s="176"/>
      <c r="C64" s="176"/>
      <c r="D64" s="176"/>
      <c r="E64" s="176"/>
      <c r="F64" s="176"/>
      <c r="G64" s="176"/>
      <c r="H64" s="176"/>
      <c r="I64" s="176"/>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81" t="s">
        <v>1588</v>
      </c>
      <c r="C68" s="181"/>
      <c r="D68" s="181"/>
      <c r="E68" s="181"/>
      <c r="F68" s="181"/>
      <c r="G68" s="181"/>
      <c r="H68" s="181"/>
      <c r="I68" s="181"/>
      <c r="J68" s="108"/>
      <c r="K68" s="87"/>
      <c r="L68" s="37"/>
      <c r="M68" s="37"/>
      <c r="N68" s="37"/>
      <c r="O68" s="37"/>
      <c r="P68" s="37"/>
      <c r="Q68" s="37"/>
      <c r="R68" s="37"/>
      <c r="S68" s="37"/>
      <c r="T68" s="37"/>
    </row>
    <row r="69" spans="1:20" ht="16.5" customHeight="1" x14ac:dyDescent="0.2">
      <c r="A69" s="45"/>
      <c r="B69" s="88"/>
      <c r="C69" s="181" t="s">
        <v>1589</v>
      </c>
      <c r="D69" s="181"/>
      <c r="E69" s="181"/>
      <c r="F69" s="181"/>
      <c r="G69" s="181"/>
      <c r="H69" s="181"/>
      <c r="I69" s="181"/>
      <c r="J69" s="89"/>
      <c r="K69" s="108"/>
    </row>
    <row r="70" spans="1:20" ht="16.5" customHeight="1" x14ac:dyDescent="0.2">
      <c r="B70" s="50"/>
      <c r="H70" s="27"/>
      <c r="J70" s="51">
        <f>SUM(J68)</f>
        <v>0</v>
      </c>
      <c r="K70" s="51">
        <f>SUM(K69)</f>
        <v>0</v>
      </c>
      <c r="L70" s="192" t="str">
        <f>IF(J70=K70,"&lt;- Debits and Credits equal each other.","&lt;- Debits and Credits do not equal each other.")</f>
        <v>&lt;- Debits and Credits equal each other.</v>
      </c>
      <c r="M70" s="192"/>
      <c r="N70" s="192"/>
      <c r="O70" s="192"/>
      <c r="P70" s="192"/>
      <c r="Q70" s="37"/>
      <c r="R70" s="37"/>
      <c r="S70" s="37"/>
      <c r="T70" s="37"/>
    </row>
    <row r="71" spans="1:20" ht="16.5" customHeight="1" x14ac:dyDescent="0.2">
      <c r="B71" s="66"/>
      <c r="H71" s="27"/>
    </row>
    <row r="72" spans="1:20" ht="16.5" customHeight="1" x14ac:dyDescent="0.25">
      <c r="A72" s="45"/>
      <c r="B72" s="175" t="s">
        <v>1604</v>
      </c>
      <c r="C72" s="175"/>
      <c r="D72" s="175"/>
      <c r="E72" s="175"/>
      <c r="F72" s="175"/>
      <c r="G72" s="175"/>
      <c r="H72" s="175"/>
      <c r="I72" s="175"/>
      <c r="J72" s="175"/>
      <c r="K72" s="175"/>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79" t="s">
        <v>1606</v>
      </c>
      <c r="C75" s="180"/>
      <c r="D75" s="180"/>
      <c r="E75" s="180"/>
      <c r="F75" s="180"/>
      <c r="G75" s="180"/>
      <c r="H75" s="180"/>
      <c r="I75" s="180"/>
      <c r="J75" s="180"/>
      <c r="K75" s="180"/>
      <c r="L75" s="37"/>
      <c r="M75" s="37"/>
      <c r="N75" s="37"/>
      <c r="O75" s="37"/>
      <c r="P75" s="37"/>
      <c r="Q75" s="37"/>
      <c r="R75" s="37"/>
      <c r="S75" s="37"/>
      <c r="T75" s="37"/>
    </row>
    <row r="76" spans="1:20" ht="16.5" customHeight="1" x14ac:dyDescent="0.2">
      <c r="B76" s="181" t="s">
        <v>1619</v>
      </c>
      <c r="C76" s="181"/>
      <c r="D76" s="181"/>
      <c r="E76" s="181"/>
      <c r="F76" s="181"/>
      <c r="G76" s="181"/>
      <c r="H76" s="181"/>
      <c r="I76" s="181"/>
      <c r="J76" s="108">
        <v>207379</v>
      </c>
      <c r="K76" s="48"/>
    </row>
    <row r="77" spans="1:20" ht="16.5" customHeight="1" x14ac:dyDescent="0.2">
      <c r="B77" s="181" t="s">
        <v>1588</v>
      </c>
      <c r="C77" s="181"/>
      <c r="D77" s="181"/>
      <c r="E77" s="181"/>
      <c r="F77" s="181"/>
      <c r="G77" s="181"/>
      <c r="H77" s="181"/>
      <c r="I77" s="181"/>
      <c r="J77" s="108"/>
      <c r="K77" s="48"/>
    </row>
    <row r="78" spans="1:20" ht="16.5" customHeight="1" x14ac:dyDescent="0.2">
      <c r="B78" s="181" t="str">
        <f>VLOOKUP($F$8,'Drop Down Menus'!$D$2:$G$10,3,FALSE)</f>
        <v>Dr: Acct 0815 - HLTH&amp;HUM SV SV.LAB(GAAP ADJ)</v>
      </c>
      <c r="C78" s="181"/>
      <c r="D78" s="181"/>
      <c r="E78" s="181"/>
      <c r="F78" s="181"/>
      <c r="G78" s="181"/>
      <c r="H78" s="181"/>
      <c r="I78" s="181"/>
      <c r="J78" s="108"/>
      <c r="K78" s="48"/>
    </row>
    <row r="79" spans="1:20" ht="16.5" customHeight="1" x14ac:dyDescent="0.2">
      <c r="C79" s="181" t="s">
        <v>1589</v>
      </c>
      <c r="D79" s="181"/>
      <c r="E79" s="181"/>
      <c r="F79" s="181"/>
      <c r="G79" s="181"/>
      <c r="H79" s="181"/>
      <c r="I79" s="181"/>
      <c r="J79" s="48"/>
      <c r="K79" s="108">
        <v>207379</v>
      </c>
    </row>
    <row r="80" spans="1:20" ht="16.5" customHeight="1" x14ac:dyDescent="0.2">
      <c r="C80" s="181" t="str">
        <f>VLOOKUP($F$8,'Drop Down Menus'!$D$2:$G$10,4,FALSE)</f>
        <v>Cr: Acct 0815 - HLTH&amp;HUM SV SV.LAB(GAAP ADJ)</v>
      </c>
      <c r="D80" s="181"/>
      <c r="E80" s="181"/>
      <c r="F80" s="181"/>
      <c r="G80" s="181"/>
      <c r="H80" s="181"/>
      <c r="I80" s="181"/>
      <c r="J80" s="48"/>
      <c r="K80" s="108"/>
    </row>
    <row r="81" spans="1:20" ht="16.5" customHeight="1" x14ac:dyDescent="0.2">
      <c r="B81" s="53"/>
      <c r="H81" s="27"/>
      <c r="J81" s="51">
        <f>ROUND(SUM(J76:J78),2)</f>
        <v>207379</v>
      </c>
      <c r="K81" s="51">
        <f>ROUND(SUM(K79:K80),2)</f>
        <v>207379</v>
      </c>
      <c r="L81" s="192" t="str">
        <f>IF(J81=K81,"&lt;- Debits and Credits equal each other.","&lt;- Debits and Credits do not equal each other.")</f>
        <v>&lt;- Debits and Credits equal each other.</v>
      </c>
      <c r="M81" s="192"/>
      <c r="N81" s="192"/>
      <c r="O81" s="192"/>
      <c r="P81" s="192"/>
      <c r="Q81" s="37"/>
      <c r="R81" s="37"/>
      <c r="S81" s="37"/>
      <c r="T81" s="37"/>
    </row>
    <row r="82" spans="1:20" ht="16.5" customHeight="1" x14ac:dyDescent="0.25">
      <c r="H82" s="27"/>
    </row>
    <row r="83" spans="1:20" ht="16.5" customHeight="1" x14ac:dyDescent="0.3">
      <c r="A83" s="38">
        <v>9</v>
      </c>
      <c r="B83" s="177" t="s">
        <v>1608</v>
      </c>
      <c r="C83" s="178"/>
      <c r="D83" s="178"/>
      <c r="E83" s="178"/>
      <c r="F83" s="178"/>
      <c r="G83" s="178"/>
      <c r="H83" s="178"/>
      <c r="I83" s="178"/>
      <c r="J83" s="178"/>
      <c r="K83" s="178"/>
    </row>
    <row r="84" spans="1:20" ht="16.5" customHeight="1" x14ac:dyDescent="0.2">
      <c r="B84" s="181" t="s">
        <v>1574</v>
      </c>
      <c r="C84" s="181"/>
      <c r="D84" s="181"/>
      <c r="E84" s="181"/>
      <c r="F84" s="181"/>
      <c r="G84" s="181"/>
      <c r="H84" s="181"/>
      <c r="I84" s="181"/>
      <c r="J84" s="108"/>
      <c r="K84" s="48"/>
    </row>
    <row r="85" spans="1:20" ht="16.5" customHeight="1" x14ac:dyDescent="0.2">
      <c r="C85" s="181" t="s">
        <v>1618</v>
      </c>
      <c r="D85" s="181"/>
      <c r="E85" s="181"/>
      <c r="F85" s="181"/>
      <c r="G85" s="181"/>
      <c r="H85" s="181"/>
      <c r="I85" s="181"/>
      <c r="J85" s="48"/>
      <c r="K85" s="108"/>
    </row>
    <row r="86" spans="1:20" ht="16.5" customHeight="1" x14ac:dyDescent="0.2">
      <c r="H86" s="27"/>
      <c r="J86" s="51">
        <f>SUM(J84)</f>
        <v>0</v>
      </c>
      <c r="K86" s="51">
        <f>SUM(K85)</f>
        <v>0</v>
      </c>
      <c r="L86" s="192" t="str">
        <f>IF(J86=K86,"&lt;- Debits and Credits equal each other.","&lt;- Debits and Credits do not equal each other.")</f>
        <v>&lt;- Debits and Credits equal each other.</v>
      </c>
      <c r="M86" s="192"/>
      <c r="N86" s="192"/>
      <c r="O86" s="192"/>
      <c r="P86" s="192"/>
      <c r="Q86" s="37"/>
      <c r="R86" s="37"/>
      <c r="S86" s="37"/>
      <c r="T86" s="37"/>
    </row>
    <row r="87" spans="1:20" ht="16.5" customHeight="1" x14ac:dyDescent="0.25">
      <c r="H87" s="27"/>
    </row>
    <row r="88" spans="1:20" ht="16.5" customHeight="1" x14ac:dyDescent="0.25">
      <c r="B88" s="175" t="s">
        <v>1613</v>
      </c>
      <c r="C88" s="175"/>
      <c r="D88" s="175"/>
      <c r="E88" s="175"/>
      <c r="F88" s="175"/>
      <c r="G88" s="175"/>
      <c r="H88" s="175"/>
      <c r="I88" s="175"/>
      <c r="J88" s="175"/>
      <c r="K88" s="175"/>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1577862</v>
      </c>
      <c r="N94" s="104"/>
    </row>
    <row r="95" spans="1:20" ht="16.5" customHeight="1" x14ac:dyDescent="0.25">
      <c r="D95" s="49" t="s">
        <v>1631</v>
      </c>
      <c r="E95" s="100"/>
      <c r="F95" s="100"/>
      <c r="G95" s="100"/>
      <c r="H95" s="27"/>
      <c r="I95" s="100"/>
      <c r="J95" s="100"/>
      <c r="K95" s="103">
        <f>-K18-K46+J68+J77</f>
        <v>-1424829</v>
      </c>
      <c r="N95" s="102"/>
    </row>
    <row r="96" spans="1:20" ht="16.5" customHeight="1" x14ac:dyDescent="0.25">
      <c r="D96" s="49" t="s">
        <v>1629</v>
      </c>
      <c r="E96" s="100"/>
      <c r="F96" s="100"/>
      <c r="G96" s="100"/>
      <c r="H96" s="27"/>
      <c r="I96" s="100"/>
      <c r="J96" s="100"/>
      <c r="K96" s="103">
        <f>-K19-K37+J56+J61+J76-K85</f>
        <v>0</v>
      </c>
    </row>
    <row r="97" spans="1:11" ht="16.5" customHeight="1" x14ac:dyDescent="0.25">
      <c r="D97" s="49" t="s">
        <v>1630</v>
      </c>
      <c r="E97" s="100"/>
      <c r="F97" s="100"/>
      <c r="G97" s="100"/>
      <c r="H97" s="27"/>
      <c r="I97" s="100"/>
      <c r="J97" s="100"/>
      <c r="K97" s="103">
        <f>-K62</f>
        <v>-194084</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SIB2HdVU+GO8T8L/VmQlNeX5gPwMMCmwBsBLcMVRmPwx+Fpnst/Z0Dv84/NO1QC0fdGRagp7zrmWvxkqf0AQ3Q==" saltValue="vTGY5olHZD9tc8wbRjpw5Q==" spinCount="100000" sheet="1" formatColumns="0" formatRows="0"/>
  <mergeCells count="70">
    <mergeCell ref="L53:P53"/>
    <mergeCell ref="L58:P58"/>
    <mergeCell ref="L63:P63"/>
    <mergeCell ref="M14:N14"/>
    <mergeCell ref="L70:P70"/>
    <mergeCell ref="P14:Q14"/>
    <mergeCell ref="L31:P31"/>
    <mergeCell ref="L22:P22"/>
    <mergeCell ref="L39:P39"/>
    <mergeCell ref="L47:P47"/>
    <mergeCell ref="L81:P81"/>
    <mergeCell ref="L86:P86"/>
    <mergeCell ref="B68:I68"/>
    <mergeCell ref="C69:I69"/>
    <mergeCell ref="C62:I62"/>
    <mergeCell ref="A1:K1"/>
    <mergeCell ref="A2:K2"/>
    <mergeCell ref="F3:I3"/>
    <mergeCell ref="A3:E3"/>
    <mergeCell ref="F5:I5"/>
    <mergeCell ref="F4:I4"/>
    <mergeCell ref="A4:E4"/>
    <mergeCell ref="A5:E5"/>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7:E7"/>
    <mergeCell ref="F8:I8"/>
    <mergeCell ref="A8:E8"/>
    <mergeCell ref="B14:K14"/>
    <mergeCell ref="B28:I28"/>
    <mergeCell ref="C18:I18"/>
    <mergeCell ref="C29:I29"/>
    <mergeCell ref="C30:I30"/>
    <mergeCell ref="B34:I34"/>
    <mergeCell ref="B33:K33"/>
    <mergeCell ref="B72:K72"/>
    <mergeCell ref="B41:K41"/>
    <mergeCell ref="B45:I45"/>
    <mergeCell ref="C46:I46"/>
    <mergeCell ref="B61:I61"/>
    <mergeCell ref="C52:I52"/>
    <mergeCell ref="B51:I51"/>
    <mergeCell ref="B50:I50"/>
    <mergeCell ref="C57:I57"/>
    <mergeCell ref="B56:I56"/>
    <mergeCell ref="B88:K88"/>
    <mergeCell ref="B63:I64"/>
    <mergeCell ref="B83:K83"/>
    <mergeCell ref="B75:K75"/>
    <mergeCell ref="C80:I80"/>
    <mergeCell ref="C85:I85"/>
    <mergeCell ref="B84:I84"/>
    <mergeCell ref="C79:I79"/>
    <mergeCell ref="B78:I78"/>
    <mergeCell ref="B77:I77"/>
    <mergeCell ref="B76:I76"/>
  </mergeCells>
  <conditionalFormatting sqref="L50:O50 L57:O57">
    <cfRule type="expression" dxfId="22"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1" priority="3" operator="equal">
      <formula>"&lt;- Debits and Credits do not equal each other."</formula>
    </cfRule>
  </conditionalFormatting>
  <dataValidations count="5">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 type="whole" operator="greaterThanOrEqual" allowBlank="1" showErrorMessage="1" errorTitle="Whole Numbers Only" error="Enter amounts as whole numbers only." promptTitle="Whole Numbers" prompt="Enter whole numbers only." sqref="J15:J17 K18:K21" xr:uid="{F1950C24-4A20-497F-A407-5448695BC545}">
      <formula1>0</formula1>
    </dataValidation>
    <dataValidation type="whole" operator="greaterThanOrEqual" allowBlank="1" showInputMessage="1" showErrorMessage="1" sqref="M15:M17 N18:N21 P15 Q18:Q19 J28 K85 K29:K30 J34:J35 J45 K46 J50:J51 K52 J56 K57 J61 K62 J68 K69 J76:J78 K79:K80 J84 K36:K38" xr:uid="{C7D0750E-0B05-45B3-8A73-5354F7AB2EAC}">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zoomScale="80" zoomScaleNormal="80" workbookViewId="0">
      <selection activeCell="C17" sqref="C17"/>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201" t="s">
        <v>1611</v>
      </c>
      <c r="B1" s="201"/>
      <c r="C1" s="201"/>
      <c r="D1" s="201"/>
    </row>
    <row r="2" spans="1:11" ht="21.75" customHeight="1" x14ac:dyDescent="0.2">
      <c r="A2" s="201"/>
      <c r="B2" s="201"/>
      <c r="C2" s="201"/>
      <c r="D2" s="201"/>
      <c r="E2" s="109"/>
      <c r="F2" s="109"/>
      <c r="G2" s="109"/>
      <c r="H2" s="109"/>
      <c r="I2" s="109"/>
      <c r="J2" s="109"/>
    </row>
    <row r="3" spans="1:11" ht="45" customHeight="1" x14ac:dyDescent="0.25">
      <c r="A3" s="204" t="s">
        <v>1609</v>
      </c>
      <c r="B3" s="204"/>
      <c r="C3" s="204"/>
      <c r="D3" s="204"/>
      <c r="E3" s="110"/>
      <c r="F3" s="110"/>
      <c r="G3" s="110"/>
      <c r="H3" s="110"/>
      <c r="I3" s="110"/>
      <c r="J3" s="110"/>
      <c r="K3" s="110"/>
    </row>
    <row r="4" spans="1:11" ht="15.75" customHeight="1" x14ac:dyDescent="0.25">
      <c r="A4" s="205" t="s">
        <v>1610</v>
      </c>
      <c r="B4" s="205"/>
      <c r="C4" s="205"/>
      <c r="D4" s="205"/>
      <c r="E4" s="110"/>
      <c r="F4" s="110"/>
      <c r="G4" s="110"/>
      <c r="H4" s="110"/>
      <c r="I4" s="110"/>
      <c r="J4" s="110"/>
      <c r="K4" s="110"/>
    </row>
    <row r="5" spans="1:11" ht="15.75" customHeight="1" x14ac:dyDescent="0.25">
      <c r="A5" s="203" t="s">
        <v>4</v>
      </c>
      <c r="B5" s="203"/>
      <c r="C5" s="203"/>
      <c r="D5" s="111"/>
      <c r="E5" s="110"/>
      <c r="F5" s="110"/>
      <c r="G5" s="110"/>
      <c r="H5" s="110"/>
      <c r="I5" s="110"/>
      <c r="J5" s="110"/>
      <c r="K5" s="110"/>
    </row>
    <row r="6" spans="1:11" ht="15.75" customHeight="1" x14ac:dyDescent="0.25">
      <c r="A6" s="203"/>
      <c r="B6" s="203"/>
      <c r="C6" s="203"/>
      <c r="D6" s="111"/>
      <c r="E6" s="110"/>
      <c r="F6" s="110"/>
      <c r="G6" s="110"/>
      <c r="H6" s="110"/>
      <c r="I6" s="110"/>
      <c r="J6" s="110"/>
      <c r="K6" s="110"/>
    </row>
    <row r="7" spans="1:11" ht="15.75" customHeight="1" x14ac:dyDescent="0.25">
      <c r="A7" s="203" t="s">
        <v>5</v>
      </c>
      <c r="B7" s="203"/>
      <c r="C7" s="203"/>
      <c r="D7" s="111"/>
      <c r="E7" s="110"/>
      <c r="F7" s="110"/>
      <c r="G7" s="110"/>
      <c r="H7" s="110"/>
      <c r="I7" s="110"/>
      <c r="J7" s="110"/>
      <c r="K7" s="110"/>
    </row>
    <row r="8" spans="1:11" ht="15.75" customHeight="1" x14ac:dyDescent="0.25">
      <c r="A8" s="203"/>
      <c r="B8" s="203"/>
      <c r="C8" s="203"/>
      <c r="D8" s="111"/>
      <c r="E8" s="110"/>
      <c r="F8" s="110"/>
      <c r="G8" s="110"/>
      <c r="H8" s="110"/>
      <c r="I8" s="110"/>
      <c r="J8" s="110"/>
      <c r="K8" s="110"/>
    </row>
    <row r="9" spans="1:11" ht="15.75" x14ac:dyDescent="0.25">
      <c r="A9" s="111"/>
      <c r="B9" s="111"/>
      <c r="C9" s="111"/>
      <c r="D9" s="111"/>
      <c r="E9" s="110"/>
      <c r="F9" s="110"/>
      <c r="G9" s="110"/>
      <c r="H9" s="110"/>
      <c r="I9" s="110"/>
      <c r="J9" s="110"/>
      <c r="K9" s="110"/>
    </row>
    <row r="10" spans="1:11" ht="15.75" x14ac:dyDescent="0.25">
      <c r="A10" s="112" t="s">
        <v>1593</v>
      </c>
      <c r="B10" s="110"/>
      <c r="C10" s="110"/>
      <c r="D10" s="110"/>
      <c r="E10" s="110"/>
      <c r="F10" s="110"/>
      <c r="G10" s="110"/>
      <c r="H10" s="110"/>
      <c r="I10" s="110"/>
      <c r="J10" s="110"/>
      <c r="K10" s="110"/>
    </row>
    <row r="11" spans="1:11" ht="15.75" x14ac:dyDescent="0.25">
      <c r="A11" s="113" t="s">
        <v>8</v>
      </c>
      <c r="B11" s="206" t="s">
        <v>16</v>
      </c>
      <c r="C11" s="206"/>
    </row>
    <row r="12" spans="1:11" ht="15" customHeight="1" x14ac:dyDescent="0.25">
      <c r="A12" s="113" t="s">
        <v>1595</v>
      </c>
      <c r="B12" s="207">
        <v>4300</v>
      </c>
      <c r="C12" s="207"/>
    </row>
    <row r="13" spans="1:11" ht="15.75" x14ac:dyDescent="0.25">
      <c r="A13" s="113" t="s">
        <v>1594</v>
      </c>
      <c r="B13" s="202" t="s">
        <v>1655</v>
      </c>
      <c r="C13" s="202"/>
      <c r="E13" s="114"/>
      <c r="F13" s="114"/>
      <c r="G13" s="114"/>
      <c r="H13" s="114"/>
      <c r="I13" s="114"/>
      <c r="J13" s="114"/>
      <c r="K13" s="114"/>
    </row>
    <row r="14" spans="1:11" ht="32.25" customHeight="1" x14ac:dyDescent="0.2">
      <c r="A14" s="195" t="s">
        <v>1647</v>
      </c>
      <c r="B14" s="196"/>
      <c r="C14" s="196"/>
      <c r="E14" s="114"/>
      <c r="F14" s="114"/>
      <c r="G14" s="114"/>
      <c r="H14" s="114"/>
      <c r="I14" s="114"/>
      <c r="J14" s="114"/>
      <c r="K14" s="114"/>
    </row>
    <row r="15" spans="1:11" ht="15" customHeight="1" x14ac:dyDescent="0.25">
      <c r="A15" s="115"/>
      <c r="B15" s="115" t="s">
        <v>6</v>
      </c>
      <c r="C15" s="115" t="s">
        <v>7</v>
      </c>
      <c r="D15" s="116" t="str">
        <f>"All of the below questions are for Fiscal Year "&amp;$B$11&amp;":"</f>
        <v>All of the below questions are for Fiscal Year 2023–2024:</v>
      </c>
    </row>
    <row r="16" spans="1:11" ht="15" customHeight="1" x14ac:dyDescent="0.2">
      <c r="A16" s="115" t="str">
        <f>RIGHT(B11,4)&amp;"–"&amp;RIGHT(B11,4)+1</f>
        <v>2024–2025</v>
      </c>
      <c r="B16" s="2">
        <v>194084</v>
      </c>
      <c r="C16" s="2">
        <v>4563</v>
      </c>
      <c r="D16" s="199" t="s">
        <v>1536</v>
      </c>
      <c r="E16" s="118"/>
      <c r="F16" s="118"/>
      <c r="G16" s="118"/>
      <c r="H16" s="118"/>
      <c r="I16" s="118"/>
      <c r="J16" s="118"/>
      <c r="K16" s="118"/>
    </row>
    <row r="17" spans="1:11" ht="15" customHeight="1" x14ac:dyDescent="0.2">
      <c r="A17" s="115" t="str">
        <f>LEFT(A16,4)+1&amp;"–"&amp;RIGHT(A16,4)+1</f>
        <v>2025–2026</v>
      </c>
      <c r="B17" s="2"/>
      <c r="C17" s="2"/>
      <c r="D17" s="199"/>
      <c r="E17" s="118"/>
      <c r="F17" s="118"/>
      <c r="G17" s="118"/>
      <c r="H17" s="118"/>
      <c r="I17" s="118"/>
      <c r="J17" s="118"/>
      <c r="K17" s="118"/>
    </row>
    <row r="18" spans="1:11" ht="15" customHeight="1" x14ac:dyDescent="0.2">
      <c r="A18" s="115" t="str">
        <f>LEFT(A17,4)+1&amp;"–"&amp;RIGHT(A17,4)+1</f>
        <v>2026–2027</v>
      </c>
      <c r="B18" s="2"/>
      <c r="C18" s="2"/>
      <c r="D18" s="17" t="s">
        <v>115</v>
      </c>
      <c r="E18" s="118"/>
      <c r="F18" s="118"/>
      <c r="G18" s="118"/>
      <c r="H18" s="118"/>
      <c r="I18" s="118"/>
      <c r="J18" s="118"/>
      <c r="K18" s="118"/>
    </row>
    <row r="19" spans="1:11" ht="15" customHeight="1" x14ac:dyDescent="0.2">
      <c r="A19" s="115" t="str">
        <f>LEFT(A18,4)+1&amp;"–"&amp;RIGHT(A18,4)+1</f>
        <v>2027–2028</v>
      </c>
      <c r="B19" s="2"/>
      <c r="C19" s="2"/>
      <c r="D19" s="117" t="str">
        <f>"If yes, record the dollar amount of variable payments below for fiscal year "&amp;$B$11&amp;":"</f>
        <v>If yes, record the dollar amount of variable payments below for fiscal year 2023–2024:</v>
      </c>
      <c r="E19" s="118"/>
      <c r="F19" s="118"/>
      <c r="G19" s="118"/>
      <c r="H19" s="118"/>
      <c r="I19" s="118"/>
      <c r="J19" s="118"/>
      <c r="K19" s="118"/>
    </row>
    <row r="20" spans="1:11" ht="15" customHeight="1" x14ac:dyDescent="0.2">
      <c r="A20" s="115" t="str">
        <f>LEFT(A19,4)+1&amp;"–"&amp;RIGHT(A19,4)+1</f>
        <v>2028–2029</v>
      </c>
      <c r="B20" s="2"/>
      <c r="C20" s="2"/>
      <c r="D20" s="16">
        <v>0</v>
      </c>
      <c r="E20" s="118"/>
      <c r="F20" s="118"/>
      <c r="G20" s="118"/>
      <c r="H20" s="118"/>
      <c r="I20" s="118"/>
      <c r="J20" s="118"/>
      <c r="K20" s="118"/>
    </row>
    <row r="21" spans="1:11" ht="15" customHeight="1" x14ac:dyDescent="0.25">
      <c r="A21" s="115" t="str">
        <f>LEFT(A20,4)+1&amp;"–"&amp;RIGHT(A20,4)+5</f>
        <v>2029–2034</v>
      </c>
      <c r="B21" s="2"/>
      <c r="C21" s="2"/>
      <c r="D21" s="200"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c r="E21" s="116"/>
      <c r="F21" s="116"/>
      <c r="G21" s="116"/>
      <c r="H21" s="116"/>
      <c r="I21" s="116"/>
      <c r="J21" s="116"/>
      <c r="K21" s="116"/>
    </row>
    <row r="22" spans="1:11" ht="15" customHeight="1" x14ac:dyDescent="0.25">
      <c r="A22" s="115" t="str">
        <f t="shared" ref="A22:A35" si="0">LEFT(A21,4)+5&amp;"–"&amp;RIGHT(A21,4)+5</f>
        <v>2034–2039</v>
      </c>
      <c r="B22" s="2"/>
      <c r="C22" s="2"/>
      <c r="D22" s="200"/>
      <c r="E22" s="116"/>
      <c r="F22" s="116"/>
      <c r="G22" s="116"/>
      <c r="H22" s="116"/>
      <c r="I22" s="116"/>
      <c r="J22" s="116"/>
      <c r="K22" s="116"/>
    </row>
    <row r="23" spans="1:11" ht="15" customHeight="1" x14ac:dyDescent="0.25">
      <c r="A23" s="115" t="str">
        <f t="shared" si="0"/>
        <v>2039–2044</v>
      </c>
      <c r="B23" s="2"/>
      <c r="C23" s="2"/>
      <c r="D23" s="15">
        <v>0</v>
      </c>
      <c r="E23" s="116"/>
      <c r="F23" s="116"/>
      <c r="G23" s="116"/>
      <c r="H23" s="116"/>
      <c r="I23" s="116"/>
      <c r="J23" s="116"/>
      <c r="K23" s="116"/>
    </row>
    <row r="24" spans="1:11" ht="15" customHeight="1" x14ac:dyDescent="0.2">
      <c r="A24" s="115" t="str">
        <f t="shared" si="0"/>
        <v>2044–2049</v>
      </c>
      <c r="B24" s="2"/>
      <c r="C24" s="2"/>
      <c r="D24" s="200"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25" spans="1:11" ht="15.75" x14ac:dyDescent="0.2">
      <c r="A25" s="115" t="str">
        <f t="shared" si="0"/>
        <v>2049–2054</v>
      </c>
      <c r="B25" s="2"/>
      <c r="C25" s="2"/>
      <c r="D25" s="200"/>
      <c r="E25" s="119"/>
      <c r="F25" s="119"/>
      <c r="G25" s="119"/>
      <c r="H25" s="119"/>
      <c r="I25" s="119"/>
      <c r="J25" s="119"/>
      <c r="K25" s="119"/>
    </row>
    <row r="26" spans="1:11" ht="15" customHeight="1" x14ac:dyDescent="0.2">
      <c r="A26" s="115" t="str">
        <f t="shared" si="0"/>
        <v>2054–2059</v>
      </c>
      <c r="B26" s="2"/>
      <c r="C26" s="2"/>
      <c r="D26" s="15">
        <v>0</v>
      </c>
      <c r="E26" s="120"/>
      <c r="F26" s="120"/>
      <c r="G26" s="120"/>
      <c r="H26" s="120"/>
      <c r="I26" s="120"/>
    </row>
    <row r="27" spans="1:11" ht="15" customHeight="1" x14ac:dyDescent="0.2">
      <c r="A27" s="115" t="str">
        <f t="shared" si="0"/>
        <v>2059–2064</v>
      </c>
      <c r="B27" s="2"/>
      <c r="C27" s="2"/>
      <c r="D27" s="200" t="str">
        <f>"4. Are there any SBITA commitments known that have yet to commence as of June 30, "&amp;RIGHT($B$11,4)&amp;"?"</f>
        <v>4. Are there any SBITA commitments known that have yet to commence as of June 30, 2024?</v>
      </c>
      <c r="E27" s="120"/>
      <c r="F27" s="120"/>
      <c r="G27" s="120"/>
      <c r="H27" s="120"/>
      <c r="I27" s="120"/>
    </row>
    <row r="28" spans="1:11" ht="15" customHeight="1" x14ac:dyDescent="0.25">
      <c r="A28" s="115" t="str">
        <f t="shared" si="0"/>
        <v>2064–2069</v>
      </c>
      <c r="B28" s="2"/>
      <c r="C28" s="2"/>
      <c r="D28" s="200"/>
      <c r="E28" s="116"/>
      <c r="F28" s="116"/>
      <c r="G28" s="116"/>
      <c r="H28" s="116"/>
      <c r="I28" s="116"/>
      <c r="J28" s="116"/>
      <c r="K28" s="116"/>
    </row>
    <row r="29" spans="1:11" ht="15.75" customHeight="1" x14ac:dyDescent="0.2">
      <c r="A29" s="115" t="str">
        <f t="shared" si="0"/>
        <v>2069–2074</v>
      </c>
      <c r="B29" s="2"/>
      <c r="C29" s="2"/>
      <c r="D29" s="17" t="s">
        <v>115</v>
      </c>
    </row>
    <row r="30" spans="1:11" ht="15.75" customHeight="1" x14ac:dyDescent="0.2">
      <c r="A30" s="115" t="str">
        <f t="shared" si="0"/>
        <v>2074–2079</v>
      </c>
      <c r="B30" s="2"/>
      <c r="C30" s="2"/>
      <c r="D30" s="200" t="str">
        <f>"If yes, record the dollar amount of any SBITA commitments not commenced below for fiscal year "&amp;$A$16&amp;":"</f>
        <v>If yes, record the dollar amount of any SBITA commitments not commenced below for fiscal year 2024–2025:</v>
      </c>
      <c r="E30" s="119"/>
      <c r="F30" s="119"/>
      <c r="G30" s="119"/>
      <c r="H30" s="119"/>
      <c r="I30" s="119"/>
      <c r="J30" s="119"/>
      <c r="K30" s="119"/>
    </row>
    <row r="31" spans="1:11" ht="15" customHeight="1" x14ac:dyDescent="0.2">
      <c r="A31" s="115" t="str">
        <f t="shared" si="0"/>
        <v>2079–2084</v>
      </c>
      <c r="B31" s="2"/>
      <c r="C31" s="2"/>
      <c r="D31" s="200"/>
    </row>
    <row r="32" spans="1:11" ht="15" customHeight="1" x14ac:dyDescent="0.2">
      <c r="A32" s="115" t="str">
        <f t="shared" si="0"/>
        <v>2084–2089</v>
      </c>
      <c r="B32" s="2"/>
      <c r="C32" s="2"/>
      <c r="D32" s="15">
        <v>0</v>
      </c>
    </row>
    <row r="33" spans="1:11" x14ac:dyDescent="0.2">
      <c r="A33" s="115" t="str">
        <f t="shared" si="0"/>
        <v>2089–2094</v>
      </c>
      <c r="B33" s="2"/>
      <c r="C33" s="2"/>
    </row>
    <row r="34" spans="1:11" x14ac:dyDescent="0.2">
      <c r="A34" s="115" t="str">
        <f t="shared" si="0"/>
        <v>2094–2099</v>
      </c>
      <c r="B34" s="2"/>
      <c r="C34" s="2"/>
    </row>
    <row r="35" spans="1:11" ht="15" customHeight="1" x14ac:dyDescent="0.2">
      <c r="A35" s="115" t="str">
        <f t="shared" si="0"/>
        <v>2099–2104</v>
      </c>
      <c r="B35" s="2"/>
      <c r="C35" s="2"/>
    </row>
    <row r="36" spans="1:11" x14ac:dyDescent="0.2">
      <c r="A36" s="115" t="str">
        <f>LEFT(A35,4)+5&amp;"–"&amp;RIGHT(A35,4)+5</f>
        <v>2104–2109</v>
      </c>
      <c r="B36" s="2"/>
      <c r="C36" s="2"/>
    </row>
    <row r="37" spans="1:11" ht="15" customHeight="1" x14ac:dyDescent="0.2">
      <c r="A37" s="115" t="str">
        <f>LEFT(A36,4)+5&amp;"–"&amp;RIGHT(A36,4)+5</f>
        <v>2109–2114</v>
      </c>
      <c r="B37" s="2"/>
      <c r="C37" s="2"/>
    </row>
    <row r="38" spans="1:11" ht="15.75" x14ac:dyDescent="0.2">
      <c r="A38" s="115" t="str">
        <f>LEFT(A37,4)+5&amp;"–"&amp;RIGHT(A37,4)+5</f>
        <v>2114–2119</v>
      </c>
      <c r="B38" s="2"/>
      <c r="C38" s="2"/>
      <c r="E38" s="121"/>
      <c r="F38" s="121"/>
      <c r="G38" s="121"/>
      <c r="H38" s="121"/>
      <c r="I38" s="121"/>
      <c r="J38" s="121"/>
      <c r="K38" s="121"/>
    </row>
    <row r="39" spans="1:11" ht="15.75" x14ac:dyDescent="0.2">
      <c r="A39" s="115" t="str">
        <f>LEFT(A38,4)+5&amp;"–"&amp;RIGHT(A38,4)+5</f>
        <v>2119–2124</v>
      </c>
      <c r="B39" s="2"/>
      <c r="C39" s="2"/>
      <c r="E39" s="121"/>
      <c r="F39" s="121"/>
      <c r="G39" s="121"/>
      <c r="H39" s="121"/>
      <c r="I39" s="121"/>
      <c r="J39" s="121"/>
      <c r="K39" s="121"/>
    </row>
    <row r="40" spans="1:11" ht="15.75" x14ac:dyDescent="0.2">
      <c r="E40" s="121"/>
      <c r="F40" s="121"/>
      <c r="G40" s="121"/>
      <c r="H40" s="121"/>
      <c r="I40" s="121"/>
      <c r="J40" s="121"/>
      <c r="K40" s="121"/>
    </row>
    <row r="41" spans="1:11" ht="15.75" x14ac:dyDescent="0.25">
      <c r="A41" s="112" t="s">
        <v>1625</v>
      </c>
    </row>
    <row r="42" spans="1:11" ht="15.75" x14ac:dyDescent="0.25">
      <c r="A42" s="113" t="s">
        <v>8</v>
      </c>
      <c r="B42" s="197" t="str">
        <f>B11</f>
        <v>2023–2024</v>
      </c>
      <c r="C42" s="197"/>
    </row>
    <row r="43" spans="1:11" ht="15.75" customHeight="1" x14ac:dyDescent="0.25">
      <c r="A43" s="113" t="s">
        <v>1595</v>
      </c>
      <c r="B43" s="198">
        <f>B12</f>
        <v>4300</v>
      </c>
      <c r="C43" s="198"/>
    </row>
    <row r="44" spans="1:11" ht="15.75" x14ac:dyDescent="0.25">
      <c r="A44" s="113" t="s">
        <v>1594</v>
      </c>
      <c r="B44" s="197" t="str">
        <f>B13</f>
        <v>Department of Developmental Services</v>
      </c>
      <c r="C44" s="197"/>
    </row>
    <row r="45" spans="1:11" ht="32.25" customHeight="1" x14ac:dyDescent="0.2">
      <c r="A45" s="195" t="s">
        <v>1647</v>
      </c>
      <c r="B45" s="196"/>
      <c r="C45" s="196"/>
    </row>
    <row r="46" spans="1:11" ht="15" customHeight="1" x14ac:dyDescent="0.25">
      <c r="A46" s="115"/>
      <c r="B46" s="115" t="s">
        <v>6</v>
      </c>
      <c r="C46" s="115" t="s">
        <v>7</v>
      </c>
      <c r="D46" s="116" t="str">
        <f>"All of the below questions are for Fiscal Year "&amp;$B$11&amp;":"</f>
        <v>All of the below questions are for Fiscal Year 2023–2024:</v>
      </c>
    </row>
    <row r="47" spans="1:11" x14ac:dyDescent="0.2">
      <c r="A47" s="115" t="str">
        <f>RIGHT(B42,4)&amp;"–"&amp;RIGHT(B42,4)+1</f>
        <v>2024–2025</v>
      </c>
      <c r="B47" s="2"/>
      <c r="C47" s="2"/>
      <c r="D47" s="200" t="s">
        <v>1536</v>
      </c>
    </row>
    <row r="48" spans="1:11" ht="15" customHeight="1" x14ac:dyDescent="0.2">
      <c r="A48" s="115" t="str">
        <f>LEFT(A47,4)+1&amp;"–"&amp;RIGHT(A47,4)+1</f>
        <v>2025–2026</v>
      </c>
      <c r="B48" s="2"/>
      <c r="C48" s="2"/>
      <c r="D48" s="200"/>
    </row>
    <row r="49" spans="1:4" x14ac:dyDescent="0.2">
      <c r="A49" s="115" t="str">
        <f>LEFT(A48,4)+1&amp;"–"&amp;RIGHT(A48,4)+1</f>
        <v>2026–2027</v>
      </c>
      <c r="B49" s="2"/>
      <c r="C49" s="2"/>
      <c r="D49" s="17"/>
    </row>
    <row r="50" spans="1:4" x14ac:dyDescent="0.2">
      <c r="A50" s="115" t="str">
        <f>LEFT(A49,4)+1&amp;"–"&amp;RIGHT(A49,4)+1</f>
        <v>2027–2028</v>
      </c>
      <c r="B50" s="2"/>
      <c r="C50" s="2"/>
      <c r="D50" s="117" t="str">
        <f>"If yes, record the dollar amount of variable payments below for fiscal year "&amp;$B$11&amp;":"</f>
        <v>If yes, record the dollar amount of variable payments below for fiscal year 2023–2024:</v>
      </c>
    </row>
    <row r="51" spans="1:4" ht="15" customHeight="1" x14ac:dyDescent="0.2">
      <c r="A51" s="115" t="str">
        <f>LEFT(A50,4)+1&amp;"–"&amp;RIGHT(A50,4)+1</f>
        <v>2028–2029</v>
      </c>
      <c r="B51" s="2"/>
      <c r="C51" s="2"/>
      <c r="D51" s="16"/>
    </row>
    <row r="52" spans="1:4" x14ac:dyDescent="0.2">
      <c r="A52" s="115" t="str">
        <f>LEFT(A51,4)+1&amp;"–"&amp;RIGHT(A51,4)+5</f>
        <v>2029–2034</v>
      </c>
      <c r="B52" s="2"/>
      <c r="C52" s="2"/>
      <c r="D52" s="200"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53" spans="1:4" ht="15" customHeight="1" x14ac:dyDescent="0.2">
      <c r="A53" s="115" t="str">
        <f t="shared" ref="A53:A66" si="1">LEFT(A52,4)+5&amp;"–"&amp;RIGHT(A52,4)+5</f>
        <v>2034–2039</v>
      </c>
      <c r="B53" s="2"/>
      <c r="C53" s="2"/>
      <c r="D53" s="200"/>
    </row>
    <row r="54" spans="1:4" ht="15" customHeight="1" x14ac:dyDescent="0.2">
      <c r="A54" s="115" t="str">
        <f t="shared" si="1"/>
        <v>2039–2044</v>
      </c>
      <c r="B54" s="2"/>
      <c r="C54" s="2"/>
      <c r="D54" s="15"/>
    </row>
    <row r="55" spans="1:4" ht="15" customHeight="1" x14ac:dyDescent="0.2">
      <c r="A55" s="115" t="str">
        <f t="shared" si="1"/>
        <v>2044–2049</v>
      </c>
      <c r="B55" s="2"/>
      <c r="C55" s="2"/>
      <c r="D55" s="200"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56" spans="1:4" x14ac:dyDescent="0.2">
      <c r="A56" s="115" t="str">
        <f t="shared" si="1"/>
        <v>2049–2054</v>
      </c>
      <c r="B56" s="2"/>
      <c r="C56" s="2"/>
      <c r="D56" s="200"/>
    </row>
    <row r="57" spans="1:4" ht="15.75" customHeight="1" x14ac:dyDescent="0.2">
      <c r="A57" s="115" t="str">
        <f t="shared" si="1"/>
        <v>2054–2059</v>
      </c>
      <c r="B57" s="2"/>
      <c r="C57" s="2"/>
      <c r="D57" s="15"/>
    </row>
    <row r="58" spans="1:4" ht="15.75" customHeight="1" x14ac:dyDescent="0.2">
      <c r="A58" s="115" t="str">
        <f t="shared" si="1"/>
        <v>2059–2064</v>
      </c>
      <c r="B58" s="2"/>
      <c r="C58" s="2"/>
      <c r="D58" s="200" t="str">
        <f>"4. Are there any SBITA commitments known that have yet to commence as of June 30, "&amp;RIGHT($B$11,4)&amp;"?"</f>
        <v>4. Are there any SBITA commitments known that have yet to commence as of June 30, 2024?</v>
      </c>
    </row>
    <row r="59" spans="1:4" x14ac:dyDescent="0.2">
      <c r="A59" s="115" t="str">
        <f t="shared" si="1"/>
        <v>2064–2069</v>
      </c>
      <c r="B59" s="2"/>
      <c r="C59" s="2"/>
      <c r="D59" s="200"/>
    </row>
    <row r="60" spans="1:4" x14ac:dyDescent="0.2">
      <c r="A60" s="115" t="str">
        <f t="shared" si="1"/>
        <v>2069–2074</v>
      </c>
      <c r="B60" s="2"/>
      <c r="C60" s="2"/>
      <c r="D60" s="17"/>
    </row>
    <row r="61" spans="1:4" ht="15" customHeight="1" x14ac:dyDescent="0.2">
      <c r="A61" s="115" t="str">
        <f t="shared" si="1"/>
        <v>2074–2079</v>
      </c>
      <c r="B61" s="2"/>
      <c r="C61" s="2"/>
      <c r="D61" s="200" t="str">
        <f>"If yes, record the dollar amount of any SBITA commitments not commenced below for fiscal year "&amp;$A$16&amp;":"</f>
        <v>If yes, record the dollar amount of any SBITA commitments not commenced below for fiscal year 2024–2025:</v>
      </c>
    </row>
    <row r="62" spans="1:4" x14ac:dyDescent="0.2">
      <c r="A62" s="115" t="str">
        <f t="shared" si="1"/>
        <v>2079–2084</v>
      </c>
      <c r="B62" s="2"/>
      <c r="C62" s="2"/>
      <c r="D62" s="200"/>
    </row>
    <row r="63" spans="1:4" x14ac:dyDescent="0.2">
      <c r="A63" s="115" t="str">
        <f t="shared" si="1"/>
        <v>2084–2089</v>
      </c>
      <c r="B63" s="2"/>
      <c r="C63" s="2"/>
      <c r="D63" s="15"/>
    </row>
    <row r="64" spans="1:4" x14ac:dyDescent="0.2">
      <c r="A64" s="115" t="str">
        <f t="shared" si="1"/>
        <v>2089–2094</v>
      </c>
      <c r="B64" s="2"/>
      <c r="C64" s="2"/>
    </row>
    <row r="65" spans="1:4" x14ac:dyDescent="0.2">
      <c r="A65" s="115" t="str">
        <f t="shared" si="1"/>
        <v>2094–2099</v>
      </c>
      <c r="B65" s="2"/>
      <c r="C65" s="2"/>
    </row>
    <row r="66" spans="1:4" x14ac:dyDescent="0.2">
      <c r="A66" s="115" t="str">
        <f t="shared" si="1"/>
        <v>2099–2104</v>
      </c>
      <c r="B66" s="2"/>
      <c r="C66" s="2"/>
    </row>
    <row r="67" spans="1:4" x14ac:dyDescent="0.2">
      <c r="A67" s="115" t="str">
        <f>LEFT(A66,4)+5&amp;"–"&amp;RIGHT(A66,4)+5</f>
        <v>2104–2109</v>
      </c>
      <c r="B67" s="2"/>
      <c r="C67" s="2"/>
    </row>
    <row r="68" spans="1:4" x14ac:dyDescent="0.2">
      <c r="A68" s="115" t="str">
        <f>LEFT(A67,4)+5&amp;"–"&amp;RIGHT(A67,4)+5</f>
        <v>2109–2114</v>
      </c>
      <c r="B68" s="2"/>
      <c r="C68" s="2"/>
    </row>
    <row r="69" spans="1:4" x14ac:dyDescent="0.2">
      <c r="A69" s="115" t="str">
        <f>LEFT(A68,4)+5&amp;"–"&amp;RIGHT(A68,4)+5</f>
        <v>2114–2119</v>
      </c>
      <c r="B69" s="2"/>
      <c r="C69" s="2"/>
    </row>
    <row r="70" spans="1:4" x14ac:dyDescent="0.2">
      <c r="A70" s="115" t="str">
        <f>LEFT(A69,4)+5&amp;"–"&amp;RIGHT(A69,4)+5</f>
        <v>2119–2124</v>
      </c>
      <c r="B70" s="2"/>
      <c r="C70" s="2"/>
    </row>
    <row r="72" spans="1:4" ht="15.75" x14ac:dyDescent="0.25">
      <c r="A72" s="112" t="s">
        <v>1577</v>
      </c>
    </row>
    <row r="73" spans="1:4" ht="15.75" x14ac:dyDescent="0.25">
      <c r="A73" s="113" t="s">
        <v>8</v>
      </c>
      <c r="B73" s="197" t="str">
        <f>B11</f>
        <v>2023–2024</v>
      </c>
      <c r="C73" s="197"/>
    </row>
    <row r="74" spans="1:4" ht="15.75" customHeight="1" x14ac:dyDescent="0.25">
      <c r="A74" s="113" t="s">
        <v>1595</v>
      </c>
      <c r="B74" s="198">
        <f>B12</f>
        <v>4300</v>
      </c>
      <c r="C74" s="198"/>
    </row>
    <row r="75" spans="1:4" ht="15.75" x14ac:dyDescent="0.25">
      <c r="A75" s="113" t="s">
        <v>1594</v>
      </c>
      <c r="B75" s="197" t="str">
        <f>B13</f>
        <v>Department of Developmental Services</v>
      </c>
      <c r="C75" s="197"/>
    </row>
    <row r="76" spans="1:4" ht="32.25" customHeight="1" x14ac:dyDescent="0.2">
      <c r="A76" s="195" t="s">
        <v>1647</v>
      </c>
      <c r="B76" s="196"/>
      <c r="C76" s="196"/>
    </row>
    <row r="77" spans="1:4" ht="15.75" x14ac:dyDescent="0.25">
      <c r="A77" s="115"/>
      <c r="B77" s="115" t="s">
        <v>6</v>
      </c>
      <c r="C77" s="115" t="s">
        <v>7</v>
      </c>
      <c r="D77" s="116" t="str">
        <f>"All of the below questions are for Fiscal Year "&amp;$B$11&amp;":"</f>
        <v>All of the below questions are for Fiscal Year 2023–2024:</v>
      </c>
    </row>
    <row r="78" spans="1:4" x14ac:dyDescent="0.2">
      <c r="A78" s="115" t="str">
        <f>RIGHT(B73,4)&amp;"–"&amp;RIGHT(B73,4)+1</f>
        <v>2024–2025</v>
      </c>
      <c r="B78" s="2"/>
      <c r="C78" s="2"/>
      <c r="D78" s="199" t="s">
        <v>1536</v>
      </c>
    </row>
    <row r="79" spans="1:4" ht="15" customHeight="1" x14ac:dyDescent="0.2">
      <c r="A79" s="115" t="str">
        <f>LEFT(A78,4)+1&amp;"–"&amp;RIGHT(A78,4)+1</f>
        <v>2025–2026</v>
      </c>
      <c r="B79" s="2"/>
      <c r="C79" s="2"/>
      <c r="D79" s="199"/>
    </row>
    <row r="80" spans="1:4" x14ac:dyDescent="0.2">
      <c r="A80" s="115" t="str">
        <f>LEFT(A79,4)+1&amp;"–"&amp;RIGHT(A79,4)+1</f>
        <v>2026–2027</v>
      </c>
      <c r="B80" s="2"/>
      <c r="C80" s="2"/>
      <c r="D80" s="17"/>
    </row>
    <row r="81" spans="1:4" x14ac:dyDescent="0.2">
      <c r="A81" s="115" t="str">
        <f>LEFT(A80,4)+1&amp;"–"&amp;RIGHT(A80,4)+1</f>
        <v>2027–2028</v>
      </c>
      <c r="B81" s="2"/>
      <c r="C81" s="2"/>
      <c r="D81" s="117" t="str">
        <f>"If yes, record the dollar amount of variable payments below for fiscal year "&amp;$B$11&amp;":"</f>
        <v>If yes, record the dollar amount of variable payments below for fiscal year 2023–2024:</v>
      </c>
    </row>
    <row r="82" spans="1:4" ht="15" customHeight="1" x14ac:dyDescent="0.2">
      <c r="A82" s="115" t="str">
        <f>LEFT(A81,4)+1&amp;"–"&amp;RIGHT(A81,4)+1</f>
        <v>2028–2029</v>
      </c>
      <c r="B82" s="2"/>
      <c r="C82" s="2"/>
      <c r="D82" s="16"/>
    </row>
    <row r="83" spans="1:4" x14ac:dyDescent="0.2">
      <c r="A83" s="115" t="str">
        <f>LEFT(A82,4)+1&amp;"–"&amp;RIGHT(A82,4)+5</f>
        <v>2029–2034</v>
      </c>
      <c r="B83" s="2"/>
      <c r="C83" s="2"/>
      <c r="D83" s="200"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84" spans="1:4" ht="15" customHeight="1" x14ac:dyDescent="0.2">
      <c r="A84" s="115" t="str">
        <f t="shared" ref="A84:A97" si="2">LEFT(A83,4)+5&amp;"–"&amp;RIGHT(A83,4)+5</f>
        <v>2034–2039</v>
      </c>
      <c r="B84" s="2"/>
      <c r="C84" s="2"/>
      <c r="D84" s="200"/>
    </row>
    <row r="85" spans="1:4" x14ac:dyDescent="0.2">
      <c r="A85" s="115" t="str">
        <f t="shared" si="2"/>
        <v>2039–2044</v>
      </c>
      <c r="B85" s="2"/>
      <c r="C85" s="2"/>
      <c r="D85" s="15"/>
    </row>
    <row r="86" spans="1:4" ht="15" customHeight="1" x14ac:dyDescent="0.2">
      <c r="A86" s="115" t="str">
        <f t="shared" si="2"/>
        <v>2044–2049</v>
      </c>
      <c r="B86" s="2"/>
      <c r="C86" s="2"/>
      <c r="D86" s="200"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87" spans="1:4" x14ac:dyDescent="0.2">
      <c r="A87" s="115" t="str">
        <f t="shared" si="2"/>
        <v>2049–2054</v>
      </c>
      <c r="B87" s="2"/>
      <c r="C87" s="2"/>
      <c r="D87" s="200"/>
    </row>
    <row r="88" spans="1:4" ht="15" customHeight="1" x14ac:dyDescent="0.2">
      <c r="A88" s="115" t="str">
        <f t="shared" si="2"/>
        <v>2054–2059</v>
      </c>
      <c r="B88" s="2"/>
      <c r="C88" s="2"/>
      <c r="D88" s="15"/>
    </row>
    <row r="89" spans="1:4" ht="15.75" customHeight="1" x14ac:dyDescent="0.2">
      <c r="A89" s="115" t="str">
        <f t="shared" si="2"/>
        <v>2059–2064</v>
      </c>
      <c r="B89" s="2"/>
      <c r="C89" s="2"/>
      <c r="D89" s="200" t="str">
        <f>"4. Are there any SBITA commitments known that have yet to commence as of June 30, "&amp;RIGHT($B$11,4)&amp;"?"</f>
        <v>4. Are there any SBITA commitments known that have yet to commence as of June 30, 2024?</v>
      </c>
    </row>
    <row r="90" spans="1:4" x14ac:dyDescent="0.2">
      <c r="A90" s="115" t="str">
        <f t="shared" si="2"/>
        <v>2064–2069</v>
      </c>
      <c r="B90" s="2"/>
      <c r="C90" s="2"/>
      <c r="D90" s="200"/>
    </row>
    <row r="91" spans="1:4" x14ac:dyDescent="0.2">
      <c r="A91" s="115" t="str">
        <f t="shared" si="2"/>
        <v>2069–2074</v>
      </c>
      <c r="B91" s="2"/>
      <c r="C91" s="2"/>
      <c r="D91" s="17"/>
    </row>
    <row r="92" spans="1:4" ht="15" customHeight="1" x14ac:dyDescent="0.2">
      <c r="A92" s="115" t="str">
        <f t="shared" si="2"/>
        <v>2074–2079</v>
      </c>
      <c r="B92" s="2"/>
      <c r="C92" s="2"/>
      <c r="D92" s="200" t="str">
        <f>"If yes, record the dollar amount of any SBITA commitments not commenced below for fiscal year "&amp;$A$16&amp;":"</f>
        <v>If yes, record the dollar amount of any SBITA commitments not commenced below for fiscal year 2024–2025:</v>
      </c>
    </row>
    <row r="93" spans="1:4" x14ac:dyDescent="0.2">
      <c r="A93" s="115" t="str">
        <f t="shared" si="2"/>
        <v>2079–2084</v>
      </c>
      <c r="B93" s="2"/>
      <c r="C93" s="2"/>
      <c r="D93" s="200"/>
    </row>
    <row r="94" spans="1:4" x14ac:dyDescent="0.2">
      <c r="A94" s="115" t="str">
        <f t="shared" si="2"/>
        <v>2084–2089</v>
      </c>
      <c r="B94" s="2"/>
      <c r="C94" s="2"/>
      <c r="D94" s="15"/>
    </row>
    <row r="95" spans="1:4" x14ac:dyDescent="0.2">
      <c r="A95" s="115" t="str">
        <f t="shared" si="2"/>
        <v>2089–2094</v>
      </c>
      <c r="B95" s="2"/>
      <c r="C95" s="2"/>
    </row>
    <row r="96" spans="1:4" x14ac:dyDescent="0.2">
      <c r="A96" s="115" t="str">
        <f t="shared" si="2"/>
        <v>2094–2099</v>
      </c>
      <c r="B96" s="2"/>
      <c r="C96" s="2"/>
    </row>
    <row r="97" spans="1:3" x14ac:dyDescent="0.2">
      <c r="A97" s="115" t="str">
        <f t="shared" si="2"/>
        <v>2099–2104</v>
      </c>
      <c r="B97" s="2"/>
      <c r="C97" s="2"/>
    </row>
    <row r="98" spans="1:3" x14ac:dyDescent="0.2">
      <c r="A98" s="115" t="str">
        <f>LEFT(A97,4)+5&amp;"–"&amp;RIGHT(A97,4)+5</f>
        <v>2104–2109</v>
      </c>
      <c r="B98" s="2"/>
      <c r="C98" s="2"/>
    </row>
    <row r="99" spans="1:3" x14ac:dyDescent="0.2">
      <c r="A99" s="115" t="str">
        <f>LEFT(A98,4)+5&amp;"–"&amp;RIGHT(A98,4)+5</f>
        <v>2109–2114</v>
      </c>
      <c r="B99" s="2"/>
      <c r="C99" s="2"/>
    </row>
    <row r="100" spans="1:3" x14ac:dyDescent="0.2">
      <c r="A100" s="115" t="str">
        <f>LEFT(A99,4)+5&amp;"–"&amp;RIGHT(A99,4)+5</f>
        <v>2114–2119</v>
      </c>
      <c r="B100" s="2"/>
      <c r="C100" s="2"/>
    </row>
    <row r="101" spans="1:3" x14ac:dyDescent="0.2">
      <c r="A101" s="115" t="str">
        <f>LEFT(A100,4)+5&amp;"–"&amp;RIGHT(A100,4)+5</f>
        <v>2119–2124</v>
      </c>
      <c r="B101" s="2"/>
      <c r="C101" s="2"/>
    </row>
  </sheetData>
  <sheetProtection algorithmName="SHA-512" hashValue="oqa9KtNmzWYO/yAJQrRDu1+OwcCM1FQsPX/Rj6l8vK6YtSrcS2IbvUQbVyGNOB3gSKUxitozF+sWlBKB/HD3jw==" saltValue="dlWxDHvcB5EdofQ2rzDGFQ==" spinCount="100000" sheet="1" formatColumns="0" formatRows="0"/>
  <mergeCells count="32">
    <mergeCell ref="D83:D84"/>
    <mergeCell ref="D92:D93"/>
    <mergeCell ref="D61:D62"/>
    <mergeCell ref="D86:D87"/>
    <mergeCell ref="D89:D90"/>
    <mergeCell ref="A4:D4"/>
    <mergeCell ref="D21:D22"/>
    <mergeCell ref="A7:C8"/>
    <mergeCell ref="A14:C14"/>
    <mergeCell ref="B11:C11"/>
    <mergeCell ref="B12:C12"/>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76:C76"/>
    <mergeCell ref="B73:C73"/>
    <mergeCell ref="B74:C74"/>
    <mergeCell ref="D78:D79"/>
    <mergeCell ref="B75:C75"/>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dataValidations count="1">
    <dataValidation type="whole" operator="greaterThanOrEqual" allowBlank="1" showInputMessage="1" showErrorMessage="1" errorTitle="Whole Numbers Only" error="Enter amounts as whole numbers only." sqref="B16:C39 B78:C101 B47:C70" xr:uid="{443B0328-EC78-4665-B626-3882217D98AD}">
      <formula1>0</formula1>
    </dataValidation>
  </dataValidations>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B1:Q23"/>
  <sheetViews>
    <sheetView zoomScale="85" zoomScaleNormal="85" workbookViewId="0">
      <selection activeCell="E33" sqref="E33"/>
    </sheetView>
  </sheetViews>
  <sheetFormatPr defaultColWidth="9.140625" defaultRowHeight="18" x14ac:dyDescent="0.25"/>
  <cols>
    <col min="1" max="1" width="9.140625" style="122"/>
    <col min="2" max="3" width="3.7109375" style="122" customWidth="1"/>
    <col min="4" max="4" width="42.140625" style="122" customWidth="1"/>
    <col min="5" max="5" width="3.7109375" style="122" customWidth="1"/>
    <col min="6" max="6" width="16.85546875" style="123" customWidth="1"/>
    <col min="7" max="7" width="3.7109375" style="122" customWidth="1"/>
    <col min="8" max="8" width="16.85546875" style="123" customWidth="1"/>
    <col min="9" max="9" width="3.7109375" style="122" customWidth="1"/>
    <col min="10" max="10" width="16.85546875" style="123" customWidth="1"/>
    <col min="11" max="11" width="3.7109375" style="122" customWidth="1"/>
    <col min="12" max="12" width="16.85546875" style="123" customWidth="1"/>
    <col min="13" max="13" width="3.7109375" style="122" customWidth="1"/>
    <col min="14" max="14" width="16.85546875" style="123" customWidth="1"/>
    <col min="15" max="15" width="3.7109375" style="122" customWidth="1"/>
    <col min="16" max="16" width="17.7109375" style="123" bestFit="1" customWidth="1"/>
    <col min="17" max="17" width="3.7109375" style="122" customWidth="1"/>
    <col min="18" max="16384" width="9.140625" style="122"/>
  </cols>
  <sheetData>
    <row r="1" spans="2:17" ht="18.75" thickBot="1" x14ac:dyDescent="0.3"/>
    <row r="2" spans="2:17" x14ac:dyDescent="0.25">
      <c r="B2" s="124"/>
      <c r="C2" s="125"/>
      <c r="D2" s="125"/>
      <c r="E2" s="125"/>
      <c r="F2" s="126"/>
      <c r="G2" s="125"/>
      <c r="H2" s="126"/>
      <c r="I2" s="125"/>
      <c r="J2" s="126"/>
      <c r="K2" s="125"/>
      <c r="L2" s="126"/>
      <c r="M2" s="125"/>
      <c r="N2" s="126"/>
      <c r="O2" s="125"/>
      <c r="P2" s="126"/>
      <c r="Q2" s="127"/>
    </row>
    <row r="3" spans="2:17" ht="20.25" x14ac:dyDescent="0.3">
      <c r="B3" s="128"/>
      <c r="C3" s="209" t="s">
        <v>118</v>
      </c>
      <c r="D3" s="209"/>
      <c r="E3" s="209"/>
      <c r="F3" s="209"/>
      <c r="G3" s="209"/>
      <c r="H3" s="209"/>
      <c r="I3" s="209"/>
      <c r="J3" s="209"/>
      <c r="K3" s="209"/>
      <c r="L3" s="209"/>
      <c r="M3" s="209"/>
      <c r="N3" s="209"/>
      <c r="O3" s="209"/>
      <c r="P3" s="209"/>
      <c r="Q3" s="129"/>
    </row>
    <row r="4" spans="2:17" ht="20.25" x14ac:dyDescent="0.3">
      <c r="B4" s="128"/>
      <c r="C4" s="209" t="str">
        <f>"FY "&amp;'Department Note Disclosure'!$B$11</f>
        <v>FY 2023–2024</v>
      </c>
      <c r="D4" s="209"/>
      <c r="E4" s="209"/>
      <c r="F4" s="209"/>
      <c r="G4" s="209"/>
      <c r="H4" s="209"/>
      <c r="I4" s="209"/>
      <c r="J4" s="209"/>
      <c r="K4" s="209"/>
      <c r="L4" s="209"/>
      <c r="M4" s="209"/>
      <c r="N4" s="209"/>
      <c r="O4" s="209"/>
      <c r="P4" s="209"/>
      <c r="Q4" s="129"/>
    </row>
    <row r="5" spans="2:17" ht="20.25" x14ac:dyDescent="0.3">
      <c r="B5" s="128"/>
      <c r="C5" s="210" t="str">
        <f>"Business Unit " &amp;'Fund 0001 Journal Entries'!$F$5&amp;" "&amp;'Fund 0001 Journal Entries'!$F$4</f>
        <v>Business Unit 4300 Department of Developmental Services</v>
      </c>
      <c r="D5" s="210"/>
      <c r="E5" s="210"/>
      <c r="F5" s="210"/>
      <c r="G5" s="210"/>
      <c r="H5" s="210"/>
      <c r="I5" s="210"/>
      <c r="J5" s="210"/>
      <c r="K5" s="210"/>
      <c r="L5" s="210"/>
      <c r="M5" s="210"/>
      <c r="N5" s="210"/>
      <c r="O5" s="210"/>
      <c r="P5" s="210"/>
      <c r="Q5" s="129"/>
    </row>
    <row r="6" spans="2:17" x14ac:dyDescent="0.25">
      <c r="B6" s="128"/>
      <c r="Q6" s="129"/>
    </row>
    <row r="7" spans="2:17" ht="36.75" thickBot="1" x14ac:dyDescent="0.3">
      <c r="B7" s="128"/>
      <c r="F7" s="130" t="str">
        <f>"Balance
July 1, "&amp;LEFT('Fund 0001 Journal Entries'!$F$3,4)</f>
        <v>Balance
July 1, 2023</v>
      </c>
      <c r="G7" s="131"/>
      <c r="H7" s="132" t="s">
        <v>9</v>
      </c>
      <c r="I7" s="131"/>
      <c r="J7" s="132" t="s">
        <v>10</v>
      </c>
      <c r="K7" s="131"/>
      <c r="L7" s="130" t="str">
        <f>"Balance
June 30, "&amp;RIGHT('Fund 0001 Journal Entries'!$F$3,4)</f>
        <v>Balance
June 30, 2024</v>
      </c>
      <c r="M7" s="131"/>
      <c r="N7" s="130" t="s">
        <v>11</v>
      </c>
      <c r="O7" s="131"/>
      <c r="P7" s="130" t="s">
        <v>12</v>
      </c>
      <c r="Q7" s="129"/>
    </row>
    <row r="8" spans="2:17" x14ac:dyDescent="0.25">
      <c r="B8" s="128"/>
      <c r="F8" s="172" t="s">
        <v>1649</v>
      </c>
      <c r="G8" s="131"/>
      <c r="H8" s="173" t="s">
        <v>1650</v>
      </c>
      <c r="I8" s="131"/>
      <c r="J8" s="173" t="s">
        <v>1651</v>
      </c>
      <c r="K8" s="131"/>
      <c r="L8" s="173"/>
      <c r="M8" s="131"/>
      <c r="N8" s="173" t="s">
        <v>1652</v>
      </c>
      <c r="O8" s="131"/>
      <c r="P8" s="171"/>
      <c r="Q8" s="129"/>
    </row>
    <row r="9" spans="2:17" x14ac:dyDescent="0.25">
      <c r="B9" s="128"/>
      <c r="C9" s="208" t="s">
        <v>13</v>
      </c>
      <c r="D9" s="208"/>
      <c r="Q9" s="129"/>
    </row>
    <row r="10" spans="2:17" ht="18.75" thickBot="1" x14ac:dyDescent="0.3">
      <c r="B10" s="128"/>
      <c r="D10" s="122" t="s">
        <v>117</v>
      </c>
      <c r="F10" s="3">
        <f>IF('Fund 0001 Journal Entries'!$F$7="Governmental Fund",'Fund 0001 Journal Entries'!$K$19,0)</f>
        <v>533479</v>
      </c>
      <c r="H10" s="3">
        <f>IF('Fund 0001 Journal Entries'!$F$7="Governmental Fund",SUM('Fund 0001 Journal Entries'!$K$37,'Fund 0001 Journal Entries'!$K$85),0)</f>
        <v>207379</v>
      </c>
      <c r="J10" s="3">
        <f>IF('Fund 0001 Journal Entries'!$F$7="Governmental Fund",SUM('Fund 0001 Journal Entries'!$J$56,'Fund 0001 Journal Entries'!$J$76),0)</f>
        <v>546774</v>
      </c>
      <c r="L10" s="134">
        <f>SUM(F10+H10-J10)</f>
        <v>194084</v>
      </c>
      <c r="N10" s="3">
        <f>IF('Fund 0001 Journal Entries'!$F$7="Governmental Fund",'Fund 0001 Journal Entries'!$J$61,0)</f>
        <v>194084</v>
      </c>
      <c r="P10" s="134">
        <f>L10-N10</f>
        <v>0</v>
      </c>
      <c r="Q10" s="129"/>
    </row>
    <row r="11" spans="2:17" ht="19.5" thickTop="1" thickBot="1" x14ac:dyDescent="0.3">
      <c r="B11" s="128"/>
      <c r="C11" s="208" t="s">
        <v>14</v>
      </c>
      <c r="D11" s="208"/>
      <c r="F11" s="135">
        <f>SUM(F10:F10)</f>
        <v>533479</v>
      </c>
      <c r="H11" s="135">
        <f>SUM(H10:H10)</f>
        <v>207379</v>
      </c>
      <c r="J11" s="135">
        <f>SUM(J10:J10)</f>
        <v>546774</v>
      </c>
      <c r="L11" s="135">
        <f>SUM(L10:L10)</f>
        <v>194084</v>
      </c>
      <c r="N11" s="135">
        <f>SUM(N10:N10)</f>
        <v>194084</v>
      </c>
      <c r="P11" s="135">
        <f>SUM(P10:P10)</f>
        <v>0</v>
      </c>
      <c r="Q11" s="129"/>
    </row>
    <row r="12" spans="2:17" ht="18.75" thickTop="1" x14ac:dyDescent="0.25">
      <c r="B12" s="128"/>
      <c r="G12" s="136"/>
      <c r="Q12" s="129"/>
    </row>
    <row r="13" spans="2:17" x14ac:dyDescent="0.25">
      <c r="B13" s="128"/>
      <c r="C13" s="208" t="s">
        <v>1569</v>
      </c>
      <c r="D13" s="208"/>
      <c r="Q13" s="129"/>
    </row>
    <row r="14" spans="2:17" ht="18.75" thickBot="1" x14ac:dyDescent="0.3">
      <c r="B14" s="128"/>
      <c r="D14" s="122" t="s">
        <v>117</v>
      </c>
      <c r="F14" s="3">
        <f>IF('Fund 0001 Journal Entries'!$F$7="Proprietary - Internal Service Fund",'Fund 0001 Journal Entries'!$K$19,0)</f>
        <v>0</v>
      </c>
      <c r="H14" s="3">
        <f>IF('Fund 0001 Journal Entries'!$F$7="Proprietary - Internal Service Fund",SUM('Fund 0001 Journal Entries'!$K$37,'Fund 0001 Journal Entries'!$K$85),0)</f>
        <v>0</v>
      </c>
      <c r="J14" s="3">
        <f>IF('Fund 0001 Journal Entries'!$F$7="Proprietary - Internal Service Fund",SUM('Fund 0001 Journal Entries'!$J$56,'Fund 0001 Journal Entries'!$J$76),0)</f>
        <v>0</v>
      </c>
      <c r="L14" s="134">
        <f>SUM(F14+H14-J14)</f>
        <v>0</v>
      </c>
      <c r="N14" s="3">
        <f>IF('Fund 0001 Journal Entries'!$F$7="Proprietary - Internal Service Fund",'Fund 0001 Journal Entries'!$J$61,0)</f>
        <v>0</v>
      </c>
      <c r="P14" s="134">
        <f>L14-N14</f>
        <v>0</v>
      </c>
      <c r="Q14" s="129"/>
    </row>
    <row r="15" spans="2:17" ht="19.5" thickTop="1" thickBot="1" x14ac:dyDescent="0.3">
      <c r="B15" s="128"/>
      <c r="C15" s="208" t="s">
        <v>1578</v>
      </c>
      <c r="D15" s="208"/>
      <c r="F15" s="135">
        <f>SUM(F14:F14)</f>
        <v>0</v>
      </c>
      <c r="H15" s="135">
        <f>SUM(H14:H14)</f>
        <v>0</v>
      </c>
      <c r="J15" s="135">
        <f>SUM(J14:J14)</f>
        <v>0</v>
      </c>
      <c r="L15" s="135">
        <f>SUM(L14:L14)</f>
        <v>0</v>
      </c>
      <c r="N15" s="135">
        <f>SUM(N14:N14)</f>
        <v>0</v>
      </c>
      <c r="P15" s="135">
        <f>SUM(P14:P14)</f>
        <v>0</v>
      </c>
      <c r="Q15" s="129"/>
    </row>
    <row r="16" spans="2:17" ht="18.75" thickTop="1" x14ac:dyDescent="0.25">
      <c r="B16" s="128"/>
      <c r="C16" s="133"/>
      <c r="D16" s="133"/>
      <c r="F16" s="134"/>
      <c r="H16" s="134"/>
      <c r="J16" s="134"/>
      <c r="L16" s="134"/>
      <c r="N16" s="134"/>
      <c r="P16" s="134"/>
      <c r="Q16" s="129"/>
    </row>
    <row r="17" spans="2:17" x14ac:dyDescent="0.25">
      <c r="B17" s="128"/>
      <c r="C17" s="208" t="s">
        <v>1570</v>
      </c>
      <c r="D17" s="208"/>
      <c r="Q17" s="129"/>
    </row>
    <row r="18" spans="2:17" ht="18.75" thickBot="1" x14ac:dyDescent="0.3">
      <c r="B18" s="128"/>
      <c r="D18" s="122" t="s">
        <v>117</v>
      </c>
      <c r="F18" s="3">
        <f>IF('Fund 0001 Journal Entries'!$F$7="Proprietary - Enterprise Fund",'Fund 0001 Journal Entries'!$K$19,0)</f>
        <v>0</v>
      </c>
      <c r="H18" s="3">
        <f>IF('Fund 0001 Journal Entries'!$F$7="Proprietary - Enterprise Fund",SUM('Fund 0001 Journal Entries'!$K$37,'Fund 0001 Journal Entries'!$K$85),0)</f>
        <v>0</v>
      </c>
      <c r="J18" s="3">
        <f>IF('Fund 0001 Journal Entries'!$F$7="Proprietary - Enterprise Fund",SUM('Fund 0001 Journal Entries'!$J$56,'Fund 0001 Journal Entries'!$J$76),0)</f>
        <v>0</v>
      </c>
      <c r="L18" s="134">
        <f>SUM(F18+H18-J18)</f>
        <v>0</v>
      </c>
      <c r="N18" s="3">
        <f>IF('Fund 0001 Journal Entries'!$F$7="Proprietary - Enterprise Fund",'Fund 0001 Journal Entries'!$J$61,0)</f>
        <v>0</v>
      </c>
      <c r="P18" s="134">
        <f>L18-N18</f>
        <v>0</v>
      </c>
      <c r="Q18" s="129"/>
    </row>
    <row r="19" spans="2:17" ht="19.5" thickTop="1" thickBot="1" x14ac:dyDescent="0.3">
      <c r="B19" s="128"/>
      <c r="C19" s="208" t="s">
        <v>1579</v>
      </c>
      <c r="D19" s="208"/>
      <c r="F19" s="135">
        <f>SUM(F18:F18)</f>
        <v>0</v>
      </c>
      <c r="H19" s="135">
        <f>SUM(H18:H18)</f>
        <v>0</v>
      </c>
      <c r="J19" s="135">
        <f>SUM(J18:J18)</f>
        <v>0</v>
      </c>
      <c r="L19" s="135">
        <f>SUM(L18:L18)</f>
        <v>0</v>
      </c>
      <c r="N19" s="135">
        <f>SUM(N18:N18)</f>
        <v>0</v>
      </c>
      <c r="P19" s="135">
        <f>SUM(P18:P18)</f>
        <v>0</v>
      </c>
      <c r="Q19" s="129"/>
    </row>
    <row r="20" spans="2:17" ht="19.5" thickTop="1" thickBot="1" x14ac:dyDescent="0.3">
      <c r="B20" s="137"/>
      <c r="C20" s="138"/>
      <c r="D20" s="138"/>
      <c r="E20" s="138"/>
      <c r="F20" s="139"/>
      <c r="G20" s="138"/>
      <c r="H20" s="139"/>
      <c r="I20" s="138"/>
      <c r="J20" s="139"/>
      <c r="K20" s="138"/>
      <c r="L20" s="139"/>
      <c r="M20" s="138"/>
      <c r="N20" s="139"/>
      <c r="O20" s="138"/>
      <c r="P20" s="139"/>
      <c r="Q20" s="140"/>
    </row>
    <row r="22" spans="2:17" x14ac:dyDescent="0.25">
      <c r="B22" s="174" t="s">
        <v>1654</v>
      </c>
    </row>
    <row r="23" spans="2:17" x14ac:dyDescent="0.25">
      <c r="B23" s="174" t="s">
        <v>1653</v>
      </c>
    </row>
  </sheetData>
  <sheetProtection algorithmName="SHA-512" hashValue="w8Rv9olT1HgZXkuzGInvzUNr2ErU1lvQDFu8oR9ZwDlbFVuDKcx2VSbmAZ5KYtfVX883o+GGmMX07MW7SXF2uw==" saltValue="TsVNbsU9NuT1h2sebE5N9Q==" spinCount="100000" sheet="1" formatColumns="0" formatRows="0"/>
  <mergeCells count="9">
    <mergeCell ref="C13:D13"/>
    <mergeCell ref="C15:D15"/>
    <mergeCell ref="C17:D17"/>
    <mergeCell ref="C19:D19"/>
    <mergeCell ref="C3:P3"/>
    <mergeCell ref="C4:P4"/>
    <mergeCell ref="C5:P5"/>
    <mergeCell ref="C9:D9"/>
    <mergeCell ref="C11:D11"/>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68" orientation="landscape" r:id="rId1"/>
  <headerFooter>
    <oddFooter>&amp;LState Controller's Office&amp;RPage &amp;P of &amp;N</oddFooter>
  </headerFooter>
  <ignoredErrors>
    <ignoredError sqref="G10 G14 I10 K10:M10 O10 I14 K14:M14 O14"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XFC91"/>
  <sheetViews>
    <sheetView showGridLines="0" zoomScaleNormal="100" workbookViewId="0">
      <selection activeCell="J46" sqref="J46"/>
    </sheetView>
  </sheetViews>
  <sheetFormatPr defaultColWidth="0" defaultRowHeight="15" zeroHeight="1" x14ac:dyDescent="0.25"/>
  <cols>
    <col min="1" max="1" width="4" style="143" customWidth="1"/>
    <col min="2" max="2" width="14.7109375" style="143" customWidth="1"/>
    <col min="3" max="3" width="2.42578125" style="163" customWidth="1"/>
    <col min="4" max="4" width="14.7109375" style="143" customWidth="1"/>
    <col min="5" max="5" width="2.42578125" style="163" customWidth="1"/>
    <col min="6" max="6" width="14.7109375" style="143" customWidth="1"/>
    <col min="7" max="7" width="2.42578125" style="163" customWidth="1"/>
    <col min="8" max="8" width="14.7109375" style="143" customWidth="1"/>
    <col min="9" max="9" width="2.42578125" style="163" customWidth="1"/>
    <col min="10" max="10" width="14.7109375" style="143" customWidth="1"/>
    <col min="11" max="11" width="2.42578125" style="163" customWidth="1"/>
    <col min="12" max="12" width="17.7109375" style="143" customWidth="1"/>
    <col min="13" max="13" width="2.42578125" style="163" customWidth="1"/>
    <col min="14" max="14" width="26.140625" style="143" customWidth="1"/>
    <col min="15" max="15" width="2.28515625" style="163" customWidth="1"/>
    <col min="16" max="16" width="15" style="143" customWidth="1"/>
    <col min="17" max="17" width="4" style="143" customWidth="1"/>
    <col min="18" max="19" width="0" style="143" hidden="1" customWidth="1"/>
    <col min="20" max="16384" width="9.140625" style="143" hidden="1"/>
  </cols>
  <sheetData>
    <row r="1" spans="1:17" s="141" customFormat="1" ht="15.75" x14ac:dyDescent="0.25">
      <c r="A1" s="212" t="s">
        <v>1548</v>
      </c>
      <c r="B1" s="212"/>
      <c r="C1" s="212"/>
      <c r="D1" s="212"/>
      <c r="E1" s="212"/>
      <c r="F1" s="212"/>
      <c r="G1" s="212"/>
      <c r="H1" s="212"/>
      <c r="I1" s="212"/>
      <c r="J1" s="212"/>
      <c r="K1" s="212"/>
      <c r="L1" s="212"/>
      <c r="M1" s="212"/>
      <c r="N1" s="212"/>
      <c r="O1" s="212"/>
      <c r="P1" s="212"/>
      <c r="Q1" s="212"/>
    </row>
    <row r="2" spans="1:17" s="141" customFormat="1" ht="15.75" x14ac:dyDescent="0.25">
      <c r="A2" s="212" t="s">
        <v>1550</v>
      </c>
      <c r="B2" s="212"/>
      <c r="C2" s="212"/>
      <c r="D2" s="212"/>
      <c r="E2" s="212"/>
      <c r="F2" s="212"/>
      <c r="G2" s="212"/>
      <c r="H2" s="212"/>
      <c r="I2" s="212"/>
      <c r="J2" s="212"/>
      <c r="K2" s="212"/>
      <c r="L2" s="212"/>
      <c r="M2" s="212"/>
      <c r="N2" s="212"/>
      <c r="O2" s="212"/>
      <c r="P2" s="212"/>
      <c r="Q2" s="212"/>
    </row>
    <row r="3" spans="1:17" s="141" customFormat="1" ht="15.75" x14ac:dyDescent="0.25">
      <c r="C3" s="142"/>
      <c r="E3" s="142"/>
      <c r="G3" s="142"/>
      <c r="I3" s="142"/>
      <c r="K3" s="142"/>
      <c r="M3" s="142"/>
      <c r="O3" s="142"/>
    </row>
    <row r="4" spans="1:17" x14ac:dyDescent="0.25">
      <c r="A4" s="213" t="s">
        <v>1549</v>
      </c>
      <c r="B4" s="213"/>
      <c r="C4" s="213"/>
      <c r="D4" s="213"/>
      <c r="E4" s="213"/>
      <c r="F4" s="213"/>
      <c r="G4" s="213"/>
      <c r="H4" s="213"/>
      <c r="I4" s="213"/>
      <c r="J4" s="213"/>
      <c r="K4" s="213"/>
      <c r="L4" s="213"/>
      <c r="M4" s="213"/>
      <c r="N4" s="213"/>
      <c r="O4" s="213"/>
      <c r="P4" s="213"/>
      <c r="Q4" s="213"/>
    </row>
    <row r="5" spans="1:17" ht="15" customHeight="1" x14ac:dyDescent="0.25">
      <c r="A5" s="218" t="s">
        <v>1562</v>
      </c>
      <c r="B5" s="218"/>
      <c r="C5" s="218"/>
      <c r="D5" s="218"/>
      <c r="E5" s="218"/>
      <c r="F5" s="218"/>
      <c r="G5" s="218"/>
      <c r="H5" s="218"/>
      <c r="I5" s="218"/>
      <c r="J5" s="218"/>
      <c r="K5" s="218"/>
      <c r="L5" s="218"/>
      <c r="M5" s="218"/>
      <c r="N5" s="218"/>
      <c r="O5" s="218"/>
      <c r="P5" s="218"/>
      <c r="Q5" s="218"/>
    </row>
    <row r="6" spans="1:17" ht="15" customHeight="1" x14ac:dyDescent="0.25">
      <c r="A6" s="218"/>
      <c r="B6" s="218"/>
      <c r="C6" s="218"/>
      <c r="D6" s="218"/>
      <c r="E6" s="218"/>
      <c r="F6" s="218"/>
      <c r="G6" s="218"/>
      <c r="H6" s="218"/>
      <c r="I6" s="218"/>
      <c r="J6" s="218"/>
      <c r="K6" s="218"/>
      <c r="L6" s="218"/>
      <c r="M6" s="218"/>
      <c r="N6" s="218"/>
      <c r="O6" s="218"/>
      <c r="P6" s="218"/>
      <c r="Q6" s="218"/>
    </row>
    <row r="7" spans="1:17" x14ac:dyDescent="0.25">
      <c r="A7" s="218"/>
      <c r="B7" s="218"/>
      <c r="C7" s="218"/>
      <c r="D7" s="218"/>
      <c r="E7" s="218"/>
      <c r="F7" s="218"/>
      <c r="G7" s="218"/>
      <c r="H7" s="218"/>
      <c r="I7" s="218"/>
      <c r="J7" s="218"/>
      <c r="K7" s="218"/>
      <c r="L7" s="218"/>
      <c r="M7" s="218"/>
      <c r="N7" s="218"/>
      <c r="O7" s="218"/>
      <c r="P7" s="218"/>
      <c r="Q7" s="218"/>
    </row>
    <row r="8" spans="1:17" ht="15" customHeight="1" x14ac:dyDescent="0.25">
      <c r="A8" s="214" t="s">
        <v>1614</v>
      </c>
      <c r="B8" s="214"/>
      <c r="C8" s="214"/>
      <c r="D8" s="214"/>
      <c r="E8" s="214"/>
      <c r="F8" s="214"/>
      <c r="G8" s="214"/>
      <c r="H8" s="214"/>
      <c r="I8" s="214"/>
      <c r="J8" s="214"/>
      <c r="K8" s="214"/>
      <c r="L8" s="214"/>
      <c r="M8" s="214"/>
      <c r="N8" s="214"/>
      <c r="O8" s="214"/>
      <c r="P8" s="214"/>
      <c r="Q8" s="214"/>
    </row>
    <row r="9" spans="1:17" ht="15" customHeight="1" x14ac:dyDescent="0.25">
      <c r="A9" s="214"/>
      <c r="B9" s="214"/>
      <c r="C9" s="214"/>
      <c r="D9" s="214"/>
      <c r="E9" s="214"/>
      <c r="F9" s="214"/>
      <c r="G9" s="214"/>
      <c r="H9" s="214"/>
      <c r="I9" s="214"/>
      <c r="J9" s="214"/>
      <c r="K9" s="214"/>
      <c r="L9" s="214"/>
      <c r="M9" s="214"/>
      <c r="N9" s="214"/>
      <c r="O9" s="214"/>
      <c r="P9" s="214"/>
      <c r="Q9" s="214"/>
    </row>
    <row r="10" spans="1:17" ht="15" customHeight="1" x14ac:dyDescent="0.25">
      <c r="A10" s="214"/>
      <c r="B10" s="214"/>
      <c r="C10" s="214"/>
      <c r="D10" s="214"/>
      <c r="E10" s="214"/>
      <c r="F10" s="214"/>
      <c r="G10" s="214"/>
      <c r="H10" s="214"/>
      <c r="I10" s="214"/>
      <c r="J10" s="214"/>
      <c r="K10" s="214"/>
      <c r="L10" s="214"/>
      <c r="M10" s="214"/>
      <c r="N10" s="214"/>
      <c r="O10" s="214"/>
      <c r="P10" s="214"/>
      <c r="Q10" s="214"/>
    </row>
    <row r="11" spans="1:17" x14ac:dyDescent="0.25">
      <c r="A11" s="213" t="s">
        <v>1559</v>
      </c>
      <c r="B11" s="213"/>
      <c r="C11" s="213"/>
      <c r="D11" s="213"/>
      <c r="E11" s="213"/>
      <c r="F11" s="213"/>
      <c r="G11" s="213"/>
      <c r="H11" s="213"/>
      <c r="I11" s="213"/>
      <c r="J11" s="213"/>
      <c r="K11" s="213"/>
      <c r="L11" s="213"/>
      <c r="M11" s="213"/>
      <c r="N11" s="213"/>
      <c r="O11" s="213"/>
      <c r="P11" s="213"/>
      <c r="Q11" s="213"/>
    </row>
    <row r="12" spans="1:17" x14ac:dyDescent="0.25">
      <c r="A12" s="211" t="s">
        <v>1642</v>
      </c>
      <c r="B12" s="211"/>
      <c r="C12" s="211"/>
      <c r="D12" s="211"/>
      <c r="E12" s="211"/>
      <c r="F12" s="211"/>
      <c r="G12" s="211"/>
      <c r="H12" s="211"/>
      <c r="I12" s="211"/>
      <c r="J12" s="211"/>
      <c r="K12" s="211"/>
      <c r="L12" s="211"/>
      <c r="M12" s="211"/>
      <c r="N12" s="211"/>
      <c r="O12" s="211"/>
      <c r="P12" s="211"/>
      <c r="Q12" s="211"/>
    </row>
    <row r="13" spans="1:17" ht="6.75" customHeight="1" x14ac:dyDescent="0.25">
      <c r="A13" s="144"/>
      <c r="B13" s="144"/>
      <c r="C13" s="145"/>
      <c r="D13" s="144"/>
      <c r="E13" s="145"/>
      <c r="F13" s="144"/>
      <c r="G13" s="145"/>
      <c r="H13" s="144"/>
      <c r="I13" s="145"/>
      <c r="J13" s="144"/>
      <c r="K13" s="145"/>
      <c r="L13" s="144"/>
      <c r="M13" s="145"/>
      <c r="N13" s="144"/>
      <c r="O13" s="145"/>
      <c r="P13" s="144"/>
      <c r="Q13" s="144"/>
    </row>
    <row r="14" spans="1:17" ht="15" customHeight="1" x14ac:dyDescent="0.25">
      <c r="A14" s="144"/>
      <c r="B14" s="216" t="s">
        <v>1617</v>
      </c>
      <c r="C14" s="216"/>
      <c r="D14" s="216"/>
      <c r="E14" s="216"/>
      <c r="F14" s="216"/>
      <c r="G14" s="216"/>
      <c r="H14" s="216"/>
      <c r="I14" s="216"/>
      <c r="J14" s="216"/>
      <c r="K14" s="216"/>
      <c r="L14" s="216"/>
      <c r="M14" s="145"/>
      <c r="N14" s="146" t="s">
        <v>1556</v>
      </c>
      <c r="O14" s="147"/>
      <c r="P14" s="148"/>
      <c r="Q14" s="144"/>
    </row>
    <row r="15" spans="1:17" ht="15" customHeight="1" x14ac:dyDescent="0.25">
      <c r="A15" s="144"/>
      <c r="B15" s="149" t="s">
        <v>1636</v>
      </c>
      <c r="C15" s="149"/>
      <c r="D15" s="149" t="s">
        <v>9</v>
      </c>
      <c r="E15" s="149"/>
      <c r="F15" s="149" t="s">
        <v>10</v>
      </c>
      <c r="G15" s="149"/>
      <c r="H15" s="149" t="s">
        <v>1637</v>
      </c>
      <c r="I15" s="149"/>
      <c r="J15" s="149" t="s">
        <v>1638</v>
      </c>
      <c r="K15" s="149"/>
      <c r="L15" s="149" t="s">
        <v>1640</v>
      </c>
      <c r="M15" s="145"/>
      <c r="N15" s="147"/>
      <c r="O15" s="147"/>
      <c r="P15" s="148"/>
      <c r="Q15" s="144"/>
    </row>
    <row r="16" spans="1:17" ht="15" customHeight="1" x14ac:dyDescent="0.25">
      <c r="A16" s="144"/>
      <c r="B16" s="150" t="s">
        <v>1552</v>
      </c>
      <c r="C16" s="151" t="s">
        <v>1551</v>
      </c>
      <c r="D16" s="150" t="s">
        <v>1620</v>
      </c>
      <c r="E16" s="150" t="s">
        <v>1553</v>
      </c>
      <c r="F16" s="150" t="s">
        <v>1554</v>
      </c>
      <c r="G16" s="150" t="s">
        <v>1553</v>
      </c>
      <c r="H16" s="150" t="s">
        <v>1645</v>
      </c>
      <c r="I16" s="151" t="s">
        <v>1551</v>
      </c>
      <c r="J16" s="150" t="s">
        <v>1646</v>
      </c>
      <c r="K16" s="152"/>
      <c r="L16" s="153"/>
      <c r="M16" s="152"/>
      <c r="N16" s="154" t="s">
        <v>1557</v>
      </c>
      <c r="O16" s="147"/>
      <c r="P16" s="147" t="s">
        <v>1563</v>
      </c>
      <c r="Q16" s="144"/>
    </row>
    <row r="17" spans="1:16383" ht="15" customHeight="1" x14ac:dyDescent="0.25">
      <c r="A17" s="155"/>
      <c r="B17" s="10">
        <f>IF('Fund 0001 Journal Entries'!$F$7="Governmental Fund",ROUND('Fund 0001 Journal Entries'!$K$19,0),0)</f>
        <v>533479</v>
      </c>
      <c r="C17" s="21" t="s">
        <v>1551</v>
      </c>
      <c r="D17" s="10">
        <f>IF('Fund 0001 Journal Entries'!$F$7="Governmental Fund",ROUND('Fund 0001 Journal Entries'!$K$37,0),0)</f>
        <v>207379</v>
      </c>
      <c r="E17" s="22" t="s">
        <v>1553</v>
      </c>
      <c r="F17" s="10">
        <f>IF('Fund 0001 Journal Entries'!$F$7="Governmental Fund",ROUND('Fund 0001 Journal Entries'!$J$56,0),0)</f>
        <v>339395</v>
      </c>
      <c r="G17" s="22" t="s">
        <v>1553</v>
      </c>
      <c r="H17" s="10">
        <f>IF('Fund 0001 Journal Entries'!$F$7="Governmental Fund",ROUND('Fund 0001 Journal Entries'!$J$76,0),0)</f>
        <v>207379</v>
      </c>
      <c r="I17" s="22" t="s">
        <v>1551</v>
      </c>
      <c r="J17" s="10">
        <f>IF('Fund 0001 Journal Entries'!$F$7="Governmental Fund",ROUND('Fund 0001 Journal Entries'!$K$85,0),0)</f>
        <v>0</v>
      </c>
      <c r="K17" s="22" t="s">
        <v>1555</v>
      </c>
      <c r="L17" s="11">
        <f>+B17+D17-F17-H17+J17</f>
        <v>194084</v>
      </c>
      <c r="M17" s="22"/>
      <c r="N17" s="12">
        <f>ROUND(SUM('Department Note Disclosure'!$B$16:$B$39),0)</f>
        <v>194084</v>
      </c>
      <c r="O17" s="21"/>
      <c r="P17" s="13">
        <f>L17-N17</f>
        <v>0</v>
      </c>
      <c r="Q17" s="144"/>
    </row>
    <row r="18" spans="1:16383" ht="15" customHeight="1" x14ac:dyDescent="0.25">
      <c r="A18" s="155"/>
      <c r="B18" s="155"/>
      <c r="C18" s="156"/>
      <c r="D18" s="157" t="str">
        <f>IF(OR(P17&gt;0.99, (P17&lt;(-0.99))), "Please review and correct the variance.","")</f>
        <v/>
      </c>
      <c r="E18" s="156"/>
      <c r="F18" s="155"/>
      <c r="G18" s="156"/>
      <c r="H18" s="155"/>
      <c r="I18" s="156"/>
      <c r="J18" s="155"/>
      <c r="K18" s="156"/>
      <c r="L18" s="155"/>
      <c r="M18" s="156"/>
      <c r="N18" s="155"/>
      <c r="O18" s="156"/>
      <c r="P18" s="155"/>
      <c r="Q18" s="144"/>
    </row>
    <row r="19" spans="1:16383" ht="6" customHeight="1" x14ac:dyDescent="0.25">
      <c r="A19" s="155"/>
      <c r="B19" s="155"/>
      <c r="C19" s="156"/>
      <c r="D19" s="157"/>
      <c r="E19" s="156"/>
      <c r="F19" s="155"/>
      <c r="G19" s="156"/>
      <c r="H19" s="155"/>
      <c r="I19" s="156"/>
      <c r="J19" s="155"/>
      <c r="K19" s="156"/>
      <c r="L19" s="155"/>
      <c r="M19" s="156"/>
      <c r="N19" s="155"/>
      <c r="O19" s="156"/>
      <c r="P19" s="155"/>
      <c r="Q19" s="144"/>
    </row>
    <row r="20" spans="1:16383" x14ac:dyDescent="0.25">
      <c r="A20" s="211" t="s">
        <v>1643</v>
      </c>
      <c r="B20" s="211"/>
      <c r="C20" s="211"/>
      <c r="D20" s="211"/>
      <c r="E20" s="211"/>
      <c r="F20" s="211"/>
      <c r="G20" s="211"/>
      <c r="H20" s="211"/>
      <c r="I20" s="211"/>
      <c r="J20" s="211"/>
      <c r="K20" s="211"/>
      <c r="L20" s="211"/>
      <c r="M20" s="211"/>
      <c r="N20" s="211"/>
      <c r="O20" s="211"/>
      <c r="P20" s="211"/>
      <c r="Q20" s="211"/>
    </row>
    <row r="21" spans="1:16383" ht="6" customHeight="1" x14ac:dyDescent="0.25">
      <c r="A21" s="144"/>
      <c r="B21" s="144"/>
      <c r="C21" s="145"/>
      <c r="D21" s="144"/>
      <c r="E21" s="145"/>
      <c r="F21" s="144"/>
      <c r="G21" s="145"/>
      <c r="H21" s="144"/>
      <c r="I21" s="145"/>
      <c r="J21" s="144"/>
      <c r="K21" s="145"/>
      <c r="L21" s="144"/>
      <c r="M21" s="145"/>
      <c r="N21" s="144"/>
      <c r="O21" s="145"/>
      <c r="P21" s="144"/>
      <c r="Q21" s="144"/>
    </row>
    <row r="22" spans="1:16383" ht="15" customHeight="1" x14ac:dyDescent="0.25">
      <c r="A22" s="144"/>
      <c r="B22" s="217" t="s">
        <v>1617</v>
      </c>
      <c r="C22" s="217"/>
      <c r="D22" s="217"/>
      <c r="E22" s="217"/>
      <c r="F22" s="217"/>
      <c r="G22" s="217"/>
      <c r="H22" s="217"/>
      <c r="I22" s="217"/>
      <c r="J22" s="217"/>
      <c r="K22" s="217"/>
      <c r="L22" s="217"/>
      <c r="M22" s="145"/>
      <c r="N22" s="146" t="s">
        <v>1556</v>
      </c>
      <c r="O22" s="147"/>
      <c r="P22" s="148"/>
      <c r="Q22" s="144"/>
    </row>
    <row r="23" spans="1:16383" ht="15" customHeight="1" x14ac:dyDescent="0.25">
      <c r="A23" s="144"/>
      <c r="B23" s="149" t="s">
        <v>1636</v>
      </c>
      <c r="C23" s="149"/>
      <c r="D23" s="149" t="s">
        <v>9</v>
      </c>
      <c r="E23" s="149"/>
      <c r="F23" s="149" t="s">
        <v>10</v>
      </c>
      <c r="G23" s="149"/>
      <c r="H23" s="149" t="s">
        <v>1637</v>
      </c>
      <c r="I23" s="149"/>
      <c r="J23" s="149" t="s">
        <v>1638</v>
      </c>
      <c r="K23" s="149"/>
      <c r="L23" s="149" t="s">
        <v>1640</v>
      </c>
      <c r="M23" s="145"/>
      <c r="N23" s="147"/>
      <c r="O23" s="147"/>
      <c r="P23" s="148"/>
      <c r="Q23" s="144"/>
    </row>
    <row r="24" spans="1:16383" ht="15" customHeight="1" x14ac:dyDescent="0.25">
      <c r="A24" s="144"/>
      <c r="B24" s="150" t="s">
        <v>1552</v>
      </c>
      <c r="C24" s="151" t="s">
        <v>1551</v>
      </c>
      <c r="D24" s="150" t="s">
        <v>1620</v>
      </c>
      <c r="E24" s="150" t="s">
        <v>1553</v>
      </c>
      <c r="F24" s="150" t="s">
        <v>1554</v>
      </c>
      <c r="G24" s="150" t="s">
        <v>1553</v>
      </c>
      <c r="H24" s="150" t="s">
        <v>1645</v>
      </c>
      <c r="I24" s="151" t="s">
        <v>1551</v>
      </c>
      <c r="J24" s="150" t="s">
        <v>1646</v>
      </c>
      <c r="K24" s="152"/>
      <c r="L24" s="153"/>
      <c r="M24" s="152"/>
      <c r="N24" s="154" t="s">
        <v>1557</v>
      </c>
      <c r="O24" s="147"/>
      <c r="P24" s="147" t="s">
        <v>1563</v>
      </c>
      <c r="Q24" s="144"/>
    </row>
    <row r="25" spans="1:16383" ht="15" customHeight="1" x14ac:dyDescent="0.25">
      <c r="A25" s="155"/>
      <c r="B25" s="10">
        <f>IF('Fund 0001 Journal Entries'!$F$7="Proprietary - Internal Service Fund",ROUND('Fund 0001 Journal Entries'!$K$19,0),0)</f>
        <v>0</v>
      </c>
      <c r="C25" s="21" t="s">
        <v>1551</v>
      </c>
      <c r="D25" s="10">
        <f>IF('Fund 0001 Journal Entries'!$F$7="Proprietary - Internal Service Fund",ROUND('Fund 0001 Journal Entries'!$K$37,0),0)</f>
        <v>0</v>
      </c>
      <c r="E25" s="22" t="s">
        <v>1553</v>
      </c>
      <c r="F25" s="10">
        <f>IF('Fund 0001 Journal Entries'!$F$7="Proprietary - Internal Service Fund",ROUND('Fund 0001 Journal Entries'!$J$56,0),0)</f>
        <v>0</v>
      </c>
      <c r="G25" s="22" t="s">
        <v>1553</v>
      </c>
      <c r="H25" s="10">
        <f>IF('Fund 0001 Journal Entries'!$F$7="Proprietary - Internal Service Fund",ROUND('Fund 0001 Journal Entries'!$J$76,0),0)</f>
        <v>0</v>
      </c>
      <c r="I25" s="22" t="s">
        <v>1551</v>
      </c>
      <c r="J25" s="10">
        <f>IF('Fund 0001 Journal Entries'!$F$7="Proprietary - Internal Service Fund",ROUND('Fund 0001 Journal Entries'!$K$85,0),0)</f>
        <v>0</v>
      </c>
      <c r="K25" s="22" t="s">
        <v>1555</v>
      </c>
      <c r="L25" s="11">
        <f>+B25+D25-F25-H25+J25</f>
        <v>0</v>
      </c>
      <c r="M25" s="22"/>
      <c r="N25" s="12">
        <f>ROUND(SUM('Department Note Disclosure'!$B$47:$B$70),0)</f>
        <v>0</v>
      </c>
      <c r="O25" s="21"/>
      <c r="P25" s="13">
        <f>L25-N25</f>
        <v>0</v>
      </c>
      <c r="Q25" s="144"/>
    </row>
    <row r="26" spans="1:16383" ht="6" customHeight="1" x14ac:dyDescent="0.25">
      <c r="A26" s="155"/>
      <c r="B26" s="155"/>
      <c r="C26" s="156"/>
      <c r="D26" s="155"/>
      <c r="E26" s="156"/>
      <c r="F26" s="155"/>
      <c r="G26" s="156"/>
      <c r="H26" s="155"/>
      <c r="I26" s="156"/>
      <c r="J26" s="155"/>
      <c r="K26" s="156"/>
      <c r="L26" s="155"/>
      <c r="M26" s="156"/>
      <c r="N26" s="155"/>
      <c r="O26" s="156"/>
      <c r="P26" s="155"/>
      <c r="Q26" s="144"/>
    </row>
    <row r="27" spans="1:16383" ht="15" customHeight="1" x14ac:dyDescent="0.25">
      <c r="A27" s="155"/>
      <c r="B27" s="155"/>
      <c r="C27" s="156"/>
      <c r="D27" s="157" t="str">
        <f>IF(OR(P25&gt;0.99, (P25&lt;(-0.99))), "Please review and correct the variance.","")</f>
        <v/>
      </c>
      <c r="E27" s="156"/>
      <c r="F27" s="155"/>
      <c r="G27" s="156"/>
      <c r="H27" s="155"/>
      <c r="I27" s="156"/>
      <c r="J27" s="155"/>
      <c r="K27" s="156"/>
      <c r="L27" s="155"/>
      <c r="M27" s="156"/>
      <c r="N27" s="155"/>
      <c r="O27" s="156"/>
      <c r="P27" s="155"/>
      <c r="Q27" s="144"/>
    </row>
    <row r="28" spans="1:16383" ht="6" customHeight="1" x14ac:dyDescent="0.25">
      <c r="A28" s="155"/>
      <c r="B28" s="155"/>
      <c r="C28" s="156"/>
      <c r="D28" s="157"/>
      <c r="E28" s="156"/>
      <c r="F28" s="155"/>
      <c r="G28" s="156"/>
      <c r="H28" s="155"/>
      <c r="I28" s="156"/>
      <c r="J28" s="155"/>
      <c r="K28" s="156"/>
      <c r="L28" s="155"/>
      <c r="M28" s="156"/>
      <c r="N28" s="155"/>
      <c r="O28" s="156"/>
      <c r="P28" s="155"/>
      <c r="Q28" s="144"/>
    </row>
    <row r="29" spans="1:16383" x14ac:dyDescent="0.25">
      <c r="A29" s="211" t="s">
        <v>1644</v>
      </c>
      <c r="B29" s="211"/>
      <c r="C29" s="211"/>
      <c r="D29" s="211"/>
      <c r="E29" s="211"/>
      <c r="F29" s="211"/>
      <c r="G29" s="211"/>
      <c r="H29" s="211"/>
      <c r="I29" s="211"/>
      <c r="J29" s="211"/>
      <c r="K29" s="211"/>
      <c r="L29" s="211"/>
      <c r="M29" s="211"/>
      <c r="N29" s="211"/>
      <c r="O29" s="211"/>
      <c r="P29" s="211"/>
      <c r="Q29" s="211"/>
      <c r="R29" s="211"/>
      <c r="S29" s="211"/>
      <c r="T29" s="211"/>
      <c r="U29" s="211"/>
      <c r="V29" s="211"/>
      <c r="W29" s="211"/>
      <c r="X29" s="211"/>
      <c r="Y29" s="211"/>
      <c r="Z29" s="211"/>
      <c r="AA29" s="211"/>
      <c r="AB29" s="211"/>
      <c r="AC29" s="211"/>
      <c r="AD29" s="211"/>
      <c r="AE29" s="211"/>
      <c r="AF29" s="211"/>
      <c r="AG29" s="211"/>
      <c r="AH29" s="211"/>
      <c r="AI29" s="211"/>
      <c r="AJ29" s="211"/>
      <c r="AK29" s="211"/>
      <c r="AL29" s="211"/>
      <c r="AM29" s="211"/>
      <c r="AN29" s="211"/>
      <c r="AO29" s="211"/>
      <c r="AP29" s="211"/>
      <c r="AQ29" s="211"/>
      <c r="AR29" s="211"/>
      <c r="AS29" s="211"/>
      <c r="AT29" s="211"/>
      <c r="AU29" s="211"/>
      <c r="AV29" s="211"/>
      <c r="AW29" s="211"/>
      <c r="AX29" s="211"/>
      <c r="AY29" s="211"/>
      <c r="AZ29" s="211"/>
      <c r="BA29" s="211"/>
      <c r="BB29" s="211"/>
      <c r="BC29" s="211"/>
      <c r="BD29" s="211"/>
      <c r="BE29" s="211"/>
      <c r="BF29" s="211"/>
      <c r="BG29" s="211"/>
      <c r="BH29" s="211"/>
      <c r="BI29" s="211"/>
      <c r="BJ29" s="211"/>
      <c r="BK29" s="211"/>
      <c r="BL29" s="211"/>
      <c r="BM29" s="211"/>
      <c r="BN29" s="211"/>
      <c r="BO29" s="211"/>
      <c r="BP29" s="211"/>
      <c r="BQ29" s="211"/>
      <c r="BR29" s="211"/>
      <c r="BS29" s="211"/>
      <c r="BT29" s="211"/>
      <c r="BU29" s="211"/>
      <c r="BV29" s="211"/>
      <c r="BW29" s="211"/>
      <c r="BX29" s="211"/>
      <c r="BY29" s="211"/>
      <c r="BZ29" s="211"/>
      <c r="CA29" s="211"/>
      <c r="CB29" s="211"/>
      <c r="CC29" s="211"/>
      <c r="CD29" s="211"/>
      <c r="CE29" s="211"/>
      <c r="CF29" s="211"/>
      <c r="CG29" s="211"/>
      <c r="CH29" s="211"/>
      <c r="CI29" s="211"/>
      <c r="CJ29" s="211"/>
      <c r="CK29" s="211"/>
      <c r="CL29" s="211"/>
      <c r="CM29" s="211"/>
      <c r="CN29" s="211"/>
      <c r="CO29" s="211"/>
      <c r="CP29" s="211"/>
      <c r="CQ29" s="211"/>
      <c r="CR29" s="211"/>
      <c r="CS29" s="211"/>
      <c r="CT29" s="211"/>
      <c r="CU29" s="211"/>
      <c r="CV29" s="211"/>
      <c r="CW29" s="211"/>
      <c r="CX29" s="211"/>
      <c r="CY29" s="211"/>
      <c r="CZ29" s="211"/>
      <c r="DA29" s="211"/>
      <c r="DB29" s="211"/>
      <c r="DC29" s="211"/>
      <c r="DD29" s="211"/>
      <c r="DE29" s="211"/>
      <c r="DF29" s="211"/>
      <c r="DG29" s="211"/>
      <c r="DH29" s="211"/>
      <c r="DI29" s="211"/>
      <c r="DJ29" s="211"/>
      <c r="DK29" s="211"/>
      <c r="DL29" s="211"/>
      <c r="DM29" s="211"/>
      <c r="DN29" s="211"/>
      <c r="DO29" s="211"/>
      <c r="DP29" s="211"/>
      <c r="DQ29" s="211"/>
      <c r="DR29" s="211"/>
      <c r="DS29" s="211"/>
      <c r="DT29" s="211"/>
      <c r="DU29" s="211"/>
      <c r="DV29" s="211"/>
      <c r="DW29" s="211"/>
      <c r="DX29" s="211"/>
      <c r="DY29" s="211"/>
      <c r="DZ29" s="211"/>
      <c r="EA29" s="211"/>
      <c r="EB29" s="211"/>
      <c r="EC29" s="211"/>
      <c r="ED29" s="211"/>
      <c r="EE29" s="211"/>
      <c r="EF29" s="211"/>
      <c r="EG29" s="211"/>
      <c r="EH29" s="211"/>
      <c r="EI29" s="211"/>
      <c r="EJ29" s="211"/>
      <c r="EK29" s="211"/>
      <c r="EL29" s="211"/>
      <c r="EM29" s="211"/>
      <c r="EN29" s="211"/>
      <c r="EO29" s="211"/>
      <c r="EP29" s="211"/>
      <c r="EQ29" s="211"/>
      <c r="ER29" s="211"/>
      <c r="ES29" s="211"/>
      <c r="ET29" s="211"/>
      <c r="EU29" s="211"/>
      <c r="EV29" s="211"/>
      <c r="EW29" s="211"/>
      <c r="EX29" s="211"/>
      <c r="EY29" s="211"/>
      <c r="EZ29" s="211"/>
      <c r="FA29" s="211"/>
      <c r="FB29" s="211"/>
      <c r="FC29" s="211"/>
      <c r="FD29" s="211"/>
      <c r="FE29" s="211"/>
      <c r="FF29" s="211"/>
      <c r="FG29" s="211"/>
      <c r="FH29" s="211"/>
      <c r="FI29" s="211"/>
      <c r="FJ29" s="211"/>
      <c r="FK29" s="211"/>
      <c r="FL29" s="211"/>
      <c r="FM29" s="211"/>
      <c r="FN29" s="211"/>
      <c r="FO29" s="211"/>
      <c r="FP29" s="211"/>
      <c r="FQ29" s="211"/>
      <c r="FR29" s="211"/>
      <c r="FS29" s="211"/>
      <c r="FT29" s="211"/>
      <c r="FU29" s="211"/>
      <c r="FV29" s="211"/>
      <c r="FW29" s="211"/>
      <c r="FX29" s="211"/>
      <c r="FY29" s="211"/>
      <c r="FZ29" s="211"/>
      <c r="GA29" s="211"/>
      <c r="GB29" s="211"/>
      <c r="GC29" s="211"/>
      <c r="GD29" s="211"/>
      <c r="GE29" s="211"/>
      <c r="GF29" s="211"/>
      <c r="GG29" s="211"/>
      <c r="GH29" s="211"/>
      <c r="GI29" s="211"/>
      <c r="GJ29" s="211"/>
      <c r="GK29" s="211"/>
      <c r="GL29" s="211"/>
      <c r="GM29" s="211"/>
      <c r="GN29" s="211"/>
      <c r="GO29" s="211"/>
      <c r="GP29" s="211"/>
      <c r="GQ29" s="211"/>
      <c r="GR29" s="211"/>
      <c r="GS29" s="211"/>
      <c r="GT29" s="211"/>
      <c r="GU29" s="211"/>
      <c r="GV29" s="211"/>
      <c r="GW29" s="211"/>
      <c r="GX29" s="211"/>
      <c r="GY29" s="211"/>
      <c r="GZ29" s="211"/>
      <c r="HA29" s="211"/>
      <c r="HB29" s="211"/>
      <c r="HC29" s="211"/>
      <c r="HD29" s="211"/>
      <c r="HE29" s="211"/>
      <c r="HF29" s="211"/>
      <c r="HG29" s="211"/>
      <c r="HH29" s="211"/>
      <c r="HI29" s="211"/>
      <c r="HJ29" s="211"/>
      <c r="HK29" s="211"/>
      <c r="HL29" s="211"/>
      <c r="HM29" s="211"/>
      <c r="HN29" s="211"/>
      <c r="HO29" s="211"/>
      <c r="HP29" s="211"/>
      <c r="HQ29" s="211"/>
      <c r="HR29" s="211"/>
      <c r="HS29" s="211"/>
      <c r="HT29" s="211"/>
      <c r="HU29" s="211"/>
      <c r="HV29" s="211"/>
      <c r="HW29" s="211"/>
      <c r="HX29" s="211"/>
      <c r="HY29" s="211"/>
      <c r="HZ29" s="211"/>
      <c r="IA29" s="211"/>
      <c r="IB29" s="211"/>
      <c r="IC29" s="211"/>
      <c r="ID29" s="211"/>
      <c r="IE29" s="211"/>
      <c r="IF29" s="211"/>
      <c r="IG29" s="211"/>
      <c r="IH29" s="211"/>
      <c r="II29" s="211"/>
      <c r="IJ29" s="211"/>
      <c r="IK29" s="211"/>
      <c r="IL29" s="211"/>
      <c r="IM29" s="211"/>
      <c r="IN29" s="211"/>
      <c r="IO29" s="211"/>
      <c r="IP29" s="211"/>
      <c r="IQ29" s="211"/>
      <c r="IR29" s="211"/>
      <c r="IS29" s="211"/>
      <c r="IT29" s="211"/>
      <c r="IU29" s="211"/>
      <c r="IV29" s="211"/>
      <c r="IW29" s="211"/>
      <c r="IX29" s="211"/>
      <c r="IY29" s="211"/>
      <c r="IZ29" s="211"/>
      <c r="JA29" s="211"/>
      <c r="JB29" s="211"/>
      <c r="JC29" s="211"/>
      <c r="JD29" s="211"/>
      <c r="JE29" s="211"/>
      <c r="JF29" s="211"/>
      <c r="JG29" s="211"/>
      <c r="JH29" s="211"/>
      <c r="JI29" s="211"/>
      <c r="JJ29" s="211"/>
      <c r="JK29" s="211"/>
      <c r="JL29" s="211"/>
      <c r="JM29" s="211"/>
      <c r="JN29" s="211"/>
      <c r="JO29" s="211"/>
      <c r="JP29" s="211"/>
      <c r="JQ29" s="211"/>
      <c r="JR29" s="211"/>
      <c r="JS29" s="211"/>
      <c r="JT29" s="211"/>
      <c r="JU29" s="211"/>
      <c r="JV29" s="211"/>
      <c r="JW29" s="211"/>
      <c r="JX29" s="211"/>
      <c r="JY29" s="211"/>
      <c r="JZ29" s="211"/>
      <c r="KA29" s="211"/>
      <c r="KB29" s="211"/>
      <c r="KC29" s="211"/>
      <c r="KD29" s="211"/>
      <c r="KE29" s="211"/>
      <c r="KF29" s="211"/>
      <c r="KG29" s="211"/>
      <c r="KH29" s="211"/>
      <c r="KI29" s="211"/>
      <c r="KJ29" s="211"/>
      <c r="KK29" s="211"/>
      <c r="KL29" s="211"/>
      <c r="KM29" s="211"/>
      <c r="KN29" s="211"/>
      <c r="KO29" s="211"/>
      <c r="KP29" s="211"/>
      <c r="KQ29" s="211"/>
      <c r="KR29" s="211"/>
      <c r="KS29" s="211"/>
      <c r="KT29" s="211"/>
      <c r="KU29" s="211"/>
      <c r="KV29" s="211"/>
      <c r="KW29" s="211"/>
      <c r="KX29" s="211"/>
      <c r="KY29" s="211"/>
      <c r="KZ29" s="211"/>
      <c r="LA29" s="211"/>
      <c r="LB29" s="211"/>
      <c r="LC29" s="211"/>
      <c r="LD29" s="211"/>
      <c r="LE29" s="211"/>
      <c r="LF29" s="211"/>
      <c r="LG29" s="211"/>
      <c r="LH29" s="211"/>
      <c r="LI29" s="211"/>
      <c r="LJ29" s="211"/>
      <c r="LK29" s="211"/>
      <c r="LL29" s="211"/>
      <c r="LM29" s="211"/>
      <c r="LN29" s="211"/>
      <c r="LO29" s="211"/>
      <c r="LP29" s="211"/>
      <c r="LQ29" s="211"/>
      <c r="LR29" s="211"/>
      <c r="LS29" s="211"/>
      <c r="LT29" s="211"/>
      <c r="LU29" s="211"/>
      <c r="LV29" s="211"/>
      <c r="LW29" s="211"/>
      <c r="LX29" s="211"/>
      <c r="LY29" s="211"/>
      <c r="LZ29" s="211"/>
      <c r="MA29" s="211"/>
      <c r="MB29" s="211"/>
      <c r="MC29" s="211"/>
      <c r="MD29" s="211"/>
      <c r="ME29" s="211"/>
      <c r="MF29" s="211"/>
      <c r="MG29" s="211"/>
      <c r="MH29" s="211"/>
      <c r="MI29" s="211"/>
      <c r="MJ29" s="211"/>
      <c r="MK29" s="211"/>
      <c r="ML29" s="211"/>
      <c r="MM29" s="211"/>
      <c r="MN29" s="211"/>
      <c r="MO29" s="211"/>
      <c r="MP29" s="211"/>
      <c r="MQ29" s="211"/>
      <c r="MR29" s="211"/>
      <c r="MS29" s="211"/>
      <c r="MT29" s="211"/>
      <c r="MU29" s="211"/>
      <c r="MV29" s="211"/>
      <c r="MW29" s="211"/>
      <c r="MX29" s="211"/>
      <c r="MY29" s="211"/>
      <c r="MZ29" s="211"/>
      <c r="NA29" s="211"/>
      <c r="NB29" s="211"/>
      <c r="NC29" s="211"/>
      <c r="ND29" s="211"/>
      <c r="NE29" s="211"/>
      <c r="NF29" s="211"/>
      <c r="NG29" s="211"/>
      <c r="NH29" s="211"/>
      <c r="NI29" s="211"/>
      <c r="NJ29" s="211"/>
      <c r="NK29" s="211"/>
      <c r="NL29" s="211"/>
      <c r="NM29" s="211"/>
      <c r="NN29" s="211"/>
      <c r="NO29" s="211"/>
      <c r="NP29" s="211"/>
      <c r="NQ29" s="211"/>
      <c r="NR29" s="211"/>
      <c r="NS29" s="211"/>
      <c r="NT29" s="211"/>
      <c r="NU29" s="211"/>
      <c r="NV29" s="211"/>
      <c r="NW29" s="211"/>
      <c r="NX29" s="211"/>
      <c r="NY29" s="211"/>
      <c r="NZ29" s="211"/>
      <c r="OA29" s="211"/>
      <c r="OB29" s="211"/>
      <c r="OC29" s="211"/>
      <c r="OD29" s="211"/>
      <c r="OE29" s="211"/>
      <c r="OF29" s="211"/>
      <c r="OG29" s="211"/>
      <c r="OH29" s="211"/>
      <c r="OI29" s="211"/>
      <c r="OJ29" s="211"/>
      <c r="OK29" s="211"/>
      <c r="OL29" s="211"/>
      <c r="OM29" s="211"/>
      <c r="ON29" s="211"/>
      <c r="OO29" s="211"/>
      <c r="OP29" s="211"/>
      <c r="OQ29" s="211"/>
      <c r="OR29" s="211"/>
      <c r="OS29" s="211"/>
      <c r="OT29" s="211"/>
      <c r="OU29" s="211"/>
      <c r="OV29" s="211"/>
      <c r="OW29" s="211"/>
      <c r="OX29" s="211"/>
      <c r="OY29" s="211"/>
      <c r="OZ29" s="211"/>
      <c r="PA29" s="211"/>
      <c r="PB29" s="211"/>
      <c r="PC29" s="211"/>
      <c r="PD29" s="211"/>
      <c r="PE29" s="211"/>
      <c r="PF29" s="211"/>
      <c r="PG29" s="211"/>
      <c r="PH29" s="211"/>
      <c r="PI29" s="211"/>
      <c r="PJ29" s="211"/>
      <c r="PK29" s="211"/>
      <c r="PL29" s="211"/>
      <c r="PM29" s="211"/>
      <c r="PN29" s="211"/>
      <c r="PO29" s="211"/>
      <c r="PP29" s="211"/>
      <c r="PQ29" s="211"/>
      <c r="PR29" s="211"/>
      <c r="PS29" s="211"/>
      <c r="PT29" s="211"/>
      <c r="PU29" s="211"/>
      <c r="PV29" s="211"/>
      <c r="PW29" s="211"/>
      <c r="PX29" s="211"/>
      <c r="PY29" s="211"/>
      <c r="PZ29" s="211"/>
      <c r="QA29" s="211"/>
      <c r="QB29" s="211"/>
      <c r="QC29" s="211"/>
      <c r="QD29" s="211"/>
      <c r="QE29" s="211"/>
      <c r="QF29" s="211"/>
      <c r="QG29" s="211"/>
      <c r="QH29" s="211"/>
      <c r="QI29" s="211"/>
      <c r="QJ29" s="211"/>
      <c r="QK29" s="211"/>
      <c r="QL29" s="211"/>
      <c r="QM29" s="211"/>
      <c r="QN29" s="211"/>
      <c r="QO29" s="211"/>
      <c r="QP29" s="211"/>
      <c r="QQ29" s="211"/>
      <c r="QR29" s="211"/>
      <c r="QS29" s="211"/>
      <c r="QT29" s="211"/>
      <c r="QU29" s="211"/>
      <c r="QV29" s="211"/>
      <c r="QW29" s="211"/>
      <c r="QX29" s="211"/>
      <c r="QY29" s="211"/>
      <c r="QZ29" s="211"/>
      <c r="RA29" s="211"/>
      <c r="RB29" s="211"/>
      <c r="RC29" s="211"/>
      <c r="RD29" s="211"/>
      <c r="RE29" s="211"/>
      <c r="RF29" s="211"/>
      <c r="RG29" s="211"/>
      <c r="RH29" s="211"/>
      <c r="RI29" s="211"/>
      <c r="RJ29" s="211"/>
      <c r="RK29" s="211"/>
      <c r="RL29" s="211"/>
      <c r="RM29" s="211"/>
      <c r="RN29" s="211"/>
      <c r="RO29" s="211"/>
      <c r="RP29" s="211"/>
      <c r="RQ29" s="211"/>
      <c r="RR29" s="211"/>
      <c r="RS29" s="211"/>
      <c r="RT29" s="211"/>
      <c r="RU29" s="211"/>
      <c r="RV29" s="211"/>
      <c r="RW29" s="211"/>
      <c r="RX29" s="211"/>
      <c r="RY29" s="211"/>
      <c r="RZ29" s="211"/>
      <c r="SA29" s="211"/>
      <c r="SB29" s="211"/>
      <c r="SC29" s="211"/>
      <c r="SD29" s="211"/>
      <c r="SE29" s="211"/>
      <c r="SF29" s="211"/>
      <c r="SG29" s="211"/>
      <c r="SH29" s="211"/>
      <c r="SI29" s="211"/>
      <c r="SJ29" s="211"/>
      <c r="SK29" s="211"/>
      <c r="SL29" s="211"/>
      <c r="SM29" s="211"/>
      <c r="SN29" s="211"/>
      <c r="SO29" s="211"/>
      <c r="SP29" s="211"/>
      <c r="SQ29" s="211"/>
      <c r="SR29" s="211"/>
      <c r="SS29" s="211"/>
      <c r="ST29" s="211"/>
      <c r="SU29" s="211"/>
      <c r="SV29" s="211"/>
      <c r="SW29" s="211"/>
      <c r="SX29" s="211"/>
      <c r="SY29" s="211"/>
      <c r="SZ29" s="211"/>
      <c r="TA29" s="211"/>
      <c r="TB29" s="211"/>
      <c r="TC29" s="211"/>
      <c r="TD29" s="211"/>
      <c r="TE29" s="211"/>
      <c r="TF29" s="211"/>
      <c r="TG29" s="211"/>
      <c r="TH29" s="211"/>
      <c r="TI29" s="211"/>
      <c r="TJ29" s="211"/>
      <c r="TK29" s="211"/>
      <c r="TL29" s="211"/>
      <c r="TM29" s="211"/>
      <c r="TN29" s="211"/>
      <c r="TO29" s="211"/>
      <c r="TP29" s="211"/>
      <c r="TQ29" s="211"/>
      <c r="TR29" s="211"/>
      <c r="TS29" s="211"/>
      <c r="TT29" s="211"/>
      <c r="TU29" s="211"/>
      <c r="TV29" s="211"/>
      <c r="TW29" s="211"/>
      <c r="TX29" s="211"/>
      <c r="TY29" s="211"/>
      <c r="TZ29" s="211"/>
      <c r="UA29" s="211"/>
      <c r="UB29" s="211"/>
      <c r="UC29" s="211"/>
      <c r="UD29" s="211"/>
      <c r="UE29" s="211"/>
      <c r="UF29" s="211"/>
      <c r="UG29" s="211"/>
      <c r="UH29" s="211"/>
      <c r="UI29" s="211"/>
      <c r="UJ29" s="211"/>
      <c r="UK29" s="211"/>
      <c r="UL29" s="211"/>
      <c r="UM29" s="211"/>
      <c r="UN29" s="211"/>
      <c r="UO29" s="211"/>
      <c r="UP29" s="211"/>
      <c r="UQ29" s="211"/>
      <c r="UR29" s="211"/>
      <c r="US29" s="211"/>
      <c r="UT29" s="211"/>
      <c r="UU29" s="211"/>
      <c r="UV29" s="211"/>
      <c r="UW29" s="211"/>
      <c r="UX29" s="211"/>
      <c r="UY29" s="211"/>
      <c r="UZ29" s="211"/>
      <c r="VA29" s="211"/>
      <c r="VB29" s="211"/>
      <c r="VC29" s="211"/>
      <c r="VD29" s="211"/>
      <c r="VE29" s="211"/>
      <c r="VF29" s="211"/>
      <c r="VG29" s="211"/>
      <c r="VH29" s="211"/>
      <c r="VI29" s="211"/>
      <c r="VJ29" s="211"/>
      <c r="VK29" s="211"/>
      <c r="VL29" s="211"/>
      <c r="VM29" s="211"/>
      <c r="VN29" s="211"/>
      <c r="VO29" s="211"/>
      <c r="VP29" s="211"/>
      <c r="VQ29" s="211"/>
      <c r="VR29" s="211"/>
      <c r="VS29" s="211"/>
      <c r="VT29" s="211"/>
      <c r="VU29" s="211"/>
      <c r="VV29" s="211"/>
      <c r="VW29" s="211"/>
      <c r="VX29" s="211"/>
      <c r="VY29" s="211"/>
      <c r="VZ29" s="211"/>
      <c r="WA29" s="211"/>
      <c r="WB29" s="211"/>
      <c r="WC29" s="211"/>
      <c r="WD29" s="211"/>
      <c r="WE29" s="211"/>
      <c r="WF29" s="211"/>
      <c r="WG29" s="211"/>
      <c r="WH29" s="211"/>
      <c r="WI29" s="211"/>
      <c r="WJ29" s="211"/>
      <c r="WK29" s="211"/>
      <c r="WL29" s="211"/>
      <c r="WM29" s="211"/>
      <c r="WN29" s="211"/>
      <c r="WO29" s="211"/>
      <c r="WP29" s="211"/>
      <c r="WQ29" s="211"/>
      <c r="WR29" s="211"/>
      <c r="WS29" s="211"/>
      <c r="WT29" s="211"/>
      <c r="WU29" s="211"/>
      <c r="WV29" s="211"/>
      <c r="WW29" s="211"/>
      <c r="WX29" s="211"/>
      <c r="WY29" s="211"/>
      <c r="WZ29" s="211"/>
      <c r="XA29" s="211"/>
      <c r="XB29" s="211"/>
      <c r="XC29" s="211"/>
      <c r="XD29" s="211"/>
      <c r="XE29" s="211"/>
      <c r="XF29" s="211"/>
      <c r="XG29" s="211"/>
      <c r="XH29" s="211"/>
      <c r="XI29" s="211"/>
      <c r="XJ29" s="211"/>
      <c r="XK29" s="211"/>
      <c r="XL29" s="211"/>
      <c r="XM29" s="211"/>
      <c r="XN29" s="211"/>
      <c r="XO29" s="211"/>
      <c r="XP29" s="211"/>
      <c r="XQ29" s="211"/>
      <c r="XR29" s="211"/>
      <c r="XS29" s="211"/>
      <c r="XT29" s="211"/>
      <c r="XU29" s="211"/>
      <c r="XV29" s="211"/>
      <c r="XW29" s="211"/>
      <c r="XX29" s="211"/>
      <c r="XY29" s="211"/>
      <c r="XZ29" s="211"/>
      <c r="YA29" s="211"/>
      <c r="YB29" s="211"/>
      <c r="YC29" s="211"/>
      <c r="YD29" s="211"/>
      <c r="YE29" s="211"/>
      <c r="YF29" s="211"/>
      <c r="YG29" s="211"/>
      <c r="YH29" s="211"/>
      <c r="YI29" s="211"/>
      <c r="YJ29" s="211"/>
      <c r="YK29" s="211"/>
      <c r="YL29" s="211"/>
      <c r="YM29" s="211"/>
      <c r="YN29" s="211"/>
      <c r="YO29" s="211"/>
      <c r="YP29" s="211"/>
      <c r="YQ29" s="211"/>
      <c r="YR29" s="211"/>
      <c r="YS29" s="211"/>
      <c r="YT29" s="211"/>
      <c r="YU29" s="211"/>
      <c r="YV29" s="211"/>
      <c r="YW29" s="211"/>
      <c r="YX29" s="211"/>
      <c r="YY29" s="211"/>
      <c r="YZ29" s="211"/>
      <c r="ZA29" s="211"/>
      <c r="ZB29" s="211"/>
      <c r="ZC29" s="211"/>
      <c r="ZD29" s="211"/>
      <c r="ZE29" s="211"/>
      <c r="ZF29" s="211"/>
      <c r="ZG29" s="211"/>
      <c r="ZH29" s="211"/>
      <c r="ZI29" s="211"/>
      <c r="ZJ29" s="211"/>
      <c r="ZK29" s="211"/>
      <c r="ZL29" s="211"/>
      <c r="ZM29" s="211"/>
      <c r="ZN29" s="211"/>
      <c r="ZO29" s="211"/>
      <c r="ZP29" s="211"/>
      <c r="ZQ29" s="211"/>
      <c r="ZR29" s="211"/>
      <c r="ZS29" s="211"/>
      <c r="ZT29" s="211"/>
      <c r="ZU29" s="211"/>
      <c r="ZV29" s="211"/>
      <c r="ZW29" s="211"/>
      <c r="ZX29" s="211"/>
      <c r="ZY29" s="211"/>
      <c r="ZZ29" s="211"/>
      <c r="AAA29" s="211"/>
      <c r="AAB29" s="211"/>
      <c r="AAC29" s="211"/>
      <c r="AAD29" s="211"/>
      <c r="AAE29" s="211"/>
      <c r="AAF29" s="211"/>
      <c r="AAG29" s="211"/>
      <c r="AAH29" s="211"/>
      <c r="AAI29" s="211"/>
      <c r="AAJ29" s="211"/>
      <c r="AAK29" s="211"/>
      <c r="AAL29" s="211"/>
      <c r="AAM29" s="211"/>
      <c r="AAN29" s="211"/>
      <c r="AAO29" s="211"/>
      <c r="AAP29" s="211"/>
      <c r="AAQ29" s="211"/>
      <c r="AAR29" s="211"/>
      <c r="AAS29" s="211"/>
      <c r="AAT29" s="211"/>
      <c r="AAU29" s="211"/>
      <c r="AAV29" s="211"/>
      <c r="AAW29" s="211"/>
      <c r="AAX29" s="211"/>
      <c r="AAY29" s="211"/>
      <c r="AAZ29" s="211"/>
      <c r="ABA29" s="211"/>
      <c r="ABB29" s="211"/>
      <c r="ABC29" s="211"/>
      <c r="ABD29" s="211"/>
      <c r="ABE29" s="211"/>
      <c r="ABF29" s="211"/>
      <c r="ABG29" s="211"/>
      <c r="ABH29" s="211"/>
      <c r="ABI29" s="211"/>
      <c r="ABJ29" s="211"/>
      <c r="ABK29" s="211"/>
      <c r="ABL29" s="211"/>
      <c r="ABM29" s="211"/>
      <c r="ABN29" s="211"/>
      <c r="ABO29" s="211"/>
      <c r="ABP29" s="211"/>
      <c r="ABQ29" s="211"/>
      <c r="ABR29" s="211"/>
      <c r="ABS29" s="211"/>
      <c r="ABT29" s="211"/>
      <c r="ABU29" s="211"/>
      <c r="ABV29" s="211"/>
      <c r="ABW29" s="211"/>
      <c r="ABX29" s="211"/>
      <c r="ABY29" s="211"/>
      <c r="ABZ29" s="211"/>
      <c r="ACA29" s="211"/>
      <c r="ACB29" s="211"/>
      <c r="ACC29" s="211"/>
      <c r="ACD29" s="211"/>
      <c r="ACE29" s="211"/>
      <c r="ACF29" s="211"/>
      <c r="ACG29" s="211"/>
      <c r="ACH29" s="211"/>
      <c r="ACI29" s="211"/>
      <c r="ACJ29" s="211"/>
      <c r="ACK29" s="211"/>
      <c r="ACL29" s="211"/>
      <c r="ACM29" s="211"/>
      <c r="ACN29" s="211"/>
      <c r="ACO29" s="211"/>
      <c r="ACP29" s="211"/>
      <c r="ACQ29" s="211"/>
      <c r="ACR29" s="211"/>
      <c r="ACS29" s="211"/>
      <c r="ACT29" s="211"/>
      <c r="ACU29" s="211"/>
      <c r="ACV29" s="211"/>
      <c r="ACW29" s="211"/>
      <c r="ACX29" s="211"/>
      <c r="ACY29" s="211"/>
      <c r="ACZ29" s="211"/>
      <c r="ADA29" s="211"/>
      <c r="ADB29" s="211"/>
      <c r="ADC29" s="211"/>
      <c r="ADD29" s="211"/>
      <c r="ADE29" s="211"/>
      <c r="ADF29" s="211"/>
      <c r="ADG29" s="211"/>
      <c r="ADH29" s="211"/>
      <c r="ADI29" s="211"/>
      <c r="ADJ29" s="211"/>
      <c r="ADK29" s="211"/>
      <c r="ADL29" s="211"/>
      <c r="ADM29" s="211"/>
      <c r="ADN29" s="211"/>
      <c r="ADO29" s="211"/>
      <c r="ADP29" s="211"/>
      <c r="ADQ29" s="211"/>
      <c r="ADR29" s="211"/>
      <c r="ADS29" s="211"/>
      <c r="ADT29" s="211"/>
      <c r="ADU29" s="211"/>
      <c r="ADV29" s="211"/>
      <c r="ADW29" s="211"/>
      <c r="ADX29" s="211"/>
      <c r="ADY29" s="211"/>
      <c r="ADZ29" s="211"/>
      <c r="AEA29" s="211"/>
      <c r="AEB29" s="211"/>
      <c r="AEC29" s="211"/>
      <c r="AED29" s="211"/>
      <c r="AEE29" s="211"/>
      <c r="AEF29" s="211"/>
      <c r="AEG29" s="211"/>
      <c r="AEH29" s="211"/>
      <c r="AEI29" s="211"/>
      <c r="AEJ29" s="211"/>
      <c r="AEK29" s="211"/>
      <c r="AEL29" s="211"/>
      <c r="AEM29" s="211"/>
      <c r="AEN29" s="211"/>
      <c r="AEO29" s="211"/>
      <c r="AEP29" s="211"/>
      <c r="AEQ29" s="211"/>
      <c r="AER29" s="211"/>
      <c r="AES29" s="211"/>
      <c r="AET29" s="211"/>
      <c r="AEU29" s="211"/>
      <c r="AEV29" s="211"/>
      <c r="AEW29" s="211"/>
      <c r="AEX29" s="211"/>
      <c r="AEY29" s="211"/>
      <c r="AEZ29" s="211"/>
      <c r="AFA29" s="211"/>
      <c r="AFB29" s="211"/>
      <c r="AFC29" s="211"/>
      <c r="AFD29" s="211"/>
      <c r="AFE29" s="211"/>
      <c r="AFF29" s="211"/>
      <c r="AFG29" s="211"/>
      <c r="AFH29" s="211"/>
      <c r="AFI29" s="211"/>
      <c r="AFJ29" s="211"/>
      <c r="AFK29" s="211"/>
      <c r="AFL29" s="211"/>
      <c r="AFM29" s="211"/>
      <c r="AFN29" s="211"/>
      <c r="AFO29" s="211"/>
      <c r="AFP29" s="211"/>
      <c r="AFQ29" s="211"/>
      <c r="AFR29" s="211"/>
      <c r="AFS29" s="211"/>
      <c r="AFT29" s="211"/>
      <c r="AFU29" s="211"/>
      <c r="AFV29" s="211"/>
      <c r="AFW29" s="211"/>
      <c r="AFX29" s="211"/>
      <c r="AFY29" s="211"/>
      <c r="AFZ29" s="211"/>
      <c r="AGA29" s="211"/>
      <c r="AGB29" s="211"/>
      <c r="AGC29" s="211"/>
      <c r="AGD29" s="211"/>
      <c r="AGE29" s="211"/>
      <c r="AGF29" s="211"/>
      <c r="AGG29" s="211"/>
      <c r="AGH29" s="211"/>
      <c r="AGI29" s="211"/>
      <c r="AGJ29" s="211"/>
      <c r="AGK29" s="211"/>
      <c r="AGL29" s="211"/>
      <c r="AGM29" s="211"/>
      <c r="AGN29" s="211"/>
      <c r="AGO29" s="211"/>
      <c r="AGP29" s="211"/>
      <c r="AGQ29" s="211"/>
      <c r="AGR29" s="211"/>
      <c r="AGS29" s="211"/>
      <c r="AGT29" s="211"/>
      <c r="AGU29" s="211"/>
      <c r="AGV29" s="211"/>
      <c r="AGW29" s="211"/>
      <c r="AGX29" s="211"/>
      <c r="AGY29" s="211"/>
      <c r="AGZ29" s="211"/>
      <c r="AHA29" s="211"/>
      <c r="AHB29" s="211"/>
      <c r="AHC29" s="211"/>
      <c r="AHD29" s="211"/>
      <c r="AHE29" s="211"/>
      <c r="AHF29" s="211"/>
      <c r="AHG29" s="211"/>
      <c r="AHH29" s="211"/>
      <c r="AHI29" s="211"/>
      <c r="AHJ29" s="211"/>
      <c r="AHK29" s="211"/>
      <c r="AHL29" s="211"/>
      <c r="AHM29" s="211"/>
      <c r="AHN29" s="211"/>
      <c r="AHO29" s="211"/>
      <c r="AHP29" s="211"/>
      <c r="AHQ29" s="211"/>
      <c r="AHR29" s="211"/>
      <c r="AHS29" s="211"/>
      <c r="AHT29" s="211"/>
      <c r="AHU29" s="211"/>
      <c r="AHV29" s="211"/>
      <c r="AHW29" s="211"/>
      <c r="AHX29" s="211"/>
      <c r="AHY29" s="211"/>
      <c r="AHZ29" s="211"/>
      <c r="AIA29" s="211"/>
      <c r="AIB29" s="211"/>
      <c r="AIC29" s="211"/>
      <c r="AID29" s="211"/>
      <c r="AIE29" s="211"/>
      <c r="AIF29" s="211"/>
      <c r="AIG29" s="211"/>
      <c r="AIH29" s="211"/>
      <c r="AII29" s="211"/>
      <c r="AIJ29" s="211"/>
      <c r="AIK29" s="211"/>
      <c r="AIL29" s="211"/>
      <c r="AIM29" s="211"/>
      <c r="AIN29" s="211"/>
      <c r="AIO29" s="211"/>
      <c r="AIP29" s="211"/>
      <c r="AIQ29" s="211"/>
      <c r="AIR29" s="211"/>
      <c r="AIS29" s="211"/>
      <c r="AIT29" s="211"/>
      <c r="AIU29" s="211"/>
      <c r="AIV29" s="211"/>
      <c r="AIW29" s="211"/>
      <c r="AIX29" s="211"/>
      <c r="AIY29" s="211"/>
      <c r="AIZ29" s="211"/>
      <c r="AJA29" s="211"/>
      <c r="AJB29" s="211"/>
      <c r="AJC29" s="211"/>
      <c r="AJD29" s="211"/>
      <c r="AJE29" s="211"/>
      <c r="AJF29" s="211"/>
      <c r="AJG29" s="211"/>
      <c r="AJH29" s="211"/>
      <c r="AJI29" s="211"/>
      <c r="AJJ29" s="211"/>
      <c r="AJK29" s="211"/>
      <c r="AJL29" s="211"/>
      <c r="AJM29" s="211"/>
      <c r="AJN29" s="211"/>
      <c r="AJO29" s="211"/>
      <c r="AJP29" s="211"/>
      <c r="AJQ29" s="211"/>
      <c r="AJR29" s="211"/>
      <c r="AJS29" s="211"/>
      <c r="AJT29" s="211"/>
      <c r="AJU29" s="211"/>
      <c r="AJV29" s="211"/>
      <c r="AJW29" s="211"/>
      <c r="AJX29" s="211"/>
      <c r="AJY29" s="211"/>
      <c r="AJZ29" s="211"/>
      <c r="AKA29" s="211"/>
      <c r="AKB29" s="211"/>
      <c r="AKC29" s="211"/>
      <c r="AKD29" s="211"/>
      <c r="AKE29" s="211"/>
      <c r="AKF29" s="211"/>
      <c r="AKG29" s="211"/>
      <c r="AKH29" s="211"/>
      <c r="AKI29" s="211"/>
      <c r="AKJ29" s="211"/>
      <c r="AKK29" s="211"/>
      <c r="AKL29" s="211"/>
      <c r="AKM29" s="211"/>
      <c r="AKN29" s="211"/>
      <c r="AKO29" s="211"/>
      <c r="AKP29" s="211"/>
      <c r="AKQ29" s="211"/>
      <c r="AKR29" s="211"/>
      <c r="AKS29" s="211"/>
      <c r="AKT29" s="211"/>
      <c r="AKU29" s="211"/>
      <c r="AKV29" s="211"/>
      <c r="AKW29" s="211"/>
      <c r="AKX29" s="211"/>
      <c r="AKY29" s="211"/>
      <c r="AKZ29" s="211"/>
      <c r="ALA29" s="211"/>
      <c r="ALB29" s="211"/>
      <c r="ALC29" s="211"/>
      <c r="ALD29" s="211"/>
      <c r="ALE29" s="211"/>
      <c r="ALF29" s="211"/>
      <c r="ALG29" s="211"/>
      <c r="ALH29" s="211"/>
      <c r="ALI29" s="211"/>
      <c r="ALJ29" s="211"/>
      <c r="ALK29" s="211"/>
      <c r="ALL29" s="211"/>
      <c r="ALM29" s="211"/>
      <c r="ALN29" s="211"/>
      <c r="ALO29" s="211"/>
      <c r="ALP29" s="211"/>
      <c r="ALQ29" s="211"/>
      <c r="ALR29" s="211"/>
      <c r="ALS29" s="211"/>
      <c r="ALT29" s="211"/>
      <c r="ALU29" s="211"/>
      <c r="ALV29" s="211"/>
      <c r="ALW29" s="211"/>
      <c r="ALX29" s="211"/>
      <c r="ALY29" s="211"/>
      <c r="ALZ29" s="211"/>
      <c r="AMA29" s="211"/>
      <c r="AMB29" s="211"/>
      <c r="AMC29" s="211"/>
      <c r="AMD29" s="211"/>
      <c r="AME29" s="211"/>
      <c r="AMF29" s="211"/>
      <c r="AMG29" s="211"/>
      <c r="AMH29" s="211"/>
      <c r="AMI29" s="211"/>
      <c r="AMJ29" s="211"/>
      <c r="AMK29" s="211"/>
      <c r="AML29" s="211"/>
      <c r="AMM29" s="211"/>
      <c r="AMN29" s="211"/>
      <c r="AMO29" s="211"/>
      <c r="AMP29" s="211"/>
      <c r="AMQ29" s="211"/>
      <c r="AMR29" s="211"/>
      <c r="AMS29" s="211"/>
      <c r="AMT29" s="211"/>
      <c r="AMU29" s="211"/>
      <c r="AMV29" s="211"/>
      <c r="AMW29" s="211"/>
      <c r="AMX29" s="211"/>
      <c r="AMY29" s="211"/>
      <c r="AMZ29" s="211"/>
      <c r="ANA29" s="211"/>
      <c r="ANB29" s="211"/>
      <c r="ANC29" s="211"/>
      <c r="AND29" s="211"/>
      <c r="ANE29" s="211"/>
      <c r="ANF29" s="211"/>
      <c r="ANG29" s="211"/>
      <c r="ANH29" s="211"/>
      <c r="ANI29" s="211"/>
      <c r="ANJ29" s="211"/>
      <c r="ANK29" s="211"/>
      <c r="ANL29" s="211"/>
      <c r="ANM29" s="211"/>
      <c r="ANN29" s="211"/>
      <c r="ANO29" s="211"/>
      <c r="ANP29" s="211"/>
      <c r="ANQ29" s="211"/>
      <c r="ANR29" s="211"/>
      <c r="ANS29" s="211"/>
      <c r="ANT29" s="211"/>
      <c r="ANU29" s="211"/>
      <c r="ANV29" s="211"/>
      <c r="ANW29" s="211"/>
      <c r="ANX29" s="211"/>
      <c r="ANY29" s="211"/>
      <c r="ANZ29" s="211"/>
      <c r="AOA29" s="211"/>
      <c r="AOB29" s="211"/>
      <c r="AOC29" s="211"/>
      <c r="AOD29" s="211"/>
      <c r="AOE29" s="211"/>
      <c r="AOF29" s="211"/>
      <c r="AOG29" s="211"/>
      <c r="AOH29" s="211"/>
      <c r="AOI29" s="211"/>
      <c r="AOJ29" s="211"/>
      <c r="AOK29" s="211"/>
      <c r="AOL29" s="211"/>
      <c r="AOM29" s="211"/>
      <c r="AON29" s="211"/>
      <c r="AOO29" s="211"/>
      <c r="AOP29" s="211"/>
      <c r="AOQ29" s="211"/>
      <c r="AOR29" s="211"/>
      <c r="AOS29" s="211"/>
      <c r="AOT29" s="211"/>
      <c r="AOU29" s="211"/>
      <c r="AOV29" s="211"/>
      <c r="AOW29" s="211"/>
      <c r="AOX29" s="211"/>
      <c r="AOY29" s="211"/>
      <c r="AOZ29" s="211"/>
      <c r="APA29" s="211"/>
      <c r="APB29" s="211"/>
      <c r="APC29" s="211"/>
      <c r="APD29" s="211"/>
      <c r="APE29" s="211"/>
      <c r="APF29" s="211"/>
      <c r="APG29" s="211"/>
      <c r="APH29" s="211"/>
      <c r="API29" s="211"/>
      <c r="APJ29" s="211"/>
      <c r="APK29" s="211"/>
      <c r="APL29" s="211"/>
      <c r="APM29" s="211"/>
      <c r="APN29" s="211"/>
      <c r="APO29" s="211"/>
      <c r="APP29" s="211"/>
      <c r="APQ29" s="211"/>
      <c r="APR29" s="211"/>
      <c r="APS29" s="211"/>
      <c r="APT29" s="211"/>
      <c r="APU29" s="211"/>
      <c r="APV29" s="211"/>
      <c r="APW29" s="211"/>
      <c r="APX29" s="211"/>
      <c r="APY29" s="211"/>
      <c r="APZ29" s="211"/>
      <c r="AQA29" s="211"/>
      <c r="AQB29" s="211"/>
      <c r="AQC29" s="211"/>
      <c r="AQD29" s="211"/>
      <c r="AQE29" s="211"/>
      <c r="AQF29" s="211"/>
      <c r="AQG29" s="211"/>
      <c r="AQH29" s="211"/>
      <c r="AQI29" s="211"/>
      <c r="AQJ29" s="211"/>
      <c r="AQK29" s="211"/>
      <c r="AQL29" s="211"/>
      <c r="AQM29" s="211"/>
      <c r="AQN29" s="211"/>
      <c r="AQO29" s="211"/>
      <c r="AQP29" s="211"/>
      <c r="AQQ29" s="211"/>
      <c r="AQR29" s="211"/>
      <c r="AQS29" s="211"/>
      <c r="AQT29" s="211"/>
      <c r="AQU29" s="211"/>
      <c r="AQV29" s="211"/>
      <c r="AQW29" s="211"/>
      <c r="AQX29" s="211"/>
      <c r="AQY29" s="211"/>
      <c r="AQZ29" s="211"/>
      <c r="ARA29" s="211"/>
      <c r="ARB29" s="211"/>
      <c r="ARC29" s="211"/>
      <c r="ARD29" s="211"/>
      <c r="ARE29" s="211"/>
      <c r="ARF29" s="211"/>
      <c r="ARG29" s="211"/>
      <c r="ARH29" s="211"/>
      <c r="ARI29" s="211"/>
      <c r="ARJ29" s="211"/>
      <c r="ARK29" s="211"/>
      <c r="ARL29" s="211"/>
      <c r="ARM29" s="211"/>
      <c r="ARN29" s="211"/>
      <c r="ARO29" s="211"/>
      <c r="ARP29" s="211"/>
      <c r="ARQ29" s="211"/>
      <c r="ARR29" s="211"/>
      <c r="ARS29" s="211"/>
      <c r="ART29" s="211"/>
      <c r="ARU29" s="211"/>
      <c r="ARV29" s="211"/>
      <c r="ARW29" s="211"/>
      <c r="ARX29" s="211"/>
      <c r="ARY29" s="211"/>
      <c r="ARZ29" s="211"/>
      <c r="ASA29" s="211"/>
      <c r="ASB29" s="211"/>
      <c r="ASC29" s="211"/>
      <c r="ASD29" s="211"/>
      <c r="ASE29" s="211"/>
      <c r="ASF29" s="211"/>
      <c r="ASG29" s="211"/>
      <c r="ASH29" s="211"/>
      <c r="ASI29" s="211"/>
      <c r="ASJ29" s="211"/>
      <c r="ASK29" s="211"/>
      <c r="ASL29" s="211"/>
      <c r="ASM29" s="211"/>
      <c r="ASN29" s="211"/>
      <c r="ASO29" s="211"/>
      <c r="ASP29" s="211"/>
      <c r="ASQ29" s="211"/>
      <c r="ASR29" s="211"/>
      <c r="ASS29" s="211"/>
      <c r="AST29" s="211"/>
      <c r="ASU29" s="211"/>
      <c r="ASV29" s="211"/>
      <c r="ASW29" s="211"/>
      <c r="ASX29" s="211"/>
      <c r="ASY29" s="211"/>
      <c r="ASZ29" s="211"/>
      <c r="ATA29" s="211"/>
      <c r="ATB29" s="211"/>
      <c r="ATC29" s="211"/>
      <c r="ATD29" s="211"/>
      <c r="ATE29" s="211"/>
      <c r="ATF29" s="211"/>
      <c r="ATG29" s="211"/>
      <c r="ATH29" s="211"/>
      <c r="ATI29" s="211"/>
      <c r="ATJ29" s="211"/>
      <c r="ATK29" s="211"/>
      <c r="ATL29" s="211"/>
      <c r="ATM29" s="211"/>
      <c r="ATN29" s="211"/>
      <c r="ATO29" s="211"/>
      <c r="ATP29" s="211"/>
      <c r="ATQ29" s="211"/>
      <c r="ATR29" s="211"/>
      <c r="ATS29" s="211"/>
      <c r="ATT29" s="211"/>
      <c r="ATU29" s="211"/>
      <c r="ATV29" s="211"/>
      <c r="ATW29" s="211"/>
      <c r="ATX29" s="211"/>
      <c r="ATY29" s="211"/>
      <c r="ATZ29" s="211"/>
      <c r="AUA29" s="211"/>
      <c r="AUB29" s="211"/>
      <c r="AUC29" s="211"/>
      <c r="AUD29" s="211"/>
      <c r="AUE29" s="211"/>
      <c r="AUF29" s="211"/>
      <c r="AUG29" s="211"/>
      <c r="AUH29" s="211"/>
      <c r="AUI29" s="211"/>
      <c r="AUJ29" s="211"/>
      <c r="AUK29" s="211"/>
      <c r="AUL29" s="211"/>
      <c r="AUM29" s="211"/>
      <c r="AUN29" s="211"/>
      <c r="AUO29" s="211"/>
      <c r="AUP29" s="211"/>
      <c r="AUQ29" s="211"/>
      <c r="AUR29" s="211"/>
      <c r="AUS29" s="211"/>
      <c r="AUT29" s="211"/>
      <c r="AUU29" s="211"/>
      <c r="AUV29" s="211"/>
      <c r="AUW29" s="211"/>
      <c r="AUX29" s="211"/>
      <c r="AUY29" s="211"/>
      <c r="AUZ29" s="211"/>
      <c r="AVA29" s="211"/>
      <c r="AVB29" s="211"/>
      <c r="AVC29" s="211"/>
      <c r="AVD29" s="211"/>
      <c r="AVE29" s="211"/>
      <c r="AVF29" s="211"/>
      <c r="AVG29" s="211"/>
      <c r="AVH29" s="211"/>
      <c r="AVI29" s="211"/>
      <c r="AVJ29" s="211"/>
      <c r="AVK29" s="211"/>
      <c r="AVL29" s="211"/>
      <c r="AVM29" s="211"/>
      <c r="AVN29" s="211"/>
      <c r="AVO29" s="211"/>
      <c r="AVP29" s="211"/>
      <c r="AVQ29" s="211"/>
      <c r="AVR29" s="211"/>
      <c r="AVS29" s="211"/>
      <c r="AVT29" s="211"/>
      <c r="AVU29" s="211"/>
      <c r="AVV29" s="211"/>
      <c r="AVW29" s="211"/>
      <c r="AVX29" s="211"/>
      <c r="AVY29" s="211"/>
      <c r="AVZ29" s="211"/>
      <c r="AWA29" s="211"/>
      <c r="AWB29" s="211"/>
      <c r="AWC29" s="211"/>
      <c r="AWD29" s="211"/>
      <c r="AWE29" s="211"/>
      <c r="AWF29" s="211"/>
      <c r="AWG29" s="211"/>
      <c r="AWH29" s="211"/>
      <c r="AWI29" s="211"/>
      <c r="AWJ29" s="211"/>
      <c r="AWK29" s="211"/>
      <c r="AWL29" s="211"/>
      <c r="AWM29" s="211"/>
      <c r="AWN29" s="211"/>
      <c r="AWO29" s="211"/>
      <c r="AWP29" s="211"/>
      <c r="AWQ29" s="211"/>
      <c r="AWR29" s="211"/>
      <c r="AWS29" s="211"/>
      <c r="AWT29" s="211"/>
      <c r="AWU29" s="211"/>
      <c r="AWV29" s="211"/>
      <c r="AWW29" s="211"/>
      <c r="AWX29" s="211"/>
      <c r="AWY29" s="211"/>
      <c r="AWZ29" s="211"/>
      <c r="AXA29" s="211"/>
      <c r="AXB29" s="211"/>
      <c r="AXC29" s="211"/>
      <c r="AXD29" s="211"/>
      <c r="AXE29" s="211"/>
      <c r="AXF29" s="211"/>
      <c r="AXG29" s="211"/>
      <c r="AXH29" s="211"/>
      <c r="AXI29" s="211"/>
      <c r="AXJ29" s="211"/>
      <c r="AXK29" s="211"/>
      <c r="AXL29" s="211"/>
      <c r="AXM29" s="211"/>
      <c r="AXN29" s="211"/>
      <c r="AXO29" s="211"/>
      <c r="AXP29" s="211"/>
      <c r="AXQ29" s="211"/>
      <c r="AXR29" s="211"/>
      <c r="AXS29" s="211"/>
      <c r="AXT29" s="211"/>
      <c r="AXU29" s="211"/>
      <c r="AXV29" s="211"/>
      <c r="AXW29" s="211"/>
      <c r="AXX29" s="211"/>
      <c r="AXY29" s="211"/>
      <c r="AXZ29" s="211"/>
      <c r="AYA29" s="211"/>
      <c r="AYB29" s="211"/>
      <c r="AYC29" s="211"/>
      <c r="AYD29" s="211"/>
      <c r="AYE29" s="211"/>
      <c r="AYF29" s="211"/>
      <c r="AYG29" s="211"/>
      <c r="AYH29" s="211"/>
      <c r="AYI29" s="211"/>
      <c r="AYJ29" s="211"/>
      <c r="AYK29" s="211"/>
      <c r="AYL29" s="211"/>
      <c r="AYM29" s="211"/>
      <c r="AYN29" s="211"/>
      <c r="AYO29" s="211"/>
      <c r="AYP29" s="211"/>
      <c r="AYQ29" s="211"/>
      <c r="AYR29" s="211"/>
      <c r="AYS29" s="211"/>
      <c r="AYT29" s="211"/>
      <c r="AYU29" s="211"/>
      <c r="AYV29" s="211"/>
      <c r="AYW29" s="211"/>
      <c r="AYX29" s="211"/>
      <c r="AYY29" s="211"/>
      <c r="AYZ29" s="211"/>
      <c r="AZA29" s="211"/>
      <c r="AZB29" s="211"/>
      <c r="AZC29" s="211"/>
      <c r="AZD29" s="211"/>
      <c r="AZE29" s="211"/>
      <c r="AZF29" s="211"/>
      <c r="AZG29" s="211"/>
      <c r="AZH29" s="211"/>
      <c r="AZI29" s="211"/>
      <c r="AZJ29" s="211"/>
      <c r="AZK29" s="211"/>
      <c r="AZL29" s="211"/>
      <c r="AZM29" s="211"/>
      <c r="AZN29" s="211"/>
      <c r="AZO29" s="211"/>
      <c r="AZP29" s="211"/>
      <c r="AZQ29" s="211"/>
      <c r="AZR29" s="211"/>
      <c r="AZS29" s="211"/>
      <c r="AZT29" s="211"/>
      <c r="AZU29" s="211"/>
      <c r="AZV29" s="211"/>
      <c r="AZW29" s="211"/>
      <c r="AZX29" s="211"/>
      <c r="AZY29" s="211"/>
      <c r="AZZ29" s="211"/>
      <c r="BAA29" s="211"/>
      <c r="BAB29" s="211"/>
      <c r="BAC29" s="211"/>
      <c r="BAD29" s="211"/>
      <c r="BAE29" s="211"/>
      <c r="BAF29" s="211"/>
      <c r="BAG29" s="211"/>
      <c r="BAH29" s="211"/>
      <c r="BAI29" s="211"/>
      <c r="BAJ29" s="211"/>
      <c r="BAK29" s="211"/>
      <c r="BAL29" s="211"/>
      <c r="BAM29" s="211"/>
      <c r="BAN29" s="211"/>
      <c r="BAO29" s="211"/>
      <c r="BAP29" s="211"/>
      <c r="BAQ29" s="211"/>
      <c r="BAR29" s="211"/>
      <c r="BAS29" s="211"/>
      <c r="BAT29" s="211"/>
      <c r="BAU29" s="211"/>
      <c r="BAV29" s="211"/>
      <c r="BAW29" s="211"/>
      <c r="BAX29" s="211"/>
      <c r="BAY29" s="211"/>
      <c r="BAZ29" s="211"/>
      <c r="BBA29" s="211"/>
      <c r="BBB29" s="211"/>
      <c r="BBC29" s="211"/>
      <c r="BBD29" s="211"/>
      <c r="BBE29" s="211"/>
      <c r="BBF29" s="211"/>
      <c r="BBG29" s="211"/>
      <c r="BBH29" s="211"/>
      <c r="BBI29" s="211"/>
      <c r="BBJ29" s="211"/>
      <c r="BBK29" s="211"/>
      <c r="BBL29" s="211"/>
      <c r="BBM29" s="211"/>
      <c r="BBN29" s="211"/>
      <c r="BBO29" s="211"/>
      <c r="BBP29" s="211"/>
      <c r="BBQ29" s="211"/>
      <c r="BBR29" s="211"/>
      <c r="BBS29" s="211"/>
      <c r="BBT29" s="211"/>
      <c r="BBU29" s="211"/>
      <c r="BBV29" s="211"/>
      <c r="BBW29" s="211"/>
      <c r="BBX29" s="211"/>
      <c r="BBY29" s="211"/>
      <c r="BBZ29" s="211"/>
      <c r="BCA29" s="211"/>
      <c r="BCB29" s="211"/>
      <c r="BCC29" s="211"/>
      <c r="BCD29" s="211"/>
      <c r="BCE29" s="211"/>
      <c r="BCF29" s="211"/>
      <c r="BCG29" s="211"/>
      <c r="BCH29" s="211"/>
      <c r="BCI29" s="211"/>
      <c r="BCJ29" s="211"/>
      <c r="BCK29" s="211"/>
      <c r="BCL29" s="211"/>
      <c r="BCM29" s="211"/>
      <c r="BCN29" s="211"/>
      <c r="BCO29" s="211"/>
      <c r="BCP29" s="211"/>
      <c r="BCQ29" s="211"/>
      <c r="BCR29" s="211"/>
      <c r="BCS29" s="211"/>
      <c r="BCT29" s="211"/>
      <c r="BCU29" s="211"/>
      <c r="BCV29" s="211"/>
      <c r="BCW29" s="211"/>
      <c r="BCX29" s="211"/>
      <c r="BCY29" s="211"/>
      <c r="BCZ29" s="211"/>
      <c r="BDA29" s="211"/>
      <c r="BDB29" s="211"/>
      <c r="BDC29" s="211"/>
      <c r="BDD29" s="211"/>
      <c r="BDE29" s="211"/>
      <c r="BDF29" s="211"/>
      <c r="BDG29" s="211"/>
      <c r="BDH29" s="211"/>
      <c r="BDI29" s="211"/>
      <c r="BDJ29" s="211"/>
      <c r="BDK29" s="211"/>
      <c r="BDL29" s="211"/>
      <c r="BDM29" s="211"/>
      <c r="BDN29" s="211"/>
      <c r="BDO29" s="211"/>
      <c r="BDP29" s="211"/>
      <c r="BDQ29" s="211"/>
      <c r="BDR29" s="211"/>
      <c r="BDS29" s="211"/>
      <c r="BDT29" s="211"/>
      <c r="BDU29" s="211"/>
      <c r="BDV29" s="211"/>
      <c r="BDW29" s="211"/>
      <c r="BDX29" s="211"/>
      <c r="BDY29" s="211"/>
      <c r="BDZ29" s="211"/>
      <c r="BEA29" s="211"/>
      <c r="BEB29" s="211"/>
      <c r="BEC29" s="211"/>
      <c r="BED29" s="211"/>
      <c r="BEE29" s="211"/>
      <c r="BEF29" s="211"/>
      <c r="BEG29" s="211"/>
      <c r="BEH29" s="211"/>
      <c r="BEI29" s="211"/>
      <c r="BEJ29" s="211"/>
      <c r="BEK29" s="211"/>
      <c r="BEL29" s="211"/>
      <c r="BEM29" s="211"/>
      <c r="BEN29" s="211"/>
      <c r="BEO29" s="211"/>
      <c r="BEP29" s="211"/>
      <c r="BEQ29" s="211"/>
      <c r="BER29" s="211"/>
      <c r="BES29" s="211"/>
      <c r="BET29" s="211"/>
      <c r="BEU29" s="211"/>
      <c r="BEV29" s="211"/>
      <c r="BEW29" s="211"/>
      <c r="BEX29" s="211"/>
      <c r="BEY29" s="211"/>
      <c r="BEZ29" s="211"/>
      <c r="BFA29" s="211"/>
      <c r="BFB29" s="211"/>
      <c r="BFC29" s="211"/>
      <c r="BFD29" s="211"/>
      <c r="BFE29" s="211"/>
      <c r="BFF29" s="211"/>
      <c r="BFG29" s="211"/>
      <c r="BFH29" s="211"/>
      <c r="BFI29" s="211"/>
      <c r="BFJ29" s="211"/>
      <c r="BFK29" s="211"/>
      <c r="BFL29" s="211"/>
      <c r="BFM29" s="211"/>
      <c r="BFN29" s="211"/>
      <c r="BFO29" s="211"/>
      <c r="BFP29" s="211"/>
      <c r="BFQ29" s="211"/>
      <c r="BFR29" s="211"/>
      <c r="BFS29" s="211"/>
      <c r="BFT29" s="211"/>
      <c r="BFU29" s="211"/>
      <c r="BFV29" s="211"/>
      <c r="BFW29" s="211"/>
      <c r="BFX29" s="211"/>
      <c r="BFY29" s="211"/>
      <c r="BFZ29" s="211"/>
      <c r="BGA29" s="211"/>
      <c r="BGB29" s="211"/>
      <c r="BGC29" s="211"/>
      <c r="BGD29" s="211"/>
      <c r="BGE29" s="211"/>
      <c r="BGF29" s="211"/>
      <c r="BGG29" s="211"/>
      <c r="BGH29" s="211"/>
      <c r="BGI29" s="211"/>
      <c r="BGJ29" s="211"/>
      <c r="BGK29" s="211"/>
      <c r="BGL29" s="211"/>
      <c r="BGM29" s="211"/>
      <c r="BGN29" s="211"/>
      <c r="BGO29" s="211"/>
      <c r="BGP29" s="211"/>
      <c r="BGQ29" s="211"/>
      <c r="BGR29" s="211"/>
      <c r="BGS29" s="211"/>
      <c r="BGT29" s="211"/>
      <c r="BGU29" s="211"/>
      <c r="BGV29" s="211"/>
      <c r="BGW29" s="211"/>
      <c r="BGX29" s="211"/>
      <c r="BGY29" s="211"/>
      <c r="BGZ29" s="211"/>
      <c r="BHA29" s="211"/>
      <c r="BHB29" s="211"/>
      <c r="BHC29" s="211"/>
      <c r="BHD29" s="211"/>
      <c r="BHE29" s="211"/>
      <c r="BHF29" s="211"/>
      <c r="BHG29" s="211"/>
      <c r="BHH29" s="211"/>
      <c r="BHI29" s="211"/>
      <c r="BHJ29" s="211"/>
      <c r="BHK29" s="211"/>
      <c r="BHL29" s="211"/>
      <c r="BHM29" s="211"/>
      <c r="BHN29" s="211"/>
      <c r="BHO29" s="211"/>
      <c r="BHP29" s="211"/>
      <c r="BHQ29" s="211"/>
      <c r="BHR29" s="211"/>
      <c r="BHS29" s="211"/>
      <c r="BHT29" s="211"/>
      <c r="BHU29" s="211"/>
      <c r="BHV29" s="211"/>
      <c r="BHW29" s="211"/>
      <c r="BHX29" s="211"/>
      <c r="BHY29" s="211"/>
      <c r="BHZ29" s="211"/>
      <c r="BIA29" s="211"/>
      <c r="BIB29" s="211"/>
      <c r="BIC29" s="211"/>
      <c r="BID29" s="211"/>
      <c r="BIE29" s="211"/>
      <c r="BIF29" s="211"/>
      <c r="BIG29" s="211"/>
      <c r="BIH29" s="211"/>
      <c r="BII29" s="211"/>
      <c r="BIJ29" s="211"/>
      <c r="BIK29" s="211"/>
      <c r="BIL29" s="211"/>
      <c r="BIM29" s="211"/>
      <c r="BIN29" s="211"/>
      <c r="BIO29" s="211"/>
      <c r="BIP29" s="211"/>
      <c r="BIQ29" s="211"/>
      <c r="BIR29" s="211"/>
      <c r="BIS29" s="211"/>
      <c r="BIT29" s="211"/>
      <c r="BIU29" s="211"/>
      <c r="BIV29" s="211"/>
      <c r="BIW29" s="211"/>
      <c r="BIX29" s="211"/>
      <c r="BIY29" s="211"/>
      <c r="BIZ29" s="211"/>
      <c r="BJA29" s="211"/>
      <c r="BJB29" s="211"/>
      <c r="BJC29" s="211"/>
      <c r="BJD29" s="211"/>
      <c r="BJE29" s="211"/>
      <c r="BJF29" s="211"/>
      <c r="BJG29" s="211"/>
      <c r="BJH29" s="211"/>
      <c r="BJI29" s="211"/>
      <c r="BJJ29" s="211"/>
      <c r="BJK29" s="211"/>
      <c r="BJL29" s="211"/>
      <c r="BJM29" s="211"/>
      <c r="BJN29" s="211"/>
      <c r="BJO29" s="211"/>
      <c r="BJP29" s="211"/>
      <c r="BJQ29" s="211"/>
      <c r="BJR29" s="211"/>
      <c r="BJS29" s="211"/>
      <c r="BJT29" s="211"/>
      <c r="BJU29" s="211"/>
      <c r="BJV29" s="211"/>
      <c r="BJW29" s="211"/>
      <c r="BJX29" s="211"/>
      <c r="BJY29" s="211"/>
      <c r="BJZ29" s="211"/>
      <c r="BKA29" s="211"/>
      <c r="BKB29" s="211"/>
      <c r="BKC29" s="211"/>
      <c r="BKD29" s="211"/>
      <c r="BKE29" s="211"/>
      <c r="BKF29" s="211"/>
      <c r="BKG29" s="211"/>
      <c r="BKH29" s="211"/>
      <c r="BKI29" s="211"/>
      <c r="BKJ29" s="211"/>
      <c r="BKK29" s="211"/>
      <c r="BKL29" s="211"/>
      <c r="BKM29" s="211"/>
      <c r="BKN29" s="211"/>
      <c r="BKO29" s="211"/>
      <c r="BKP29" s="211"/>
      <c r="BKQ29" s="211"/>
      <c r="BKR29" s="211"/>
      <c r="BKS29" s="211"/>
      <c r="BKT29" s="211"/>
      <c r="BKU29" s="211"/>
      <c r="BKV29" s="211"/>
      <c r="BKW29" s="211"/>
      <c r="BKX29" s="211"/>
      <c r="BKY29" s="211"/>
      <c r="BKZ29" s="211"/>
      <c r="BLA29" s="211"/>
      <c r="BLB29" s="211"/>
      <c r="BLC29" s="211"/>
      <c r="BLD29" s="211"/>
      <c r="BLE29" s="211"/>
      <c r="BLF29" s="211"/>
      <c r="BLG29" s="211"/>
      <c r="BLH29" s="211"/>
      <c r="BLI29" s="211"/>
      <c r="BLJ29" s="211"/>
      <c r="BLK29" s="211"/>
      <c r="BLL29" s="211"/>
      <c r="BLM29" s="211"/>
      <c r="BLN29" s="211"/>
      <c r="BLO29" s="211"/>
      <c r="BLP29" s="211"/>
      <c r="BLQ29" s="211"/>
      <c r="BLR29" s="211"/>
      <c r="BLS29" s="211"/>
      <c r="BLT29" s="211"/>
      <c r="BLU29" s="211"/>
      <c r="BLV29" s="211"/>
      <c r="BLW29" s="211"/>
      <c r="BLX29" s="211"/>
      <c r="BLY29" s="211"/>
      <c r="BLZ29" s="211"/>
      <c r="BMA29" s="211"/>
      <c r="BMB29" s="211"/>
      <c r="BMC29" s="211"/>
      <c r="BMD29" s="211"/>
      <c r="BME29" s="211"/>
      <c r="BMF29" s="211"/>
      <c r="BMG29" s="211"/>
      <c r="BMH29" s="211"/>
      <c r="BMI29" s="211"/>
      <c r="BMJ29" s="211"/>
      <c r="BMK29" s="211"/>
      <c r="BML29" s="211"/>
      <c r="BMM29" s="211"/>
      <c r="BMN29" s="211"/>
      <c r="BMO29" s="211"/>
      <c r="BMP29" s="211"/>
      <c r="BMQ29" s="211"/>
      <c r="BMR29" s="211"/>
      <c r="BMS29" s="211"/>
      <c r="BMT29" s="211"/>
      <c r="BMU29" s="211"/>
      <c r="BMV29" s="211"/>
      <c r="BMW29" s="211"/>
      <c r="BMX29" s="211"/>
      <c r="BMY29" s="211"/>
      <c r="BMZ29" s="211"/>
      <c r="BNA29" s="211"/>
      <c r="BNB29" s="211"/>
      <c r="BNC29" s="211"/>
      <c r="BND29" s="211"/>
      <c r="BNE29" s="211"/>
      <c r="BNF29" s="211"/>
      <c r="BNG29" s="211"/>
      <c r="BNH29" s="211"/>
      <c r="BNI29" s="211"/>
      <c r="BNJ29" s="211"/>
      <c r="BNK29" s="211"/>
      <c r="BNL29" s="211"/>
      <c r="BNM29" s="211"/>
      <c r="BNN29" s="211"/>
      <c r="BNO29" s="211"/>
      <c r="BNP29" s="211"/>
      <c r="BNQ29" s="211"/>
      <c r="BNR29" s="211"/>
      <c r="BNS29" s="211"/>
      <c r="BNT29" s="211"/>
      <c r="BNU29" s="211"/>
      <c r="BNV29" s="211"/>
      <c r="BNW29" s="211"/>
      <c r="BNX29" s="211"/>
      <c r="BNY29" s="211"/>
      <c r="BNZ29" s="211"/>
      <c r="BOA29" s="211"/>
      <c r="BOB29" s="211"/>
      <c r="BOC29" s="211"/>
      <c r="BOD29" s="211"/>
      <c r="BOE29" s="211"/>
      <c r="BOF29" s="211"/>
      <c r="BOG29" s="211"/>
      <c r="BOH29" s="211"/>
      <c r="BOI29" s="211"/>
      <c r="BOJ29" s="211"/>
      <c r="BOK29" s="211"/>
      <c r="BOL29" s="211"/>
      <c r="BOM29" s="211"/>
      <c r="BON29" s="211"/>
      <c r="BOO29" s="211"/>
      <c r="BOP29" s="211"/>
      <c r="BOQ29" s="211"/>
      <c r="BOR29" s="211"/>
      <c r="BOS29" s="211"/>
      <c r="BOT29" s="211"/>
      <c r="BOU29" s="211"/>
      <c r="BOV29" s="211"/>
      <c r="BOW29" s="211"/>
      <c r="BOX29" s="211"/>
      <c r="BOY29" s="211"/>
      <c r="BOZ29" s="211"/>
      <c r="BPA29" s="211"/>
      <c r="BPB29" s="211"/>
      <c r="BPC29" s="211"/>
      <c r="BPD29" s="211"/>
      <c r="BPE29" s="211"/>
      <c r="BPF29" s="211"/>
      <c r="BPG29" s="211"/>
      <c r="BPH29" s="211"/>
      <c r="BPI29" s="211"/>
      <c r="BPJ29" s="211"/>
      <c r="BPK29" s="211"/>
      <c r="BPL29" s="211"/>
      <c r="BPM29" s="211"/>
      <c r="BPN29" s="211"/>
      <c r="BPO29" s="211"/>
      <c r="BPP29" s="211"/>
      <c r="BPQ29" s="211"/>
      <c r="BPR29" s="211"/>
      <c r="BPS29" s="211"/>
      <c r="BPT29" s="211"/>
      <c r="BPU29" s="211"/>
      <c r="BPV29" s="211"/>
      <c r="BPW29" s="211"/>
      <c r="BPX29" s="211"/>
      <c r="BPY29" s="211"/>
      <c r="BPZ29" s="211"/>
      <c r="BQA29" s="211"/>
      <c r="BQB29" s="211"/>
      <c r="BQC29" s="211"/>
      <c r="BQD29" s="211"/>
      <c r="BQE29" s="211"/>
      <c r="BQF29" s="211"/>
      <c r="BQG29" s="211"/>
      <c r="BQH29" s="211"/>
      <c r="BQI29" s="211"/>
      <c r="BQJ29" s="211"/>
      <c r="BQK29" s="211"/>
      <c r="BQL29" s="211"/>
      <c r="BQM29" s="211"/>
      <c r="BQN29" s="211"/>
      <c r="BQO29" s="211"/>
      <c r="BQP29" s="211"/>
      <c r="BQQ29" s="211"/>
      <c r="BQR29" s="211"/>
      <c r="BQS29" s="211"/>
      <c r="BQT29" s="211"/>
      <c r="BQU29" s="211"/>
      <c r="BQV29" s="211"/>
      <c r="BQW29" s="211"/>
      <c r="BQX29" s="211"/>
      <c r="BQY29" s="211"/>
      <c r="BQZ29" s="211"/>
      <c r="BRA29" s="211"/>
      <c r="BRB29" s="211"/>
      <c r="BRC29" s="211"/>
      <c r="BRD29" s="211"/>
      <c r="BRE29" s="211"/>
      <c r="BRF29" s="211"/>
      <c r="BRG29" s="211"/>
      <c r="BRH29" s="211"/>
      <c r="BRI29" s="211"/>
      <c r="BRJ29" s="211"/>
      <c r="BRK29" s="211"/>
      <c r="BRL29" s="211"/>
      <c r="BRM29" s="211"/>
      <c r="BRN29" s="211"/>
      <c r="BRO29" s="211"/>
      <c r="BRP29" s="211"/>
      <c r="BRQ29" s="211"/>
      <c r="BRR29" s="211"/>
      <c r="BRS29" s="211"/>
      <c r="BRT29" s="211"/>
      <c r="BRU29" s="211"/>
      <c r="BRV29" s="211"/>
      <c r="BRW29" s="211"/>
      <c r="BRX29" s="211"/>
      <c r="BRY29" s="211"/>
      <c r="BRZ29" s="211"/>
      <c r="BSA29" s="211"/>
      <c r="BSB29" s="211"/>
      <c r="BSC29" s="211"/>
      <c r="BSD29" s="211"/>
      <c r="BSE29" s="211"/>
      <c r="BSF29" s="211"/>
      <c r="BSG29" s="211"/>
      <c r="BSH29" s="211"/>
      <c r="BSI29" s="211"/>
      <c r="BSJ29" s="211"/>
      <c r="BSK29" s="211"/>
      <c r="BSL29" s="211"/>
      <c r="BSM29" s="211"/>
      <c r="BSN29" s="211"/>
      <c r="BSO29" s="211"/>
      <c r="BSP29" s="211"/>
      <c r="BSQ29" s="211"/>
      <c r="BSR29" s="211"/>
      <c r="BSS29" s="211"/>
      <c r="BST29" s="211"/>
      <c r="BSU29" s="211"/>
      <c r="BSV29" s="211"/>
      <c r="BSW29" s="211"/>
      <c r="BSX29" s="211"/>
      <c r="BSY29" s="211"/>
      <c r="BSZ29" s="211"/>
      <c r="BTA29" s="211"/>
      <c r="BTB29" s="211"/>
      <c r="BTC29" s="211"/>
      <c r="BTD29" s="211"/>
      <c r="BTE29" s="211"/>
      <c r="BTF29" s="211"/>
      <c r="BTG29" s="211"/>
      <c r="BTH29" s="211"/>
      <c r="BTI29" s="211"/>
      <c r="BTJ29" s="211"/>
      <c r="BTK29" s="211"/>
      <c r="BTL29" s="211"/>
      <c r="BTM29" s="211"/>
      <c r="BTN29" s="211"/>
      <c r="BTO29" s="211"/>
      <c r="BTP29" s="211"/>
      <c r="BTQ29" s="211"/>
      <c r="BTR29" s="211"/>
      <c r="BTS29" s="211"/>
      <c r="BTT29" s="211"/>
      <c r="BTU29" s="211"/>
      <c r="BTV29" s="211"/>
      <c r="BTW29" s="211"/>
      <c r="BTX29" s="211"/>
      <c r="BTY29" s="211"/>
      <c r="BTZ29" s="211"/>
      <c r="BUA29" s="211"/>
      <c r="BUB29" s="211"/>
      <c r="BUC29" s="211"/>
      <c r="BUD29" s="211"/>
      <c r="BUE29" s="211"/>
      <c r="BUF29" s="211"/>
      <c r="BUG29" s="211"/>
      <c r="BUH29" s="211"/>
      <c r="BUI29" s="211"/>
      <c r="BUJ29" s="211"/>
      <c r="BUK29" s="211"/>
      <c r="BUL29" s="211"/>
      <c r="BUM29" s="211"/>
      <c r="BUN29" s="211"/>
      <c r="BUO29" s="211"/>
      <c r="BUP29" s="211"/>
      <c r="BUQ29" s="211"/>
      <c r="BUR29" s="211"/>
      <c r="BUS29" s="211"/>
      <c r="BUT29" s="211"/>
      <c r="BUU29" s="211"/>
      <c r="BUV29" s="211"/>
      <c r="BUW29" s="211"/>
      <c r="BUX29" s="211"/>
      <c r="BUY29" s="211"/>
      <c r="BUZ29" s="211"/>
      <c r="BVA29" s="211"/>
      <c r="BVB29" s="211"/>
      <c r="BVC29" s="211"/>
      <c r="BVD29" s="211"/>
      <c r="BVE29" s="211"/>
      <c r="BVF29" s="211"/>
      <c r="BVG29" s="211"/>
      <c r="BVH29" s="211"/>
      <c r="BVI29" s="211"/>
      <c r="BVJ29" s="211"/>
      <c r="BVK29" s="211"/>
      <c r="BVL29" s="211"/>
      <c r="BVM29" s="211"/>
      <c r="BVN29" s="211"/>
      <c r="BVO29" s="211"/>
      <c r="BVP29" s="211"/>
      <c r="BVQ29" s="211"/>
      <c r="BVR29" s="211"/>
      <c r="BVS29" s="211"/>
      <c r="BVT29" s="211"/>
      <c r="BVU29" s="211"/>
      <c r="BVV29" s="211"/>
      <c r="BVW29" s="211"/>
      <c r="BVX29" s="211"/>
      <c r="BVY29" s="211"/>
      <c r="BVZ29" s="211"/>
      <c r="BWA29" s="211"/>
      <c r="BWB29" s="211"/>
      <c r="BWC29" s="211"/>
      <c r="BWD29" s="211"/>
      <c r="BWE29" s="211"/>
      <c r="BWF29" s="211"/>
      <c r="BWG29" s="211"/>
      <c r="BWH29" s="211"/>
      <c r="BWI29" s="211"/>
      <c r="BWJ29" s="211"/>
      <c r="BWK29" s="211"/>
      <c r="BWL29" s="211"/>
      <c r="BWM29" s="211"/>
      <c r="BWN29" s="211"/>
      <c r="BWO29" s="211"/>
      <c r="BWP29" s="211"/>
      <c r="BWQ29" s="211"/>
      <c r="BWR29" s="211"/>
      <c r="BWS29" s="211"/>
      <c r="BWT29" s="211"/>
      <c r="BWU29" s="211"/>
      <c r="BWV29" s="211"/>
      <c r="BWW29" s="211"/>
      <c r="BWX29" s="211"/>
      <c r="BWY29" s="211"/>
      <c r="BWZ29" s="211"/>
      <c r="BXA29" s="211"/>
      <c r="BXB29" s="211"/>
      <c r="BXC29" s="211"/>
      <c r="BXD29" s="211"/>
      <c r="BXE29" s="211"/>
      <c r="BXF29" s="211"/>
      <c r="BXG29" s="211"/>
      <c r="BXH29" s="211"/>
      <c r="BXI29" s="211"/>
      <c r="BXJ29" s="211"/>
      <c r="BXK29" s="211"/>
      <c r="BXL29" s="211"/>
      <c r="BXM29" s="211"/>
      <c r="BXN29" s="211"/>
      <c r="BXO29" s="211"/>
      <c r="BXP29" s="211"/>
      <c r="BXQ29" s="211"/>
      <c r="BXR29" s="211"/>
      <c r="BXS29" s="211"/>
      <c r="BXT29" s="211"/>
      <c r="BXU29" s="211"/>
      <c r="BXV29" s="211"/>
      <c r="BXW29" s="211"/>
      <c r="BXX29" s="211"/>
      <c r="BXY29" s="211"/>
      <c r="BXZ29" s="211"/>
      <c r="BYA29" s="211"/>
      <c r="BYB29" s="211"/>
      <c r="BYC29" s="211"/>
      <c r="BYD29" s="211"/>
      <c r="BYE29" s="211"/>
      <c r="BYF29" s="211"/>
      <c r="BYG29" s="211"/>
      <c r="BYH29" s="211"/>
      <c r="BYI29" s="211"/>
      <c r="BYJ29" s="211"/>
      <c r="BYK29" s="211"/>
      <c r="BYL29" s="211"/>
      <c r="BYM29" s="211"/>
      <c r="BYN29" s="211"/>
      <c r="BYO29" s="211"/>
      <c r="BYP29" s="211"/>
      <c r="BYQ29" s="211"/>
      <c r="BYR29" s="211"/>
      <c r="BYS29" s="211"/>
      <c r="BYT29" s="211"/>
      <c r="BYU29" s="211"/>
      <c r="BYV29" s="211"/>
      <c r="BYW29" s="211"/>
      <c r="BYX29" s="211"/>
      <c r="BYY29" s="211"/>
      <c r="BYZ29" s="211"/>
      <c r="BZA29" s="211"/>
      <c r="BZB29" s="211"/>
      <c r="BZC29" s="211"/>
      <c r="BZD29" s="211"/>
      <c r="BZE29" s="211"/>
      <c r="BZF29" s="211"/>
      <c r="BZG29" s="211"/>
      <c r="BZH29" s="211"/>
      <c r="BZI29" s="211"/>
      <c r="BZJ29" s="211"/>
      <c r="BZK29" s="211"/>
      <c r="BZL29" s="211"/>
      <c r="BZM29" s="211"/>
      <c r="BZN29" s="211"/>
      <c r="BZO29" s="211"/>
      <c r="BZP29" s="211"/>
      <c r="BZQ29" s="211"/>
      <c r="BZR29" s="211"/>
      <c r="BZS29" s="211"/>
      <c r="BZT29" s="211"/>
      <c r="BZU29" s="211"/>
      <c r="BZV29" s="211"/>
      <c r="BZW29" s="211"/>
      <c r="BZX29" s="211"/>
      <c r="BZY29" s="211"/>
      <c r="BZZ29" s="211"/>
      <c r="CAA29" s="211"/>
      <c r="CAB29" s="211"/>
      <c r="CAC29" s="211"/>
      <c r="CAD29" s="211"/>
      <c r="CAE29" s="211"/>
      <c r="CAF29" s="211"/>
      <c r="CAG29" s="211"/>
      <c r="CAH29" s="211"/>
      <c r="CAI29" s="211"/>
      <c r="CAJ29" s="211"/>
      <c r="CAK29" s="211"/>
      <c r="CAL29" s="211"/>
      <c r="CAM29" s="211"/>
      <c r="CAN29" s="211"/>
      <c r="CAO29" s="211"/>
      <c r="CAP29" s="211"/>
      <c r="CAQ29" s="211"/>
      <c r="CAR29" s="211"/>
      <c r="CAS29" s="211"/>
      <c r="CAT29" s="211"/>
      <c r="CAU29" s="211"/>
      <c r="CAV29" s="211"/>
      <c r="CAW29" s="211"/>
      <c r="CAX29" s="211"/>
      <c r="CAY29" s="211"/>
      <c r="CAZ29" s="211"/>
      <c r="CBA29" s="211"/>
      <c r="CBB29" s="211"/>
      <c r="CBC29" s="211"/>
      <c r="CBD29" s="211"/>
      <c r="CBE29" s="211"/>
      <c r="CBF29" s="211"/>
      <c r="CBG29" s="211"/>
      <c r="CBH29" s="211"/>
      <c r="CBI29" s="211"/>
      <c r="CBJ29" s="211"/>
      <c r="CBK29" s="211"/>
      <c r="CBL29" s="211"/>
      <c r="CBM29" s="211"/>
      <c r="CBN29" s="211"/>
      <c r="CBO29" s="211"/>
      <c r="CBP29" s="211"/>
      <c r="CBQ29" s="211"/>
      <c r="CBR29" s="211"/>
      <c r="CBS29" s="211"/>
      <c r="CBT29" s="211"/>
      <c r="CBU29" s="211"/>
      <c r="CBV29" s="211"/>
      <c r="CBW29" s="211"/>
      <c r="CBX29" s="211"/>
      <c r="CBY29" s="211"/>
      <c r="CBZ29" s="211"/>
      <c r="CCA29" s="211"/>
      <c r="CCB29" s="211"/>
      <c r="CCC29" s="211"/>
      <c r="CCD29" s="211"/>
      <c r="CCE29" s="211"/>
      <c r="CCF29" s="211"/>
      <c r="CCG29" s="211"/>
      <c r="CCH29" s="211"/>
      <c r="CCI29" s="211"/>
      <c r="CCJ29" s="211"/>
      <c r="CCK29" s="211"/>
      <c r="CCL29" s="211"/>
      <c r="CCM29" s="211"/>
      <c r="CCN29" s="211"/>
      <c r="CCO29" s="211"/>
      <c r="CCP29" s="211"/>
      <c r="CCQ29" s="211"/>
      <c r="CCR29" s="211"/>
      <c r="CCS29" s="211"/>
      <c r="CCT29" s="211"/>
      <c r="CCU29" s="211"/>
      <c r="CCV29" s="211"/>
      <c r="CCW29" s="211"/>
      <c r="CCX29" s="211"/>
      <c r="CCY29" s="211"/>
      <c r="CCZ29" s="211"/>
      <c r="CDA29" s="211"/>
      <c r="CDB29" s="211"/>
      <c r="CDC29" s="211"/>
      <c r="CDD29" s="211"/>
      <c r="CDE29" s="211"/>
      <c r="CDF29" s="211"/>
      <c r="CDG29" s="211"/>
      <c r="CDH29" s="211"/>
      <c r="CDI29" s="211"/>
      <c r="CDJ29" s="211"/>
      <c r="CDK29" s="211"/>
      <c r="CDL29" s="211"/>
      <c r="CDM29" s="211"/>
      <c r="CDN29" s="211"/>
      <c r="CDO29" s="211"/>
      <c r="CDP29" s="211"/>
      <c r="CDQ29" s="211"/>
      <c r="CDR29" s="211"/>
      <c r="CDS29" s="211"/>
      <c r="CDT29" s="211"/>
      <c r="CDU29" s="211"/>
      <c r="CDV29" s="211"/>
      <c r="CDW29" s="211"/>
      <c r="CDX29" s="211"/>
      <c r="CDY29" s="211"/>
      <c r="CDZ29" s="211"/>
      <c r="CEA29" s="211"/>
      <c r="CEB29" s="211"/>
      <c r="CEC29" s="211"/>
      <c r="CED29" s="211"/>
      <c r="CEE29" s="211"/>
      <c r="CEF29" s="211"/>
      <c r="CEG29" s="211"/>
      <c r="CEH29" s="211"/>
      <c r="CEI29" s="211"/>
      <c r="CEJ29" s="211"/>
      <c r="CEK29" s="211"/>
      <c r="CEL29" s="211"/>
      <c r="CEM29" s="211"/>
      <c r="CEN29" s="211"/>
      <c r="CEO29" s="211"/>
      <c r="CEP29" s="211"/>
      <c r="CEQ29" s="211"/>
      <c r="CER29" s="211"/>
      <c r="CES29" s="211"/>
      <c r="CET29" s="211"/>
      <c r="CEU29" s="211"/>
      <c r="CEV29" s="211"/>
      <c r="CEW29" s="211"/>
      <c r="CEX29" s="211"/>
      <c r="CEY29" s="211"/>
      <c r="CEZ29" s="211"/>
      <c r="CFA29" s="211"/>
      <c r="CFB29" s="211"/>
      <c r="CFC29" s="211"/>
      <c r="CFD29" s="211"/>
      <c r="CFE29" s="211"/>
      <c r="CFF29" s="211"/>
      <c r="CFG29" s="211"/>
      <c r="CFH29" s="211"/>
      <c r="CFI29" s="211"/>
      <c r="CFJ29" s="211"/>
      <c r="CFK29" s="211"/>
      <c r="CFL29" s="211"/>
      <c r="CFM29" s="211"/>
      <c r="CFN29" s="211"/>
      <c r="CFO29" s="211"/>
      <c r="CFP29" s="211"/>
      <c r="CFQ29" s="211"/>
      <c r="CFR29" s="211"/>
      <c r="CFS29" s="211"/>
      <c r="CFT29" s="211"/>
      <c r="CFU29" s="211"/>
      <c r="CFV29" s="211"/>
      <c r="CFW29" s="211"/>
      <c r="CFX29" s="211"/>
      <c r="CFY29" s="211"/>
      <c r="CFZ29" s="211"/>
      <c r="CGA29" s="211"/>
      <c r="CGB29" s="211"/>
      <c r="CGC29" s="211"/>
      <c r="CGD29" s="211"/>
      <c r="CGE29" s="211"/>
      <c r="CGF29" s="211"/>
      <c r="CGG29" s="211"/>
      <c r="CGH29" s="211"/>
      <c r="CGI29" s="211"/>
      <c r="CGJ29" s="211"/>
      <c r="CGK29" s="211"/>
      <c r="CGL29" s="211"/>
      <c r="CGM29" s="211"/>
      <c r="CGN29" s="211"/>
      <c r="CGO29" s="211"/>
      <c r="CGP29" s="211"/>
      <c r="CGQ29" s="211"/>
      <c r="CGR29" s="211"/>
      <c r="CGS29" s="211"/>
      <c r="CGT29" s="211"/>
      <c r="CGU29" s="211"/>
      <c r="CGV29" s="211"/>
      <c r="CGW29" s="211"/>
      <c r="CGX29" s="211"/>
      <c r="CGY29" s="211"/>
      <c r="CGZ29" s="211"/>
      <c r="CHA29" s="211"/>
      <c r="CHB29" s="211"/>
      <c r="CHC29" s="211"/>
      <c r="CHD29" s="211"/>
      <c r="CHE29" s="211"/>
      <c r="CHF29" s="211"/>
      <c r="CHG29" s="211"/>
      <c r="CHH29" s="211"/>
      <c r="CHI29" s="211"/>
      <c r="CHJ29" s="211"/>
      <c r="CHK29" s="211"/>
      <c r="CHL29" s="211"/>
      <c r="CHM29" s="211"/>
      <c r="CHN29" s="211"/>
      <c r="CHO29" s="211"/>
      <c r="CHP29" s="211"/>
      <c r="CHQ29" s="211"/>
      <c r="CHR29" s="211"/>
      <c r="CHS29" s="211"/>
      <c r="CHT29" s="211"/>
      <c r="CHU29" s="211"/>
      <c r="CHV29" s="211"/>
      <c r="CHW29" s="211"/>
      <c r="CHX29" s="211"/>
      <c r="CHY29" s="211"/>
      <c r="CHZ29" s="211"/>
      <c r="CIA29" s="211"/>
      <c r="CIB29" s="211"/>
      <c r="CIC29" s="211"/>
      <c r="CID29" s="211"/>
      <c r="CIE29" s="211"/>
      <c r="CIF29" s="211"/>
      <c r="CIG29" s="211"/>
      <c r="CIH29" s="211"/>
      <c r="CII29" s="211"/>
      <c r="CIJ29" s="211"/>
      <c r="CIK29" s="211"/>
      <c r="CIL29" s="211"/>
      <c r="CIM29" s="211"/>
      <c r="CIN29" s="211"/>
      <c r="CIO29" s="211"/>
      <c r="CIP29" s="211"/>
      <c r="CIQ29" s="211"/>
      <c r="CIR29" s="211"/>
      <c r="CIS29" s="211"/>
      <c r="CIT29" s="211"/>
      <c r="CIU29" s="211"/>
      <c r="CIV29" s="211"/>
      <c r="CIW29" s="211"/>
      <c r="CIX29" s="211"/>
      <c r="CIY29" s="211"/>
      <c r="CIZ29" s="211"/>
      <c r="CJA29" s="211"/>
      <c r="CJB29" s="211"/>
      <c r="CJC29" s="211"/>
      <c r="CJD29" s="211"/>
      <c r="CJE29" s="211"/>
      <c r="CJF29" s="211"/>
      <c r="CJG29" s="211"/>
      <c r="CJH29" s="211"/>
      <c r="CJI29" s="211"/>
      <c r="CJJ29" s="211"/>
      <c r="CJK29" s="211"/>
      <c r="CJL29" s="211"/>
      <c r="CJM29" s="211"/>
      <c r="CJN29" s="211"/>
      <c r="CJO29" s="211"/>
      <c r="CJP29" s="211"/>
      <c r="CJQ29" s="211"/>
      <c r="CJR29" s="211"/>
      <c r="CJS29" s="211"/>
      <c r="CJT29" s="211"/>
      <c r="CJU29" s="211"/>
      <c r="CJV29" s="211"/>
      <c r="CJW29" s="211"/>
      <c r="CJX29" s="211"/>
      <c r="CJY29" s="211"/>
      <c r="CJZ29" s="211"/>
      <c r="CKA29" s="211"/>
      <c r="CKB29" s="211"/>
      <c r="CKC29" s="211"/>
      <c r="CKD29" s="211"/>
      <c r="CKE29" s="211"/>
      <c r="CKF29" s="211"/>
      <c r="CKG29" s="211"/>
      <c r="CKH29" s="211"/>
      <c r="CKI29" s="211"/>
      <c r="CKJ29" s="211"/>
      <c r="CKK29" s="211"/>
      <c r="CKL29" s="211"/>
      <c r="CKM29" s="211"/>
      <c r="CKN29" s="211"/>
      <c r="CKO29" s="211"/>
      <c r="CKP29" s="211"/>
      <c r="CKQ29" s="211"/>
      <c r="CKR29" s="211"/>
      <c r="CKS29" s="211"/>
      <c r="CKT29" s="211"/>
      <c r="CKU29" s="211"/>
      <c r="CKV29" s="211"/>
      <c r="CKW29" s="211"/>
      <c r="CKX29" s="211"/>
      <c r="CKY29" s="211"/>
      <c r="CKZ29" s="211"/>
      <c r="CLA29" s="211"/>
      <c r="CLB29" s="211"/>
      <c r="CLC29" s="211"/>
      <c r="CLD29" s="211"/>
      <c r="CLE29" s="211"/>
      <c r="CLF29" s="211"/>
      <c r="CLG29" s="211"/>
      <c r="CLH29" s="211"/>
      <c r="CLI29" s="211"/>
      <c r="CLJ29" s="211"/>
      <c r="CLK29" s="211"/>
      <c r="CLL29" s="211"/>
      <c r="CLM29" s="211"/>
      <c r="CLN29" s="211"/>
      <c r="CLO29" s="211"/>
      <c r="CLP29" s="211"/>
      <c r="CLQ29" s="211"/>
      <c r="CLR29" s="211"/>
      <c r="CLS29" s="211"/>
      <c r="CLT29" s="211"/>
      <c r="CLU29" s="211"/>
      <c r="CLV29" s="211"/>
      <c r="CLW29" s="211"/>
      <c r="CLX29" s="211"/>
      <c r="CLY29" s="211"/>
      <c r="CLZ29" s="211"/>
      <c r="CMA29" s="211"/>
      <c r="CMB29" s="211"/>
      <c r="CMC29" s="211"/>
      <c r="CMD29" s="211"/>
      <c r="CME29" s="211"/>
      <c r="CMF29" s="211"/>
      <c r="CMG29" s="211"/>
      <c r="CMH29" s="211"/>
      <c r="CMI29" s="211"/>
      <c r="CMJ29" s="211"/>
      <c r="CMK29" s="211"/>
      <c r="CML29" s="211"/>
      <c r="CMM29" s="211"/>
      <c r="CMN29" s="211"/>
      <c r="CMO29" s="211"/>
      <c r="CMP29" s="211"/>
      <c r="CMQ29" s="211"/>
      <c r="CMR29" s="211"/>
      <c r="CMS29" s="211"/>
      <c r="CMT29" s="211"/>
      <c r="CMU29" s="211"/>
      <c r="CMV29" s="211"/>
      <c r="CMW29" s="211"/>
      <c r="CMX29" s="211"/>
      <c r="CMY29" s="211"/>
      <c r="CMZ29" s="211"/>
      <c r="CNA29" s="211"/>
      <c r="CNB29" s="211"/>
      <c r="CNC29" s="211"/>
      <c r="CND29" s="211"/>
      <c r="CNE29" s="211"/>
      <c r="CNF29" s="211"/>
      <c r="CNG29" s="211"/>
      <c r="CNH29" s="211"/>
      <c r="CNI29" s="211"/>
      <c r="CNJ29" s="211"/>
      <c r="CNK29" s="211"/>
      <c r="CNL29" s="211"/>
      <c r="CNM29" s="211"/>
      <c r="CNN29" s="211"/>
      <c r="CNO29" s="211"/>
      <c r="CNP29" s="211"/>
      <c r="CNQ29" s="211"/>
      <c r="CNR29" s="211"/>
      <c r="CNS29" s="211"/>
      <c r="CNT29" s="211"/>
      <c r="CNU29" s="211"/>
      <c r="CNV29" s="211"/>
      <c r="CNW29" s="211"/>
      <c r="CNX29" s="211"/>
      <c r="CNY29" s="211"/>
      <c r="CNZ29" s="211"/>
      <c r="COA29" s="211"/>
      <c r="COB29" s="211"/>
      <c r="COC29" s="211"/>
      <c r="COD29" s="211"/>
      <c r="COE29" s="211"/>
      <c r="COF29" s="211"/>
      <c r="COG29" s="211"/>
      <c r="COH29" s="211"/>
      <c r="COI29" s="211"/>
      <c r="COJ29" s="211"/>
      <c r="COK29" s="211"/>
      <c r="COL29" s="211"/>
      <c r="COM29" s="211"/>
      <c r="CON29" s="211"/>
      <c r="COO29" s="211"/>
      <c r="COP29" s="211"/>
      <c r="COQ29" s="211"/>
      <c r="COR29" s="211"/>
      <c r="COS29" s="211"/>
      <c r="COT29" s="211"/>
      <c r="COU29" s="211"/>
      <c r="COV29" s="211"/>
      <c r="COW29" s="211"/>
      <c r="COX29" s="211"/>
      <c r="COY29" s="211"/>
      <c r="COZ29" s="211"/>
      <c r="CPA29" s="211"/>
      <c r="CPB29" s="211"/>
      <c r="CPC29" s="211"/>
      <c r="CPD29" s="211"/>
      <c r="CPE29" s="211"/>
      <c r="CPF29" s="211"/>
      <c r="CPG29" s="211"/>
      <c r="CPH29" s="211"/>
      <c r="CPI29" s="211"/>
      <c r="CPJ29" s="211"/>
      <c r="CPK29" s="211"/>
      <c r="CPL29" s="211"/>
      <c r="CPM29" s="211"/>
      <c r="CPN29" s="211"/>
      <c r="CPO29" s="211"/>
      <c r="CPP29" s="211"/>
      <c r="CPQ29" s="211"/>
      <c r="CPR29" s="211"/>
      <c r="CPS29" s="211"/>
      <c r="CPT29" s="211"/>
      <c r="CPU29" s="211"/>
      <c r="CPV29" s="211"/>
      <c r="CPW29" s="211"/>
      <c r="CPX29" s="211"/>
      <c r="CPY29" s="211"/>
      <c r="CPZ29" s="211"/>
      <c r="CQA29" s="211"/>
      <c r="CQB29" s="211"/>
      <c r="CQC29" s="211"/>
      <c r="CQD29" s="211"/>
      <c r="CQE29" s="211"/>
      <c r="CQF29" s="211"/>
      <c r="CQG29" s="211"/>
      <c r="CQH29" s="211"/>
      <c r="CQI29" s="211"/>
      <c r="CQJ29" s="211"/>
      <c r="CQK29" s="211"/>
      <c r="CQL29" s="211"/>
      <c r="CQM29" s="211"/>
      <c r="CQN29" s="211"/>
      <c r="CQO29" s="211"/>
      <c r="CQP29" s="211"/>
      <c r="CQQ29" s="211"/>
      <c r="CQR29" s="211"/>
      <c r="CQS29" s="211"/>
      <c r="CQT29" s="211"/>
      <c r="CQU29" s="211"/>
      <c r="CQV29" s="211"/>
      <c r="CQW29" s="211"/>
      <c r="CQX29" s="211"/>
      <c r="CQY29" s="211"/>
      <c r="CQZ29" s="211"/>
      <c r="CRA29" s="211"/>
      <c r="CRB29" s="211"/>
      <c r="CRC29" s="211"/>
      <c r="CRD29" s="211"/>
      <c r="CRE29" s="211"/>
      <c r="CRF29" s="211"/>
      <c r="CRG29" s="211"/>
      <c r="CRH29" s="211"/>
      <c r="CRI29" s="211"/>
      <c r="CRJ29" s="211"/>
      <c r="CRK29" s="211"/>
      <c r="CRL29" s="211"/>
      <c r="CRM29" s="211"/>
      <c r="CRN29" s="211"/>
      <c r="CRO29" s="211"/>
      <c r="CRP29" s="211"/>
      <c r="CRQ29" s="211"/>
      <c r="CRR29" s="211"/>
      <c r="CRS29" s="211"/>
      <c r="CRT29" s="211"/>
      <c r="CRU29" s="211"/>
      <c r="CRV29" s="211"/>
      <c r="CRW29" s="211"/>
      <c r="CRX29" s="211"/>
      <c r="CRY29" s="211"/>
      <c r="CRZ29" s="211"/>
      <c r="CSA29" s="211"/>
      <c r="CSB29" s="211"/>
      <c r="CSC29" s="211"/>
      <c r="CSD29" s="211"/>
      <c r="CSE29" s="211"/>
      <c r="CSF29" s="211"/>
      <c r="CSG29" s="211"/>
      <c r="CSH29" s="211"/>
      <c r="CSI29" s="211"/>
      <c r="CSJ29" s="211"/>
      <c r="CSK29" s="211"/>
      <c r="CSL29" s="211"/>
      <c r="CSM29" s="211"/>
      <c r="CSN29" s="211"/>
      <c r="CSO29" s="211"/>
      <c r="CSP29" s="211"/>
      <c r="CSQ29" s="211"/>
      <c r="CSR29" s="211"/>
      <c r="CSS29" s="211"/>
      <c r="CST29" s="211"/>
      <c r="CSU29" s="211"/>
      <c r="CSV29" s="211"/>
      <c r="CSW29" s="211"/>
      <c r="CSX29" s="211"/>
      <c r="CSY29" s="211"/>
      <c r="CSZ29" s="211"/>
      <c r="CTA29" s="211"/>
      <c r="CTB29" s="211"/>
      <c r="CTC29" s="211"/>
      <c r="CTD29" s="211"/>
      <c r="CTE29" s="211"/>
      <c r="CTF29" s="211"/>
      <c r="CTG29" s="211"/>
      <c r="CTH29" s="211"/>
      <c r="CTI29" s="211"/>
      <c r="CTJ29" s="211"/>
      <c r="CTK29" s="211"/>
      <c r="CTL29" s="211"/>
      <c r="CTM29" s="211"/>
      <c r="CTN29" s="211"/>
      <c r="CTO29" s="211"/>
      <c r="CTP29" s="211"/>
      <c r="CTQ29" s="211"/>
      <c r="CTR29" s="211"/>
      <c r="CTS29" s="211"/>
      <c r="CTT29" s="211"/>
      <c r="CTU29" s="211"/>
      <c r="CTV29" s="211"/>
      <c r="CTW29" s="211"/>
      <c r="CTX29" s="211"/>
      <c r="CTY29" s="211"/>
      <c r="CTZ29" s="211"/>
      <c r="CUA29" s="211"/>
      <c r="CUB29" s="211"/>
      <c r="CUC29" s="211"/>
      <c r="CUD29" s="211"/>
      <c r="CUE29" s="211"/>
      <c r="CUF29" s="211"/>
      <c r="CUG29" s="211"/>
      <c r="CUH29" s="211"/>
      <c r="CUI29" s="211"/>
      <c r="CUJ29" s="211"/>
      <c r="CUK29" s="211"/>
      <c r="CUL29" s="211"/>
      <c r="CUM29" s="211"/>
      <c r="CUN29" s="211"/>
      <c r="CUO29" s="211"/>
      <c r="CUP29" s="211"/>
      <c r="CUQ29" s="211"/>
      <c r="CUR29" s="211"/>
      <c r="CUS29" s="211"/>
      <c r="CUT29" s="211"/>
      <c r="CUU29" s="211"/>
      <c r="CUV29" s="211"/>
      <c r="CUW29" s="211"/>
      <c r="CUX29" s="211"/>
      <c r="CUY29" s="211"/>
      <c r="CUZ29" s="211"/>
      <c r="CVA29" s="211"/>
      <c r="CVB29" s="211"/>
      <c r="CVC29" s="211"/>
      <c r="CVD29" s="211"/>
      <c r="CVE29" s="211"/>
      <c r="CVF29" s="211"/>
      <c r="CVG29" s="211"/>
      <c r="CVH29" s="211"/>
      <c r="CVI29" s="211"/>
      <c r="CVJ29" s="211"/>
      <c r="CVK29" s="211"/>
      <c r="CVL29" s="211"/>
      <c r="CVM29" s="211"/>
      <c r="CVN29" s="211"/>
      <c r="CVO29" s="211"/>
      <c r="CVP29" s="211"/>
      <c r="CVQ29" s="211"/>
      <c r="CVR29" s="211"/>
      <c r="CVS29" s="211"/>
      <c r="CVT29" s="211"/>
      <c r="CVU29" s="211"/>
      <c r="CVV29" s="211"/>
      <c r="CVW29" s="211"/>
      <c r="CVX29" s="211"/>
      <c r="CVY29" s="211"/>
      <c r="CVZ29" s="211"/>
      <c r="CWA29" s="211"/>
      <c r="CWB29" s="211"/>
      <c r="CWC29" s="211"/>
      <c r="CWD29" s="211"/>
      <c r="CWE29" s="211"/>
      <c r="CWF29" s="211"/>
      <c r="CWG29" s="211"/>
      <c r="CWH29" s="211"/>
      <c r="CWI29" s="211"/>
      <c r="CWJ29" s="211"/>
      <c r="CWK29" s="211"/>
      <c r="CWL29" s="211"/>
      <c r="CWM29" s="211"/>
      <c r="CWN29" s="211"/>
      <c r="CWO29" s="211"/>
      <c r="CWP29" s="211"/>
      <c r="CWQ29" s="211"/>
      <c r="CWR29" s="211"/>
      <c r="CWS29" s="211"/>
      <c r="CWT29" s="211"/>
      <c r="CWU29" s="211"/>
      <c r="CWV29" s="211"/>
      <c r="CWW29" s="211"/>
      <c r="CWX29" s="211"/>
      <c r="CWY29" s="211"/>
      <c r="CWZ29" s="211"/>
      <c r="CXA29" s="211"/>
      <c r="CXB29" s="211"/>
      <c r="CXC29" s="211"/>
      <c r="CXD29" s="211"/>
      <c r="CXE29" s="211"/>
      <c r="CXF29" s="211"/>
      <c r="CXG29" s="211"/>
      <c r="CXH29" s="211"/>
      <c r="CXI29" s="211"/>
      <c r="CXJ29" s="211"/>
      <c r="CXK29" s="211"/>
      <c r="CXL29" s="211"/>
      <c r="CXM29" s="211"/>
      <c r="CXN29" s="211"/>
      <c r="CXO29" s="211"/>
      <c r="CXP29" s="211"/>
      <c r="CXQ29" s="211"/>
      <c r="CXR29" s="211"/>
      <c r="CXS29" s="211"/>
      <c r="CXT29" s="211"/>
      <c r="CXU29" s="211"/>
      <c r="CXV29" s="211"/>
      <c r="CXW29" s="211"/>
      <c r="CXX29" s="211"/>
      <c r="CXY29" s="211"/>
      <c r="CXZ29" s="211"/>
      <c r="CYA29" s="211"/>
      <c r="CYB29" s="211"/>
      <c r="CYC29" s="211"/>
      <c r="CYD29" s="211"/>
      <c r="CYE29" s="211"/>
      <c r="CYF29" s="211"/>
      <c r="CYG29" s="211"/>
      <c r="CYH29" s="211"/>
      <c r="CYI29" s="211"/>
      <c r="CYJ29" s="211"/>
      <c r="CYK29" s="211"/>
      <c r="CYL29" s="211"/>
      <c r="CYM29" s="211"/>
      <c r="CYN29" s="211"/>
      <c r="CYO29" s="211"/>
      <c r="CYP29" s="211"/>
      <c r="CYQ29" s="211"/>
      <c r="CYR29" s="211"/>
      <c r="CYS29" s="211"/>
      <c r="CYT29" s="211"/>
      <c r="CYU29" s="211"/>
      <c r="CYV29" s="211"/>
      <c r="CYW29" s="211"/>
      <c r="CYX29" s="211"/>
      <c r="CYY29" s="211"/>
      <c r="CYZ29" s="211"/>
      <c r="CZA29" s="211"/>
      <c r="CZB29" s="211"/>
      <c r="CZC29" s="211"/>
      <c r="CZD29" s="211"/>
      <c r="CZE29" s="211"/>
      <c r="CZF29" s="211"/>
      <c r="CZG29" s="211"/>
      <c r="CZH29" s="211"/>
      <c r="CZI29" s="211"/>
      <c r="CZJ29" s="211"/>
      <c r="CZK29" s="211"/>
      <c r="CZL29" s="211"/>
      <c r="CZM29" s="211"/>
      <c r="CZN29" s="211"/>
      <c r="CZO29" s="211"/>
      <c r="CZP29" s="211"/>
      <c r="CZQ29" s="211"/>
      <c r="CZR29" s="211"/>
      <c r="CZS29" s="211"/>
      <c r="CZT29" s="211"/>
      <c r="CZU29" s="211"/>
      <c r="CZV29" s="211"/>
      <c r="CZW29" s="211"/>
      <c r="CZX29" s="211"/>
      <c r="CZY29" s="211"/>
      <c r="CZZ29" s="211"/>
      <c r="DAA29" s="211"/>
      <c r="DAB29" s="211"/>
      <c r="DAC29" s="211"/>
      <c r="DAD29" s="211"/>
      <c r="DAE29" s="211"/>
      <c r="DAF29" s="211"/>
      <c r="DAG29" s="211"/>
      <c r="DAH29" s="211"/>
      <c r="DAI29" s="211"/>
      <c r="DAJ29" s="211"/>
      <c r="DAK29" s="211"/>
      <c r="DAL29" s="211"/>
      <c r="DAM29" s="211"/>
      <c r="DAN29" s="211"/>
      <c r="DAO29" s="211"/>
      <c r="DAP29" s="211"/>
      <c r="DAQ29" s="211"/>
      <c r="DAR29" s="211"/>
      <c r="DAS29" s="211"/>
      <c r="DAT29" s="211"/>
      <c r="DAU29" s="211"/>
      <c r="DAV29" s="211"/>
      <c r="DAW29" s="211"/>
      <c r="DAX29" s="211"/>
      <c r="DAY29" s="211"/>
      <c r="DAZ29" s="211"/>
      <c r="DBA29" s="211"/>
      <c r="DBB29" s="211"/>
      <c r="DBC29" s="211"/>
      <c r="DBD29" s="211"/>
      <c r="DBE29" s="211"/>
      <c r="DBF29" s="211"/>
      <c r="DBG29" s="211"/>
      <c r="DBH29" s="211"/>
      <c r="DBI29" s="211"/>
      <c r="DBJ29" s="211"/>
      <c r="DBK29" s="211"/>
      <c r="DBL29" s="211"/>
      <c r="DBM29" s="211"/>
      <c r="DBN29" s="211"/>
      <c r="DBO29" s="211"/>
      <c r="DBP29" s="211"/>
      <c r="DBQ29" s="211"/>
      <c r="DBR29" s="211"/>
      <c r="DBS29" s="211"/>
      <c r="DBT29" s="211"/>
      <c r="DBU29" s="211"/>
      <c r="DBV29" s="211"/>
      <c r="DBW29" s="211"/>
      <c r="DBX29" s="211"/>
      <c r="DBY29" s="211"/>
      <c r="DBZ29" s="211"/>
      <c r="DCA29" s="211"/>
      <c r="DCB29" s="211"/>
      <c r="DCC29" s="211"/>
      <c r="DCD29" s="211"/>
      <c r="DCE29" s="211"/>
      <c r="DCF29" s="211"/>
      <c r="DCG29" s="211"/>
      <c r="DCH29" s="211"/>
      <c r="DCI29" s="211"/>
      <c r="DCJ29" s="211"/>
      <c r="DCK29" s="211"/>
      <c r="DCL29" s="211"/>
      <c r="DCM29" s="211"/>
      <c r="DCN29" s="211"/>
      <c r="DCO29" s="211"/>
      <c r="DCP29" s="211"/>
      <c r="DCQ29" s="211"/>
      <c r="DCR29" s="211"/>
      <c r="DCS29" s="211"/>
      <c r="DCT29" s="211"/>
      <c r="DCU29" s="211"/>
      <c r="DCV29" s="211"/>
      <c r="DCW29" s="211"/>
      <c r="DCX29" s="211"/>
      <c r="DCY29" s="211"/>
      <c r="DCZ29" s="211"/>
      <c r="DDA29" s="211"/>
      <c r="DDB29" s="211"/>
      <c r="DDC29" s="211"/>
      <c r="DDD29" s="211"/>
      <c r="DDE29" s="211"/>
      <c r="DDF29" s="211"/>
      <c r="DDG29" s="211"/>
      <c r="DDH29" s="211"/>
      <c r="DDI29" s="211"/>
      <c r="DDJ29" s="211"/>
      <c r="DDK29" s="211"/>
      <c r="DDL29" s="211"/>
      <c r="DDM29" s="211"/>
      <c r="DDN29" s="211"/>
      <c r="DDO29" s="211"/>
      <c r="DDP29" s="211"/>
      <c r="DDQ29" s="211"/>
      <c r="DDR29" s="211"/>
      <c r="DDS29" s="211"/>
      <c r="DDT29" s="211"/>
      <c r="DDU29" s="211"/>
      <c r="DDV29" s="211"/>
      <c r="DDW29" s="211"/>
      <c r="DDX29" s="211"/>
      <c r="DDY29" s="211"/>
      <c r="DDZ29" s="211"/>
      <c r="DEA29" s="211"/>
      <c r="DEB29" s="211"/>
      <c r="DEC29" s="211"/>
      <c r="DED29" s="211"/>
      <c r="DEE29" s="211"/>
      <c r="DEF29" s="211"/>
      <c r="DEG29" s="211"/>
      <c r="DEH29" s="211"/>
      <c r="DEI29" s="211"/>
      <c r="DEJ29" s="211"/>
      <c r="DEK29" s="211"/>
      <c r="DEL29" s="211"/>
      <c r="DEM29" s="211"/>
      <c r="DEN29" s="211"/>
      <c r="DEO29" s="211"/>
      <c r="DEP29" s="211"/>
      <c r="DEQ29" s="211"/>
      <c r="DER29" s="211"/>
      <c r="DES29" s="211"/>
      <c r="DET29" s="211"/>
      <c r="DEU29" s="211"/>
      <c r="DEV29" s="211"/>
      <c r="DEW29" s="211"/>
      <c r="DEX29" s="211"/>
      <c r="DEY29" s="211"/>
      <c r="DEZ29" s="211"/>
      <c r="DFA29" s="211"/>
      <c r="DFB29" s="211"/>
      <c r="DFC29" s="211"/>
      <c r="DFD29" s="211"/>
      <c r="DFE29" s="211"/>
      <c r="DFF29" s="211"/>
      <c r="DFG29" s="211"/>
      <c r="DFH29" s="211"/>
      <c r="DFI29" s="211"/>
      <c r="DFJ29" s="211"/>
      <c r="DFK29" s="211"/>
      <c r="DFL29" s="211"/>
      <c r="DFM29" s="211"/>
      <c r="DFN29" s="211"/>
      <c r="DFO29" s="211"/>
      <c r="DFP29" s="211"/>
      <c r="DFQ29" s="211"/>
      <c r="DFR29" s="211"/>
      <c r="DFS29" s="211"/>
      <c r="DFT29" s="211"/>
      <c r="DFU29" s="211"/>
      <c r="DFV29" s="211"/>
      <c r="DFW29" s="211"/>
      <c r="DFX29" s="211"/>
      <c r="DFY29" s="211"/>
      <c r="DFZ29" s="211"/>
      <c r="DGA29" s="211"/>
      <c r="DGB29" s="211"/>
      <c r="DGC29" s="211"/>
      <c r="DGD29" s="211"/>
      <c r="DGE29" s="211"/>
      <c r="DGF29" s="211"/>
      <c r="DGG29" s="211"/>
      <c r="DGH29" s="211"/>
      <c r="DGI29" s="211"/>
      <c r="DGJ29" s="211"/>
      <c r="DGK29" s="211"/>
      <c r="DGL29" s="211"/>
      <c r="DGM29" s="211"/>
      <c r="DGN29" s="211"/>
      <c r="DGO29" s="211"/>
      <c r="DGP29" s="211"/>
      <c r="DGQ29" s="211"/>
      <c r="DGR29" s="211"/>
      <c r="DGS29" s="211"/>
      <c r="DGT29" s="211"/>
      <c r="DGU29" s="211"/>
      <c r="DGV29" s="211"/>
      <c r="DGW29" s="211"/>
      <c r="DGX29" s="211"/>
      <c r="DGY29" s="211"/>
      <c r="DGZ29" s="211"/>
      <c r="DHA29" s="211"/>
      <c r="DHB29" s="211"/>
      <c r="DHC29" s="211"/>
      <c r="DHD29" s="211"/>
      <c r="DHE29" s="211"/>
      <c r="DHF29" s="211"/>
      <c r="DHG29" s="211"/>
      <c r="DHH29" s="211"/>
      <c r="DHI29" s="211"/>
      <c r="DHJ29" s="211"/>
      <c r="DHK29" s="211"/>
      <c r="DHL29" s="211"/>
      <c r="DHM29" s="211"/>
      <c r="DHN29" s="211"/>
      <c r="DHO29" s="211"/>
      <c r="DHP29" s="211"/>
      <c r="DHQ29" s="211"/>
      <c r="DHR29" s="211"/>
      <c r="DHS29" s="211"/>
      <c r="DHT29" s="211"/>
      <c r="DHU29" s="211"/>
      <c r="DHV29" s="211"/>
      <c r="DHW29" s="211"/>
      <c r="DHX29" s="211"/>
      <c r="DHY29" s="211"/>
      <c r="DHZ29" s="211"/>
      <c r="DIA29" s="211"/>
      <c r="DIB29" s="211"/>
      <c r="DIC29" s="211"/>
      <c r="DID29" s="211"/>
      <c r="DIE29" s="211"/>
      <c r="DIF29" s="211"/>
      <c r="DIG29" s="211"/>
      <c r="DIH29" s="211"/>
      <c r="DII29" s="211"/>
      <c r="DIJ29" s="211"/>
      <c r="DIK29" s="211"/>
      <c r="DIL29" s="211"/>
      <c r="DIM29" s="211"/>
      <c r="DIN29" s="211"/>
      <c r="DIO29" s="211"/>
      <c r="DIP29" s="211"/>
      <c r="DIQ29" s="211"/>
      <c r="DIR29" s="211"/>
      <c r="DIS29" s="211"/>
      <c r="DIT29" s="211"/>
      <c r="DIU29" s="211"/>
      <c r="DIV29" s="211"/>
      <c r="DIW29" s="211"/>
      <c r="DIX29" s="211"/>
      <c r="DIY29" s="211"/>
      <c r="DIZ29" s="211"/>
      <c r="DJA29" s="211"/>
      <c r="DJB29" s="211"/>
      <c r="DJC29" s="211"/>
      <c r="DJD29" s="211"/>
      <c r="DJE29" s="211"/>
      <c r="DJF29" s="211"/>
      <c r="DJG29" s="211"/>
      <c r="DJH29" s="211"/>
      <c r="DJI29" s="211"/>
      <c r="DJJ29" s="211"/>
      <c r="DJK29" s="211"/>
      <c r="DJL29" s="211"/>
      <c r="DJM29" s="211"/>
      <c r="DJN29" s="211"/>
      <c r="DJO29" s="211"/>
      <c r="DJP29" s="211"/>
      <c r="DJQ29" s="211"/>
      <c r="DJR29" s="211"/>
      <c r="DJS29" s="211"/>
      <c r="DJT29" s="211"/>
      <c r="DJU29" s="211"/>
      <c r="DJV29" s="211"/>
      <c r="DJW29" s="211"/>
      <c r="DJX29" s="211"/>
      <c r="DJY29" s="211"/>
      <c r="DJZ29" s="211"/>
      <c r="DKA29" s="211"/>
      <c r="DKB29" s="211"/>
      <c r="DKC29" s="211"/>
      <c r="DKD29" s="211"/>
      <c r="DKE29" s="211"/>
      <c r="DKF29" s="211"/>
      <c r="DKG29" s="211"/>
      <c r="DKH29" s="211"/>
      <c r="DKI29" s="211"/>
      <c r="DKJ29" s="211"/>
      <c r="DKK29" s="211"/>
      <c r="DKL29" s="211"/>
      <c r="DKM29" s="211"/>
      <c r="DKN29" s="211"/>
      <c r="DKO29" s="211"/>
      <c r="DKP29" s="211"/>
      <c r="DKQ29" s="211"/>
      <c r="DKR29" s="211"/>
      <c r="DKS29" s="211"/>
      <c r="DKT29" s="211"/>
      <c r="DKU29" s="211"/>
      <c r="DKV29" s="211"/>
      <c r="DKW29" s="211"/>
      <c r="DKX29" s="211"/>
      <c r="DKY29" s="211"/>
      <c r="DKZ29" s="211"/>
      <c r="DLA29" s="211"/>
      <c r="DLB29" s="211"/>
      <c r="DLC29" s="211"/>
      <c r="DLD29" s="211"/>
      <c r="DLE29" s="211"/>
      <c r="DLF29" s="211"/>
      <c r="DLG29" s="211"/>
      <c r="DLH29" s="211"/>
      <c r="DLI29" s="211"/>
      <c r="DLJ29" s="211"/>
      <c r="DLK29" s="211"/>
      <c r="DLL29" s="211"/>
      <c r="DLM29" s="211"/>
      <c r="DLN29" s="211"/>
      <c r="DLO29" s="211"/>
      <c r="DLP29" s="211"/>
      <c r="DLQ29" s="211"/>
      <c r="DLR29" s="211"/>
      <c r="DLS29" s="211"/>
      <c r="DLT29" s="211"/>
      <c r="DLU29" s="211"/>
      <c r="DLV29" s="211"/>
      <c r="DLW29" s="211"/>
      <c r="DLX29" s="211"/>
      <c r="DLY29" s="211"/>
      <c r="DLZ29" s="211"/>
      <c r="DMA29" s="211"/>
      <c r="DMB29" s="211"/>
      <c r="DMC29" s="211"/>
      <c r="DMD29" s="211"/>
      <c r="DME29" s="211"/>
      <c r="DMF29" s="211"/>
      <c r="DMG29" s="211"/>
      <c r="DMH29" s="211"/>
      <c r="DMI29" s="211"/>
      <c r="DMJ29" s="211"/>
      <c r="DMK29" s="211"/>
      <c r="DML29" s="211"/>
      <c r="DMM29" s="211"/>
      <c r="DMN29" s="211"/>
      <c r="DMO29" s="211"/>
      <c r="DMP29" s="211"/>
      <c r="DMQ29" s="211"/>
      <c r="DMR29" s="211"/>
      <c r="DMS29" s="211"/>
      <c r="DMT29" s="211"/>
      <c r="DMU29" s="211"/>
      <c r="DMV29" s="211"/>
      <c r="DMW29" s="211"/>
      <c r="DMX29" s="211"/>
      <c r="DMY29" s="211"/>
      <c r="DMZ29" s="211"/>
      <c r="DNA29" s="211"/>
      <c r="DNB29" s="211"/>
      <c r="DNC29" s="211"/>
      <c r="DND29" s="211"/>
      <c r="DNE29" s="211"/>
      <c r="DNF29" s="211"/>
      <c r="DNG29" s="211"/>
      <c r="DNH29" s="211"/>
      <c r="DNI29" s="211"/>
      <c r="DNJ29" s="211"/>
      <c r="DNK29" s="211"/>
      <c r="DNL29" s="211"/>
      <c r="DNM29" s="211"/>
      <c r="DNN29" s="211"/>
      <c r="DNO29" s="211"/>
      <c r="DNP29" s="211"/>
      <c r="DNQ29" s="211"/>
      <c r="DNR29" s="211"/>
      <c r="DNS29" s="211"/>
      <c r="DNT29" s="211"/>
      <c r="DNU29" s="211"/>
      <c r="DNV29" s="211"/>
      <c r="DNW29" s="211"/>
      <c r="DNX29" s="211"/>
      <c r="DNY29" s="211"/>
      <c r="DNZ29" s="211"/>
      <c r="DOA29" s="211"/>
      <c r="DOB29" s="211"/>
      <c r="DOC29" s="211"/>
      <c r="DOD29" s="211"/>
      <c r="DOE29" s="211"/>
      <c r="DOF29" s="211"/>
      <c r="DOG29" s="211"/>
      <c r="DOH29" s="211"/>
      <c r="DOI29" s="211"/>
      <c r="DOJ29" s="211"/>
      <c r="DOK29" s="211"/>
      <c r="DOL29" s="211"/>
      <c r="DOM29" s="211"/>
      <c r="DON29" s="211"/>
      <c r="DOO29" s="211"/>
      <c r="DOP29" s="211"/>
      <c r="DOQ29" s="211"/>
      <c r="DOR29" s="211"/>
      <c r="DOS29" s="211"/>
      <c r="DOT29" s="211"/>
      <c r="DOU29" s="211"/>
      <c r="DOV29" s="211"/>
      <c r="DOW29" s="211"/>
      <c r="DOX29" s="211"/>
      <c r="DOY29" s="211"/>
      <c r="DOZ29" s="211"/>
      <c r="DPA29" s="211"/>
      <c r="DPB29" s="211"/>
      <c r="DPC29" s="211"/>
      <c r="DPD29" s="211"/>
      <c r="DPE29" s="211"/>
      <c r="DPF29" s="211"/>
      <c r="DPG29" s="211"/>
      <c r="DPH29" s="211"/>
      <c r="DPI29" s="211"/>
      <c r="DPJ29" s="211"/>
      <c r="DPK29" s="211"/>
      <c r="DPL29" s="211"/>
      <c r="DPM29" s="211"/>
      <c r="DPN29" s="211"/>
      <c r="DPO29" s="211"/>
      <c r="DPP29" s="211"/>
      <c r="DPQ29" s="211"/>
      <c r="DPR29" s="211"/>
      <c r="DPS29" s="211"/>
      <c r="DPT29" s="211"/>
      <c r="DPU29" s="211"/>
      <c r="DPV29" s="211"/>
      <c r="DPW29" s="211"/>
      <c r="DPX29" s="211"/>
      <c r="DPY29" s="211"/>
      <c r="DPZ29" s="211"/>
      <c r="DQA29" s="211"/>
      <c r="DQB29" s="211"/>
      <c r="DQC29" s="211"/>
      <c r="DQD29" s="211"/>
      <c r="DQE29" s="211"/>
      <c r="DQF29" s="211"/>
      <c r="DQG29" s="211"/>
      <c r="DQH29" s="211"/>
      <c r="DQI29" s="211"/>
      <c r="DQJ29" s="211"/>
      <c r="DQK29" s="211"/>
      <c r="DQL29" s="211"/>
      <c r="DQM29" s="211"/>
      <c r="DQN29" s="211"/>
      <c r="DQO29" s="211"/>
      <c r="DQP29" s="211"/>
      <c r="DQQ29" s="211"/>
      <c r="DQR29" s="211"/>
      <c r="DQS29" s="211"/>
      <c r="DQT29" s="211"/>
      <c r="DQU29" s="211"/>
      <c r="DQV29" s="211"/>
      <c r="DQW29" s="211"/>
      <c r="DQX29" s="211"/>
      <c r="DQY29" s="211"/>
      <c r="DQZ29" s="211"/>
      <c r="DRA29" s="211"/>
      <c r="DRB29" s="211"/>
      <c r="DRC29" s="211"/>
      <c r="DRD29" s="211"/>
      <c r="DRE29" s="211"/>
      <c r="DRF29" s="211"/>
      <c r="DRG29" s="211"/>
      <c r="DRH29" s="211"/>
      <c r="DRI29" s="211"/>
      <c r="DRJ29" s="211"/>
      <c r="DRK29" s="211"/>
      <c r="DRL29" s="211"/>
      <c r="DRM29" s="211"/>
      <c r="DRN29" s="211"/>
      <c r="DRO29" s="211"/>
      <c r="DRP29" s="211"/>
      <c r="DRQ29" s="211"/>
      <c r="DRR29" s="211"/>
      <c r="DRS29" s="211"/>
      <c r="DRT29" s="211"/>
      <c r="DRU29" s="211"/>
      <c r="DRV29" s="211"/>
      <c r="DRW29" s="211"/>
      <c r="DRX29" s="211"/>
      <c r="DRY29" s="211"/>
      <c r="DRZ29" s="211"/>
      <c r="DSA29" s="211"/>
      <c r="DSB29" s="211"/>
      <c r="DSC29" s="211"/>
      <c r="DSD29" s="211"/>
      <c r="DSE29" s="211"/>
      <c r="DSF29" s="211"/>
      <c r="DSG29" s="211"/>
      <c r="DSH29" s="211"/>
      <c r="DSI29" s="211"/>
      <c r="DSJ29" s="211"/>
      <c r="DSK29" s="211"/>
      <c r="DSL29" s="211"/>
      <c r="DSM29" s="211"/>
      <c r="DSN29" s="211"/>
      <c r="DSO29" s="211"/>
      <c r="DSP29" s="211"/>
      <c r="DSQ29" s="211"/>
      <c r="DSR29" s="211"/>
      <c r="DSS29" s="211"/>
      <c r="DST29" s="211"/>
      <c r="DSU29" s="211"/>
      <c r="DSV29" s="211"/>
      <c r="DSW29" s="211"/>
      <c r="DSX29" s="211"/>
      <c r="DSY29" s="211"/>
      <c r="DSZ29" s="211"/>
      <c r="DTA29" s="211"/>
      <c r="DTB29" s="211"/>
      <c r="DTC29" s="211"/>
      <c r="DTD29" s="211"/>
      <c r="DTE29" s="211"/>
      <c r="DTF29" s="211"/>
      <c r="DTG29" s="211"/>
      <c r="DTH29" s="211"/>
      <c r="DTI29" s="211"/>
      <c r="DTJ29" s="211"/>
      <c r="DTK29" s="211"/>
      <c r="DTL29" s="211"/>
      <c r="DTM29" s="211"/>
      <c r="DTN29" s="211"/>
      <c r="DTO29" s="211"/>
      <c r="DTP29" s="211"/>
      <c r="DTQ29" s="211"/>
      <c r="DTR29" s="211"/>
      <c r="DTS29" s="211"/>
      <c r="DTT29" s="211"/>
      <c r="DTU29" s="211"/>
      <c r="DTV29" s="211"/>
      <c r="DTW29" s="211"/>
      <c r="DTX29" s="211"/>
      <c r="DTY29" s="211"/>
      <c r="DTZ29" s="211"/>
      <c r="DUA29" s="211"/>
      <c r="DUB29" s="211"/>
      <c r="DUC29" s="211"/>
      <c r="DUD29" s="211"/>
      <c r="DUE29" s="211"/>
      <c r="DUF29" s="211"/>
      <c r="DUG29" s="211"/>
      <c r="DUH29" s="211"/>
      <c r="DUI29" s="211"/>
      <c r="DUJ29" s="211"/>
      <c r="DUK29" s="211"/>
      <c r="DUL29" s="211"/>
      <c r="DUM29" s="211"/>
      <c r="DUN29" s="211"/>
      <c r="DUO29" s="211"/>
      <c r="DUP29" s="211"/>
      <c r="DUQ29" s="211"/>
      <c r="DUR29" s="211"/>
      <c r="DUS29" s="211"/>
      <c r="DUT29" s="211"/>
      <c r="DUU29" s="211"/>
      <c r="DUV29" s="211"/>
      <c r="DUW29" s="211"/>
      <c r="DUX29" s="211"/>
      <c r="DUY29" s="211"/>
      <c r="DUZ29" s="211"/>
      <c r="DVA29" s="211"/>
      <c r="DVB29" s="211"/>
      <c r="DVC29" s="211"/>
      <c r="DVD29" s="211"/>
      <c r="DVE29" s="211"/>
      <c r="DVF29" s="211"/>
      <c r="DVG29" s="211"/>
      <c r="DVH29" s="211"/>
      <c r="DVI29" s="211"/>
      <c r="DVJ29" s="211"/>
      <c r="DVK29" s="211"/>
      <c r="DVL29" s="211"/>
      <c r="DVM29" s="211"/>
      <c r="DVN29" s="211"/>
      <c r="DVO29" s="211"/>
      <c r="DVP29" s="211"/>
      <c r="DVQ29" s="211"/>
      <c r="DVR29" s="211"/>
      <c r="DVS29" s="211"/>
      <c r="DVT29" s="211"/>
      <c r="DVU29" s="211"/>
      <c r="DVV29" s="211"/>
      <c r="DVW29" s="211"/>
      <c r="DVX29" s="211"/>
      <c r="DVY29" s="211"/>
      <c r="DVZ29" s="211"/>
      <c r="DWA29" s="211"/>
      <c r="DWB29" s="211"/>
      <c r="DWC29" s="211"/>
      <c r="DWD29" s="211"/>
      <c r="DWE29" s="211"/>
      <c r="DWF29" s="211"/>
      <c r="DWG29" s="211"/>
      <c r="DWH29" s="211"/>
      <c r="DWI29" s="211"/>
      <c r="DWJ29" s="211"/>
      <c r="DWK29" s="211"/>
      <c r="DWL29" s="211"/>
      <c r="DWM29" s="211"/>
      <c r="DWN29" s="211"/>
      <c r="DWO29" s="211"/>
      <c r="DWP29" s="211"/>
      <c r="DWQ29" s="211"/>
      <c r="DWR29" s="211"/>
      <c r="DWS29" s="211"/>
      <c r="DWT29" s="211"/>
      <c r="DWU29" s="211"/>
      <c r="DWV29" s="211"/>
      <c r="DWW29" s="211"/>
      <c r="DWX29" s="211"/>
      <c r="DWY29" s="211"/>
      <c r="DWZ29" s="211"/>
      <c r="DXA29" s="211"/>
      <c r="DXB29" s="211"/>
      <c r="DXC29" s="211"/>
      <c r="DXD29" s="211"/>
      <c r="DXE29" s="211"/>
      <c r="DXF29" s="211"/>
      <c r="DXG29" s="211"/>
      <c r="DXH29" s="211"/>
      <c r="DXI29" s="211"/>
      <c r="DXJ29" s="211"/>
      <c r="DXK29" s="211"/>
      <c r="DXL29" s="211"/>
      <c r="DXM29" s="211"/>
      <c r="DXN29" s="211"/>
      <c r="DXO29" s="211"/>
      <c r="DXP29" s="211"/>
      <c r="DXQ29" s="211"/>
      <c r="DXR29" s="211"/>
      <c r="DXS29" s="211"/>
      <c r="DXT29" s="211"/>
      <c r="DXU29" s="211"/>
      <c r="DXV29" s="211"/>
      <c r="DXW29" s="211"/>
      <c r="DXX29" s="211"/>
      <c r="DXY29" s="211"/>
      <c r="DXZ29" s="211"/>
      <c r="DYA29" s="211"/>
      <c r="DYB29" s="211"/>
      <c r="DYC29" s="211"/>
      <c r="DYD29" s="211"/>
      <c r="DYE29" s="211"/>
      <c r="DYF29" s="211"/>
      <c r="DYG29" s="211"/>
      <c r="DYH29" s="211"/>
      <c r="DYI29" s="211"/>
      <c r="DYJ29" s="211"/>
      <c r="DYK29" s="211"/>
      <c r="DYL29" s="211"/>
      <c r="DYM29" s="211"/>
      <c r="DYN29" s="211"/>
      <c r="DYO29" s="211"/>
      <c r="DYP29" s="211"/>
      <c r="DYQ29" s="211"/>
      <c r="DYR29" s="211"/>
      <c r="DYS29" s="211"/>
      <c r="DYT29" s="211"/>
      <c r="DYU29" s="211"/>
      <c r="DYV29" s="211"/>
      <c r="DYW29" s="211"/>
      <c r="DYX29" s="211"/>
      <c r="DYY29" s="211"/>
      <c r="DYZ29" s="211"/>
      <c r="DZA29" s="211"/>
      <c r="DZB29" s="211"/>
      <c r="DZC29" s="211"/>
      <c r="DZD29" s="211"/>
      <c r="DZE29" s="211"/>
      <c r="DZF29" s="211"/>
      <c r="DZG29" s="211"/>
      <c r="DZH29" s="211"/>
      <c r="DZI29" s="211"/>
      <c r="DZJ29" s="211"/>
      <c r="DZK29" s="211"/>
      <c r="DZL29" s="211"/>
      <c r="DZM29" s="211"/>
      <c r="DZN29" s="211"/>
      <c r="DZO29" s="211"/>
      <c r="DZP29" s="211"/>
      <c r="DZQ29" s="211"/>
      <c r="DZR29" s="211"/>
      <c r="DZS29" s="211"/>
      <c r="DZT29" s="211"/>
      <c r="DZU29" s="211"/>
      <c r="DZV29" s="211"/>
      <c r="DZW29" s="211"/>
      <c r="DZX29" s="211"/>
      <c r="DZY29" s="211"/>
      <c r="DZZ29" s="211"/>
      <c r="EAA29" s="211"/>
      <c r="EAB29" s="211"/>
      <c r="EAC29" s="211"/>
      <c r="EAD29" s="211"/>
      <c r="EAE29" s="211"/>
      <c r="EAF29" s="211"/>
      <c r="EAG29" s="211"/>
      <c r="EAH29" s="211"/>
      <c r="EAI29" s="211"/>
      <c r="EAJ29" s="211"/>
      <c r="EAK29" s="211"/>
      <c r="EAL29" s="211"/>
      <c r="EAM29" s="211"/>
      <c r="EAN29" s="211"/>
      <c r="EAO29" s="211"/>
      <c r="EAP29" s="211"/>
      <c r="EAQ29" s="211"/>
      <c r="EAR29" s="211"/>
      <c r="EAS29" s="211"/>
      <c r="EAT29" s="211"/>
      <c r="EAU29" s="211"/>
      <c r="EAV29" s="211"/>
      <c r="EAW29" s="211"/>
      <c r="EAX29" s="211"/>
      <c r="EAY29" s="211"/>
      <c r="EAZ29" s="211"/>
      <c r="EBA29" s="211"/>
      <c r="EBB29" s="211"/>
      <c r="EBC29" s="211"/>
      <c r="EBD29" s="211"/>
      <c r="EBE29" s="211"/>
      <c r="EBF29" s="211"/>
      <c r="EBG29" s="211"/>
      <c r="EBH29" s="211"/>
      <c r="EBI29" s="211"/>
      <c r="EBJ29" s="211"/>
      <c r="EBK29" s="211"/>
      <c r="EBL29" s="211"/>
      <c r="EBM29" s="211"/>
      <c r="EBN29" s="211"/>
      <c r="EBO29" s="211"/>
      <c r="EBP29" s="211"/>
      <c r="EBQ29" s="211"/>
      <c r="EBR29" s="211"/>
      <c r="EBS29" s="211"/>
      <c r="EBT29" s="211"/>
      <c r="EBU29" s="211"/>
      <c r="EBV29" s="211"/>
      <c r="EBW29" s="211"/>
      <c r="EBX29" s="211"/>
      <c r="EBY29" s="211"/>
      <c r="EBZ29" s="211"/>
      <c r="ECA29" s="211"/>
      <c r="ECB29" s="211"/>
      <c r="ECC29" s="211"/>
      <c r="ECD29" s="211"/>
      <c r="ECE29" s="211"/>
      <c r="ECF29" s="211"/>
      <c r="ECG29" s="211"/>
      <c r="ECH29" s="211"/>
      <c r="ECI29" s="211"/>
      <c r="ECJ29" s="211"/>
      <c r="ECK29" s="211"/>
      <c r="ECL29" s="211"/>
      <c r="ECM29" s="211"/>
      <c r="ECN29" s="211"/>
      <c r="ECO29" s="211"/>
      <c r="ECP29" s="211"/>
      <c r="ECQ29" s="211"/>
      <c r="ECR29" s="211"/>
      <c r="ECS29" s="211"/>
      <c r="ECT29" s="211"/>
      <c r="ECU29" s="211"/>
      <c r="ECV29" s="211"/>
      <c r="ECW29" s="211"/>
      <c r="ECX29" s="211"/>
      <c r="ECY29" s="211"/>
      <c r="ECZ29" s="211"/>
      <c r="EDA29" s="211"/>
      <c r="EDB29" s="211"/>
      <c r="EDC29" s="211"/>
      <c r="EDD29" s="211"/>
      <c r="EDE29" s="211"/>
      <c r="EDF29" s="211"/>
      <c r="EDG29" s="211"/>
      <c r="EDH29" s="211"/>
      <c r="EDI29" s="211"/>
      <c r="EDJ29" s="211"/>
      <c r="EDK29" s="211"/>
      <c r="EDL29" s="211"/>
      <c r="EDM29" s="211"/>
      <c r="EDN29" s="211"/>
      <c r="EDO29" s="211"/>
      <c r="EDP29" s="211"/>
      <c r="EDQ29" s="211"/>
      <c r="EDR29" s="211"/>
      <c r="EDS29" s="211"/>
      <c r="EDT29" s="211"/>
      <c r="EDU29" s="211"/>
      <c r="EDV29" s="211"/>
      <c r="EDW29" s="211"/>
      <c r="EDX29" s="211"/>
      <c r="EDY29" s="211"/>
      <c r="EDZ29" s="211"/>
      <c r="EEA29" s="211"/>
      <c r="EEB29" s="211"/>
      <c r="EEC29" s="211"/>
      <c r="EED29" s="211"/>
      <c r="EEE29" s="211"/>
      <c r="EEF29" s="211"/>
      <c r="EEG29" s="211"/>
      <c r="EEH29" s="211"/>
      <c r="EEI29" s="211"/>
      <c r="EEJ29" s="211"/>
      <c r="EEK29" s="211"/>
      <c r="EEL29" s="211"/>
      <c r="EEM29" s="211"/>
      <c r="EEN29" s="211"/>
      <c r="EEO29" s="211"/>
      <c r="EEP29" s="211"/>
      <c r="EEQ29" s="211"/>
      <c r="EER29" s="211"/>
      <c r="EES29" s="211"/>
      <c r="EET29" s="211"/>
      <c r="EEU29" s="211"/>
      <c r="EEV29" s="211"/>
      <c r="EEW29" s="211"/>
      <c r="EEX29" s="211"/>
      <c r="EEY29" s="211"/>
      <c r="EEZ29" s="211"/>
      <c r="EFA29" s="211"/>
      <c r="EFB29" s="211"/>
      <c r="EFC29" s="211"/>
      <c r="EFD29" s="211"/>
      <c r="EFE29" s="211"/>
      <c r="EFF29" s="211"/>
      <c r="EFG29" s="211"/>
      <c r="EFH29" s="211"/>
      <c r="EFI29" s="211"/>
      <c r="EFJ29" s="211"/>
      <c r="EFK29" s="211"/>
      <c r="EFL29" s="211"/>
      <c r="EFM29" s="211"/>
      <c r="EFN29" s="211"/>
      <c r="EFO29" s="211"/>
      <c r="EFP29" s="211"/>
      <c r="EFQ29" s="211"/>
      <c r="EFR29" s="211"/>
      <c r="EFS29" s="211"/>
      <c r="EFT29" s="211"/>
      <c r="EFU29" s="211"/>
      <c r="EFV29" s="211"/>
      <c r="EFW29" s="211"/>
      <c r="EFX29" s="211"/>
      <c r="EFY29" s="211"/>
      <c r="EFZ29" s="211"/>
      <c r="EGA29" s="211"/>
      <c r="EGB29" s="211"/>
      <c r="EGC29" s="211"/>
      <c r="EGD29" s="211"/>
      <c r="EGE29" s="211"/>
      <c r="EGF29" s="211"/>
      <c r="EGG29" s="211"/>
      <c r="EGH29" s="211"/>
      <c r="EGI29" s="211"/>
      <c r="EGJ29" s="211"/>
      <c r="EGK29" s="211"/>
      <c r="EGL29" s="211"/>
      <c r="EGM29" s="211"/>
      <c r="EGN29" s="211"/>
      <c r="EGO29" s="211"/>
      <c r="EGP29" s="211"/>
      <c r="EGQ29" s="211"/>
      <c r="EGR29" s="211"/>
      <c r="EGS29" s="211"/>
      <c r="EGT29" s="211"/>
      <c r="EGU29" s="211"/>
      <c r="EGV29" s="211"/>
      <c r="EGW29" s="211"/>
      <c r="EGX29" s="211"/>
      <c r="EGY29" s="211"/>
      <c r="EGZ29" s="211"/>
      <c r="EHA29" s="211"/>
      <c r="EHB29" s="211"/>
      <c r="EHC29" s="211"/>
      <c r="EHD29" s="211"/>
      <c r="EHE29" s="211"/>
      <c r="EHF29" s="211"/>
      <c r="EHG29" s="211"/>
      <c r="EHH29" s="211"/>
      <c r="EHI29" s="211"/>
      <c r="EHJ29" s="211"/>
      <c r="EHK29" s="211"/>
      <c r="EHL29" s="211"/>
      <c r="EHM29" s="211"/>
      <c r="EHN29" s="211"/>
      <c r="EHO29" s="211"/>
      <c r="EHP29" s="211"/>
      <c r="EHQ29" s="211"/>
      <c r="EHR29" s="211"/>
      <c r="EHS29" s="211"/>
      <c r="EHT29" s="211"/>
      <c r="EHU29" s="211"/>
      <c r="EHV29" s="211"/>
      <c r="EHW29" s="211"/>
      <c r="EHX29" s="211"/>
      <c r="EHY29" s="211"/>
      <c r="EHZ29" s="211"/>
      <c r="EIA29" s="211"/>
      <c r="EIB29" s="211"/>
      <c r="EIC29" s="211"/>
      <c r="EID29" s="211"/>
      <c r="EIE29" s="211"/>
      <c r="EIF29" s="211"/>
      <c r="EIG29" s="211"/>
      <c r="EIH29" s="211"/>
      <c r="EII29" s="211"/>
      <c r="EIJ29" s="211"/>
      <c r="EIK29" s="211"/>
      <c r="EIL29" s="211"/>
      <c r="EIM29" s="211"/>
      <c r="EIN29" s="211"/>
      <c r="EIO29" s="211"/>
      <c r="EIP29" s="211"/>
      <c r="EIQ29" s="211"/>
      <c r="EIR29" s="211"/>
      <c r="EIS29" s="211"/>
      <c r="EIT29" s="211"/>
      <c r="EIU29" s="211"/>
      <c r="EIV29" s="211"/>
      <c r="EIW29" s="211"/>
      <c r="EIX29" s="211"/>
      <c r="EIY29" s="211"/>
      <c r="EIZ29" s="211"/>
      <c r="EJA29" s="211"/>
      <c r="EJB29" s="211"/>
      <c r="EJC29" s="211"/>
      <c r="EJD29" s="211"/>
      <c r="EJE29" s="211"/>
      <c r="EJF29" s="211"/>
      <c r="EJG29" s="211"/>
      <c r="EJH29" s="211"/>
      <c r="EJI29" s="211"/>
      <c r="EJJ29" s="211"/>
      <c r="EJK29" s="211"/>
      <c r="EJL29" s="211"/>
      <c r="EJM29" s="211"/>
      <c r="EJN29" s="211"/>
      <c r="EJO29" s="211"/>
      <c r="EJP29" s="211"/>
      <c r="EJQ29" s="211"/>
      <c r="EJR29" s="211"/>
      <c r="EJS29" s="211"/>
      <c r="EJT29" s="211"/>
      <c r="EJU29" s="211"/>
      <c r="EJV29" s="211"/>
      <c r="EJW29" s="211"/>
      <c r="EJX29" s="211"/>
      <c r="EJY29" s="211"/>
      <c r="EJZ29" s="211"/>
      <c r="EKA29" s="211"/>
      <c r="EKB29" s="211"/>
      <c r="EKC29" s="211"/>
      <c r="EKD29" s="211"/>
      <c r="EKE29" s="211"/>
      <c r="EKF29" s="211"/>
      <c r="EKG29" s="211"/>
      <c r="EKH29" s="211"/>
      <c r="EKI29" s="211"/>
      <c r="EKJ29" s="211"/>
      <c r="EKK29" s="211"/>
      <c r="EKL29" s="211"/>
      <c r="EKM29" s="211"/>
      <c r="EKN29" s="211"/>
      <c r="EKO29" s="211"/>
      <c r="EKP29" s="211"/>
      <c r="EKQ29" s="211"/>
      <c r="EKR29" s="211"/>
      <c r="EKS29" s="211"/>
      <c r="EKT29" s="211"/>
      <c r="EKU29" s="211"/>
      <c r="EKV29" s="211"/>
      <c r="EKW29" s="211"/>
      <c r="EKX29" s="211"/>
      <c r="EKY29" s="211"/>
      <c r="EKZ29" s="211"/>
      <c r="ELA29" s="211"/>
      <c r="ELB29" s="211"/>
      <c r="ELC29" s="211"/>
      <c r="ELD29" s="211"/>
      <c r="ELE29" s="211"/>
      <c r="ELF29" s="211"/>
      <c r="ELG29" s="211"/>
      <c r="ELH29" s="211"/>
      <c r="ELI29" s="211"/>
      <c r="ELJ29" s="211"/>
      <c r="ELK29" s="211"/>
      <c r="ELL29" s="211"/>
      <c r="ELM29" s="211"/>
      <c r="ELN29" s="211"/>
      <c r="ELO29" s="211"/>
      <c r="ELP29" s="211"/>
      <c r="ELQ29" s="211"/>
      <c r="ELR29" s="211"/>
      <c r="ELS29" s="211"/>
      <c r="ELT29" s="211"/>
      <c r="ELU29" s="211"/>
      <c r="ELV29" s="211"/>
      <c r="ELW29" s="211"/>
      <c r="ELX29" s="211"/>
      <c r="ELY29" s="211"/>
      <c r="ELZ29" s="211"/>
      <c r="EMA29" s="211"/>
      <c r="EMB29" s="211"/>
      <c r="EMC29" s="211"/>
      <c r="EMD29" s="211"/>
      <c r="EME29" s="211"/>
      <c r="EMF29" s="211"/>
      <c r="EMG29" s="211"/>
      <c r="EMH29" s="211"/>
      <c r="EMI29" s="211"/>
      <c r="EMJ29" s="211"/>
      <c r="EMK29" s="211"/>
      <c r="EML29" s="211"/>
      <c r="EMM29" s="211"/>
      <c r="EMN29" s="211"/>
      <c r="EMO29" s="211"/>
      <c r="EMP29" s="211"/>
      <c r="EMQ29" s="211"/>
      <c r="EMR29" s="211"/>
      <c r="EMS29" s="211"/>
      <c r="EMT29" s="211"/>
      <c r="EMU29" s="211"/>
      <c r="EMV29" s="211"/>
      <c r="EMW29" s="211"/>
      <c r="EMX29" s="211"/>
      <c r="EMY29" s="211"/>
      <c r="EMZ29" s="211"/>
      <c r="ENA29" s="211"/>
      <c r="ENB29" s="211"/>
      <c r="ENC29" s="211"/>
      <c r="END29" s="211"/>
      <c r="ENE29" s="211"/>
      <c r="ENF29" s="211"/>
      <c r="ENG29" s="211"/>
      <c r="ENH29" s="211"/>
      <c r="ENI29" s="211"/>
      <c r="ENJ29" s="211"/>
      <c r="ENK29" s="211"/>
      <c r="ENL29" s="211"/>
      <c r="ENM29" s="211"/>
      <c r="ENN29" s="211"/>
      <c r="ENO29" s="211"/>
      <c r="ENP29" s="211"/>
      <c r="ENQ29" s="211"/>
      <c r="ENR29" s="211"/>
      <c r="ENS29" s="211"/>
      <c r="ENT29" s="211"/>
      <c r="ENU29" s="211"/>
      <c r="ENV29" s="211"/>
      <c r="ENW29" s="211"/>
      <c r="ENX29" s="211"/>
      <c r="ENY29" s="211"/>
      <c r="ENZ29" s="211"/>
      <c r="EOA29" s="211"/>
      <c r="EOB29" s="211"/>
      <c r="EOC29" s="211"/>
      <c r="EOD29" s="211"/>
      <c r="EOE29" s="211"/>
      <c r="EOF29" s="211"/>
      <c r="EOG29" s="211"/>
      <c r="EOH29" s="211"/>
      <c r="EOI29" s="211"/>
      <c r="EOJ29" s="211"/>
      <c r="EOK29" s="211"/>
      <c r="EOL29" s="211"/>
      <c r="EOM29" s="211"/>
      <c r="EON29" s="211"/>
      <c r="EOO29" s="211"/>
      <c r="EOP29" s="211"/>
      <c r="EOQ29" s="211"/>
      <c r="EOR29" s="211"/>
      <c r="EOS29" s="211"/>
      <c r="EOT29" s="211"/>
      <c r="EOU29" s="211"/>
      <c r="EOV29" s="211"/>
      <c r="EOW29" s="211"/>
      <c r="EOX29" s="211"/>
      <c r="EOY29" s="211"/>
      <c r="EOZ29" s="211"/>
      <c r="EPA29" s="211"/>
      <c r="EPB29" s="211"/>
      <c r="EPC29" s="211"/>
      <c r="EPD29" s="211"/>
      <c r="EPE29" s="211"/>
      <c r="EPF29" s="211"/>
      <c r="EPG29" s="211"/>
      <c r="EPH29" s="211"/>
      <c r="EPI29" s="211"/>
      <c r="EPJ29" s="211"/>
      <c r="EPK29" s="211"/>
      <c r="EPL29" s="211"/>
      <c r="EPM29" s="211"/>
      <c r="EPN29" s="211"/>
      <c r="EPO29" s="211"/>
      <c r="EPP29" s="211"/>
      <c r="EPQ29" s="211"/>
      <c r="EPR29" s="211"/>
      <c r="EPS29" s="211"/>
      <c r="EPT29" s="211"/>
      <c r="EPU29" s="211"/>
      <c r="EPV29" s="211"/>
      <c r="EPW29" s="211"/>
      <c r="EPX29" s="211"/>
      <c r="EPY29" s="211"/>
      <c r="EPZ29" s="211"/>
      <c r="EQA29" s="211"/>
      <c r="EQB29" s="211"/>
      <c r="EQC29" s="211"/>
      <c r="EQD29" s="211"/>
      <c r="EQE29" s="211"/>
      <c r="EQF29" s="211"/>
      <c r="EQG29" s="211"/>
      <c r="EQH29" s="211"/>
      <c r="EQI29" s="211"/>
      <c r="EQJ29" s="211"/>
      <c r="EQK29" s="211"/>
      <c r="EQL29" s="211"/>
      <c r="EQM29" s="211"/>
      <c r="EQN29" s="211"/>
      <c r="EQO29" s="211"/>
      <c r="EQP29" s="211"/>
      <c r="EQQ29" s="211"/>
      <c r="EQR29" s="211"/>
      <c r="EQS29" s="211"/>
      <c r="EQT29" s="211"/>
      <c r="EQU29" s="211"/>
      <c r="EQV29" s="211"/>
      <c r="EQW29" s="211"/>
      <c r="EQX29" s="211"/>
      <c r="EQY29" s="211"/>
      <c r="EQZ29" s="211"/>
      <c r="ERA29" s="211"/>
      <c r="ERB29" s="211"/>
      <c r="ERC29" s="211"/>
      <c r="ERD29" s="211"/>
      <c r="ERE29" s="211"/>
      <c r="ERF29" s="211"/>
      <c r="ERG29" s="211"/>
      <c r="ERH29" s="211"/>
      <c r="ERI29" s="211"/>
      <c r="ERJ29" s="211"/>
      <c r="ERK29" s="211"/>
      <c r="ERL29" s="211"/>
      <c r="ERM29" s="211"/>
      <c r="ERN29" s="211"/>
      <c r="ERO29" s="211"/>
      <c r="ERP29" s="211"/>
      <c r="ERQ29" s="211"/>
      <c r="ERR29" s="211"/>
      <c r="ERS29" s="211"/>
      <c r="ERT29" s="211"/>
      <c r="ERU29" s="211"/>
      <c r="ERV29" s="211"/>
      <c r="ERW29" s="211"/>
      <c r="ERX29" s="211"/>
      <c r="ERY29" s="211"/>
      <c r="ERZ29" s="211"/>
      <c r="ESA29" s="211"/>
      <c r="ESB29" s="211"/>
      <c r="ESC29" s="211"/>
      <c r="ESD29" s="211"/>
      <c r="ESE29" s="211"/>
      <c r="ESF29" s="211"/>
      <c r="ESG29" s="211"/>
      <c r="ESH29" s="211"/>
      <c r="ESI29" s="211"/>
      <c r="ESJ29" s="211"/>
      <c r="ESK29" s="211"/>
      <c r="ESL29" s="211"/>
      <c r="ESM29" s="211"/>
      <c r="ESN29" s="211"/>
      <c r="ESO29" s="211"/>
      <c r="ESP29" s="211"/>
      <c r="ESQ29" s="211"/>
      <c r="ESR29" s="211"/>
      <c r="ESS29" s="211"/>
      <c r="EST29" s="211"/>
      <c r="ESU29" s="211"/>
      <c r="ESV29" s="211"/>
      <c r="ESW29" s="211"/>
      <c r="ESX29" s="211"/>
      <c r="ESY29" s="211"/>
      <c r="ESZ29" s="211"/>
      <c r="ETA29" s="211"/>
      <c r="ETB29" s="211"/>
      <c r="ETC29" s="211"/>
      <c r="ETD29" s="211"/>
      <c r="ETE29" s="211"/>
      <c r="ETF29" s="211"/>
      <c r="ETG29" s="211"/>
      <c r="ETH29" s="211"/>
      <c r="ETI29" s="211"/>
      <c r="ETJ29" s="211"/>
      <c r="ETK29" s="211"/>
      <c r="ETL29" s="211"/>
      <c r="ETM29" s="211"/>
      <c r="ETN29" s="211"/>
      <c r="ETO29" s="211"/>
      <c r="ETP29" s="211"/>
      <c r="ETQ29" s="211"/>
      <c r="ETR29" s="211"/>
      <c r="ETS29" s="211"/>
      <c r="ETT29" s="211"/>
      <c r="ETU29" s="211"/>
      <c r="ETV29" s="211"/>
      <c r="ETW29" s="211"/>
      <c r="ETX29" s="211"/>
      <c r="ETY29" s="211"/>
      <c r="ETZ29" s="211"/>
      <c r="EUA29" s="211"/>
      <c r="EUB29" s="211"/>
      <c r="EUC29" s="211"/>
      <c r="EUD29" s="211"/>
      <c r="EUE29" s="211"/>
      <c r="EUF29" s="211"/>
      <c r="EUG29" s="211"/>
      <c r="EUH29" s="211"/>
      <c r="EUI29" s="211"/>
      <c r="EUJ29" s="211"/>
      <c r="EUK29" s="211"/>
      <c r="EUL29" s="211"/>
      <c r="EUM29" s="211"/>
      <c r="EUN29" s="211"/>
      <c r="EUO29" s="211"/>
      <c r="EUP29" s="211"/>
      <c r="EUQ29" s="211"/>
      <c r="EUR29" s="211"/>
      <c r="EUS29" s="211"/>
      <c r="EUT29" s="211"/>
      <c r="EUU29" s="211"/>
      <c r="EUV29" s="211"/>
      <c r="EUW29" s="211"/>
      <c r="EUX29" s="211"/>
      <c r="EUY29" s="211"/>
      <c r="EUZ29" s="211"/>
      <c r="EVA29" s="211"/>
      <c r="EVB29" s="211"/>
      <c r="EVC29" s="211"/>
      <c r="EVD29" s="211"/>
      <c r="EVE29" s="211"/>
      <c r="EVF29" s="211"/>
      <c r="EVG29" s="211"/>
      <c r="EVH29" s="211"/>
      <c r="EVI29" s="211"/>
      <c r="EVJ29" s="211"/>
      <c r="EVK29" s="211"/>
      <c r="EVL29" s="211"/>
      <c r="EVM29" s="211"/>
      <c r="EVN29" s="211"/>
      <c r="EVO29" s="211"/>
      <c r="EVP29" s="211"/>
      <c r="EVQ29" s="211"/>
      <c r="EVR29" s="211"/>
      <c r="EVS29" s="211"/>
      <c r="EVT29" s="211"/>
      <c r="EVU29" s="211"/>
      <c r="EVV29" s="211"/>
      <c r="EVW29" s="211"/>
      <c r="EVX29" s="211"/>
      <c r="EVY29" s="211"/>
      <c r="EVZ29" s="211"/>
      <c r="EWA29" s="211"/>
      <c r="EWB29" s="211"/>
      <c r="EWC29" s="211"/>
      <c r="EWD29" s="211"/>
      <c r="EWE29" s="211"/>
      <c r="EWF29" s="211"/>
      <c r="EWG29" s="211"/>
      <c r="EWH29" s="211"/>
      <c r="EWI29" s="211"/>
      <c r="EWJ29" s="211"/>
      <c r="EWK29" s="211"/>
      <c r="EWL29" s="211"/>
      <c r="EWM29" s="211"/>
      <c r="EWN29" s="211"/>
      <c r="EWO29" s="211"/>
      <c r="EWP29" s="211"/>
      <c r="EWQ29" s="211"/>
      <c r="EWR29" s="211"/>
      <c r="EWS29" s="211"/>
      <c r="EWT29" s="211"/>
      <c r="EWU29" s="211"/>
      <c r="EWV29" s="211"/>
      <c r="EWW29" s="211"/>
      <c r="EWX29" s="211"/>
      <c r="EWY29" s="211"/>
      <c r="EWZ29" s="211"/>
      <c r="EXA29" s="211"/>
      <c r="EXB29" s="211"/>
      <c r="EXC29" s="211"/>
      <c r="EXD29" s="211"/>
      <c r="EXE29" s="211"/>
      <c r="EXF29" s="211"/>
      <c r="EXG29" s="211"/>
      <c r="EXH29" s="211"/>
      <c r="EXI29" s="211"/>
      <c r="EXJ29" s="211"/>
      <c r="EXK29" s="211"/>
      <c r="EXL29" s="211"/>
      <c r="EXM29" s="211"/>
      <c r="EXN29" s="211"/>
      <c r="EXO29" s="211"/>
      <c r="EXP29" s="211"/>
      <c r="EXQ29" s="211"/>
      <c r="EXR29" s="211"/>
      <c r="EXS29" s="211"/>
      <c r="EXT29" s="211"/>
      <c r="EXU29" s="211"/>
      <c r="EXV29" s="211"/>
      <c r="EXW29" s="211"/>
      <c r="EXX29" s="211"/>
      <c r="EXY29" s="211"/>
      <c r="EXZ29" s="211"/>
      <c r="EYA29" s="211"/>
      <c r="EYB29" s="211"/>
      <c r="EYC29" s="211"/>
      <c r="EYD29" s="211"/>
      <c r="EYE29" s="211"/>
      <c r="EYF29" s="211"/>
      <c r="EYG29" s="211"/>
      <c r="EYH29" s="211"/>
      <c r="EYI29" s="211"/>
      <c r="EYJ29" s="211"/>
      <c r="EYK29" s="211"/>
      <c r="EYL29" s="211"/>
      <c r="EYM29" s="211"/>
      <c r="EYN29" s="211"/>
      <c r="EYO29" s="211"/>
      <c r="EYP29" s="211"/>
      <c r="EYQ29" s="211"/>
      <c r="EYR29" s="211"/>
      <c r="EYS29" s="211"/>
      <c r="EYT29" s="211"/>
      <c r="EYU29" s="211"/>
      <c r="EYV29" s="211"/>
      <c r="EYW29" s="211"/>
      <c r="EYX29" s="211"/>
      <c r="EYY29" s="211"/>
      <c r="EYZ29" s="211"/>
      <c r="EZA29" s="211"/>
      <c r="EZB29" s="211"/>
      <c r="EZC29" s="211"/>
      <c r="EZD29" s="211"/>
      <c r="EZE29" s="211"/>
      <c r="EZF29" s="211"/>
      <c r="EZG29" s="211"/>
      <c r="EZH29" s="211"/>
      <c r="EZI29" s="211"/>
      <c r="EZJ29" s="211"/>
      <c r="EZK29" s="211"/>
      <c r="EZL29" s="211"/>
      <c r="EZM29" s="211"/>
      <c r="EZN29" s="211"/>
      <c r="EZO29" s="211"/>
      <c r="EZP29" s="211"/>
      <c r="EZQ29" s="211"/>
      <c r="EZR29" s="211"/>
      <c r="EZS29" s="211"/>
      <c r="EZT29" s="211"/>
      <c r="EZU29" s="211"/>
      <c r="EZV29" s="211"/>
      <c r="EZW29" s="211"/>
      <c r="EZX29" s="211"/>
      <c r="EZY29" s="211"/>
      <c r="EZZ29" s="211"/>
      <c r="FAA29" s="211"/>
      <c r="FAB29" s="211"/>
      <c r="FAC29" s="211"/>
      <c r="FAD29" s="211"/>
      <c r="FAE29" s="211"/>
      <c r="FAF29" s="211"/>
      <c r="FAG29" s="211"/>
      <c r="FAH29" s="211"/>
      <c r="FAI29" s="211"/>
      <c r="FAJ29" s="211"/>
      <c r="FAK29" s="211"/>
      <c r="FAL29" s="211"/>
      <c r="FAM29" s="211"/>
      <c r="FAN29" s="211"/>
      <c r="FAO29" s="211"/>
      <c r="FAP29" s="211"/>
      <c r="FAQ29" s="211"/>
      <c r="FAR29" s="211"/>
      <c r="FAS29" s="211"/>
      <c r="FAT29" s="211"/>
      <c r="FAU29" s="211"/>
      <c r="FAV29" s="211"/>
      <c r="FAW29" s="211"/>
      <c r="FAX29" s="211"/>
      <c r="FAY29" s="211"/>
      <c r="FAZ29" s="211"/>
      <c r="FBA29" s="211"/>
      <c r="FBB29" s="211"/>
      <c r="FBC29" s="211"/>
      <c r="FBD29" s="211"/>
      <c r="FBE29" s="211"/>
      <c r="FBF29" s="211"/>
      <c r="FBG29" s="211"/>
      <c r="FBH29" s="211"/>
      <c r="FBI29" s="211"/>
      <c r="FBJ29" s="211"/>
      <c r="FBK29" s="211"/>
      <c r="FBL29" s="211"/>
      <c r="FBM29" s="211"/>
      <c r="FBN29" s="211"/>
      <c r="FBO29" s="211"/>
      <c r="FBP29" s="211"/>
      <c r="FBQ29" s="211"/>
      <c r="FBR29" s="211"/>
      <c r="FBS29" s="211"/>
      <c r="FBT29" s="211"/>
      <c r="FBU29" s="211"/>
      <c r="FBV29" s="211"/>
      <c r="FBW29" s="211"/>
      <c r="FBX29" s="211"/>
      <c r="FBY29" s="211"/>
      <c r="FBZ29" s="211"/>
      <c r="FCA29" s="211"/>
      <c r="FCB29" s="211"/>
      <c r="FCC29" s="211"/>
      <c r="FCD29" s="211"/>
      <c r="FCE29" s="211"/>
      <c r="FCF29" s="211"/>
      <c r="FCG29" s="211"/>
      <c r="FCH29" s="211"/>
      <c r="FCI29" s="211"/>
      <c r="FCJ29" s="211"/>
      <c r="FCK29" s="211"/>
      <c r="FCL29" s="211"/>
      <c r="FCM29" s="211"/>
      <c r="FCN29" s="211"/>
      <c r="FCO29" s="211"/>
      <c r="FCP29" s="211"/>
      <c r="FCQ29" s="211"/>
      <c r="FCR29" s="211"/>
      <c r="FCS29" s="211"/>
      <c r="FCT29" s="211"/>
      <c r="FCU29" s="211"/>
      <c r="FCV29" s="211"/>
      <c r="FCW29" s="211"/>
      <c r="FCX29" s="211"/>
      <c r="FCY29" s="211"/>
      <c r="FCZ29" s="211"/>
      <c r="FDA29" s="211"/>
      <c r="FDB29" s="211"/>
      <c r="FDC29" s="211"/>
      <c r="FDD29" s="211"/>
      <c r="FDE29" s="211"/>
      <c r="FDF29" s="211"/>
      <c r="FDG29" s="211"/>
      <c r="FDH29" s="211"/>
      <c r="FDI29" s="211"/>
      <c r="FDJ29" s="211"/>
      <c r="FDK29" s="211"/>
      <c r="FDL29" s="211"/>
      <c r="FDM29" s="211"/>
      <c r="FDN29" s="211"/>
      <c r="FDO29" s="211"/>
      <c r="FDP29" s="211"/>
      <c r="FDQ29" s="211"/>
      <c r="FDR29" s="211"/>
      <c r="FDS29" s="211"/>
      <c r="FDT29" s="211"/>
      <c r="FDU29" s="211"/>
      <c r="FDV29" s="211"/>
      <c r="FDW29" s="211"/>
      <c r="FDX29" s="211"/>
      <c r="FDY29" s="211"/>
      <c r="FDZ29" s="211"/>
      <c r="FEA29" s="211"/>
      <c r="FEB29" s="211"/>
      <c r="FEC29" s="211"/>
      <c r="FED29" s="211"/>
      <c r="FEE29" s="211"/>
      <c r="FEF29" s="211"/>
      <c r="FEG29" s="211"/>
      <c r="FEH29" s="211"/>
      <c r="FEI29" s="211"/>
      <c r="FEJ29" s="211"/>
      <c r="FEK29" s="211"/>
      <c r="FEL29" s="211"/>
      <c r="FEM29" s="211"/>
      <c r="FEN29" s="211"/>
      <c r="FEO29" s="211"/>
      <c r="FEP29" s="211"/>
      <c r="FEQ29" s="211"/>
      <c r="FER29" s="211"/>
      <c r="FES29" s="211"/>
      <c r="FET29" s="211"/>
      <c r="FEU29" s="211"/>
      <c r="FEV29" s="211"/>
      <c r="FEW29" s="211"/>
      <c r="FEX29" s="211"/>
      <c r="FEY29" s="211"/>
      <c r="FEZ29" s="211"/>
      <c r="FFA29" s="211"/>
      <c r="FFB29" s="211"/>
      <c r="FFC29" s="211"/>
      <c r="FFD29" s="211"/>
      <c r="FFE29" s="211"/>
      <c r="FFF29" s="211"/>
      <c r="FFG29" s="211"/>
      <c r="FFH29" s="211"/>
      <c r="FFI29" s="211"/>
      <c r="FFJ29" s="211"/>
      <c r="FFK29" s="211"/>
      <c r="FFL29" s="211"/>
      <c r="FFM29" s="211"/>
      <c r="FFN29" s="211"/>
      <c r="FFO29" s="211"/>
      <c r="FFP29" s="211"/>
      <c r="FFQ29" s="211"/>
      <c r="FFR29" s="211"/>
      <c r="FFS29" s="211"/>
      <c r="FFT29" s="211"/>
      <c r="FFU29" s="211"/>
      <c r="FFV29" s="211"/>
      <c r="FFW29" s="211"/>
      <c r="FFX29" s="211"/>
      <c r="FFY29" s="211"/>
      <c r="FFZ29" s="211"/>
      <c r="FGA29" s="211"/>
      <c r="FGB29" s="211"/>
      <c r="FGC29" s="211"/>
      <c r="FGD29" s="211"/>
      <c r="FGE29" s="211"/>
      <c r="FGF29" s="211"/>
      <c r="FGG29" s="211"/>
      <c r="FGH29" s="211"/>
      <c r="FGI29" s="211"/>
      <c r="FGJ29" s="211"/>
      <c r="FGK29" s="211"/>
      <c r="FGL29" s="211"/>
      <c r="FGM29" s="211"/>
      <c r="FGN29" s="211"/>
      <c r="FGO29" s="211"/>
      <c r="FGP29" s="211"/>
      <c r="FGQ29" s="211"/>
      <c r="FGR29" s="211"/>
      <c r="FGS29" s="211"/>
      <c r="FGT29" s="211"/>
      <c r="FGU29" s="211"/>
      <c r="FGV29" s="211"/>
      <c r="FGW29" s="211"/>
      <c r="FGX29" s="211"/>
      <c r="FGY29" s="211"/>
      <c r="FGZ29" s="211"/>
      <c r="FHA29" s="211"/>
      <c r="FHB29" s="211"/>
      <c r="FHC29" s="211"/>
      <c r="FHD29" s="211"/>
      <c r="FHE29" s="211"/>
      <c r="FHF29" s="211"/>
      <c r="FHG29" s="211"/>
      <c r="FHH29" s="211"/>
      <c r="FHI29" s="211"/>
      <c r="FHJ29" s="211"/>
      <c r="FHK29" s="211"/>
      <c r="FHL29" s="211"/>
      <c r="FHM29" s="211"/>
      <c r="FHN29" s="211"/>
      <c r="FHO29" s="211"/>
      <c r="FHP29" s="211"/>
      <c r="FHQ29" s="211"/>
      <c r="FHR29" s="211"/>
      <c r="FHS29" s="211"/>
      <c r="FHT29" s="211"/>
      <c r="FHU29" s="211"/>
      <c r="FHV29" s="211"/>
      <c r="FHW29" s="211"/>
      <c r="FHX29" s="211"/>
      <c r="FHY29" s="211"/>
      <c r="FHZ29" s="211"/>
      <c r="FIA29" s="211"/>
      <c r="FIB29" s="211"/>
      <c r="FIC29" s="211"/>
      <c r="FID29" s="211"/>
      <c r="FIE29" s="211"/>
      <c r="FIF29" s="211"/>
      <c r="FIG29" s="211"/>
      <c r="FIH29" s="211"/>
      <c r="FII29" s="211"/>
      <c r="FIJ29" s="211"/>
      <c r="FIK29" s="211"/>
      <c r="FIL29" s="211"/>
      <c r="FIM29" s="211"/>
      <c r="FIN29" s="211"/>
      <c r="FIO29" s="211"/>
      <c r="FIP29" s="211"/>
      <c r="FIQ29" s="211"/>
      <c r="FIR29" s="211"/>
      <c r="FIS29" s="211"/>
      <c r="FIT29" s="211"/>
      <c r="FIU29" s="211"/>
      <c r="FIV29" s="211"/>
      <c r="FIW29" s="211"/>
      <c r="FIX29" s="211"/>
      <c r="FIY29" s="211"/>
      <c r="FIZ29" s="211"/>
      <c r="FJA29" s="211"/>
      <c r="FJB29" s="211"/>
      <c r="FJC29" s="211"/>
      <c r="FJD29" s="211"/>
      <c r="FJE29" s="211"/>
      <c r="FJF29" s="211"/>
      <c r="FJG29" s="211"/>
      <c r="FJH29" s="211"/>
      <c r="FJI29" s="211"/>
      <c r="FJJ29" s="211"/>
      <c r="FJK29" s="211"/>
      <c r="FJL29" s="211"/>
      <c r="FJM29" s="211"/>
      <c r="FJN29" s="211"/>
      <c r="FJO29" s="211"/>
      <c r="FJP29" s="211"/>
      <c r="FJQ29" s="211"/>
      <c r="FJR29" s="211"/>
      <c r="FJS29" s="211"/>
      <c r="FJT29" s="211"/>
      <c r="FJU29" s="211"/>
      <c r="FJV29" s="211"/>
      <c r="FJW29" s="211"/>
      <c r="FJX29" s="211"/>
      <c r="FJY29" s="211"/>
      <c r="FJZ29" s="211"/>
      <c r="FKA29" s="211"/>
      <c r="FKB29" s="211"/>
      <c r="FKC29" s="211"/>
      <c r="FKD29" s="211"/>
      <c r="FKE29" s="211"/>
      <c r="FKF29" s="211"/>
      <c r="FKG29" s="211"/>
      <c r="FKH29" s="211"/>
      <c r="FKI29" s="211"/>
      <c r="FKJ29" s="211"/>
      <c r="FKK29" s="211"/>
      <c r="FKL29" s="211"/>
      <c r="FKM29" s="211"/>
      <c r="FKN29" s="211"/>
      <c r="FKO29" s="211"/>
      <c r="FKP29" s="211"/>
      <c r="FKQ29" s="211"/>
      <c r="FKR29" s="211"/>
      <c r="FKS29" s="211"/>
      <c r="FKT29" s="211"/>
      <c r="FKU29" s="211"/>
      <c r="FKV29" s="211"/>
      <c r="FKW29" s="211"/>
      <c r="FKX29" s="211"/>
      <c r="FKY29" s="211"/>
      <c r="FKZ29" s="211"/>
      <c r="FLA29" s="211"/>
      <c r="FLB29" s="211"/>
      <c r="FLC29" s="211"/>
      <c r="FLD29" s="211"/>
      <c r="FLE29" s="211"/>
      <c r="FLF29" s="211"/>
      <c r="FLG29" s="211"/>
      <c r="FLH29" s="211"/>
      <c r="FLI29" s="211"/>
      <c r="FLJ29" s="211"/>
      <c r="FLK29" s="211"/>
      <c r="FLL29" s="211"/>
      <c r="FLM29" s="211"/>
      <c r="FLN29" s="211"/>
      <c r="FLO29" s="211"/>
      <c r="FLP29" s="211"/>
      <c r="FLQ29" s="211"/>
      <c r="FLR29" s="211"/>
      <c r="FLS29" s="211"/>
      <c r="FLT29" s="211"/>
      <c r="FLU29" s="211"/>
      <c r="FLV29" s="211"/>
      <c r="FLW29" s="211"/>
      <c r="FLX29" s="211"/>
      <c r="FLY29" s="211"/>
      <c r="FLZ29" s="211"/>
      <c r="FMA29" s="211"/>
      <c r="FMB29" s="211"/>
      <c r="FMC29" s="211"/>
      <c r="FMD29" s="211"/>
      <c r="FME29" s="211"/>
      <c r="FMF29" s="211"/>
      <c r="FMG29" s="211"/>
      <c r="FMH29" s="211"/>
      <c r="FMI29" s="211"/>
      <c r="FMJ29" s="211"/>
      <c r="FMK29" s="211"/>
      <c r="FML29" s="211"/>
      <c r="FMM29" s="211"/>
      <c r="FMN29" s="211"/>
      <c r="FMO29" s="211"/>
      <c r="FMP29" s="211"/>
      <c r="FMQ29" s="211"/>
      <c r="FMR29" s="211"/>
      <c r="FMS29" s="211"/>
      <c r="FMT29" s="211"/>
      <c r="FMU29" s="211"/>
      <c r="FMV29" s="211"/>
      <c r="FMW29" s="211"/>
      <c r="FMX29" s="211"/>
      <c r="FMY29" s="211"/>
      <c r="FMZ29" s="211"/>
      <c r="FNA29" s="211"/>
      <c r="FNB29" s="211"/>
      <c r="FNC29" s="211"/>
      <c r="FND29" s="211"/>
      <c r="FNE29" s="211"/>
      <c r="FNF29" s="211"/>
      <c r="FNG29" s="211"/>
      <c r="FNH29" s="211"/>
      <c r="FNI29" s="211"/>
      <c r="FNJ29" s="211"/>
      <c r="FNK29" s="211"/>
      <c r="FNL29" s="211"/>
      <c r="FNM29" s="211"/>
      <c r="FNN29" s="211"/>
      <c r="FNO29" s="211"/>
      <c r="FNP29" s="211"/>
      <c r="FNQ29" s="211"/>
      <c r="FNR29" s="211"/>
      <c r="FNS29" s="211"/>
      <c r="FNT29" s="211"/>
      <c r="FNU29" s="211"/>
      <c r="FNV29" s="211"/>
      <c r="FNW29" s="211"/>
      <c r="FNX29" s="211"/>
      <c r="FNY29" s="211"/>
      <c r="FNZ29" s="211"/>
      <c r="FOA29" s="211"/>
      <c r="FOB29" s="211"/>
      <c r="FOC29" s="211"/>
      <c r="FOD29" s="211"/>
      <c r="FOE29" s="211"/>
      <c r="FOF29" s="211"/>
      <c r="FOG29" s="211"/>
      <c r="FOH29" s="211"/>
      <c r="FOI29" s="211"/>
      <c r="FOJ29" s="211"/>
      <c r="FOK29" s="211"/>
      <c r="FOL29" s="211"/>
      <c r="FOM29" s="211"/>
      <c r="FON29" s="211"/>
      <c r="FOO29" s="211"/>
      <c r="FOP29" s="211"/>
      <c r="FOQ29" s="211"/>
      <c r="FOR29" s="211"/>
      <c r="FOS29" s="211"/>
      <c r="FOT29" s="211"/>
      <c r="FOU29" s="211"/>
      <c r="FOV29" s="211"/>
      <c r="FOW29" s="211"/>
      <c r="FOX29" s="211"/>
      <c r="FOY29" s="211"/>
      <c r="FOZ29" s="211"/>
      <c r="FPA29" s="211"/>
      <c r="FPB29" s="211"/>
      <c r="FPC29" s="211"/>
      <c r="FPD29" s="211"/>
      <c r="FPE29" s="211"/>
      <c r="FPF29" s="211"/>
      <c r="FPG29" s="211"/>
      <c r="FPH29" s="211"/>
      <c r="FPI29" s="211"/>
      <c r="FPJ29" s="211"/>
      <c r="FPK29" s="211"/>
      <c r="FPL29" s="211"/>
      <c r="FPM29" s="211"/>
      <c r="FPN29" s="211"/>
      <c r="FPO29" s="211"/>
      <c r="FPP29" s="211"/>
      <c r="FPQ29" s="211"/>
      <c r="FPR29" s="211"/>
      <c r="FPS29" s="211"/>
      <c r="FPT29" s="211"/>
      <c r="FPU29" s="211"/>
      <c r="FPV29" s="211"/>
      <c r="FPW29" s="211"/>
      <c r="FPX29" s="211"/>
      <c r="FPY29" s="211"/>
      <c r="FPZ29" s="211"/>
      <c r="FQA29" s="211"/>
      <c r="FQB29" s="211"/>
      <c r="FQC29" s="211"/>
      <c r="FQD29" s="211"/>
      <c r="FQE29" s="211"/>
      <c r="FQF29" s="211"/>
      <c r="FQG29" s="211"/>
      <c r="FQH29" s="211"/>
      <c r="FQI29" s="211"/>
      <c r="FQJ29" s="211"/>
      <c r="FQK29" s="211"/>
      <c r="FQL29" s="211"/>
      <c r="FQM29" s="211"/>
      <c r="FQN29" s="211"/>
      <c r="FQO29" s="211"/>
      <c r="FQP29" s="211"/>
      <c r="FQQ29" s="211"/>
      <c r="FQR29" s="211"/>
      <c r="FQS29" s="211"/>
      <c r="FQT29" s="211"/>
      <c r="FQU29" s="211"/>
      <c r="FQV29" s="211"/>
      <c r="FQW29" s="211"/>
      <c r="FQX29" s="211"/>
      <c r="FQY29" s="211"/>
      <c r="FQZ29" s="211"/>
      <c r="FRA29" s="211"/>
      <c r="FRB29" s="211"/>
      <c r="FRC29" s="211"/>
      <c r="FRD29" s="211"/>
      <c r="FRE29" s="211"/>
      <c r="FRF29" s="211"/>
      <c r="FRG29" s="211"/>
      <c r="FRH29" s="211"/>
      <c r="FRI29" s="211"/>
      <c r="FRJ29" s="211"/>
      <c r="FRK29" s="211"/>
      <c r="FRL29" s="211"/>
      <c r="FRM29" s="211"/>
      <c r="FRN29" s="211"/>
      <c r="FRO29" s="211"/>
      <c r="FRP29" s="211"/>
      <c r="FRQ29" s="211"/>
      <c r="FRR29" s="211"/>
      <c r="FRS29" s="211"/>
      <c r="FRT29" s="211"/>
      <c r="FRU29" s="211"/>
      <c r="FRV29" s="211"/>
      <c r="FRW29" s="211"/>
      <c r="FRX29" s="211"/>
      <c r="FRY29" s="211"/>
      <c r="FRZ29" s="211"/>
      <c r="FSA29" s="211"/>
      <c r="FSB29" s="211"/>
      <c r="FSC29" s="211"/>
      <c r="FSD29" s="211"/>
      <c r="FSE29" s="211"/>
      <c r="FSF29" s="211"/>
      <c r="FSG29" s="211"/>
      <c r="FSH29" s="211"/>
      <c r="FSI29" s="211"/>
      <c r="FSJ29" s="211"/>
      <c r="FSK29" s="211"/>
      <c r="FSL29" s="211"/>
      <c r="FSM29" s="211"/>
      <c r="FSN29" s="211"/>
      <c r="FSO29" s="211"/>
      <c r="FSP29" s="211"/>
      <c r="FSQ29" s="211"/>
      <c r="FSR29" s="211"/>
      <c r="FSS29" s="211"/>
      <c r="FST29" s="211"/>
      <c r="FSU29" s="211"/>
      <c r="FSV29" s="211"/>
      <c r="FSW29" s="211"/>
      <c r="FSX29" s="211"/>
      <c r="FSY29" s="211"/>
      <c r="FSZ29" s="211"/>
      <c r="FTA29" s="211"/>
      <c r="FTB29" s="211"/>
      <c r="FTC29" s="211"/>
      <c r="FTD29" s="211"/>
      <c r="FTE29" s="211"/>
      <c r="FTF29" s="211"/>
      <c r="FTG29" s="211"/>
      <c r="FTH29" s="211"/>
      <c r="FTI29" s="211"/>
      <c r="FTJ29" s="211"/>
      <c r="FTK29" s="211"/>
      <c r="FTL29" s="211"/>
      <c r="FTM29" s="211"/>
      <c r="FTN29" s="211"/>
      <c r="FTO29" s="211"/>
      <c r="FTP29" s="211"/>
      <c r="FTQ29" s="211"/>
      <c r="FTR29" s="211"/>
      <c r="FTS29" s="211"/>
      <c r="FTT29" s="211"/>
      <c r="FTU29" s="211"/>
      <c r="FTV29" s="211"/>
      <c r="FTW29" s="211"/>
      <c r="FTX29" s="211"/>
      <c r="FTY29" s="211"/>
      <c r="FTZ29" s="211"/>
      <c r="FUA29" s="211"/>
      <c r="FUB29" s="211"/>
      <c r="FUC29" s="211"/>
      <c r="FUD29" s="211"/>
      <c r="FUE29" s="211"/>
      <c r="FUF29" s="211"/>
      <c r="FUG29" s="211"/>
      <c r="FUH29" s="211"/>
      <c r="FUI29" s="211"/>
      <c r="FUJ29" s="211"/>
      <c r="FUK29" s="211"/>
      <c r="FUL29" s="211"/>
      <c r="FUM29" s="211"/>
      <c r="FUN29" s="211"/>
      <c r="FUO29" s="211"/>
      <c r="FUP29" s="211"/>
      <c r="FUQ29" s="211"/>
      <c r="FUR29" s="211"/>
      <c r="FUS29" s="211"/>
      <c r="FUT29" s="211"/>
      <c r="FUU29" s="211"/>
      <c r="FUV29" s="211"/>
      <c r="FUW29" s="211"/>
      <c r="FUX29" s="211"/>
      <c r="FUY29" s="211"/>
      <c r="FUZ29" s="211"/>
      <c r="FVA29" s="211"/>
      <c r="FVB29" s="211"/>
      <c r="FVC29" s="211"/>
      <c r="FVD29" s="211"/>
      <c r="FVE29" s="211"/>
      <c r="FVF29" s="211"/>
      <c r="FVG29" s="211"/>
      <c r="FVH29" s="211"/>
      <c r="FVI29" s="211"/>
      <c r="FVJ29" s="211"/>
      <c r="FVK29" s="211"/>
      <c r="FVL29" s="211"/>
      <c r="FVM29" s="211"/>
      <c r="FVN29" s="211"/>
      <c r="FVO29" s="211"/>
      <c r="FVP29" s="211"/>
      <c r="FVQ29" s="211"/>
      <c r="FVR29" s="211"/>
      <c r="FVS29" s="211"/>
      <c r="FVT29" s="211"/>
      <c r="FVU29" s="211"/>
      <c r="FVV29" s="211"/>
      <c r="FVW29" s="211"/>
      <c r="FVX29" s="211"/>
      <c r="FVY29" s="211"/>
      <c r="FVZ29" s="211"/>
      <c r="FWA29" s="211"/>
      <c r="FWB29" s="211"/>
      <c r="FWC29" s="211"/>
      <c r="FWD29" s="211"/>
      <c r="FWE29" s="211"/>
      <c r="FWF29" s="211"/>
      <c r="FWG29" s="211"/>
      <c r="FWH29" s="211"/>
      <c r="FWI29" s="211"/>
      <c r="FWJ29" s="211"/>
      <c r="FWK29" s="211"/>
      <c r="FWL29" s="211"/>
      <c r="FWM29" s="211"/>
      <c r="FWN29" s="211"/>
      <c r="FWO29" s="211"/>
      <c r="FWP29" s="211"/>
      <c r="FWQ29" s="211"/>
      <c r="FWR29" s="211"/>
      <c r="FWS29" s="211"/>
      <c r="FWT29" s="211"/>
      <c r="FWU29" s="211"/>
      <c r="FWV29" s="211"/>
      <c r="FWW29" s="211"/>
      <c r="FWX29" s="211"/>
      <c r="FWY29" s="211"/>
      <c r="FWZ29" s="211"/>
      <c r="FXA29" s="211"/>
      <c r="FXB29" s="211"/>
      <c r="FXC29" s="211"/>
      <c r="FXD29" s="211"/>
      <c r="FXE29" s="211"/>
      <c r="FXF29" s="211"/>
      <c r="FXG29" s="211"/>
      <c r="FXH29" s="211"/>
      <c r="FXI29" s="211"/>
      <c r="FXJ29" s="211"/>
      <c r="FXK29" s="211"/>
      <c r="FXL29" s="211"/>
      <c r="FXM29" s="211"/>
      <c r="FXN29" s="211"/>
      <c r="FXO29" s="211"/>
      <c r="FXP29" s="211"/>
      <c r="FXQ29" s="211"/>
      <c r="FXR29" s="211"/>
      <c r="FXS29" s="211"/>
      <c r="FXT29" s="211"/>
      <c r="FXU29" s="211"/>
      <c r="FXV29" s="211"/>
      <c r="FXW29" s="211"/>
      <c r="FXX29" s="211"/>
      <c r="FXY29" s="211"/>
      <c r="FXZ29" s="211"/>
      <c r="FYA29" s="211"/>
      <c r="FYB29" s="211"/>
      <c r="FYC29" s="211"/>
      <c r="FYD29" s="211"/>
      <c r="FYE29" s="211"/>
      <c r="FYF29" s="211"/>
      <c r="FYG29" s="211"/>
      <c r="FYH29" s="211"/>
      <c r="FYI29" s="211"/>
      <c r="FYJ29" s="211"/>
      <c r="FYK29" s="211"/>
      <c r="FYL29" s="211"/>
      <c r="FYM29" s="211"/>
      <c r="FYN29" s="211"/>
      <c r="FYO29" s="211"/>
      <c r="FYP29" s="211"/>
      <c r="FYQ29" s="211"/>
      <c r="FYR29" s="211"/>
      <c r="FYS29" s="211"/>
      <c r="FYT29" s="211"/>
      <c r="FYU29" s="211"/>
      <c r="FYV29" s="211"/>
      <c r="FYW29" s="211"/>
      <c r="FYX29" s="211"/>
      <c r="FYY29" s="211"/>
      <c r="FYZ29" s="211"/>
      <c r="FZA29" s="211"/>
      <c r="FZB29" s="211"/>
      <c r="FZC29" s="211"/>
      <c r="FZD29" s="211"/>
      <c r="FZE29" s="211"/>
      <c r="FZF29" s="211"/>
      <c r="FZG29" s="211"/>
      <c r="FZH29" s="211"/>
      <c r="FZI29" s="211"/>
      <c r="FZJ29" s="211"/>
      <c r="FZK29" s="211"/>
      <c r="FZL29" s="211"/>
      <c r="FZM29" s="211"/>
      <c r="FZN29" s="211"/>
      <c r="FZO29" s="211"/>
      <c r="FZP29" s="211"/>
      <c r="FZQ29" s="211"/>
      <c r="FZR29" s="211"/>
      <c r="FZS29" s="211"/>
      <c r="FZT29" s="211"/>
      <c r="FZU29" s="211"/>
      <c r="FZV29" s="211"/>
      <c r="FZW29" s="211"/>
      <c r="FZX29" s="211"/>
      <c r="FZY29" s="211"/>
      <c r="FZZ29" s="211"/>
      <c r="GAA29" s="211"/>
      <c r="GAB29" s="211"/>
      <c r="GAC29" s="211"/>
      <c r="GAD29" s="211"/>
      <c r="GAE29" s="211"/>
      <c r="GAF29" s="211"/>
      <c r="GAG29" s="211"/>
      <c r="GAH29" s="211"/>
      <c r="GAI29" s="211"/>
      <c r="GAJ29" s="211"/>
      <c r="GAK29" s="211"/>
      <c r="GAL29" s="211"/>
      <c r="GAM29" s="211"/>
      <c r="GAN29" s="211"/>
      <c r="GAO29" s="211"/>
      <c r="GAP29" s="211"/>
      <c r="GAQ29" s="211"/>
      <c r="GAR29" s="211"/>
      <c r="GAS29" s="211"/>
      <c r="GAT29" s="211"/>
      <c r="GAU29" s="211"/>
      <c r="GAV29" s="211"/>
      <c r="GAW29" s="211"/>
      <c r="GAX29" s="211"/>
      <c r="GAY29" s="211"/>
      <c r="GAZ29" s="211"/>
      <c r="GBA29" s="211"/>
      <c r="GBB29" s="211"/>
      <c r="GBC29" s="211"/>
      <c r="GBD29" s="211"/>
      <c r="GBE29" s="211"/>
      <c r="GBF29" s="211"/>
      <c r="GBG29" s="211"/>
      <c r="GBH29" s="211"/>
      <c r="GBI29" s="211"/>
      <c r="GBJ29" s="211"/>
      <c r="GBK29" s="211"/>
      <c r="GBL29" s="211"/>
      <c r="GBM29" s="211"/>
      <c r="GBN29" s="211"/>
      <c r="GBO29" s="211"/>
      <c r="GBP29" s="211"/>
      <c r="GBQ29" s="211"/>
      <c r="GBR29" s="211"/>
      <c r="GBS29" s="211"/>
      <c r="GBT29" s="211"/>
      <c r="GBU29" s="211"/>
      <c r="GBV29" s="211"/>
      <c r="GBW29" s="211"/>
      <c r="GBX29" s="211"/>
      <c r="GBY29" s="211"/>
      <c r="GBZ29" s="211"/>
      <c r="GCA29" s="211"/>
      <c r="GCB29" s="211"/>
      <c r="GCC29" s="211"/>
      <c r="GCD29" s="211"/>
      <c r="GCE29" s="211"/>
      <c r="GCF29" s="211"/>
      <c r="GCG29" s="211"/>
      <c r="GCH29" s="211"/>
      <c r="GCI29" s="211"/>
      <c r="GCJ29" s="211"/>
      <c r="GCK29" s="211"/>
      <c r="GCL29" s="211"/>
      <c r="GCM29" s="211"/>
      <c r="GCN29" s="211"/>
      <c r="GCO29" s="211"/>
      <c r="GCP29" s="211"/>
      <c r="GCQ29" s="211"/>
      <c r="GCR29" s="211"/>
      <c r="GCS29" s="211"/>
      <c r="GCT29" s="211"/>
      <c r="GCU29" s="211"/>
      <c r="GCV29" s="211"/>
      <c r="GCW29" s="211"/>
      <c r="GCX29" s="211"/>
      <c r="GCY29" s="211"/>
      <c r="GCZ29" s="211"/>
      <c r="GDA29" s="211"/>
      <c r="GDB29" s="211"/>
      <c r="GDC29" s="211"/>
      <c r="GDD29" s="211"/>
      <c r="GDE29" s="211"/>
      <c r="GDF29" s="211"/>
      <c r="GDG29" s="211"/>
      <c r="GDH29" s="211"/>
      <c r="GDI29" s="211"/>
      <c r="GDJ29" s="211"/>
      <c r="GDK29" s="211"/>
      <c r="GDL29" s="211"/>
      <c r="GDM29" s="211"/>
      <c r="GDN29" s="211"/>
      <c r="GDO29" s="211"/>
      <c r="GDP29" s="211"/>
      <c r="GDQ29" s="211"/>
      <c r="GDR29" s="211"/>
      <c r="GDS29" s="211"/>
      <c r="GDT29" s="211"/>
      <c r="GDU29" s="211"/>
      <c r="GDV29" s="211"/>
      <c r="GDW29" s="211"/>
      <c r="GDX29" s="211"/>
      <c r="GDY29" s="211"/>
      <c r="GDZ29" s="211"/>
      <c r="GEA29" s="211"/>
      <c r="GEB29" s="211"/>
      <c r="GEC29" s="211"/>
      <c r="GED29" s="211"/>
      <c r="GEE29" s="211"/>
      <c r="GEF29" s="211"/>
      <c r="GEG29" s="211"/>
      <c r="GEH29" s="211"/>
      <c r="GEI29" s="211"/>
      <c r="GEJ29" s="211"/>
      <c r="GEK29" s="211"/>
      <c r="GEL29" s="211"/>
      <c r="GEM29" s="211"/>
      <c r="GEN29" s="211"/>
      <c r="GEO29" s="211"/>
      <c r="GEP29" s="211"/>
      <c r="GEQ29" s="211"/>
      <c r="GER29" s="211"/>
      <c r="GES29" s="211"/>
      <c r="GET29" s="211"/>
      <c r="GEU29" s="211"/>
      <c r="GEV29" s="211"/>
      <c r="GEW29" s="211"/>
      <c r="GEX29" s="211"/>
      <c r="GEY29" s="211"/>
      <c r="GEZ29" s="211"/>
      <c r="GFA29" s="211"/>
      <c r="GFB29" s="211"/>
      <c r="GFC29" s="211"/>
      <c r="GFD29" s="211"/>
      <c r="GFE29" s="211"/>
      <c r="GFF29" s="211"/>
      <c r="GFG29" s="211"/>
      <c r="GFH29" s="211"/>
      <c r="GFI29" s="211"/>
      <c r="GFJ29" s="211"/>
      <c r="GFK29" s="211"/>
      <c r="GFL29" s="211"/>
      <c r="GFM29" s="211"/>
      <c r="GFN29" s="211"/>
      <c r="GFO29" s="211"/>
      <c r="GFP29" s="211"/>
      <c r="GFQ29" s="211"/>
      <c r="GFR29" s="211"/>
      <c r="GFS29" s="211"/>
      <c r="GFT29" s="211"/>
      <c r="GFU29" s="211"/>
      <c r="GFV29" s="211"/>
      <c r="GFW29" s="211"/>
      <c r="GFX29" s="211"/>
      <c r="GFY29" s="211"/>
      <c r="GFZ29" s="211"/>
      <c r="GGA29" s="211"/>
      <c r="GGB29" s="211"/>
      <c r="GGC29" s="211"/>
      <c r="GGD29" s="211"/>
      <c r="GGE29" s="211"/>
      <c r="GGF29" s="211"/>
      <c r="GGG29" s="211"/>
      <c r="GGH29" s="211"/>
      <c r="GGI29" s="211"/>
      <c r="GGJ29" s="211"/>
      <c r="GGK29" s="211"/>
      <c r="GGL29" s="211"/>
      <c r="GGM29" s="211"/>
      <c r="GGN29" s="211"/>
      <c r="GGO29" s="211"/>
      <c r="GGP29" s="211"/>
      <c r="GGQ29" s="211"/>
      <c r="GGR29" s="211"/>
      <c r="GGS29" s="211"/>
      <c r="GGT29" s="211"/>
      <c r="GGU29" s="211"/>
      <c r="GGV29" s="211"/>
      <c r="GGW29" s="211"/>
      <c r="GGX29" s="211"/>
      <c r="GGY29" s="211"/>
      <c r="GGZ29" s="211"/>
      <c r="GHA29" s="211"/>
      <c r="GHB29" s="211"/>
      <c r="GHC29" s="211"/>
      <c r="GHD29" s="211"/>
      <c r="GHE29" s="211"/>
      <c r="GHF29" s="211"/>
      <c r="GHG29" s="211"/>
      <c r="GHH29" s="211"/>
      <c r="GHI29" s="211"/>
      <c r="GHJ29" s="211"/>
      <c r="GHK29" s="211"/>
      <c r="GHL29" s="211"/>
      <c r="GHM29" s="211"/>
      <c r="GHN29" s="211"/>
      <c r="GHO29" s="211"/>
      <c r="GHP29" s="211"/>
      <c r="GHQ29" s="211"/>
      <c r="GHR29" s="211"/>
      <c r="GHS29" s="211"/>
      <c r="GHT29" s="211"/>
      <c r="GHU29" s="211"/>
      <c r="GHV29" s="211"/>
      <c r="GHW29" s="211"/>
      <c r="GHX29" s="211"/>
      <c r="GHY29" s="211"/>
      <c r="GHZ29" s="211"/>
      <c r="GIA29" s="211"/>
      <c r="GIB29" s="211"/>
      <c r="GIC29" s="211"/>
      <c r="GID29" s="211"/>
      <c r="GIE29" s="211"/>
      <c r="GIF29" s="211"/>
      <c r="GIG29" s="211"/>
      <c r="GIH29" s="211"/>
      <c r="GII29" s="211"/>
      <c r="GIJ29" s="211"/>
      <c r="GIK29" s="211"/>
      <c r="GIL29" s="211"/>
      <c r="GIM29" s="211"/>
      <c r="GIN29" s="211"/>
      <c r="GIO29" s="211"/>
      <c r="GIP29" s="211"/>
      <c r="GIQ29" s="211"/>
      <c r="GIR29" s="211"/>
      <c r="GIS29" s="211"/>
      <c r="GIT29" s="211"/>
      <c r="GIU29" s="211"/>
      <c r="GIV29" s="211"/>
      <c r="GIW29" s="211"/>
      <c r="GIX29" s="211"/>
      <c r="GIY29" s="211"/>
      <c r="GIZ29" s="211"/>
      <c r="GJA29" s="211"/>
      <c r="GJB29" s="211"/>
      <c r="GJC29" s="211"/>
      <c r="GJD29" s="211"/>
      <c r="GJE29" s="211"/>
      <c r="GJF29" s="211"/>
      <c r="GJG29" s="211"/>
      <c r="GJH29" s="211"/>
      <c r="GJI29" s="211"/>
      <c r="GJJ29" s="211"/>
      <c r="GJK29" s="211"/>
      <c r="GJL29" s="211"/>
      <c r="GJM29" s="211"/>
      <c r="GJN29" s="211"/>
      <c r="GJO29" s="211"/>
      <c r="GJP29" s="211"/>
      <c r="GJQ29" s="211"/>
      <c r="GJR29" s="211"/>
      <c r="GJS29" s="211"/>
      <c r="GJT29" s="211"/>
      <c r="GJU29" s="211"/>
      <c r="GJV29" s="211"/>
      <c r="GJW29" s="211"/>
      <c r="GJX29" s="211"/>
      <c r="GJY29" s="211"/>
      <c r="GJZ29" s="211"/>
      <c r="GKA29" s="211"/>
      <c r="GKB29" s="211"/>
      <c r="GKC29" s="211"/>
      <c r="GKD29" s="211"/>
      <c r="GKE29" s="211"/>
      <c r="GKF29" s="211"/>
      <c r="GKG29" s="211"/>
      <c r="GKH29" s="211"/>
      <c r="GKI29" s="211"/>
      <c r="GKJ29" s="211"/>
      <c r="GKK29" s="211"/>
      <c r="GKL29" s="211"/>
      <c r="GKM29" s="211"/>
      <c r="GKN29" s="211"/>
      <c r="GKO29" s="211"/>
      <c r="GKP29" s="211"/>
      <c r="GKQ29" s="211"/>
      <c r="GKR29" s="211"/>
      <c r="GKS29" s="211"/>
      <c r="GKT29" s="211"/>
      <c r="GKU29" s="211"/>
      <c r="GKV29" s="211"/>
      <c r="GKW29" s="211"/>
      <c r="GKX29" s="211"/>
      <c r="GKY29" s="211"/>
      <c r="GKZ29" s="211"/>
      <c r="GLA29" s="211"/>
      <c r="GLB29" s="211"/>
      <c r="GLC29" s="211"/>
      <c r="GLD29" s="211"/>
      <c r="GLE29" s="211"/>
      <c r="GLF29" s="211"/>
      <c r="GLG29" s="211"/>
      <c r="GLH29" s="211"/>
      <c r="GLI29" s="211"/>
      <c r="GLJ29" s="211"/>
      <c r="GLK29" s="211"/>
      <c r="GLL29" s="211"/>
      <c r="GLM29" s="211"/>
      <c r="GLN29" s="211"/>
      <c r="GLO29" s="211"/>
      <c r="GLP29" s="211"/>
      <c r="GLQ29" s="211"/>
      <c r="GLR29" s="211"/>
      <c r="GLS29" s="211"/>
      <c r="GLT29" s="211"/>
      <c r="GLU29" s="211"/>
      <c r="GLV29" s="211"/>
      <c r="GLW29" s="211"/>
      <c r="GLX29" s="211"/>
      <c r="GLY29" s="211"/>
      <c r="GLZ29" s="211"/>
      <c r="GMA29" s="211"/>
      <c r="GMB29" s="211"/>
      <c r="GMC29" s="211"/>
      <c r="GMD29" s="211"/>
      <c r="GME29" s="211"/>
      <c r="GMF29" s="211"/>
      <c r="GMG29" s="211"/>
      <c r="GMH29" s="211"/>
      <c r="GMI29" s="211"/>
      <c r="GMJ29" s="211"/>
      <c r="GMK29" s="211"/>
      <c r="GML29" s="211"/>
      <c r="GMM29" s="211"/>
      <c r="GMN29" s="211"/>
      <c r="GMO29" s="211"/>
      <c r="GMP29" s="211"/>
      <c r="GMQ29" s="211"/>
      <c r="GMR29" s="211"/>
      <c r="GMS29" s="211"/>
      <c r="GMT29" s="211"/>
      <c r="GMU29" s="211"/>
      <c r="GMV29" s="211"/>
      <c r="GMW29" s="211"/>
      <c r="GMX29" s="211"/>
      <c r="GMY29" s="211"/>
      <c r="GMZ29" s="211"/>
      <c r="GNA29" s="211"/>
      <c r="GNB29" s="211"/>
      <c r="GNC29" s="211"/>
      <c r="GND29" s="211"/>
      <c r="GNE29" s="211"/>
      <c r="GNF29" s="211"/>
      <c r="GNG29" s="211"/>
      <c r="GNH29" s="211"/>
      <c r="GNI29" s="211"/>
      <c r="GNJ29" s="211"/>
      <c r="GNK29" s="211"/>
      <c r="GNL29" s="211"/>
      <c r="GNM29" s="211"/>
      <c r="GNN29" s="211"/>
      <c r="GNO29" s="211"/>
      <c r="GNP29" s="211"/>
      <c r="GNQ29" s="211"/>
      <c r="GNR29" s="211"/>
      <c r="GNS29" s="211"/>
      <c r="GNT29" s="211"/>
      <c r="GNU29" s="211"/>
      <c r="GNV29" s="211"/>
      <c r="GNW29" s="211"/>
      <c r="GNX29" s="211"/>
      <c r="GNY29" s="211"/>
      <c r="GNZ29" s="211"/>
      <c r="GOA29" s="211"/>
      <c r="GOB29" s="211"/>
      <c r="GOC29" s="211"/>
      <c r="GOD29" s="211"/>
      <c r="GOE29" s="211"/>
      <c r="GOF29" s="211"/>
      <c r="GOG29" s="211"/>
      <c r="GOH29" s="211"/>
      <c r="GOI29" s="211"/>
      <c r="GOJ29" s="211"/>
      <c r="GOK29" s="211"/>
      <c r="GOL29" s="211"/>
      <c r="GOM29" s="211"/>
      <c r="GON29" s="211"/>
      <c r="GOO29" s="211"/>
      <c r="GOP29" s="211"/>
      <c r="GOQ29" s="211"/>
      <c r="GOR29" s="211"/>
      <c r="GOS29" s="211"/>
      <c r="GOT29" s="211"/>
      <c r="GOU29" s="211"/>
      <c r="GOV29" s="211"/>
      <c r="GOW29" s="211"/>
      <c r="GOX29" s="211"/>
      <c r="GOY29" s="211"/>
      <c r="GOZ29" s="211"/>
      <c r="GPA29" s="211"/>
      <c r="GPB29" s="211"/>
      <c r="GPC29" s="211"/>
      <c r="GPD29" s="211"/>
      <c r="GPE29" s="211"/>
      <c r="GPF29" s="211"/>
      <c r="GPG29" s="211"/>
      <c r="GPH29" s="211"/>
      <c r="GPI29" s="211"/>
      <c r="GPJ29" s="211"/>
      <c r="GPK29" s="211"/>
      <c r="GPL29" s="211"/>
      <c r="GPM29" s="211"/>
      <c r="GPN29" s="211"/>
      <c r="GPO29" s="211"/>
      <c r="GPP29" s="211"/>
      <c r="GPQ29" s="211"/>
      <c r="GPR29" s="211"/>
      <c r="GPS29" s="211"/>
      <c r="GPT29" s="211"/>
      <c r="GPU29" s="211"/>
      <c r="GPV29" s="211"/>
      <c r="GPW29" s="211"/>
      <c r="GPX29" s="211"/>
      <c r="GPY29" s="211"/>
      <c r="GPZ29" s="211"/>
      <c r="GQA29" s="211"/>
      <c r="GQB29" s="211"/>
      <c r="GQC29" s="211"/>
      <c r="GQD29" s="211"/>
      <c r="GQE29" s="211"/>
      <c r="GQF29" s="211"/>
      <c r="GQG29" s="211"/>
      <c r="GQH29" s="211"/>
      <c r="GQI29" s="211"/>
      <c r="GQJ29" s="211"/>
      <c r="GQK29" s="211"/>
      <c r="GQL29" s="211"/>
      <c r="GQM29" s="211"/>
      <c r="GQN29" s="211"/>
      <c r="GQO29" s="211"/>
      <c r="GQP29" s="211"/>
      <c r="GQQ29" s="211"/>
      <c r="GQR29" s="211"/>
      <c r="GQS29" s="211"/>
      <c r="GQT29" s="211"/>
      <c r="GQU29" s="211"/>
      <c r="GQV29" s="211"/>
      <c r="GQW29" s="211"/>
      <c r="GQX29" s="211"/>
      <c r="GQY29" s="211"/>
      <c r="GQZ29" s="211"/>
      <c r="GRA29" s="211"/>
      <c r="GRB29" s="211"/>
      <c r="GRC29" s="211"/>
      <c r="GRD29" s="211"/>
      <c r="GRE29" s="211"/>
      <c r="GRF29" s="211"/>
      <c r="GRG29" s="211"/>
      <c r="GRH29" s="211"/>
      <c r="GRI29" s="211"/>
      <c r="GRJ29" s="211"/>
      <c r="GRK29" s="211"/>
      <c r="GRL29" s="211"/>
      <c r="GRM29" s="211"/>
      <c r="GRN29" s="211"/>
      <c r="GRO29" s="211"/>
      <c r="GRP29" s="211"/>
      <c r="GRQ29" s="211"/>
      <c r="GRR29" s="211"/>
      <c r="GRS29" s="211"/>
      <c r="GRT29" s="211"/>
      <c r="GRU29" s="211"/>
      <c r="GRV29" s="211"/>
      <c r="GRW29" s="211"/>
      <c r="GRX29" s="211"/>
      <c r="GRY29" s="211"/>
      <c r="GRZ29" s="211"/>
      <c r="GSA29" s="211"/>
      <c r="GSB29" s="211"/>
      <c r="GSC29" s="211"/>
      <c r="GSD29" s="211"/>
      <c r="GSE29" s="211"/>
      <c r="GSF29" s="211"/>
      <c r="GSG29" s="211"/>
      <c r="GSH29" s="211"/>
      <c r="GSI29" s="211"/>
      <c r="GSJ29" s="211"/>
      <c r="GSK29" s="211"/>
      <c r="GSL29" s="211"/>
      <c r="GSM29" s="211"/>
      <c r="GSN29" s="211"/>
      <c r="GSO29" s="211"/>
      <c r="GSP29" s="211"/>
      <c r="GSQ29" s="211"/>
      <c r="GSR29" s="211"/>
      <c r="GSS29" s="211"/>
      <c r="GST29" s="211"/>
      <c r="GSU29" s="211"/>
      <c r="GSV29" s="211"/>
      <c r="GSW29" s="211"/>
      <c r="GSX29" s="211"/>
      <c r="GSY29" s="211"/>
      <c r="GSZ29" s="211"/>
      <c r="GTA29" s="211"/>
      <c r="GTB29" s="211"/>
      <c r="GTC29" s="211"/>
      <c r="GTD29" s="211"/>
      <c r="GTE29" s="211"/>
      <c r="GTF29" s="211"/>
      <c r="GTG29" s="211"/>
      <c r="GTH29" s="211"/>
      <c r="GTI29" s="211"/>
      <c r="GTJ29" s="211"/>
      <c r="GTK29" s="211"/>
      <c r="GTL29" s="211"/>
      <c r="GTM29" s="211"/>
      <c r="GTN29" s="211"/>
      <c r="GTO29" s="211"/>
      <c r="GTP29" s="211"/>
      <c r="GTQ29" s="211"/>
      <c r="GTR29" s="211"/>
      <c r="GTS29" s="211"/>
      <c r="GTT29" s="211"/>
      <c r="GTU29" s="211"/>
      <c r="GTV29" s="211"/>
      <c r="GTW29" s="211"/>
      <c r="GTX29" s="211"/>
      <c r="GTY29" s="211"/>
      <c r="GTZ29" s="211"/>
      <c r="GUA29" s="211"/>
      <c r="GUB29" s="211"/>
      <c r="GUC29" s="211"/>
      <c r="GUD29" s="211"/>
      <c r="GUE29" s="211"/>
      <c r="GUF29" s="211"/>
      <c r="GUG29" s="211"/>
      <c r="GUH29" s="211"/>
      <c r="GUI29" s="211"/>
      <c r="GUJ29" s="211"/>
      <c r="GUK29" s="211"/>
      <c r="GUL29" s="211"/>
      <c r="GUM29" s="211"/>
      <c r="GUN29" s="211"/>
      <c r="GUO29" s="211"/>
      <c r="GUP29" s="211"/>
      <c r="GUQ29" s="211"/>
      <c r="GUR29" s="211"/>
      <c r="GUS29" s="211"/>
      <c r="GUT29" s="211"/>
      <c r="GUU29" s="211"/>
      <c r="GUV29" s="211"/>
      <c r="GUW29" s="211"/>
      <c r="GUX29" s="211"/>
      <c r="GUY29" s="211"/>
      <c r="GUZ29" s="211"/>
      <c r="GVA29" s="211"/>
      <c r="GVB29" s="211"/>
      <c r="GVC29" s="211"/>
      <c r="GVD29" s="211"/>
      <c r="GVE29" s="211"/>
      <c r="GVF29" s="211"/>
      <c r="GVG29" s="211"/>
      <c r="GVH29" s="211"/>
      <c r="GVI29" s="211"/>
      <c r="GVJ29" s="211"/>
      <c r="GVK29" s="211"/>
      <c r="GVL29" s="211"/>
      <c r="GVM29" s="211"/>
      <c r="GVN29" s="211"/>
      <c r="GVO29" s="211"/>
      <c r="GVP29" s="211"/>
      <c r="GVQ29" s="211"/>
      <c r="GVR29" s="211"/>
      <c r="GVS29" s="211"/>
      <c r="GVT29" s="211"/>
      <c r="GVU29" s="211"/>
      <c r="GVV29" s="211"/>
      <c r="GVW29" s="211"/>
      <c r="GVX29" s="211"/>
      <c r="GVY29" s="211"/>
      <c r="GVZ29" s="211"/>
      <c r="GWA29" s="211"/>
      <c r="GWB29" s="211"/>
      <c r="GWC29" s="211"/>
      <c r="GWD29" s="211"/>
      <c r="GWE29" s="211"/>
      <c r="GWF29" s="211"/>
      <c r="GWG29" s="211"/>
      <c r="GWH29" s="211"/>
      <c r="GWI29" s="211"/>
      <c r="GWJ29" s="211"/>
      <c r="GWK29" s="211"/>
      <c r="GWL29" s="211"/>
      <c r="GWM29" s="211"/>
      <c r="GWN29" s="211"/>
      <c r="GWO29" s="211"/>
      <c r="GWP29" s="211"/>
      <c r="GWQ29" s="211"/>
      <c r="GWR29" s="211"/>
      <c r="GWS29" s="211"/>
      <c r="GWT29" s="211"/>
      <c r="GWU29" s="211"/>
      <c r="GWV29" s="211"/>
      <c r="GWW29" s="211"/>
      <c r="GWX29" s="211"/>
      <c r="GWY29" s="211"/>
      <c r="GWZ29" s="211"/>
      <c r="GXA29" s="211"/>
      <c r="GXB29" s="211"/>
      <c r="GXC29" s="211"/>
      <c r="GXD29" s="211"/>
      <c r="GXE29" s="211"/>
      <c r="GXF29" s="211"/>
      <c r="GXG29" s="211"/>
      <c r="GXH29" s="211"/>
      <c r="GXI29" s="211"/>
      <c r="GXJ29" s="211"/>
      <c r="GXK29" s="211"/>
      <c r="GXL29" s="211"/>
      <c r="GXM29" s="211"/>
      <c r="GXN29" s="211"/>
      <c r="GXO29" s="211"/>
      <c r="GXP29" s="211"/>
      <c r="GXQ29" s="211"/>
      <c r="GXR29" s="211"/>
      <c r="GXS29" s="211"/>
      <c r="GXT29" s="211"/>
      <c r="GXU29" s="211"/>
      <c r="GXV29" s="211"/>
      <c r="GXW29" s="211"/>
      <c r="GXX29" s="211"/>
      <c r="GXY29" s="211"/>
      <c r="GXZ29" s="211"/>
      <c r="GYA29" s="211"/>
      <c r="GYB29" s="211"/>
      <c r="GYC29" s="211"/>
      <c r="GYD29" s="211"/>
      <c r="GYE29" s="211"/>
      <c r="GYF29" s="211"/>
      <c r="GYG29" s="211"/>
      <c r="GYH29" s="211"/>
      <c r="GYI29" s="211"/>
      <c r="GYJ29" s="211"/>
      <c r="GYK29" s="211"/>
      <c r="GYL29" s="211"/>
      <c r="GYM29" s="211"/>
      <c r="GYN29" s="211"/>
      <c r="GYO29" s="211"/>
      <c r="GYP29" s="211"/>
      <c r="GYQ29" s="211"/>
      <c r="GYR29" s="211"/>
      <c r="GYS29" s="211"/>
      <c r="GYT29" s="211"/>
      <c r="GYU29" s="211"/>
      <c r="GYV29" s="211"/>
      <c r="GYW29" s="211"/>
      <c r="GYX29" s="211"/>
      <c r="GYY29" s="211"/>
      <c r="GYZ29" s="211"/>
      <c r="GZA29" s="211"/>
      <c r="GZB29" s="211"/>
      <c r="GZC29" s="211"/>
      <c r="GZD29" s="211"/>
      <c r="GZE29" s="211"/>
      <c r="GZF29" s="211"/>
      <c r="GZG29" s="211"/>
      <c r="GZH29" s="211"/>
      <c r="GZI29" s="211"/>
      <c r="GZJ29" s="211"/>
      <c r="GZK29" s="211"/>
      <c r="GZL29" s="211"/>
      <c r="GZM29" s="211"/>
      <c r="GZN29" s="211"/>
      <c r="GZO29" s="211"/>
      <c r="GZP29" s="211"/>
      <c r="GZQ29" s="211"/>
      <c r="GZR29" s="211"/>
      <c r="GZS29" s="211"/>
      <c r="GZT29" s="211"/>
      <c r="GZU29" s="211"/>
      <c r="GZV29" s="211"/>
      <c r="GZW29" s="211"/>
      <c r="GZX29" s="211"/>
      <c r="GZY29" s="211"/>
      <c r="GZZ29" s="211"/>
      <c r="HAA29" s="211"/>
      <c r="HAB29" s="211"/>
      <c r="HAC29" s="211"/>
      <c r="HAD29" s="211"/>
      <c r="HAE29" s="211"/>
      <c r="HAF29" s="211"/>
      <c r="HAG29" s="211"/>
      <c r="HAH29" s="211"/>
      <c r="HAI29" s="211"/>
      <c r="HAJ29" s="211"/>
      <c r="HAK29" s="211"/>
      <c r="HAL29" s="211"/>
      <c r="HAM29" s="211"/>
      <c r="HAN29" s="211"/>
      <c r="HAO29" s="211"/>
      <c r="HAP29" s="211"/>
      <c r="HAQ29" s="211"/>
      <c r="HAR29" s="211"/>
      <c r="HAS29" s="211"/>
      <c r="HAT29" s="211"/>
      <c r="HAU29" s="211"/>
      <c r="HAV29" s="211"/>
      <c r="HAW29" s="211"/>
      <c r="HAX29" s="211"/>
      <c r="HAY29" s="211"/>
      <c r="HAZ29" s="211"/>
      <c r="HBA29" s="211"/>
      <c r="HBB29" s="211"/>
      <c r="HBC29" s="211"/>
      <c r="HBD29" s="211"/>
      <c r="HBE29" s="211"/>
      <c r="HBF29" s="211"/>
      <c r="HBG29" s="211"/>
      <c r="HBH29" s="211"/>
      <c r="HBI29" s="211"/>
      <c r="HBJ29" s="211"/>
      <c r="HBK29" s="211"/>
      <c r="HBL29" s="211"/>
      <c r="HBM29" s="211"/>
      <c r="HBN29" s="211"/>
      <c r="HBO29" s="211"/>
      <c r="HBP29" s="211"/>
      <c r="HBQ29" s="211"/>
      <c r="HBR29" s="211"/>
      <c r="HBS29" s="211"/>
      <c r="HBT29" s="211"/>
      <c r="HBU29" s="211"/>
      <c r="HBV29" s="211"/>
      <c r="HBW29" s="211"/>
      <c r="HBX29" s="211"/>
      <c r="HBY29" s="211"/>
      <c r="HBZ29" s="211"/>
      <c r="HCA29" s="211"/>
      <c r="HCB29" s="211"/>
      <c r="HCC29" s="211"/>
      <c r="HCD29" s="211"/>
      <c r="HCE29" s="211"/>
      <c r="HCF29" s="211"/>
      <c r="HCG29" s="211"/>
      <c r="HCH29" s="211"/>
      <c r="HCI29" s="211"/>
      <c r="HCJ29" s="211"/>
      <c r="HCK29" s="211"/>
      <c r="HCL29" s="211"/>
      <c r="HCM29" s="211"/>
      <c r="HCN29" s="211"/>
      <c r="HCO29" s="211"/>
      <c r="HCP29" s="211"/>
      <c r="HCQ29" s="211"/>
      <c r="HCR29" s="211"/>
      <c r="HCS29" s="211"/>
      <c r="HCT29" s="211"/>
      <c r="HCU29" s="211"/>
      <c r="HCV29" s="211"/>
      <c r="HCW29" s="211"/>
      <c r="HCX29" s="211"/>
      <c r="HCY29" s="211"/>
      <c r="HCZ29" s="211"/>
      <c r="HDA29" s="211"/>
      <c r="HDB29" s="211"/>
      <c r="HDC29" s="211"/>
      <c r="HDD29" s="211"/>
      <c r="HDE29" s="211"/>
      <c r="HDF29" s="211"/>
      <c r="HDG29" s="211"/>
      <c r="HDH29" s="211"/>
      <c r="HDI29" s="211"/>
      <c r="HDJ29" s="211"/>
      <c r="HDK29" s="211"/>
      <c r="HDL29" s="211"/>
      <c r="HDM29" s="211"/>
      <c r="HDN29" s="211"/>
      <c r="HDO29" s="211"/>
      <c r="HDP29" s="211"/>
      <c r="HDQ29" s="211"/>
      <c r="HDR29" s="211"/>
      <c r="HDS29" s="211"/>
      <c r="HDT29" s="211"/>
      <c r="HDU29" s="211"/>
      <c r="HDV29" s="211"/>
      <c r="HDW29" s="211"/>
      <c r="HDX29" s="211"/>
      <c r="HDY29" s="211"/>
      <c r="HDZ29" s="211"/>
      <c r="HEA29" s="211"/>
      <c r="HEB29" s="211"/>
      <c r="HEC29" s="211"/>
      <c r="HED29" s="211"/>
      <c r="HEE29" s="211"/>
      <c r="HEF29" s="211"/>
      <c r="HEG29" s="211"/>
      <c r="HEH29" s="211"/>
      <c r="HEI29" s="211"/>
      <c r="HEJ29" s="211"/>
      <c r="HEK29" s="211"/>
      <c r="HEL29" s="211"/>
      <c r="HEM29" s="211"/>
      <c r="HEN29" s="211"/>
      <c r="HEO29" s="211"/>
      <c r="HEP29" s="211"/>
      <c r="HEQ29" s="211"/>
      <c r="HER29" s="211"/>
      <c r="HES29" s="211"/>
      <c r="HET29" s="211"/>
      <c r="HEU29" s="211"/>
      <c r="HEV29" s="211"/>
      <c r="HEW29" s="211"/>
      <c r="HEX29" s="211"/>
      <c r="HEY29" s="211"/>
      <c r="HEZ29" s="211"/>
      <c r="HFA29" s="211"/>
      <c r="HFB29" s="211"/>
      <c r="HFC29" s="211"/>
      <c r="HFD29" s="211"/>
      <c r="HFE29" s="211"/>
      <c r="HFF29" s="211"/>
      <c r="HFG29" s="211"/>
      <c r="HFH29" s="211"/>
      <c r="HFI29" s="211"/>
      <c r="HFJ29" s="211"/>
      <c r="HFK29" s="211"/>
      <c r="HFL29" s="211"/>
      <c r="HFM29" s="211"/>
      <c r="HFN29" s="211"/>
      <c r="HFO29" s="211"/>
      <c r="HFP29" s="211"/>
      <c r="HFQ29" s="211"/>
      <c r="HFR29" s="211"/>
      <c r="HFS29" s="211"/>
      <c r="HFT29" s="211"/>
      <c r="HFU29" s="211"/>
      <c r="HFV29" s="211"/>
      <c r="HFW29" s="211"/>
      <c r="HFX29" s="211"/>
      <c r="HFY29" s="211"/>
      <c r="HFZ29" s="211"/>
      <c r="HGA29" s="211"/>
      <c r="HGB29" s="211"/>
      <c r="HGC29" s="211"/>
      <c r="HGD29" s="211"/>
      <c r="HGE29" s="211"/>
      <c r="HGF29" s="211"/>
      <c r="HGG29" s="211"/>
      <c r="HGH29" s="211"/>
      <c r="HGI29" s="211"/>
      <c r="HGJ29" s="211"/>
      <c r="HGK29" s="211"/>
      <c r="HGL29" s="211"/>
      <c r="HGM29" s="211"/>
      <c r="HGN29" s="211"/>
      <c r="HGO29" s="211"/>
      <c r="HGP29" s="211"/>
      <c r="HGQ29" s="211"/>
      <c r="HGR29" s="211"/>
      <c r="HGS29" s="211"/>
      <c r="HGT29" s="211"/>
      <c r="HGU29" s="211"/>
      <c r="HGV29" s="211"/>
      <c r="HGW29" s="211"/>
      <c r="HGX29" s="211"/>
      <c r="HGY29" s="211"/>
      <c r="HGZ29" s="211"/>
      <c r="HHA29" s="211"/>
      <c r="HHB29" s="211"/>
      <c r="HHC29" s="211"/>
      <c r="HHD29" s="211"/>
      <c r="HHE29" s="211"/>
      <c r="HHF29" s="211"/>
      <c r="HHG29" s="211"/>
      <c r="HHH29" s="211"/>
      <c r="HHI29" s="211"/>
      <c r="HHJ29" s="211"/>
      <c r="HHK29" s="211"/>
      <c r="HHL29" s="211"/>
      <c r="HHM29" s="211"/>
      <c r="HHN29" s="211"/>
      <c r="HHO29" s="211"/>
      <c r="HHP29" s="211"/>
      <c r="HHQ29" s="211"/>
      <c r="HHR29" s="211"/>
      <c r="HHS29" s="211"/>
      <c r="HHT29" s="211"/>
      <c r="HHU29" s="211"/>
      <c r="HHV29" s="211"/>
      <c r="HHW29" s="211"/>
      <c r="HHX29" s="211"/>
      <c r="HHY29" s="211"/>
      <c r="HHZ29" s="211"/>
      <c r="HIA29" s="211"/>
      <c r="HIB29" s="211"/>
      <c r="HIC29" s="211"/>
      <c r="HID29" s="211"/>
      <c r="HIE29" s="211"/>
      <c r="HIF29" s="211"/>
      <c r="HIG29" s="211"/>
      <c r="HIH29" s="211"/>
      <c r="HII29" s="211"/>
      <c r="HIJ29" s="211"/>
      <c r="HIK29" s="211"/>
      <c r="HIL29" s="211"/>
      <c r="HIM29" s="211"/>
      <c r="HIN29" s="211"/>
      <c r="HIO29" s="211"/>
      <c r="HIP29" s="211"/>
      <c r="HIQ29" s="211"/>
      <c r="HIR29" s="211"/>
      <c r="HIS29" s="211"/>
      <c r="HIT29" s="211"/>
      <c r="HIU29" s="211"/>
      <c r="HIV29" s="211"/>
      <c r="HIW29" s="211"/>
      <c r="HIX29" s="211"/>
      <c r="HIY29" s="211"/>
      <c r="HIZ29" s="211"/>
      <c r="HJA29" s="211"/>
      <c r="HJB29" s="211"/>
      <c r="HJC29" s="211"/>
      <c r="HJD29" s="211"/>
      <c r="HJE29" s="211"/>
      <c r="HJF29" s="211"/>
      <c r="HJG29" s="211"/>
      <c r="HJH29" s="211"/>
      <c r="HJI29" s="211"/>
      <c r="HJJ29" s="211"/>
      <c r="HJK29" s="211"/>
      <c r="HJL29" s="211"/>
      <c r="HJM29" s="211"/>
      <c r="HJN29" s="211"/>
      <c r="HJO29" s="211"/>
      <c r="HJP29" s="211"/>
      <c r="HJQ29" s="211"/>
      <c r="HJR29" s="211"/>
      <c r="HJS29" s="211"/>
      <c r="HJT29" s="211"/>
      <c r="HJU29" s="211"/>
      <c r="HJV29" s="211"/>
      <c r="HJW29" s="211"/>
      <c r="HJX29" s="211"/>
      <c r="HJY29" s="211"/>
      <c r="HJZ29" s="211"/>
      <c r="HKA29" s="211"/>
      <c r="HKB29" s="211"/>
      <c r="HKC29" s="211"/>
      <c r="HKD29" s="211"/>
      <c r="HKE29" s="211"/>
      <c r="HKF29" s="211"/>
      <c r="HKG29" s="211"/>
      <c r="HKH29" s="211"/>
      <c r="HKI29" s="211"/>
      <c r="HKJ29" s="211"/>
      <c r="HKK29" s="211"/>
      <c r="HKL29" s="211"/>
      <c r="HKM29" s="211"/>
      <c r="HKN29" s="211"/>
      <c r="HKO29" s="211"/>
      <c r="HKP29" s="211"/>
      <c r="HKQ29" s="211"/>
      <c r="HKR29" s="211"/>
      <c r="HKS29" s="211"/>
      <c r="HKT29" s="211"/>
      <c r="HKU29" s="211"/>
      <c r="HKV29" s="211"/>
      <c r="HKW29" s="211"/>
      <c r="HKX29" s="211"/>
      <c r="HKY29" s="211"/>
      <c r="HKZ29" s="211"/>
      <c r="HLA29" s="211"/>
      <c r="HLB29" s="211"/>
      <c r="HLC29" s="211"/>
      <c r="HLD29" s="211"/>
      <c r="HLE29" s="211"/>
      <c r="HLF29" s="211"/>
      <c r="HLG29" s="211"/>
      <c r="HLH29" s="211"/>
      <c r="HLI29" s="211"/>
      <c r="HLJ29" s="211"/>
      <c r="HLK29" s="211"/>
      <c r="HLL29" s="211"/>
      <c r="HLM29" s="211"/>
      <c r="HLN29" s="211"/>
      <c r="HLO29" s="211"/>
      <c r="HLP29" s="211"/>
      <c r="HLQ29" s="211"/>
      <c r="HLR29" s="211"/>
      <c r="HLS29" s="211"/>
      <c r="HLT29" s="211"/>
      <c r="HLU29" s="211"/>
      <c r="HLV29" s="211"/>
      <c r="HLW29" s="211"/>
      <c r="HLX29" s="211"/>
      <c r="HLY29" s="211"/>
      <c r="HLZ29" s="211"/>
      <c r="HMA29" s="211"/>
      <c r="HMB29" s="211"/>
      <c r="HMC29" s="211"/>
      <c r="HMD29" s="211"/>
      <c r="HME29" s="211"/>
      <c r="HMF29" s="211"/>
      <c r="HMG29" s="211"/>
      <c r="HMH29" s="211"/>
      <c r="HMI29" s="211"/>
      <c r="HMJ29" s="211"/>
      <c r="HMK29" s="211"/>
      <c r="HML29" s="211"/>
      <c r="HMM29" s="211"/>
      <c r="HMN29" s="211"/>
      <c r="HMO29" s="211"/>
      <c r="HMP29" s="211"/>
      <c r="HMQ29" s="211"/>
      <c r="HMR29" s="211"/>
      <c r="HMS29" s="211"/>
      <c r="HMT29" s="211"/>
      <c r="HMU29" s="211"/>
      <c r="HMV29" s="211"/>
      <c r="HMW29" s="211"/>
      <c r="HMX29" s="211"/>
      <c r="HMY29" s="211"/>
      <c r="HMZ29" s="211"/>
      <c r="HNA29" s="211"/>
      <c r="HNB29" s="211"/>
      <c r="HNC29" s="211"/>
      <c r="HND29" s="211"/>
      <c r="HNE29" s="211"/>
      <c r="HNF29" s="211"/>
      <c r="HNG29" s="211"/>
      <c r="HNH29" s="211"/>
      <c r="HNI29" s="211"/>
      <c r="HNJ29" s="211"/>
      <c r="HNK29" s="211"/>
      <c r="HNL29" s="211"/>
      <c r="HNM29" s="211"/>
      <c r="HNN29" s="211"/>
      <c r="HNO29" s="211"/>
      <c r="HNP29" s="211"/>
      <c r="HNQ29" s="211"/>
      <c r="HNR29" s="211"/>
      <c r="HNS29" s="211"/>
      <c r="HNT29" s="211"/>
      <c r="HNU29" s="211"/>
      <c r="HNV29" s="211"/>
      <c r="HNW29" s="211"/>
      <c r="HNX29" s="211"/>
      <c r="HNY29" s="211"/>
      <c r="HNZ29" s="211"/>
      <c r="HOA29" s="211"/>
      <c r="HOB29" s="211"/>
      <c r="HOC29" s="211"/>
      <c r="HOD29" s="211"/>
      <c r="HOE29" s="211"/>
      <c r="HOF29" s="211"/>
      <c r="HOG29" s="211"/>
      <c r="HOH29" s="211"/>
      <c r="HOI29" s="211"/>
      <c r="HOJ29" s="211"/>
      <c r="HOK29" s="211"/>
      <c r="HOL29" s="211"/>
      <c r="HOM29" s="211"/>
      <c r="HON29" s="211"/>
      <c r="HOO29" s="211"/>
      <c r="HOP29" s="211"/>
      <c r="HOQ29" s="211"/>
      <c r="HOR29" s="211"/>
      <c r="HOS29" s="211"/>
      <c r="HOT29" s="211"/>
      <c r="HOU29" s="211"/>
      <c r="HOV29" s="211"/>
      <c r="HOW29" s="211"/>
      <c r="HOX29" s="211"/>
      <c r="HOY29" s="211"/>
      <c r="HOZ29" s="211"/>
      <c r="HPA29" s="211"/>
      <c r="HPB29" s="211"/>
      <c r="HPC29" s="211"/>
      <c r="HPD29" s="211"/>
      <c r="HPE29" s="211"/>
      <c r="HPF29" s="211"/>
      <c r="HPG29" s="211"/>
      <c r="HPH29" s="211"/>
      <c r="HPI29" s="211"/>
      <c r="HPJ29" s="211"/>
      <c r="HPK29" s="211"/>
      <c r="HPL29" s="211"/>
      <c r="HPM29" s="211"/>
      <c r="HPN29" s="211"/>
      <c r="HPO29" s="211"/>
      <c r="HPP29" s="211"/>
      <c r="HPQ29" s="211"/>
      <c r="HPR29" s="211"/>
      <c r="HPS29" s="211"/>
      <c r="HPT29" s="211"/>
      <c r="HPU29" s="211"/>
      <c r="HPV29" s="211"/>
      <c r="HPW29" s="211"/>
      <c r="HPX29" s="211"/>
      <c r="HPY29" s="211"/>
      <c r="HPZ29" s="211"/>
      <c r="HQA29" s="211"/>
      <c r="HQB29" s="211"/>
      <c r="HQC29" s="211"/>
      <c r="HQD29" s="211"/>
      <c r="HQE29" s="211"/>
      <c r="HQF29" s="211"/>
      <c r="HQG29" s="211"/>
      <c r="HQH29" s="211"/>
      <c r="HQI29" s="211"/>
      <c r="HQJ29" s="211"/>
      <c r="HQK29" s="211"/>
      <c r="HQL29" s="211"/>
      <c r="HQM29" s="211"/>
      <c r="HQN29" s="211"/>
      <c r="HQO29" s="211"/>
      <c r="HQP29" s="211"/>
      <c r="HQQ29" s="211"/>
      <c r="HQR29" s="211"/>
      <c r="HQS29" s="211"/>
      <c r="HQT29" s="211"/>
      <c r="HQU29" s="211"/>
      <c r="HQV29" s="211"/>
      <c r="HQW29" s="211"/>
      <c r="HQX29" s="211"/>
      <c r="HQY29" s="211"/>
      <c r="HQZ29" s="211"/>
      <c r="HRA29" s="211"/>
      <c r="HRB29" s="211"/>
      <c r="HRC29" s="211"/>
      <c r="HRD29" s="211"/>
      <c r="HRE29" s="211"/>
      <c r="HRF29" s="211"/>
      <c r="HRG29" s="211"/>
      <c r="HRH29" s="211"/>
      <c r="HRI29" s="211"/>
      <c r="HRJ29" s="211"/>
      <c r="HRK29" s="211"/>
      <c r="HRL29" s="211"/>
      <c r="HRM29" s="211"/>
      <c r="HRN29" s="211"/>
      <c r="HRO29" s="211"/>
      <c r="HRP29" s="211"/>
      <c r="HRQ29" s="211"/>
      <c r="HRR29" s="211"/>
      <c r="HRS29" s="211"/>
      <c r="HRT29" s="211"/>
      <c r="HRU29" s="211"/>
      <c r="HRV29" s="211"/>
      <c r="HRW29" s="211"/>
      <c r="HRX29" s="211"/>
      <c r="HRY29" s="211"/>
      <c r="HRZ29" s="211"/>
      <c r="HSA29" s="211"/>
      <c r="HSB29" s="211"/>
      <c r="HSC29" s="211"/>
      <c r="HSD29" s="211"/>
      <c r="HSE29" s="211"/>
      <c r="HSF29" s="211"/>
      <c r="HSG29" s="211"/>
      <c r="HSH29" s="211"/>
      <c r="HSI29" s="211"/>
      <c r="HSJ29" s="211"/>
      <c r="HSK29" s="211"/>
      <c r="HSL29" s="211"/>
      <c r="HSM29" s="211"/>
      <c r="HSN29" s="211"/>
      <c r="HSO29" s="211"/>
      <c r="HSP29" s="211"/>
      <c r="HSQ29" s="211"/>
      <c r="HSR29" s="211"/>
      <c r="HSS29" s="211"/>
      <c r="HST29" s="211"/>
      <c r="HSU29" s="211"/>
      <c r="HSV29" s="211"/>
      <c r="HSW29" s="211"/>
      <c r="HSX29" s="211"/>
      <c r="HSY29" s="211"/>
      <c r="HSZ29" s="211"/>
      <c r="HTA29" s="211"/>
      <c r="HTB29" s="211"/>
      <c r="HTC29" s="211"/>
      <c r="HTD29" s="211"/>
      <c r="HTE29" s="211"/>
      <c r="HTF29" s="211"/>
      <c r="HTG29" s="211"/>
      <c r="HTH29" s="211"/>
      <c r="HTI29" s="211"/>
      <c r="HTJ29" s="211"/>
      <c r="HTK29" s="211"/>
      <c r="HTL29" s="211"/>
      <c r="HTM29" s="211"/>
      <c r="HTN29" s="211"/>
      <c r="HTO29" s="211"/>
      <c r="HTP29" s="211"/>
      <c r="HTQ29" s="211"/>
      <c r="HTR29" s="211"/>
      <c r="HTS29" s="211"/>
      <c r="HTT29" s="211"/>
      <c r="HTU29" s="211"/>
      <c r="HTV29" s="211"/>
      <c r="HTW29" s="211"/>
      <c r="HTX29" s="211"/>
      <c r="HTY29" s="211"/>
      <c r="HTZ29" s="211"/>
      <c r="HUA29" s="211"/>
      <c r="HUB29" s="211"/>
      <c r="HUC29" s="211"/>
      <c r="HUD29" s="211"/>
      <c r="HUE29" s="211"/>
      <c r="HUF29" s="211"/>
      <c r="HUG29" s="211"/>
      <c r="HUH29" s="211"/>
      <c r="HUI29" s="211"/>
      <c r="HUJ29" s="211"/>
      <c r="HUK29" s="211"/>
      <c r="HUL29" s="211"/>
      <c r="HUM29" s="211"/>
      <c r="HUN29" s="211"/>
      <c r="HUO29" s="211"/>
      <c r="HUP29" s="211"/>
      <c r="HUQ29" s="211"/>
      <c r="HUR29" s="211"/>
      <c r="HUS29" s="211"/>
      <c r="HUT29" s="211"/>
      <c r="HUU29" s="211"/>
      <c r="HUV29" s="211"/>
      <c r="HUW29" s="211"/>
      <c r="HUX29" s="211"/>
      <c r="HUY29" s="211"/>
      <c r="HUZ29" s="211"/>
      <c r="HVA29" s="211"/>
      <c r="HVB29" s="211"/>
      <c r="HVC29" s="211"/>
      <c r="HVD29" s="211"/>
      <c r="HVE29" s="211"/>
      <c r="HVF29" s="211"/>
      <c r="HVG29" s="211"/>
      <c r="HVH29" s="211"/>
      <c r="HVI29" s="211"/>
      <c r="HVJ29" s="211"/>
      <c r="HVK29" s="211"/>
      <c r="HVL29" s="211"/>
      <c r="HVM29" s="211"/>
      <c r="HVN29" s="211"/>
      <c r="HVO29" s="211"/>
      <c r="HVP29" s="211"/>
      <c r="HVQ29" s="211"/>
      <c r="HVR29" s="211"/>
      <c r="HVS29" s="211"/>
      <c r="HVT29" s="211"/>
      <c r="HVU29" s="211"/>
      <c r="HVV29" s="211"/>
      <c r="HVW29" s="211"/>
      <c r="HVX29" s="211"/>
      <c r="HVY29" s="211"/>
      <c r="HVZ29" s="211"/>
      <c r="HWA29" s="211"/>
      <c r="HWB29" s="211"/>
      <c r="HWC29" s="211"/>
      <c r="HWD29" s="211"/>
      <c r="HWE29" s="211"/>
      <c r="HWF29" s="211"/>
      <c r="HWG29" s="211"/>
      <c r="HWH29" s="211"/>
      <c r="HWI29" s="211"/>
      <c r="HWJ29" s="211"/>
      <c r="HWK29" s="211"/>
      <c r="HWL29" s="211"/>
      <c r="HWM29" s="211"/>
      <c r="HWN29" s="211"/>
      <c r="HWO29" s="211"/>
      <c r="HWP29" s="211"/>
      <c r="HWQ29" s="211"/>
      <c r="HWR29" s="211"/>
      <c r="HWS29" s="211"/>
      <c r="HWT29" s="211"/>
      <c r="HWU29" s="211"/>
      <c r="HWV29" s="211"/>
      <c r="HWW29" s="211"/>
      <c r="HWX29" s="211"/>
      <c r="HWY29" s="211"/>
      <c r="HWZ29" s="211"/>
      <c r="HXA29" s="211"/>
      <c r="HXB29" s="211"/>
      <c r="HXC29" s="211"/>
      <c r="HXD29" s="211"/>
      <c r="HXE29" s="211"/>
      <c r="HXF29" s="211"/>
      <c r="HXG29" s="211"/>
      <c r="HXH29" s="211"/>
      <c r="HXI29" s="211"/>
      <c r="HXJ29" s="211"/>
      <c r="HXK29" s="211"/>
      <c r="HXL29" s="211"/>
      <c r="HXM29" s="211"/>
      <c r="HXN29" s="211"/>
      <c r="HXO29" s="211"/>
      <c r="HXP29" s="211"/>
      <c r="HXQ29" s="211"/>
      <c r="HXR29" s="211"/>
      <c r="HXS29" s="211"/>
      <c r="HXT29" s="211"/>
      <c r="HXU29" s="211"/>
      <c r="HXV29" s="211"/>
      <c r="HXW29" s="211"/>
      <c r="HXX29" s="211"/>
      <c r="HXY29" s="211"/>
      <c r="HXZ29" s="211"/>
      <c r="HYA29" s="211"/>
      <c r="HYB29" s="211"/>
      <c r="HYC29" s="211"/>
      <c r="HYD29" s="211"/>
      <c r="HYE29" s="211"/>
      <c r="HYF29" s="211"/>
      <c r="HYG29" s="211"/>
      <c r="HYH29" s="211"/>
      <c r="HYI29" s="211"/>
      <c r="HYJ29" s="211"/>
      <c r="HYK29" s="211"/>
      <c r="HYL29" s="211"/>
      <c r="HYM29" s="211"/>
      <c r="HYN29" s="211"/>
      <c r="HYO29" s="211"/>
      <c r="HYP29" s="211"/>
      <c r="HYQ29" s="211"/>
      <c r="HYR29" s="211"/>
      <c r="HYS29" s="211"/>
      <c r="HYT29" s="211"/>
      <c r="HYU29" s="211"/>
      <c r="HYV29" s="211"/>
      <c r="HYW29" s="211"/>
      <c r="HYX29" s="211"/>
      <c r="HYY29" s="211"/>
      <c r="HYZ29" s="211"/>
      <c r="HZA29" s="211"/>
      <c r="HZB29" s="211"/>
      <c r="HZC29" s="211"/>
      <c r="HZD29" s="211"/>
      <c r="HZE29" s="211"/>
      <c r="HZF29" s="211"/>
      <c r="HZG29" s="211"/>
      <c r="HZH29" s="211"/>
      <c r="HZI29" s="211"/>
      <c r="HZJ29" s="211"/>
      <c r="HZK29" s="211"/>
      <c r="HZL29" s="211"/>
      <c r="HZM29" s="211"/>
      <c r="HZN29" s="211"/>
      <c r="HZO29" s="211"/>
      <c r="HZP29" s="211"/>
      <c r="HZQ29" s="211"/>
      <c r="HZR29" s="211"/>
      <c r="HZS29" s="211"/>
      <c r="HZT29" s="211"/>
      <c r="HZU29" s="211"/>
      <c r="HZV29" s="211"/>
      <c r="HZW29" s="211"/>
      <c r="HZX29" s="211"/>
      <c r="HZY29" s="211"/>
      <c r="HZZ29" s="211"/>
      <c r="IAA29" s="211"/>
      <c r="IAB29" s="211"/>
      <c r="IAC29" s="211"/>
      <c r="IAD29" s="211"/>
      <c r="IAE29" s="211"/>
      <c r="IAF29" s="211"/>
      <c r="IAG29" s="211"/>
      <c r="IAH29" s="211"/>
      <c r="IAI29" s="211"/>
      <c r="IAJ29" s="211"/>
      <c r="IAK29" s="211"/>
      <c r="IAL29" s="211"/>
      <c r="IAM29" s="211"/>
      <c r="IAN29" s="211"/>
      <c r="IAO29" s="211"/>
      <c r="IAP29" s="211"/>
      <c r="IAQ29" s="211"/>
      <c r="IAR29" s="211"/>
      <c r="IAS29" s="211"/>
      <c r="IAT29" s="211"/>
      <c r="IAU29" s="211"/>
      <c r="IAV29" s="211"/>
      <c r="IAW29" s="211"/>
      <c r="IAX29" s="211"/>
      <c r="IAY29" s="211"/>
      <c r="IAZ29" s="211"/>
      <c r="IBA29" s="211"/>
      <c r="IBB29" s="211"/>
      <c r="IBC29" s="211"/>
      <c r="IBD29" s="211"/>
      <c r="IBE29" s="211"/>
      <c r="IBF29" s="211"/>
      <c r="IBG29" s="211"/>
      <c r="IBH29" s="211"/>
      <c r="IBI29" s="211"/>
      <c r="IBJ29" s="211"/>
      <c r="IBK29" s="211"/>
      <c r="IBL29" s="211"/>
      <c r="IBM29" s="211"/>
      <c r="IBN29" s="211"/>
      <c r="IBO29" s="211"/>
      <c r="IBP29" s="211"/>
      <c r="IBQ29" s="211"/>
      <c r="IBR29" s="211"/>
      <c r="IBS29" s="211"/>
      <c r="IBT29" s="211"/>
      <c r="IBU29" s="211"/>
      <c r="IBV29" s="211"/>
      <c r="IBW29" s="211"/>
      <c r="IBX29" s="211"/>
      <c r="IBY29" s="211"/>
      <c r="IBZ29" s="211"/>
      <c r="ICA29" s="211"/>
      <c r="ICB29" s="211"/>
      <c r="ICC29" s="211"/>
      <c r="ICD29" s="211"/>
      <c r="ICE29" s="211"/>
      <c r="ICF29" s="211"/>
      <c r="ICG29" s="211"/>
      <c r="ICH29" s="211"/>
      <c r="ICI29" s="211"/>
      <c r="ICJ29" s="211"/>
      <c r="ICK29" s="211"/>
      <c r="ICL29" s="211"/>
      <c r="ICM29" s="211"/>
      <c r="ICN29" s="211"/>
      <c r="ICO29" s="211"/>
      <c r="ICP29" s="211"/>
      <c r="ICQ29" s="211"/>
      <c r="ICR29" s="211"/>
      <c r="ICS29" s="211"/>
      <c r="ICT29" s="211"/>
      <c r="ICU29" s="211"/>
      <c r="ICV29" s="211"/>
      <c r="ICW29" s="211"/>
      <c r="ICX29" s="211"/>
      <c r="ICY29" s="211"/>
      <c r="ICZ29" s="211"/>
      <c r="IDA29" s="211"/>
      <c r="IDB29" s="211"/>
      <c r="IDC29" s="211"/>
      <c r="IDD29" s="211"/>
      <c r="IDE29" s="211"/>
      <c r="IDF29" s="211"/>
      <c r="IDG29" s="211"/>
      <c r="IDH29" s="211"/>
      <c r="IDI29" s="211"/>
      <c r="IDJ29" s="211"/>
      <c r="IDK29" s="211"/>
      <c r="IDL29" s="211"/>
      <c r="IDM29" s="211"/>
      <c r="IDN29" s="211"/>
      <c r="IDO29" s="211"/>
      <c r="IDP29" s="211"/>
      <c r="IDQ29" s="211"/>
      <c r="IDR29" s="211"/>
      <c r="IDS29" s="211"/>
      <c r="IDT29" s="211"/>
      <c r="IDU29" s="211"/>
      <c r="IDV29" s="211"/>
      <c r="IDW29" s="211"/>
      <c r="IDX29" s="211"/>
      <c r="IDY29" s="211"/>
      <c r="IDZ29" s="211"/>
      <c r="IEA29" s="211"/>
      <c r="IEB29" s="211"/>
      <c r="IEC29" s="211"/>
      <c r="IED29" s="211"/>
      <c r="IEE29" s="211"/>
      <c r="IEF29" s="211"/>
      <c r="IEG29" s="211"/>
      <c r="IEH29" s="211"/>
      <c r="IEI29" s="211"/>
      <c r="IEJ29" s="211"/>
      <c r="IEK29" s="211"/>
      <c r="IEL29" s="211"/>
      <c r="IEM29" s="211"/>
      <c r="IEN29" s="211"/>
      <c r="IEO29" s="211"/>
      <c r="IEP29" s="211"/>
      <c r="IEQ29" s="211"/>
      <c r="IER29" s="211"/>
      <c r="IES29" s="211"/>
      <c r="IET29" s="211"/>
      <c r="IEU29" s="211"/>
      <c r="IEV29" s="211"/>
      <c r="IEW29" s="211"/>
      <c r="IEX29" s="211"/>
      <c r="IEY29" s="211"/>
      <c r="IEZ29" s="211"/>
      <c r="IFA29" s="211"/>
      <c r="IFB29" s="211"/>
      <c r="IFC29" s="211"/>
      <c r="IFD29" s="211"/>
      <c r="IFE29" s="211"/>
      <c r="IFF29" s="211"/>
      <c r="IFG29" s="211"/>
      <c r="IFH29" s="211"/>
      <c r="IFI29" s="211"/>
      <c r="IFJ29" s="211"/>
      <c r="IFK29" s="211"/>
      <c r="IFL29" s="211"/>
      <c r="IFM29" s="211"/>
      <c r="IFN29" s="211"/>
      <c r="IFO29" s="211"/>
      <c r="IFP29" s="211"/>
      <c r="IFQ29" s="211"/>
      <c r="IFR29" s="211"/>
      <c r="IFS29" s="211"/>
      <c r="IFT29" s="211"/>
      <c r="IFU29" s="211"/>
      <c r="IFV29" s="211"/>
      <c r="IFW29" s="211"/>
      <c r="IFX29" s="211"/>
      <c r="IFY29" s="211"/>
      <c r="IFZ29" s="211"/>
      <c r="IGA29" s="211"/>
      <c r="IGB29" s="211"/>
      <c r="IGC29" s="211"/>
      <c r="IGD29" s="211"/>
      <c r="IGE29" s="211"/>
      <c r="IGF29" s="211"/>
      <c r="IGG29" s="211"/>
      <c r="IGH29" s="211"/>
      <c r="IGI29" s="211"/>
      <c r="IGJ29" s="211"/>
      <c r="IGK29" s="211"/>
      <c r="IGL29" s="211"/>
      <c r="IGM29" s="211"/>
      <c r="IGN29" s="211"/>
      <c r="IGO29" s="211"/>
      <c r="IGP29" s="211"/>
      <c r="IGQ29" s="211"/>
      <c r="IGR29" s="211"/>
      <c r="IGS29" s="211"/>
      <c r="IGT29" s="211"/>
      <c r="IGU29" s="211"/>
      <c r="IGV29" s="211"/>
      <c r="IGW29" s="211"/>
      <c r="IGX29" s="211"/>
      <c r="IGY29" s="211"/>
      <c r="IGZ29" s="211"/>
      <c r="IHA29" s="211"/>
      <c r="IHB29" s="211"/>
      <c r="IHC29" s="211"/>
      <c r="IHD29" s="211"/>
      <c r="IHE29" s="211"/>
      <c r="IHF29" s="211"/>
      <c r="IHG29" s="211"/>
      <c r="IHH29" s="211"/>
      <c r="IHI29" s="211"/>
      <c r="IHJ29" s="211"/>
      <c r="IHK29" s="211"/>
      <c r="IHL29" s="211"/>
      <c r="IHM29" s="211"/>
      <c r="IHN29" s="211"/>
      <c r="IHO29" s="211"/>
      <c r="IHP29" s="211"/>
      <c r="IHQ29" s="211"/>
      <c r="IHR29" s="211"/>
      <c r="IHS29" s="211"/>
      <c r="IHT29" s="211"/>
      <c r="IHU29" s="211"/>
      <c r="IHV29" s="211"/>
      <c r="IHW29" s="211"/>
      <c r="IHX29" s="211"/>
      <c r="IHY29" s="211"/>
      <c r="IHZ29" s="211"/>
      <c r="IIA29" s="211"/>
      <c r="IIB29" s="211"/>
      <c r="IIC29" s="211"/>
      <c r="IID29" s="211"/>
      <c r="IIE29" s="211"/>
      <c r="IIF29" s="211"/>
      <c r="IIG29" s="211"/>
      <c r="IIH29" s="211"/>
      <c r="III29" s="211"/>
      <c r="IIJ29" s="211"/>
      <c r="IIK29" s="211"/>
      <c r="IIL29" s="211"/>
      <c r="IIM29" s="211"/>
      <c r="IIN29" s="211"/>
      <c r="IIO29" s="211"/>
      <c r="IIP29" s="211"/>
      <c r="IIQ29" s="211"/>
      <c r="IIR29" s="211"/>
      <c r="IIS29" s="211"/>
      <c r="IIT29" s="211"/>
      <c r="IIU29" s="211"/>
      <c r="IIV29" s="211"/>
      <c r="IIW29" s="211"/>
      <c r="IIX29" s="211"/>
      <c r="IIY29" s="211"/>
      <c r="IIZ29" s="211"/>
      <c r="IJA29" s="211"/>
      <c r="IJB29" s="211"/>
      <c r="IJC29" s="211"/>
      <c r="IJD29" s="211"/>
      <c r="IJE29" s="211"/>
      <c r="IJF29" s="211"/>
      <c r="IJG29" s="211"/>
      <c r="IJH29" s="211"/>
      <c r="IJI29" s="211"/>
      <c r="IJJ29" s="211"/>
      <c r="IJK29" s="211"/>
      <c r="IJL29" s="211"/>
      <c r="IJM29" s="211"/>
      <c r="IJN29" s="211"/>
      <c r="IJO29" s="211"/>
      <c r="IJP29" s="211"/>
      <c r="IJQ29" s="211"/>
      <c r="IJR29" s="211"/>
      <c r="IJS29" s="211"/>
      <c r="IJT29" s="211"/>
      <c r="IJU29" s="211"/>
      <c r="IJV29" s="211"/>
      <c r="IJW29" s="211"/>
      <c r="IJX29" s="211"/>
      <c r="IJY29" s="211"/>
      <c r="IJZ29" s="211"/>
      <c r="IKA29" s="211"/>
      <c r="IKB29" s="211"/>
      <c r="IKC29" s="211"/>
      <c r="IKD29" s="211"/>
      <c r="IKE29" s="211"/>
      <c r="IKF29" s="211"/>
      <c r="IKG29" s="211"/>
      <c r="IKH29" s="211"/>
      <c r="IKI29" s="211"/>
      <c r="IKJ29" s="211"/>
      <c r="IKK29" s="211"/>
      <c r="IKL29" s="211"/>
      <c r="IKM29" s="211"/>
      <c r="IKN29" s="211"/>
      <c r="IKO29" s="211"/>
      <c r="IKP29" s="211"/>
      <c r="IKQ29" s="211"/>
      <c r="IKR29" s="211"/>
      <c r="IKS29" s="211"/>
      <c r="IKT29" s="211"/>
      <c r="IKU29" s="211"/>
      <c r="IKV29" s="211"/>
      <c r="IKW29" s="211"/>
      <c r="IKX29" s="211"/>
      <c r="IKY29" s="211"/>
      <c r="IKZ29" s="211"/>
      <c r="ILA29" s="211"/>
      <c r="ILB29" s="211"/>
      <c r="ILC29" s="211"/>
      <c r="ILD29" s="211"/>
      <c r="ILE29" s="211"/>
      <c r="ILF29" s="211"/>
      <c r="ILG29" s="211"/>
      <c r="ILH29" s="211"/>
      <c r="ILI29" s="211"/>
      <c r="ILJ29" s="211"/>
      <c r="ILK29" s="211"/>
      <c r="ILL29" s="211"/>
      <c r="ILM29" s="211"/>
      <c r="ILN29" s="211"/>
      <c r="ILO29" s="211"/>
      <c r="ILP29" s="211"/>
      <c r="ILQ29" s="211"/>
      <c r="ILR29" s="211"/>
      <c r="ILS29" s="211"/>
      <c r="ILT29" s="211"/>
      <c r="ILU29" s="211"/>
      <c r="ILV29" s="211"/>
      <c r="ILW29" s="211"/>
      <c r="ILX29" s="211"/>
      <c r="ILY29" s="211"/>
      <c r="ILZ29" s="211"/>
      <c r="IMA29" s="211"/>
      <c r="IMB29" s="211"/>
      <c r="IMC29" s="211"/>
      <c r="IMD29" s="211"/>
      <c r="IME29" s="211"/>
      <c r="IMF29" s="211"/>
      <c r="IMG29" s="211"/>
      <c r="IMH29" s="211"/>
      <c r="IMI29" s="211"/>
      <c r="IMJ29" s="211"/>
      <c r="IMK29" s="211"/>
      <c r="IML29" s="211"/>
      <c r="IMM29" s="211"/>
      <c r="IMN29" s="211"/>
      <c r="IMO29" s="211"/>
      <c r="IMP29" s="211"/>
      <c r="IMQ29" s="211"/>
      <c r="IMR29" s="211"/>
      <c r="IMS29" s="211"/>
      <c r="IMT29" s="211"/>
      <c r="IMU29" s="211"/>
      <c r="IMV29" s="211"/>
      <c r="IMW29" s="211"/>
      <c r="IMX29" s="211"/>
      <c r="IMY29" s="211"/>
      <c r="IMZ29" s="211"/>
      <c r="INA29" s="211"/>
      <c r="INB29" s="211"/>
      <c r="INC29" s="211"/>
      <c r="IND29" s="211"/>
      <c r="INE29" s="211"/>
      <c r="INF29" s="211"/>
      <c r="ING29" s="211"/>
      <c r="INH29" s="211"/>
      <c r="INI29" s="211"/>
      <c r="INJ29" s="211"/>
      <c r="INK29" s="211"/>
      <c r="INL29" s="211"/>
      <c r="INM29" s="211"/>
      <c r="INN29" s="211"/>
      <c r="INO29" s="211"/>
      <c r="INP29" s="211"/>
      <c r="INQ29" s="211"/>
      <c r="INR29" s="211"/>
      <c r="INS29" s="211"/>
      <c r="INT29" s="211"/>
      <c r="INU29" s="211"/>
      <c r="INV29" s="211"/>
      <c r="INW29" s="211"/>
      <c r="INX29" s="211"/>
      <c r="INY29" s="211"/>
      <c r="INZ29" s="211"/>
      <c r="IOA29" s="211"/>
      <c r="IOB29" s="211"/>
      <c r="IOC29" s="211"/>
      <c r="IOD29" s="211"/>
      <c r="IOE29" s="211"/>
      <c r="IOF29" s="211"/>
      <c r="IOG29" s="211"/>
      <c r="IOH29" s="211"/>
      <c r="IOI29" s="211"/>
      <c r="IOJ29" s="211"/>
      <c r="IOK29" s="211"/>
      <c r="IOL29" s="211"/>
      <c r="IOM29" s="211"/>
      <c r="ION29" s="211"/>
      <c r="IOO29" s="211"/>
      <c r="IOP29" s="211"/>
      <c r="IOQ29" s="211"/>
      <c r="IOR29" s="211"/>
      <c r="IOS29" s="211"/>
      <c r="IOT29" s="211"/>
      <c r="IOU29" s="211"/>
      <c r="IOV29" s="211"/>
      <c r="IOW29" s="211"/>
      <c r="IOX29" s="211"/>
      <c r="IOY29" s="211"/>
      <c r="IOZ29" s="211"/>
      <c r="IPA29" s="211"/>
      <c r="IPB29" s="211"/>
      <c r="IPC29" s="211"/>
      <c r="IPD29" s="211"/>
      <c r="IPE29" s="211"/>
      <c r="IPF29" s="211"/>
      <c r="IPG29" s="211"/>
      <c r="IPH29" s="211"/>
      <c r="IPI29" s="211"/>
      <c r="IPJ29" s="211"/>
      <c r="IPK29" s="211"/>
      <c r="IPL29" s="211"/>
      <c r="IPM29" s="211"/>
      <c r="IPN29" s="211"/>
      <c r="IPO29" s="211"/>
      <c r="IPP29" s="211"/>
      <c r="IPQ29" s="211"/>
      <c r="IPR29" s="211"/>
      <c r="IPS29" s="211"/>
      <c r="IPT29" s="211"/>
      <c r="IPU29" s="211"/>
      <c r="IPV29" s="211"/>
      <c r="IPW29" s="211"/>
      <c r="IPX29" s="211"/>
      <c r="IPY29" s="211"/>
      <c r="IPZ29" s="211"/>
      <c r="IQA29" s="211"/>
      <c r="IQB29" s="211"/>
      <c r="IQC29" s="211"/>
      <c r="IQD29" s="211"/>
      <c r="IQE29" s="211"/>
      <c r="IQF29" s="211"/>
      <c r="IQG29" s="211"/>
      <c r="IQH29" s="211"/>
      <c r="IQI29" s="211"/>
      <c r="IQJ29" s="211"/>
      <c r="IQK29" s="211"/>
      <c r="IQL29" s="211"/>
      <c r="IQM29" s="211"/>
      <c r="IQN29" s="211"/>
      <c r="IQO29" s="211"/>
      <c r="IQP29" s="211"/>
      <c r="IQQ29" s="211"/>
      <c r="IQR29" s="211"/>
      <c r="IQS29" s="211"/>
      <c r="IQT29" s="211"/>
      <c r="IQU29" s="211"/>
      <c r="IQV29" s="211"/>
      <c r="IQW29" s="211"/>
      <c r="IQX29" s="211"/>
      <c r="IQY29" s="211"/>
      <c r="IQZ29" s="211"/>
      <c r="IRA29" s="211"/>
      <c r="IRB29" s="211"/>
      <c r="IRC29" s="211"/>
      <c r="IRD29" s="211"/>
      <c r="IRE29" s="211"/>
      <c r="IRF29" s="211"/>
      <c r="IRG29" s="211"/>
      <c r="IRH29" s="211"/>
      <c r="IRI29" s="211"/>
      <c r="IRJ29" s="211"/>
      <c r="IRK29" s="211"/>
      <c r="IRL29" s="211"/>
      <c r="IRM29" s="211"/>
      <c r="IRN29" s="211"/>
      <c r="IRO29" s="211"/>
      <c r="IRP29" s="211"/>
      <c r="IRQ29" s="211"/>
      <c r="IRR29" s="211"/>
      <c r="IRS29" s="211"/>
      <c r="IRT29" s="211"/>
      <c r="IRU29" s="211"/>
      <c r="IRV29" s="211"/>
      <c r="IRW29" s="211"/>
      <c r="IRX29" s="211"/>
      <c r="IRY29" s="211"/>
      <c r="IRZ29" s="211"/>
      <c r="ISA29" s="211"/>
      <c r="ISB29" s="211"/>
      <c r="ISC29" s="211"/>
      <c r="ISD29" s="211"/>
      <c r="ISE29" s="211"/>
      <c r="ISF29" s="211"/>
      <c r="ISG29" s="211"/>
      <c r="ISH29" s="211"/>
      <c r="ISI29" s="211"/>
      <c r="ISJ29" s="211"/>
      <c r="ISK29" s="211"/>
      <c r="ISL29" s="211"/>
      <c r="ISM29" s="211"/>
      <c r="ISN29" s="211"/>
      <c r="ISO29" s="211"/>
      <c r="ISP29" s="211"/>
      <c r="ISQ29" s="211"/>
      <c r="ISR29" s="211"/>
      <c r="ISS29" s="211"/>
      <c r="IST29" s="211"/>
      <c r="ISU29" s="211"/>
      <c r="ISV29" s="211"/>
      <c r="ISW29" s="211"/>
      <c r="ISX29" s="211"/>
      <c r="ISY29" s="211"/>
      <c r="ISZ29" s="211"/>
      <c r="ITA29" s="211"/>
      <c r="ITB29" s="211"/>
      <c r="ITC29" s="211"/>
      <c r="ITD29" s="211"/>
      <c r="ITE29" s="211"/>
      <c r="ITF29" s="211"/>
      <c r="ITG29" s="211"/>
      <c r="ITH29" s="211"/>
      <c r="ITI29" s="211"/>
      <c r="ITJ29" s="211"/>
      <c r="ITK29" s="211"/>
      <c r="ITL29" s="211"/>
      <c r="ITM29" s="211"/>
      <c r="ITN29" s="211"/>
      <c r="ITO29" s="211"/>
      <c r="ITP29" s="211"/>
      <c r="ITQ29" s="211"/>
      <c r="ITR29" s="211"/>
      <c r="ITS29" s="211"/>
      <c r="ITT29" s="211"/>
      <c r="ITU29" s="211"/>
      <c r="ITV29" s="211"/>
      <c r="ITW29" s="211"/>
      <c r="ITX29" s="211"/>
      <c r="ITY29" s="211"/>
      <c r="ITZ29" s="211"/>
      <c r="IUA29" s="211"/>
      <c r="IUB29" s="211"/>
      <c r="IUC29" s="211"/>
      <c r="IUD29" s="211"/>
      <c r="IUE29" s="211"/>
      <c r="IUF29" s="211"/>
      <c r="IUG29" s="211"/>
      <c r="IUH29" s="211"/>
      <c r="IUI29" s="211"/>
      <c r="IUJ29" s="211"/>
      <c r="IUK29" s="211"/>
      <c r="IUL29" s="211"/>
      <c r="IUM29" s="211"/>
      <c r="IUN29" s="211"/>
      <c r="IUO29" s="211"/>
      <c r="IUP29" s="211"/>
      <c r="IUQ29" s="211"/>
      <c r="IUR29" s="211"/>
      <c r="IUS29" s="211"/>
      <c r="IUT29" s="211"/>
      <c r="IUU29" s="211"/>
      <c r="IUV29" s="211"/>
      <c r="IUW29" s="211"/>
      <c r="IUX29" s="211"/>
      <c r="IUY29" s="211"/>
      <c r="IUZ29" s="211"/>
      <c r="IVA29" s="211"/>
      <c r="IVB29" s="211"/>
      <c r="IVC29" s="211"/>
      <c r="IVD29" s="211"/>
      <c r="IVE29" s="211"/>
      <c r="IVF29" s="211"/>
      <c r="IVG29" s="211"/>
      <c r="IVH29" s="211"/>
      <c r="IVI29" s="211"/>
      <c r="IVJ29" s="211"/>
      <c r="IVK29" s="211"/>
      <c r="IVL29" s="211"/>
      <c r="IVM29" s="211"/>
      <c r="IVN29" s="211"/>
      <c r="IVO29" s="211"/>
      <c r="IVP29" s="211"/>
      <c r="IVQ29" s="211"/>
      <c r="IVR29" s="211"/>
      <c r="IVS29" s="211"/>
      <c r="IVT29" s="211"/>
      <c r="IVU29" s="211"/>
      <c r="IVV29" s="211"/>
      <c r="IVW29" s="211"/>
      <c r="IVX29" s="211"/>
      <c r="IVY29" s="211"/>
      <c r="IVZ29" s="211"/>
      <c r="IWA29" s="211"/>
      <c r="IWB29" s="211"/>
      <c r="IWC29" s="211"/>
      <c r="IWD29" s="211"/>
      <c r="IWE29" s="211"/>
      <c r="IWF29" s="211"/>
      <c r="IWG29" s="211"/>
      <c r="IWH29" s="211"/>
      <c r="IWI29" s="211"/>
      <c r="IWJ29" s="211"/>
      <c r="IWK29" s="211"/>
      <c r="IWL29" s="211"/>
      <c r="IWM29" s="211"/>
      <c r="IWN29" s="211"/>
      <c r="IWO29" s="211"/>
      <c r="IWP29" s="211"/>
      <c r="IWQ29" s="211"/>
      <c r="IWR29" s="211"/>
      <c r="IWS29" s="211"/>
      <c r="IWT29" s="211"/>
      <c r="IWU29" s="211"/>
      <c r="IWV29" s="211"/>
      <c r="IWW29" s="211"/>
      <c r="IWX29" s="211"/>
      <c r="IWY29" s="211"/>
      <c r="IWZ29" s="211"/>
      <c r="IXA29" s="211"/>
      <c r="IXB29" s="211"/>
      <c r="IXC29" s="211"/>
      <c r="IXD29" s="211"/>
      <c r="IXE29" s="211"/>
      <c r="IXF29" s="211"/>
      <c r="IXG29" s="211"/>
      <c r="IXH29" s="211"/>
      <c r="IXI29" s="211"/>
      <c r="IXJ29" s="211"/>
      <c r="IXK29" s="211"/>
      <c r="IXL29" s="211"/>
      <c r="IXM29" s="211"/>
      <c r="IXN29" s="211"/>
      <c r="IXO29" s="211"/>
      <c r="IXP29" s="211"/>
      <c r="IXQ29" s="211"/>
      <c r="IXR29" s="211"/>
      <c r="IXS29" s="211"/>
      <c r="IXT29" s="211"/>
      <c r="IXU29" s="211"/>
      <c r="IXV29" s="211"/>
      <c r="IXW29" s="211"/>
      <c r="IXX29" s="211"/>
      <c r="IXY29" s="211"/>
      <c r="IXZ29" s="211"/>
      <c r="IYA29" s="211"/>
      <c r="IYB29" s="211"/>
      <c r="IYC29" s="211"/>
      <c r="IYD29" s="211"/>
      <c r="IYE29" s="211"/>
      <c r="IYF29" s="211"/>
      <c r="IYG29" s="211"/>
      <c r="IYH29" s="211"/>
      <c r="IYI29" s="211"/>
      <c r="IYJ29" s="211"/>
      <c r="IYK29" s="211"/>
      <c r="IYL29" s="211"/>
      <c r="IYM29" s="211"/>
      <c r="IYN29" s="211"/>
      <c r="IYO29" s="211"/>
      <c r="IYP29" s="211"/>
      <c r="IYQ29" s="211"/>
      <c r="IYR29" s="211"/>
      <c r="IYS29" s="211"/>
      <c r="IYT29" s="211"/>
      <c r="IYU29" s="211"/>
      <c r="IYV29" s="211"/>
      <c r="IYW29" s="211"/>
      <c r="IYX29" s="211"/>
      <c r="IYY29" s="211"/>
      <c r="IYZ29" s="211"/>
      <c r="IZA29" s="211"/>
      <c r="IZB29" s="211"/>
      <c r="IZC29" s="211"/>
      <c r="IZD29" s="211"/>
      <c r="IZE29" s="211"/>
      <c r="IZF29" s="211"/>
      <c r="IZG29" s="211"/>
      <c r="IZH29" s="211"/>
      <c r="IZI29" s="211"/>
      <c r="IZJ29" s="211"/>
      <c r="IZK29" s="211"/>
      <c r="IZL29" s="211"/>
      <c r="IZM29" s="211"/>
      <c r="IZN29" s="211"/>
      <c r="IZO29" s="211"/>
      <c r="IZP29" s="211"/>
      <c r="IZQ29" s="211"/>
      <c r="IZR29" s="211"/>
      <c r="IZS29" s="211"/>
      <c r="IZT29" s="211"/>
      <c r="IZU29" s="211"/>
      <c r="IZV29" s="211"/>
      <c r="IZW29" s="211"/>
      <c r="IZX29" s="211"/>
      <c r="IZY29" s="211"/>
      <c r="IZZ29" s="211"/>
      <c r="JAA29" s="211"/>
      <c r="JAB29" s="211"/>
      <c r="JAC29" s="211"/>
      <c r="JAD29" s="211"/>
      <c r="JAE29" s="211"/>
      <c r="JAF29" s="211"/>
      <c r="JAG29" s="211"/>
      <c r="JAH29" s="211"/>
      <c r="JAI29" s="211"/>
      <c r="JAJ29" s="211"/>
      <c r="JAK29" s="211"/>
      <c r="JAL29" s="211"/>
      <c r="JAM29" s="211"/>
      <c r="JAN29" s="211"/>
      <c r="JAO29" s="211"/>
      <c r="JAP29" s="211"/>
      <c r="JAQ29" s="211"/>
      <c r="JAR29" s="211"/>
      <c r="JAS29" s="211"/>
      <c r="JAT29" s="211"/>
      <c r="JAU29" s="211"/>
      <c r="JAV29" s="211"/>
      <c r="JAW29" s="211"/>
      <c r="JAX29" s="211"/>
      <c r="JAY29" s="211"/>
      <c r="JAZ29" s="211"/>
      <c r="JBA29" s="211"/>
      <c r="JBB29" s="211"/>
      <c r="JBC29" s="211"/>
      <c r="JBD29" s="211"/>
      <c r="JBE29" s="211"/>
      <c r="JBF29" s="211"/>
      <c r="JBG29" s="211"/>
      <c r="JBH29" s="211"/>
      <c r="JBI29" s="211"/>
      <c r="JBJ29" s="211"/>
      <c r="JBK29" s="211"/>
      <c r="JBL29" s="211"/>
      <c r="JBM29" s="211"/>
      <c r="JBN29" s="211"/>
      <c r="JBO29" s="211"/>
      <c r="JBP29" s="211"/>
      <c r="JBQ29" s="211"/>
      <c r="JBR29" s="211"/>
      <c r="JBS29" s="211"/>
      <c r="JBT29" s="211"/>
      <c r="JBU29" s="211"/>
      <c r="JBV29" s="211"/>
      <c r="JBW29" s="211"/>
      <c r="JBX29" s="211"/>
      <c r="JBY29" s="211"/>
      <c r="JBZ29" s="211"/>
      <c r="JCA29" s="211"/>
      <c r="JCB29" s="211"/>
      <c r="JCC29" s="211"/>
      <c r="JCD29" s="211"/>
      <c r="JCE29" s="211"/>
      <c r="JCF29" s="211"/>
      <c r="JCG29" s="211"/>
      <c r="JCH29" s="211"/>
      <c r="JCI29" s="211"/>
      <c r="JCJ29" s="211"/>
      <c r="JCK29" s="211"/>
      <c r="JCL29" s="211"/>
      <c r="JCM29" s="211"/>
      <c r="JCN29" s="211"/>
      <c r="JCO29" s="211"/>
      <c r="JCP29" s="211"/>
      <c r="JCQ29" s="211"/>
      <c r="JCR29" s="211"/>
      <c r="JCS29" s="211"/>
      <c r="JCT29" s="211"/>
      <c r="JCU29" s="211"/>
      <c r="JCV29" s="211"/>
      <c r="JCW29" s="211"/>
      <c r="JCX29" s="211"/>
      <c r="JCY29" s="211"/>
      <c r="JCZ29" s="211"/>
      <c r="JDA29" s="211"/>
      <c r="JDB29" s="211"/>
      <c r="JDC29" s="211"/>
      <c r="JDD29" s="211"/>
      <c r="JDE29" s="211"/>
      <c r="JDF29" s="211"/>
      <c r="JDG29" s="211"/>
      <c r="JDH29" s="211"/>
      <c r="JDI29" s="211"/>
      <c r="JDJ29" s="211"/>
      <c r="JDK29" s="211"/>
      <c r="JDL29" s="211"/>
      <c r="JDM29" s="211"/>
      <c r="JDN29" s="211"/>
      <c r="JDO29" s="211"/>
      <c r="JDP29" s="211"/>
      <c r="JDQ29" s="211"/>
      <c r="JDR29" s="211"/>
      <c r="JDS29" s="211"/>
      <c r="JDT29" s="211"/>
      <c r="JDU29" s="211"/>
      <c r="JDV29" s="211"/>
      <c r="JDW29" s="211"/>
      <c r="JDX29" s="211"/>
      <c r="JDY29" s="211"/>
      <c r="JDZ29" s="211"/>
      <c r="JEA29" s="211"/>
      <c r="JEB29" s="211"/>
      <c r="JEC29" s="211"/>
      <c r="JED29" s="211"/>
      <c r="JEE29" s="211"/>
      <c r="JEF29" s="211"/>
      <c r="JEG29" s="211"/>
      <c r="JEH29" s="211"/>
      <c r="JEI29" s="211"/>
      <c r="JEJ29" s="211"/>
      <c r="JEK29" s="211"/>
      <c r="JEL29" s="211"/>
      <c r="JEM29" s="211"/>
      <c r="JEN29" s="211"/>
      <c r="JEO29" s="211"/>
      <c r="JEP29" s="211"/>
      <c r="JEQ29" s="211"/>
      <c r="JER29" s="211"/>
      <c r="JES29" s="211"/>
      <c r="JET29" s="211"/>
      <c r="JEU29" s="211"/>
      <c r="JEV29" s="211"/>
      <c r="JEW29" s="211"/>
      <c r="JEX29" s="211"/>
      <c r="JEY29" s="211"/>
      <c r="JEZ29" s="211"/>
      <c r="JFA29" s="211"/>
      <c r="JFB29" s="211"/>
      <c r="JFC29" s="211"/>
      <c r="JFD29" s="211"/>
      <c r="JFE29" s="211"/>
      <c r="JFF29" s="211"/>
      <c r="JFG29" s="211"/>
      <c r="JFH29" s="211"/>
      <c r="JFI29" s="211"/>
      <c r="JFJ29" s="211"/>
      <c r="JFK29" s="211"/>
      <c r="JFL29" s="211"/>
      <c r="JFM29" s="211"/>
      <c r="JFN29" s="211"/>
      <c r="JFO29" s="211"/>
      <c r="JFP29" s="211"/>
      <c r="JFQ29" s="211"/>
      <c r="JFR29" s="211"/>
      <c r="JFS29" s="211"/>
      <c r="JFT29" s="211"/>
      <c r="JFU29" s="211"/>
      <c r="JFV29" s="211"/>
      <c r="JFW29" s="211"/>
      <c r="JFX29" s="211"/>
      <c r="JFY29" s="211"/>
      <c r="JFZ29" s="211"/>
      <c r="JGA29" s="211"/>
      <c r="JGB29" s="211"/>
      <c r="JGC29" s="211"/>
      <c r="JGD29" s="211"/>
      <c r="JGE29" s="211"/>
      <c r="JGF29" s="211"/>
      <c r="JGG29" s="211"/>
      <c r="JGH29" s="211"/>
      <c r="JGI29" s="211"/>
      <c r="JGJ29" s="211"/>
      <c r="JGK29" s="211"/>
      <c r="JGL29" s="211"/>
      <c r="JGM29" s="211"/>
      <c r="JGN29" s="211"/>
      <c r="JGO29" s="211"/>
      <c r="JGP29" s="211"/>
      <c r="JGQ29" s="211"/>
      <c r="JGR29" s="211"/>
      <c r="JGS29" s="211"/>
      <c r="JGT29" s="211"/>
      <c r="JGU29" s="211"/>
      <c r="JGV29" s="211"/>
      <c r="JGW29" s="211"/>
      <c r="JGX29" s="211"/>
      <c r="JGY29" s="211"/>
      <c r="JGZ29" s="211"/>
      <c r="JHA29" s="211"/>
      <c r="JHB29" s="211"/>
      <c r="JHC29" s="211"/>
      <c r="JHD29" s="211"/>
      <c r="JHE29" s="211"/>
      <c r="JHF29" s="211"/>
      <c r="JHG29" s="211"/>
      <c r="JHH29" s="211"/>
      <c r="JHI29" s="211"/>
      <c r="JHJ29" s="211"/>
      <c r="JHK29" s="211"/>
      <c r="JHL29" s="211"/>
      <c r="JHM29" s="211"/>
      <c r="JHN29" s="211"/>
      <c r="JHO29" s="211"/>
      <c r="JHP29" s="211"/>
      <c r="JHQ29" s="211"/>
      <c r="JHR29" s="211"/>
      <c r="JHS29" s="211"/>
      <c r="JHT29" s="211"/>
      <c r="JHU29" s="211"/>
      <c r="JHV29" s="211"/>
      <c r="JHW29" s="211"/>
      <c r="JHX29" s="211"/>
      <c r="JHY29" s="211"/>
      <c r="JHZ29" s="211"/>
      <c r="JIA29" s="211"/>
      <c r="JIB29" s="211"/>
      <c r="JIC29" s="211"/>
      <c r="JID29" s="211"/>
      <c r="JIE29" s="211"/>
      <c r="JIF29" s="211"/>
      <c r="JIG29" s="211"/>
      <c r="JIH29" s="211"/>
      <c r="JII29" s="211"/>
      <c r="JIJ29" s="211"/>
      <c r="JIK29" s="211"/>
      <c r="JIL29" s="211"/>
      <c r="JIM29" s="211"/>
      <c r="JIN29" s="211"/>
      <c r="JIO29" s="211"/>
      <c r="JIP29" s="211"/>
      <c r="JIQ29" s="211"/>
      <c r="JIR29" s="211"/>
      <c r="JIS29" s="211"/>
      <c r="JIT29" s="211"/>
      <c r="JIU29" s="211"/>
      <c r="JIV29" s="211"/>
      <c r="JIW29" s="211"/>
      <c r="JIX29" s="211"/>
      <c r="JIY29" s="211"/>
      <c r="JIZ29" s="211"/>
      <c r="JJA29" s="211"/>
      <c r="JJB29" s="211"/>
      <c r="JJC29" s="211"/>
      <c r="JJD29" s="211"/>
      <c r="JJE29" s="211"/>
      <c r="JJF29" s="211"/>
      <c r="JJG29" s="211"/>
      <c r="JJH29" s="211"/>
      <c r="JJI29" s="211"/>
      <c r="JJJ29" s="211"/>
      <c r="JJK29" s="211"/>
      <c r="JJL29" s="211"/>
      <c r="JJM29" s="211"/>
      <c r="JJN29" s="211"/>
      <c r="JJO29" s="211"/>
      <c r="JJP29" s="211"/>
      <c r="JJQ29" s="211"/>
      <c r="JJR29" s="211"/>
      <c r="JJS29" s="211"/>
      <c r="JJT29" s="211"/>
      <c r="JJU29" s="211"/>
      <c r="JJV29" s="211"/>
      <c r="JJW29" s="211"/>
      <c r="JJX29" s="211"/>
      <c r="JJY29" s="211"/>
      <c r="JJZ29" s="211"/>
      <c r="JKA29" s="211"/>
      <c r="JKB29" s="211"/>
      <c r="JKC29" s="211"/>
      <c r="JKD29" s="211"/>
      <c r="JKE29" s="211"/>
      <c r="JKF29" s="211"/>
      <c r="JKG29" s="211"/>
      <c r="JKH29" s="211"/>
      <c r="JKI29" s="211"/>
      <c r="JKJ29" s="211"/>
      <c r="JKK29" s="211"/>
      <c r="JKL29" s="211"/>
      <c r="JKM29" s="211"/>
      <c r="JKN29" s="211"/>
      <c r="JKO29" s="211"/>
      <c r="JKP29" s="211"/>
      <c r="JKQ29" s="211"/>
      <c r="JKR29" s="211"/>
      <c r="JKS29" s="211"/>
      <c r="JKT29" s="211"/>
      <c r="JKU29" s="211"/>
      <c r="JKV29" s="211"/>
      <c r="JKW29" s="211"/>
      <c r="JKX29" s="211"/>
      <c r="JKY29" s="211"/>
      <c r="JKZ29" s="211"/>
      <c r="JLA29" s="211"/>
      <c r="JLB29" s="211"/>
      <c r="JLC29" s="211"/>
      <c r="JLD29" s="211"/>
      <c r="JLE29" s="211"/>
      <c r="JLF29" s="211"/>
      <c r="JLG29" s="211"/>
      <c r="JLH29" s="211"/>
      <c r="JLI29" s="211"/>
      <c r="JLJ29" s="211"/>
      <c r="JLK29" s="211"/>
      <c r="JLL29" s="211"/>
      <c r="JLM29" s="211"/>
      <c r="JLN29" s="211"/>
      <c r="JLO29" s="211"/>
      <c r="JLP29" s="211"/>
      <c r="JLQ29" s="211"/>
      <c r="JLR29" s="211"/>
      <c r="JLS29" s="211"/>
      <c r="JLT29" s="211"/>
      <c r="JLU29" s="211"/>
      <c r="JLV29" s="211"/>
      <c r="JLW29" s="211"/>
      <c r="JLX29" s="211"/>
      <c r="JLY29" s="211"/>
      <c r="JLZ29" s="211"/>
      <c r="JMA29" s="211"/>
      <c r="JMB29" s="211"/>
      <c r="JMC29" s="211"/>
      <c r="JMD29" s="211"/>
      <c r="JME29" s="211"/>
      <c r="JMF29" s="211"/>
      <c r="JMG29" s="211"/>
      <c r="JMH29" s="211"/>
      <c r="JMI29" s="211"/>
      <c r="JMJ29" s="211"/>
      <c r="JMK29" s="211"/>
      <c r="JML29" s="211"/>
      <c r="JMM29" s="211"/>
      <c r="JMN29" s="211"/>
      <c r="JMO29" s="211"/>
      <c r="JMP29" s="211"/>
      <c r="JMQ29" s="211"/>
      <c r="JMR29" s="211"/>
      <c r="JMS29" s="211"/>
      <c r="JMT29" s="211"/>
      <c r="JMU29" s="211"/>
      <c r="JMV29" s="211"/>
      <c r="JMW29" s="211"/>
      <c r="JMX29" s="211"/>
      <c r="JMY29" s="211"/>
      <c r="JMZ29" s="211"/>
      <c r="JNA29" s="211"/>
      <c r="JNB29" s="211"/>
      <c r="JNC29" s="211"/>
      <c r="JND29" s="211"/>
      <c r="JNE29" s="211"/>
      <c r="JNF29" s="211"/>
      <c r="JNG29" s="211"/>
      <c r="JNH29" s="211"/>
      <c r="JNI29" s="211"/>
      <c r="JNJ29" s="211"/>
      <c r="JNK29" s="211"/>
      <c r="JNL29" s="211"/>
      <c r="JNM29" s="211"/>
      <c r="JNN29" s="211"/>
      <c r="JNO29" s="211"/>
      <c r="JNP29" s="211"/>
      <c r="JNQ29" s="211"/>
      <c r="JNR29" s="211"/>
      <c r="JNS29" s="211"/>
      <c r="JNT29" s="211"/>
      <c r="JNU29" s="211"/>
      <c r="JNV29" s="211"/>
      <c r="JNW29" s="211"/>
      <c r="JNX29" s="211"/>
      <c r="JNY29" s="211"/>
      <c r="JNZ29" s="211"/>
      <c r="JOA29" s="211"/>
      <c r="JOB29" s="211"/>
      <c r="JOC29" s="211"/>
      <c r="JOD29" s="211"/>
      <c r="JOE29" s="211"/>
      <c r="JOF29" s="211"/>
      <c r="JOG29" s="211"/>
      <c r="JOH29" s="211"/>
      <c r="JOI29" s="211"/>
      <c r="JOJ29" s="211"/>
      <c r="JOK29" s="211"/>
      <c r="JOL29" s="211"/>
      <c r="JOM29" s="211"/>
      <c r="JON29" s="211"/>
      <c r="JOO29" s="211"/>
      <c r="JOP29" s="211"/>
      <c r="JOQ29" s="211"/>
      <c r="JOR29" s="211"/>
      <c r="JOS29" s="211"/>
      <c r="JOT29" s="211"/>
      <c r="JOU29" s="211"/>
      <c r="JOV29" s="211"/>
      <c r="JOW29" s="211"/>
      <c r="JOX29" s="211"/>
      <c r="JOY29" s="211"/>
      <c r="JOZ29" s="211"/>
      <c r="JPA29" s="211"/>
      <c r="JPB29" s="211"/>
      <c r="JPC29" s="211"/>
      <c r="JPD29" s="211"/>
      <c r="JPE29" s="211"/>
      <c r="JPF29" s="211"/>
      <c r="JPG29" s="211"/>
      <c r="JPH29" s="211"/>
      <c r="JPI29" s="211"/>
      <c r="JPJ29" s="211"/>
      <c r="JPK29" s="211"/>
      <c r="JPL29" s="211"/>
      <c r="JPM29" s="211"/>
      <c r="JPN29" s="211"/>
      <c r="JPO29" s="211"/>
      <c r="JPP29" s="211"/>
      <c r="JPQ29" s="211"/>
      <c r="JPR29" s="211"/>
      <c r="JPS29" s="211"/>
      <c r="JPT29" s="211"/>
      <c r="JPU29" s="211"/>
      <c r="JPV29" s="211"/>
      <c r="JPW29" s="211"/>
      <c r="JPX29" s="211"/>
      <c r="JPY29" s="211"/>
      <c r="JPZ29" s="211"/>
      <c r="JQA29" s="211"/>
      <c r="JQB29" s="211"/>
      <c r="JQC29" s="211"/>
      <c r="JQD29" s="211"/>
      <c r="JQE29" s="211"/>
      <c r="JQF29" s="211"/>
      <c r="JQG29" s="211"/>
      <c r="JQH29" s="211"/>
      <c r="JQI29" s="211"/>
      <c r="JQJ29" s="211"/>
      <c r="JQK29" s="211"/>
      <c r="JQL29" s="211"/>
      <c r="JQM29" s="211"/>
      <c r="JQN29" s="211"/>
      <c r="JQO29" s="211"/>
      <c r="JQP29" s="211"/>
      <c r="JQQ29" s="211"/>
      <c r="JQR29" s="211"/>
      <c r="JQS29" s="211"/>
      <c r="JQT29" s="211"/>
      <c r="JQU29" s="211"/>
      <c r="JQV29" s="211"/>
      <c r="JQW29" s="211"/>
      <c r="JQX29" s="211"/>
      <c r="JQY29" s="211"/>
      <c r="JQZ29" s="211"/>
      <c r="JRA29" s="211"/>
      <c r="JRB29" s="211"/>
      <c r="JRC29" s="211"/>
      <c r="JRD29" s="211"/>
      <c r="JRE29" s="211"/>
      <c r="JRF29" s="211"/>
      <c r="JRG29" s="211"/>
      <c r="JRH29" s="211"/>
      <c r="JRI29" s="211"/>
      <c r="JRJ29" s="211"/>
      <c r="JRK29" s="211"/>
      <c r="JRL29" s="211"/>
      <c r="JRM29" s="211"/>
      <c r="JRN29" s="211"/>
      <c r="JRO29" s="211"/>
      <c r="JRP29" s="211"/>
      <c r="JRQ29" s="211"/>
      <c r="JRR29" s="211"/>
      <c r="JRS29" s="211"/>
      <c r="JRT29" s="211"/>
      <c r="JRU29" s="211"/>
      <c r="JRV29" s="211"/>
      <c r="JRW29" s="211"/>
      <c r="JRX29" s="211"/>
      <c r="JRY29" s="211"/>
      <c r="JRZ29" s="211"/>
      <c r="JSA29" s="211"/>
      <c r="JSB29" s="211"/>
      <c r="JSC29" s="211"/>
      <c r="JSD29" s="211"/>
      <c r="JSE29" s="211"/>
      <c r="JSF29" s="211"/>
      <c r="JSG29" s="211"/>
      <c r="JSH29" s="211"/>
      <c r="JSI29" s="211"/>
      <c r="JSJ29" s="211"/>
      <c r="JSK29" s="211"/>
      <c r="JSL29" s="211"/>
      <c r="JSM29" s="211"/>
      <c r="JSN29" s="211"/>
      <c r="JSO29" s="211"/>
      <c r="JSP29" s="211"/>
      <c r="JSQ29" s="211"/>
      <c r="JSR29" s="211"/>
      <c r="JSS29" s="211"/>
      <c r="JST29" s="211"/>
      <c r="JSU29" s="211"/>
      <c r="JSV29" s="211"/>
      <c r="JSW29" s="211"/>
      <c r="JSX29" s="211"/>
      <c r="JSY29" s="211"/>
      <c r="JSZ29" s="211"/>
      <c r="JTA29" s="211"/>
      <c r="JTB29" s="211"/>
      <c r="JTC29" s="211"/>
      <c r="JTD29" s="211"/>
      <c r="JTE29" s="211"/>
      <c r="JTF29" s="211"/>
      <c r="JTG29" s="211"/>
      <c r="JTH29" s="211"/>
      <c r="JTI29" s="211"/>
      <c r="JTJ29" s="211"/>
      <c r="JTK29" s="211"/>
      <c r="JTL29" s="211"/>
      <c r="JTM29" s="211"/>
      <c r="JTN29" s="211"/>
      <c r="JTO29" s="211"/>
      <c r="JTP29" s="211"/>
      <c r="JTQ29" s="211"/>
      <c r="JTR29" s="211"/>
      <c r="JTS29" s="211"/>
      <c r="JTT29" s="211"/>
      <c r="JTU29" s="211"/>
      <c r="JTV29" s="211"/>
      <c r="JTW29" s="211"/>
      <c r="JTX29" s="211"/>
      <c r="JTY29" s="211"/>
      <c r="JTZ29" s="211"/>
      <c r="JUA29" s="211"/>
      <c r="JUB29" s="211"/>
      <c r="JUC29" s="211"/>
      <c r="JUD29" s="211"/>
      <c r="JUE29" s="211"/>
      <c r="JUF29" s="211"/>
      <c r="JUG29" s="211"/>
      <c r="JUH29" s="211"/>
      <c r="JUI29" s="211"/>
      <c r="JUJ29" s="211"/>
      <c r="JUK29" s="211"/>
      <c r="JUL29" s="211"/>
      <c r="JUM29" s="211"/>
      <c r="JUN29" s="211"/>
      <c r="JUO29" s="211"/>
      <c r="JUP29" s="211"/>
      <c r="JUQ29" s="211"/>
      <c r="JUR29" s="211"/>
      <c r="JUS29" s="211"/>
      <c r="JUT29" s="211"/>
      <c r="JUU29" s="211"/>
      <c r="JUV29" s="211"/>
      <c r="JUW29" s="211"/>
      <c r="JUX29" s="211"/>
      <c r="JUY29" s="211"/>
      <c r="JUZ29" s="211"/>
      <c r="JVA29" s="211"/>
      <c r="JVB29" s="211"/>
      <c r="JVC29" s="211"/>
      <c r="JVD29" s="211"/>
      <c r="JVE29" s="211"/>
      <c r="JVF29" s="211"/>
      <c r="JVG29" s="211"/>
      <c r="JVH29" s="211"/>
      <c r="JVI29" s="211"/>
      <c r="JVJ29" s="211"/>
      <c r="JVK29" s="211"/>
      <c r="JVL29" s="211"/>
      <c r="JVM29" s="211"/>
      <c r="JVN29" s="211"/>
      <c r="JVO29" s="211"/>
      <c r="JVP29" s="211"/>
      <c r="JVQ29" s="211"/>
      <c r="JVR29" s="211"/>
      <c r="JVS29" s="211"/>
      <c r="JVT29" s="211"/>
      <c r="JVU29" s="211"/>
      <c r="JVV29" s="211"/>
      <c r="JVW29" s="211"/>
      <c r="JVX29" s="211"/>
      <c r="JVY29" s="211"/>
      <c r="JVZ29" s="211"/>
      <c r="JWA29" s="211"/>
      <c r="JWB29" s="211"/>
      <c r="JWC29" s="211"/>
      <c r="JWD29" s="211"/>
      <c r="JWE29" s="211"/>
      <c r="JWF29" s="211"/>
      <c r="JWG29" s="211"/>
      <c r="JWH29" s="211"/>
      <c r="JWI29" s="211"/>
      <c r="JWJ29" s="211"/>
      <c r="JWK29" s="211"/>
      <c r="JWL29" s="211"/>
      <c r="JWM29" s="211"/>
      <c r="JWN29" s="211"/>
      <c r="JWO29" s="211"/>
      <c r="JWP29" s="211"/>
      <c r="JWQ29" s="211"/>
      <c r="JWR29" s="211"/>
      <c r="JWS29" s="211"/>
      <c r="JWT29" s="211"/>
      <c r="JWU29" s="211"/>
      <c r="JWV29" s="211"/>
      <c r="JWW29" s="211"/>
      <c r="JWX29" s="211"/>
      <c r="JWY29" s="211"/>
      <c r="JWZ29" s="211"/>
      <c r="JXA29" s="211"/>
      <c r="JXB29" s="211"/>
      <c r="JXC29" s="211"/>
      <c r="JXD29" s="211"/>
      <c r="JXE29" s="211"/>
      <c r="JXF29" s="211"/>
      <c r="JXG29" s="211"/>
      <c r="JXH29" s="211"/>
      <c r="JXI29" s="211"/>
      <c r="JXJ29" s="211"/>
      <c r="JXK29" s="211"/>
      <c r="JXL29" s="211"/>
      <c r="JXM29" s="211"/>
      <c r="JXN29" s="211"/>
      <c r="JXO29" s="211"/>
      <c r="JXP29" s="211"/>
      <c r="JXQ29" s="211"/>
      <c r="JXR29" s="211"/>
      <c r="JXS29" s="211"/>
      <c r="JXT29" s="211"/>
      <c r="JXU29" s="211"/>
      <c r="JXV29" s="211"/>
      <c r="JXW29" s="211"/>
      <c r="JXX29" s="211"/>
      <c r="JXY29" s="211"/>
      <c r="JXZ29" s="211"/>
      <c r="JYA29" s="211"/>
      <c r="JYB29" s="211"/>
      <c r="JYC29" s="211"/>
      <c r="JYD29" s="211"/>
      <c r="JYE29" s="211"/>
      <c r="JYF29" s="211"/>
      <c r="JYG29" s="211"/>
      <c r="JYH29" s="211"/>
      <c r="JYI29" s="211"/>
      <c r="JYJ29" s="211"/>
      <c r="JYK29" s="211"/>
      <c r="JYL29" s="211"/>
      <c r="JYM29" s="211"/>
      <c r="JYN29" s="211"/>
      <c r="JYO29" s="211"/>
      <c r="JYP29" s="211"/>
      <c r="JYQ29" s="211"/>
      <c r="JYR29" s="211"/>
      <c r="JYS29" s="211"/>
      <c r="JYT29" s="211"/>
      <c r="JYU29" s="211"/>
      <c r="JYV29" s="211"/>
      <c r="JYW29" s="211"/>
      <c r="JYX29" s="211"/>
      <c r="JYY29" s="211"/>
      <c r="JYZ29" s="211"/>
      <c r="JZA29" s="211"/>
      <c r="JZB29" s="211"/>
      <c r="JZC29" s="211"/>
      <c r="JZD29" s="211"/>
      <c r="JZE29" s="211"/>
      <c r="JZF29" s="211"/>
      <c r="JZG29" s="211"/>
      <c r="JZH29" s="211"/>
      <c r="JZI29" s="211"/>
      <c r="JZJ29" s="211"/>
      <c r="JZK29" s="211"/>
      <c r="JZL29" s="211"/>
      <c r="JZM29" s="211"/>
      <c r="JZN29" s="211"/>
      <c r="JZO29" s="211"/>
      <c r="JZP29" s="211"/>
      <c r="JZQ29" s="211"/>
      <c r="JZR29" s="211"/>
      <c r="JZS29" s="211"/>
      <c r="JZT29" s="211"/>
      <c r="JZU29" s="211"/>
      <c r="JZV29" s="211"/>
      <c r="JZW29" s="211"/>
      <c r="JZX29" s="211"/>
      <c r="JZY29" s="211"/>
      <c r="JZZ29" s="211"/>
      <c r="KAA29" s="211"/>
      <c r="KAB29" s="211"/>
      <c r="KAC29" s="211"/>
      <c r="KAD29" s="211"/>
      <c r="KAE29" s="211"/>
      <c r="KAF29" s="211"/>
      <c r="KAG29" s="211"/>
      <c r="KAH29" s="211"/>
      <c r="KAI29" s="211"/>
      <c r="KAJ29" s="211"/>
      <c r="KAK29" s="211"/>
      <c r="KAL29" s="211"/>
      <c r="KAM29" s="211"/>
      <c r="KAN29" s="211"/>
      <c r="KAO29" s="211"/>
      <c r="KAP29" s="211"/>
      <c r="KAQ29" s="211"/>
      <c r="KAR29" s="211"/>
      <c r="KAS29" s="211"/>
      <c r="KAT29" s="211"/>
      <c r="KAU29" s="211"/>
      <c r="KAV29" s="211"/>
      <c r="KAW29" s="211"/>
      <c r="KAX29" s="211"/>
      <c r="KAY29" s="211"/>
      <c r="KAZ29" s="211"/>
      <c r="KBA29" s="211"/>
      <c r="KBB29" s="211"/>
      <c r="KBC29" s="211"/>
      <c r="KBD29" s="211"/>
      <c r="KBE29" s="211"/>
      <c r="KBF29" s="211"/>
      <c r="KBG29" s="211"/>
      <c r="KBH29" s="211"/>
      <c r="KBI29" s="211"/>
      <c r="KBJ29" s="211"/>
      <c r="KBK29" s="211"/>
      <c r="KBL29" s="211"/>
      <c r="KBM29" s="211"/>
      <c r="KBN29" s="211"/>
      <c r="KBO29" s="211"/>
      <c r="KBP29" s="211"/>
      <c r="KBQ29" s="211"/>
      <c r="KBR29" s="211"/>
      <c r="KBS29" s="211"/>
      <c r="KBT29" s="211"/>
      <c r="KBU29" s="211"/>
      <c r="KBV29" s="211"/>
      <c r="KBW29" s="211"/>
      <c r="KBX29" s="211"/>
      <c r="KBY29" s="211"/>
      <c r="KBZ29" s="211"/>
      <c r="KCA29" s="211"/>
      <c r="KCB29" s="211"/>
      <c r="KCC29" s="211"/>
      <c r="KCD29" s="211"/>
      <c r="KCE29" s="211"/>
      <c r="KCF29" s="211"/>
      <c r="KCG29" s="211"/>
      <c r="KCH29" s="211"/>
      <c r="KCI29" s="211"/>
      <c r="KCJ29" s="211"/>
      <c r="KCK29" s="211"/>
      <c r="KCL29" s="211"/>
      <c r="KCM29" s="211"/>
      <c r="KCN29" s="211"/>
      <c r="KCO29" s="211"/>
      <c r="KCP29" s="211"/>
      <c r="KCQ29" s="211"/>
      <c r="KCR29" s="211"/>
      <c r="KCS29" s="211"/>
      <c r="KCT29" s="211"/>
      <c r="KCU29" s="211"/>
      <c r="KCV29" s="211"/>
      <c r="KCW29" s="211"/>
      <c r="KCX29" s="211"/>
      <c r="KCY29" s="211"/>
      <c r="KCZ29" s="211"/>
      <c r="KDA29" s="211"/>
      <c r="KDB29" s="211"/>
      <c r="KDC29" s="211"/>
      <c r="KDD29" s="211"/>
      <c r="KDE29" s="211"/>
      <c r="KDF29" s="211"/>
      <c r="KDG29" s="211"/>
      <c r="KDH29" s="211"/>
      <c r="KDI29" s="211"/>
      <c r="KDJ29" s="211"/>
      <c r="KDK29" s="211"/>
      <c r="KDL29" s="211"/>
      <c r="KDM29" s="211"/>
      <c r="KDN29" s="211"/>
      <c r="KDO29" s="211"/>
      <c r="KDP29" s="211"/>
      <c r="KDQ29" s="211"/>
      <c r="KDR29" s="211"/>
      <c r="KDS29" s="211"/>
      <c r="KDT29" s="211"/>
      <c r="KDU29" s="211"/>
      <c r="KDV29" s="211"/>
      <c r="KDW29" s="211"/>
      <c r="KDX29" s="211"/>
      <c r="KDY29" s="211"/>
      <c r="KDZ29" s="211"/>
      <c r="KEA29" s="211"/>
      <c r="KEB29" s="211"/>
      <c r="KEC29" s="211"/>
      <c r="KED29" s="211"/>
      <c r="KEE29" s="211"/>
      <c r="KEF29" s="211"/>
      <c r="KEG29" s="211"/>
      <c r="KEH29" s="211"/>
      <c r="KEI29" s="211"/>
      <c r="KEJ29" s="211"/>
      <c r="KEK29" s="211"/>
      <c r="KEL29" s="211"/>
      <c r="KEM29" s="211"/>
      <c r="KEN29" s="211"/>
      <c r="KEO29" s="211"/>
      <c r="KEP29" s="211"/>
      <c r="KEQ29" s="211"/>
      <c r="KER29" s="211"/>
      <c r="KES29" s="211"/>
      <c r="KET29" s="211"/>
      <c r="KEU29" s="211"/>
      <c r="KEV29" s="211"/>
      <c r="KEW29" s="211"/>
      <c r="KEX29" s="211"/>
      <c r="KEY29" s="211"/>
      <c r="KEZ29" s="211"/>
      <c r="KFA29" s="211"/>
      <c r="KFB29" s="211"/>
      <c r="KFC29" s="211"/>
      <c r="KFD29" s="211"/>
      <c r="KFE29" s="211"/>
      <c r="KFF29" s="211"/>
      <c r="KFG29" s="211"/>
      <c r="KFH29" s="211"/>
      <c r="KFI29" s="211"/>
      <c r="KFJ29" s="211"/>
      <c r="KFK29" s="211"/>
      <c r="KFL29" s="211"/>
      <c r="KFM29" s="211"/>
      <c r="KFN29" s="211"/>
      <c r="KFO29" s="211"/>
      <c r="KFP29" s="211"/>
      <c r="KFQ29" s="211"/>
      <c r="KFR29" s="211"/>
      <c r="KFS29" s="211"/>
      <c r="KFT29" s="211"/>
      <c r="KFU29" s="211"/>
      <c r="KFV29" s="211"/>
      <c r="KFW29" s="211"/>
      <c r="KFX29" s="211"/>
      <c r="KFY29" s="211"/>
      <c r="KFZ29" s="211"/>
      <c r="KGA29" s="211"/>
      <c r="KGB29" s="211"/>
      <c r="KGC29" s="211"/>
      <c r="KGD29" s="211"/>
      <c r="KGE29" s="211"/>
      <c r="KGF29" s="211"/>
      <c r="KGG29" s="211"/>
      <c r="KGH29" s="211"/>
      <c r="KGI29" s="211"/>
      <c r="KGJ29" s="211"/>
      <c r="KGK29" s="211"/>
      <c r="KGL29" s="211"/>
      <c r="KGM29" s="211"/>
      <c r="KGN29" s="211"/>
      <c r="KGO29" s="211"/>
      <c r="KGP29" s="211"/>
      <c r="KGQ29" s="211"/>
      <c r="KGR29" s="211"/>
      <c r="KGS29" s="211"/>
      <c r="KGT29" s="211"/>
      <c r="KGU29" s="211"/>
      <c r="KGV29" s="211"/>
      <c r="KGW29" s="211"/>
      <c r="KGX29" s="211"/>
      <c r="KGY29" s="211"/>
      <c r="KGZ29" s="211"/>
      <c r="KHA29" s="211"/>
      <c r="KHB29" s="211"/>
      <c r="KHC29" s="211"/>
      <c r="KHD29" s="211"/>
      <c r="KHE29" s="211"/>
      <c r="KHF29" s="211"/>
      <c r="KHG29" s="211"/>
      <c r="KHH29" s="211"/>
      <c r="KHI29" s="211"/>
      <c r="KHJ29" s="211"/>
      <c r="KHK29" s="211"/>
      <c r="KHL29" s="211"/>
      <c r="KHM29" s="211"/>
      <c r="KHN29" s="211"/>
      <c r="KHO29" s="211"/>
      <c r="KHP29" s="211"/>
      <c r="KHQ29" s="211"/>
      <c r="KHR29" s="211"/>
      <c r="KHS29" s="211"/>
      <c r="KHT29" s="211"/>
      <c r="KHU29" s="211"/>
      <c r="KHV29" s="211"/>
      <c r="KHW29" s="211"/>
      <c r="KHX29" s="211"/>
      <c r="KHY29" s="211"/>
      <c r="KHZ29" s="211"/>
      <c r="KIA29" s="211"/>
      <c r="KIB29" s="211"/>
      <c r="KIC29" s="211"/>
      <c r="KID29" s="211"/>
      <c r="KIE29" s="211"/>
      <c r="KIF29" s="211"/>
      <c r="KIG29" s="211"/>
      <c r="KIH29" s="211"/>
      <c r="KII29" s="211"/>
      <c r="KIJ29" s="211"/>
      <c r="KIK29" s="211"/>
      <c r="KIL29" s="211"/>
      <c r="KIM29" s="211"/>
      <c r="KIN29" s="211"/>
      <c r="KIO29" s="211"/>
      <c r="KIP29" s="211"/>
      <c r="KIQ29" s="211"/>
      <c r="KIR29" s="211"/>
      <c r="KIS29" s="211"/>
      <c r="KIT29" s="211"/>
      <c r="KIU29" s="211"/>
      <c r="KIV29" s="211"/>
      <c r="KIW29" s="211"/>
      <c r="KIX29" s="211"/>
      <c r="KIY29" s="211"/>
      <c r="KIZ29" s="211"/>
      <c r="KJA29" s="211"/>
      <c r="KJB29" s="211"/>
      <c r="KJC29" s="211"/>
      <c r="KJD29" s="211"/>
      <c r="KJE29" s="211"/>
      <c r="KJF29" s="211"/>
      <c r="KJG29" s="211"/>
      <c r="KJH29" s="211"/>
      <c r="KJI29" s="211"/>
      <c r="KJJ29" s="211"/>
      <c r="KJK29" s="211"/>
      <c r="KJL29" s="211"/>
      <c r="KJM29" s="211"/>
      <c r="KJN29" s="211"/>
      <c r="KJO29" s="211"/>
      <c r="KJP29" s="211"/>
      <c r="KJQ29" s="211"/>
      <c r="KJR29" s="211"/>
      <c r="KJS29" s="211"/>
      <c r="KJT29" s="211"/>
      <c r="KJU29" s="211"/>
      <c r="KJV29" s="211"/>
      <c r="KJW29" s="211"/>
      <c r="KJX29" s="211"/>
      <c r="KJY29" s="211"/>
      <c r="KJZ29" s="211"/>
      <c r="KKA29" s="211"/>
      <c r="KKB29" s="211"/>
      <c r="KKC29" s="211"/>
      <c r="KKD29" s="211"/>
      <c r="KKE29" s="211"/>
      <c r="KKF29" s="211"/>
      <c r="KKG29" s="211"/>
      <c r="KKH29" s="211"/>
      <c r="KKI29" s="211"/>
      <c r="KKJ29" s="211"/>
      <c r="KKK29" s="211"/>
      <c r="KKL29" s="211"/>
      <c r="KKM29" s="211"/>
      <c r="KKN29" s="211"/>
      <c r="KKO29" s="211"/>
      <c r="KKP29" s="211"/>
      <c r="KKQ29" s="211"/>
      <c r="KKR29" s="211"/>
      <c r="KKS29" s="211"/>
      <c r="KKT29" s="211"/>
      <c r="KKU29" s="211"/>
      <c r="KKV29" s="211"/>
      <c r="KKW29" s="211"/>
      <c r="KKX29" s="211"/>
      <c r="KKY29" s="211"/>
      <c r="KKZ29" s="211"/>
      <c r="KLA29" s="211"/>
      <c r="KLB29" s="211"/>
      <c r="KLC29" s="211"/>
      <c r="KLD29" s="211"/>
      <c r="KLE29" s="211"/>
      <c r="KLF29" s="211"/>
      <c r="KLG29" s="211"/>
      <c r="KLH29" s="211"/>
      <c r="KLI29" s="211"/>
      <c r="KLJ29" s="211"/>
      <c r="KLK29" s="211"/>
      <c r="KLL29" s="211"/>
      <c r="KLM29" s="211"/>
      <c r="KLN29" s="211"/>
      <c r="KLO29" s="211"/>
      <c r="KLP29" s="211"/>
      <c r="KLQ29" s="211"/>
      <c r="KLR29" s="211"/>
      <c r="KLS29" s="211"/>
      <c r="KLT29" s="211"/>
      <c r="KLU29" s="211"/>
      <c r="KLV29" s="211"/>
      <c r="KLW29" s="211"/>
      <c r="KLX29" s="211"/>
      <c r="KLY29" s="211"/>
      <c r="KLZ29" s="211"/>
      <c r="KMA29" s="211"/>
      <c r="KMB29" s="211"/>
      <c r="KMC29" s="211"/>
      <c r="KMD29" s="211"/>
      <c r="KME29" s="211"/>
      <c r="KMF29" s="211"/>
      <c r="KMG29" s="211"/>
      <c r="KMH29" s="211"/>
      <c r="KMI29" s="211"/>
      <c r="KMJ29" s="211"/>
      <c r="KMK29" s="211"/>
      <c r="KML29" s="211"/>
      <c r="KMM29" s="211"/>
      <c r="KMN29" s="211"/>
      <c r="KMO29" s="211"/>
      <c r="KMP29" s="211"/>
      <c r="KMQ29" s="211"/>
      <c r="KMR29" s="211"/>
      <c r="KMS29" s="211"/>
      <c r="KMT29" s="211"/>
      <c r="KMU29" s="211"/>
      <c r="KMV29" s="211"/>
      <c r="KMW29" s="211"/>
      <c r="KMX29" s="211"/>
      <c r="KMY29" s="211"/>
      <c r="KMZ29" s="211"/>
      <c r="KNA29" s="211"/>
      <c r="KNB29" s="211"/>
      <c r="KNC29" s="211"/>
      <c r="KND29" s="211"/>
      <c r="KNE29" s="211"/>
      <c r="KNF29" s="211"/>
      <c r="KNG29" s="211"/>
      <c r="KNH29" s="211"/>
      <c r="KNI29" s="211"/>
      <c r="KNJ29" s="211"/>
      <c r="KNK29" s="211"/>
      <c r="KNL29" s="211"/>
      <c r="KNM29" s="211"/>
      <c r="KNN29" s="211"/>
      <c r="KNO29" s="211"/>
      <c r="KNP29" s="211"/>
      <c r="KNQ29" s="211"/>
      <c r="KNR29" s="211"/>
      <c r="KNS29" s="211"/>
      <c r="KNT29" s="211"/>
      <c r="KNU29" s="211"/>
      <c r="KNV29" s="211"/>
      <c r="KNW29" s="211"/>
      <c r="KNX29" s="211"/>
      <c r="KNY29" s="211"/>
      <c r="KNZ29" s="211"/>
      <c r="KOA29" s="211"/>
      <c r="KOB29" s="211"/>
      <c r="KOC29" s="211"/>
      <c r="KOD29" s="211"/>
      <c r="KOE29" s="211"/>
      <c r="KOF29" s="211"/>
      <c r="KOG29" s="211"/>
      <c r="KOH29" s="211"/>
      <c r="KOI29" s="211"/>
      <c r="KOJ29" s="211"/>
      <c r="KOK29" s="211"/>
      <c r="KOL29" s="211"/>
      <c r="KOM29" s="211"/>
      <c r="KON29" s="211"/>
      <c r="KOO29" s="211"/>
      <c r="KOP29" s="211"/>
      <c r="KOQ29" s="211"/>
      <c r="KOR29" s="211"/>
      <c r="KOS29" s="211"/>
      <c r="KOT29" s="211"/>
      <c r="KOU29" s="211"/>
      <c r="KOV29" s="211"/>
      <c r="KOW29" s="211"/>
      <c r="KOX29" s="211"/>
      <c r="KOY29" s="211"/>
      <c r="KOZ29" s="211"/>
      <c r="KPA29" s="211"/>
      <c r="KPB29" s="211"/>
      <c r="KPC29" s="211"/>
      <c r="KPD29" s="211"/>
      <c r="KPE29" s="211"/>
      <c r="KPF29" s="211"/>
      <c r="KPG29" s="211"/>
      <c r="KPH29" s="211"/>
      <c r="KPI29" s="211"/>
      <c r="KPJ29" s="211"/>
      <c r="KPK29" s="211"/>
      <c r="KPL29" s="211"/>
      <c r="KPM29" s="211"/>
      <c r="KPN29" s="211"/>
      <c r="KPO29" s="211"/>
      <c r="KPP29" s="211"/>
      <c r="KPQ29" s="211"/>
      <c r="KPR29" s="211"/>
      <c r="KPS29" s="211"/>
      <c r="KPT29" s="211"/>
      <c r="KPU29" s="211"/>
      <c r="KPV29" s="211"/>
      <c r="KPW29" s="211"/>
      <c r="KPX29" s="211"/>
      <c r="KPY29" s="211"/>
      <c r="KPZ29" s="211"/>
      <c r="KQA29" s="211"/>
      <c r="KQB29" s="211"/>
      <c r="KQC29" s="211"/>
      <c r="KQD29" s="211"/>
      <c r="KQE29" s="211"/>
      <c r="KQF29" s="211"/>
      <c r="KQG29" s="211"/>
      <c r="KQH29" s="211"/>
      <c r="KQI29" s="211"/>
      <c r="KQJ29" s="211"/>
      <c r="KQK29" s="211"/>
      <c r="KQL29" s="211"/>
      <c r="KQM29" s="211"/>
      <c r="KQN29" s="211"/>
      <c r="KQO29" s="211"/>
      <c r="KQP29" s="211"/>
      <c r="KQQ29" s="211"/>
      <c r="KQR29" s="211"/>
      <c r="KQS29" s="211"/>
      <c r="KQT29" s="211"/>
      <c r="KQU29" s="211"/>
      <c r="KQV29" s="211"/>
      <c r="KQW29" s="211"/>
      <c r="KQX29" s="211"/>
      <c r="KQY29" s="211"/>
      <c r="KQZ29" s="211"/>
      <c r="KRA29" s="211"/>
      <c r="KRB29" s="211"/>
      <c r="KRC29" s="211"/>
      <c r="KRD29" s="211"/>
      <c r="KRE29" s="211"/>
      <c r="KRF29" s="211"/>
      <c r="KRG29" s="211"/>
      <c r="KRH29" s="211"/>
      <c r="KRI29" s="211"/>
      <c r="KRJ29" s="211"/>
      <c r="KRK29" s="211"/>
      <c r="KRL29" s="211"/>
      <c r="KRM29" s="211"/>
      <c r="KRN29" s="211"/>
      <c r="KRO29" s="211"/>
      <c r="KRP29" s="211"/>
      <c r="KRQ29" s="211"/>
      <c r="KRR29" s="211"/>
      <c r="KRS29" s="211"/>
      <c r="KRT29" s="211"/>
      <c r="KRU29" s="211"/>
      <c r="KRV29" s="211"/>
      <c r="KRW29" s="211"/>
      <c r="KRX29" s="211"/>
      <c r="KRY29" s="211"/>
      <c r="KRZ29" s="211"/>
      <c r="KSA29" s="211"/>
      <c r="KSB29" s="211"/>
      <c r="KSC29" s="211"/>
      <c r="KSD29" s="211"/>
      <c r="KSE29" s="211"/>
      <c r="KSF29" s="211"/>
      <c r="KSG29" s="211"/>
      <c r="KSH29" s="211"/>
      <c r="KSI29" s="211"/>
      <c r="KSJ29" s="211"/>
      <c r="KSK29" s="211"/>
      <c r="KSL29" s="211"/>
      <c r="KSM29" s="211"/>
      <c r="KSN29" s="211"/>
      <c r="KSO29" s="211"/>
      <c r="KSP29" s="211"/>
      <c r="KSQ29" s="211"/>
      <c r="KSR29" s="211"/>
      <c r="KSS29" s="211"/>
      <c r="KST29" s="211"/>
      <c r="KSU29" s="211"/>
      <c r="KSV29" s="211"/>
      <c r="KSW29" s="211"/>
      <c r="KSX29" s="211"/>
      <c r="KSY29" s="211"/>
      <c r="KSZ29" s="211"/>
      <c r="KTA29" s="211"/>
      <c r="KTB29" s="211"/>
      <c r="KTC29" s="211"/>
      <c r="KTD29" s="211"/>
      <c r="KTE29" s="211"/>
      <c r="KTF29" s="211"/>
      <c r="KTG29" s="211"/>
      <c r="KTH29" s="211"/>
      <c r="KTI29" s="211"/>
      <c r="KTJ29" s="211"/>
      <c r="KTK29" s="211"/>
      <c r="KTL29" s="211"/>
      <c r="KTM29" s="211"/>
      <c r="KTN29" s="211"/>
      <c r="KTO29" s="211"/>
      <c r="KTP29" s="211"/>
      <c r="KTQ29" s="211"/>
      <c r="KTR29" s="211"/>
      <c r="KTS29" s="211"/>
      <c r="KTT29" s="211"/>
      <c r="KTU29" s="211"/>
      <c r="KTV29" s="211"/>
      <c r="KTW29" s="211"/>
      <c r="KTX29" s="211"/>
      <c r="KTY29" s="211"/>
      <c r="KTZ29" s="211"/>
      <c r="KUA29" s="211"/>
      <c r="KUB29" s="211"/>
      <c r="KUC29" s="211"/>
      <c r="KUD29" s="211"/>
      <c r="KUE29" s="211"/>
      <c r="KUF29" s="211"/>
      <c r="KUG29" s="211"/>
      <c r="KUH29" s="211"/>
      <c r="KUI29" s="211"/>
      <c r="KUJ29" s="211"/>
      <c r="KUK29" s="211"/>
      <c r="KUL29" s="211"/>
      <c r="KUM29" s="211"/>
      <c r="KUN29" s="211"/>
      <c r="KUO29" s="211"/>
      <c r="KUP29" s="211"/>
      <c r="KUQ29" s="211"/>
      <c r="KUR29" s="211"/>
      <c r="KUS29" s="211"/>
      <c r="KUT29" s="211"/>
      <c r="KUU29" s="211"/>
      <c r="KUV29" s="211"/>
      <c r="KUW29" s="211"/>
      <c r="KUX29" s="211"/>
      <c r="KUY29" s="211"/>
      <c r="KUZ29" s="211"/>
      <c r="KVA29" s="211"/>
      <c r="KVB29" s="211"/>
      <c r="KVC29" s="211"/>
      <c r="KVD29" s="211"/>
      <c r="KVE29" s="211"/>
      <c r="KVF29" s="211"/>
      <c r="KVG29" s="211"/>
      <c r="KVH29" s="211"/>
      <c r="KVI29" s="211"/>
      <c r="KVJ29" s="211"/>
      <c r="KVK29" s="211"/>
      <c r="KVL29" s="211"/>
      <c r="KVM29" s="211"/>
      <c r="KVN29" s="211"/>
      <c r="KVO29" s="211"/>
      <c r="KVP29" s="211"/>
      <c r="KVQ29" s="211"/>
      <c r="KVR29" s="211"/>
      <c r="KVS29" s="211"/>
      <c r="KVT29" s="211"/>
      <c r="KVU29" s="211"/>
      <c r="KVV29" s="211"/>
      <c r="KVW29" s="211"/>
      <c r="KVX29" s="211"/>
      <c r="KVY29" s="211"/>
      <c r="KVZ29" s="211"/>
      <c r="KWA29" s="211"/>
      <c r="KWB29" s="211"/>
      <c r="KWC29" s="211"/>
      <c r="KWD29" s="211"/>
      <c r="KWE29" s="211"/>
      <c r="KWF29" s="211"/>
      <c r="KWG29" s="211"/>
      <c r="KWH29" s="211"/>
      <c r="KWI29" s="211"/>
      <c r="KWJ29" s="211"/>
      <c r="KWK29" s="211"/>
      <c r="KWL29" s="211"/>
      <c r="KWM29" s="211"/>
      <c r="KWN29" s="211"/>
      <c r="KWO29" s="211"/>
      <c r="KWP29" s="211"/>
      <c r="KWQ29" s="211"/>
      <c r="KWR29" s="211"/>
      <c r="KWS29" s="211"/>
      <c r="KWT29" s="211"/>
      <c r="KWU29" s="211"/>
      <c r="KWV29" s="211"/>
      <c r="KWW29" s="211"/>
      <c r="KWX29" s="211"/>
      <c r="KWY29" s="211"/>
      <c r="KWZ29" s="211"/>
      <c r="KXA29" s="211"/>
      <c r="KXB29" s="211"/>
      <c r="KXC29" s="211"/>
      <c r="KXD29" s="211"/>
      <c r="KXE29" s="211"/>
      <c r="KXF29" s="211"/>
      <c r="KXG29" s="211"/>
      <c r="KXH29" s="211"/>
      <c r="KXI29" s="211"/>
      <c r="KXJ29" s="211"/>
      <c r="KXK29" s="211"/>
      <c r="KXL29" s="211"/>
      <c r="KXM29" s="211"/>
      <c r="KXN29" s="211"/>
      <c r="KXO29" s="211"/>
      <c r="KXP29" s="211"/>
      <c r="KXQ29" s="211"/>
      <c r="KXR29" s="211"/>
      <c r="KXS29" s="211"/>
      <c r="KXT29" s="211"/>
      <c r="KXU29" s="211"/>
      <c r="KXV29" s="211"/>
      <c r="KXW29" s="211"/>
      <c r="KXX29" s="211"/>
      <c r="KXY29" s="211"/>
      <c r="KXZ29" s="211"/>
      <c r="KYA29" s="211"/>
      <c r="KYB29" s="211"/>
      <c r="KYC29" s="211"/>
      <c r="KYD29" s="211"/>
      <c r="KYE29" s="211"/>
      <c r="KYF29" s="211"/>
      <c r="KYG29" s="211"/>
      <c r="KYH29" s="211"/>
      <c r="KYI29" s="211"/>
      <c r="KYJ29" s="211"/>
      <c r="KYK29" s="211"/>
      <c r="KYL29" s="211"/>
      <c r="KYM29" s="211"/>
      <c r="KYN29" s="211"/>
      <c r="KYO29" s="211"/>
      <c r="KYP29" s="211"/>
      <c r="KYQ29" s="211"/>
      <c r="KYR29" s="211"/>
      <c r="KYS29" s="211"/>
      <c r="KYT29" s="211"/>
      <c r="KYU29" s="211"/>
      <c r="KYV29" s="211"/>
      <c r="KYW29" s="211"/>
      <c r="KYX29" s="211"/>
      <c r="KYY29" s="211"/>
      <c r="KYZ29" s="211"/>
      <c r="KZA29" s="211"/>
      <c r="KZB29" s="211"/>
      <c r="KZC29" s="211"/>
      <c r="KZD29" s="211"/>
      <c r="KZE29" s="211"/>
      <c r="KZF29" s="211"/>
      <c r="KZG29" s="211"/>
      <c r="KZH29" s="211"/>
      <c r="KZI29" s="211"/>
      <c r="KZJ29" s="211"/>
      <c r="KZK29" s="211"/>
      <c r="KZL29" s="211"/>
      <c r="KZM29" s="211"/>
      <c r="KZN29" s="211"/>
      <c r="KZO29" s="211"/>
      <c r="KZP29" s="211"/>
      <c r="KZQ29" s="211"/>
      <c r="KZR29" s="211"/>
      <c r="KZS29" s="211"/>
      <c r="KZT29" s="211"/>
      <c r="KZU29" s="211"/>
      <c r="KZV29" s="211"/>
      <c r="KZW29" s="211"/>
      <c r="KZX29" s="211"/>
      <c r="KZY29" s="211"/>
      <c r="KZZ29" s="211"/>
      <c r="LAA29" s="211"/>
      <c r="LAB29" s="211"/>
      <c r="LAC29" s="211"/>
      <c r="LAD29" s="211"/>
      <c r="LAE29" s="211"/>
      <c r="LAF29" s="211"/>
      <c r="LAG29" s="211"/>
      <c r="LAH29" s="211"/>
      <c r="LAI29" s="211"/>
      <c r="LAJ29" s="211"/>
      <c r="LAK29" s="211"/>
      <c r="LAL29" s="211"/>
      <c r="LAM29" s="211"/>
      <c r="LAN29" s="211"/>
      <c r="LAO29" s="211"/>
      <c r="LAP29" s="211"/>
      <c r="LAQ29" s="211"/>
      <c r="LAR29" s="211"/>
      <c r="LAS29" s="211"/>
      <c r="LAT29" s="211"/>
      <c r="LAU29" s="211"/>
      <c r="LAV29" s="211"/>
      <c r="LAW29" s="211"/>
      <c r="LAX29" s="211"/>
      <c r="LAY29" s="211"/>
      <c r="LAZ29" s="211"/>
      <c r="LBA29" s="211"/>
      <c r="LBB29" s="211"/>
      <c r="LBC29" s="211"/>
      <c r="LBD29" s="211"/>
      <c r="LBE29" s="211"/>
      <c r="LBF29" s="211"/>
      <c r="LBG29" s="211"/>
      <c r="LBH29" s="211"/>
      <c r="LBI29" s="211"/>
      <c r="LBJ29" s="211"/>
      <c r="LBK29" s="211"/>
      <c r="LBL29" s="211"/>
      <c r="LBM29" s="211"/>
      <c r="LBN29" s="211"/>
      <c r="LBO29" s="211"/>
      <c r="LBP29" s="211"/>
      <c r="LBQ29" s="211"/>
      <c r="LBR29" s="211"/>
      <c r="LBS29" s="211"/>
      <c r="LBT29" s="211"/>
      <c r="LBU29" s="211"/>
      <c r="LBV29" s="211"/>
      <c r="LBW29" s="211"/>
      <c r="LBX29" s="211"/>
      <c r="LBY29" s="211"/>
      <c r="LBZ29" s="211"/>
      <c r="LCA29" s="211"/>
      <c r="LCB29" s="211"/>
      <c r="LCC29" s="211"/>
      <c r="LCD29" s="211"/>
      <c r="LCE29" s="211"/>
      <c r="LCF29" s="211"/>
      <c r="LCG29" s="211"/>
      <c r="LCH29" s="211"/>
      <c r="LCI29" s="211"/>
      <c r="LCJ29" s="211"/>
      <c r="LCK29" s="211"/>
      <c r="LCL29" s="211"/>
      <c r="LCM29" s="211"/>
      <c r="LCN29" s="211"/>
      <c r="LCO29" s="211"/>
      <c r="LCP29" s="211"/>
      <c r="LCQ29" s="211"/>
      <c r="LCR29" s="211"/>
      <c r="LCS29" s="211"/>
      <c r="LCT29" s="211"/>
      <c r="LCU29" s="211"/>
      <c r="LCV29" s="211"/>
      <c r="LCW29" s="211"/>
      <c r="LCX29" s="211"/>
      <c r="LCY29" s="211"/>
      <c r="LCZ29" s="211"/>
      <c r="LDA29" s="211"/>
      <c r="LDB29" s="211"/>
      <c r="LDC29" s="211"/>
      <c r="LDD29" s="211"/>
      <c r="LDE29" s="211"/>
      <c r="LDF29" s="211"/>
      <c r="LDG29" s="211"/>
      <c r="LDH29" s="211"/>
      <c r="LDI29" s="211"/>
      <c r="LDJ29" s="211"/>
      <c r="LDK29" s="211"/>
      <c r="LDL29" s="211"/>
      <c r="LDM29" s="211"/>
      <c r="LDN29" s="211"/>
      <c r="LDO29" s="211"/>
      <c r="LDP29" s="211"/>
      <c r="LDQ29" s="211"/>
      <c r="LDR29" s="211"/>
      <c r="LDS29" s="211"/>
      <c r="LDT29" s="211"/>
      <c r="LDU29" s="211"/>
      <c r="LDV29" s="211"/>
      <c r="LDW29" s="211"/>
      <c r="LDX29" s="211"/>
      <c r="LDY29" s="211"/>
      <c r="LDZ29" s="211"/>
      <c r="LEA29" s="211"/>
      <c r="LEB29" s="211"/>
      <c r="LEC29" s="211"/>
      <c r="LED29" s="211"/>
      <c r="LEE29" s="211"/>
      <c r="LEF29" s="211"/>
      <c r="LEG29" s="211"/>
      <c r="LEH29" s="211"/>
      <c r="LEI29" s="211"/>
      <c r="LEJ29" s="211"/>
      <c r="LEK29" s="211"/>
      <c r="LEL29" s="211"/>
      <c r="LEM29" s="211"/>
      <c r="LEN29" s="211"/>
      <c r="LEO29" s="211"/>
      <c r="LEP29" s="211"/>
      <c r="LEQ29" s="211"/>
      <c r="LER29" s="211"/>
      <c r="LES29" s="211"/>
      <c r="LET29" s="211"/>
      <c r="LEU29" s="211"/>
      <c r="LEV29" s="211"/>
      <c r="LEW29" s="211"/>
      <c r="LEX29" s="211"/>
      <c r="LEY29" s="211"/>
      <c r="LEZ29" s="211"/>
      <c r="LFA29" s="211"/>
      <c r="LFB29" s="211"/>
      <c r="LFC29" s="211"/>
      <c r="LFD29" s="211"/>
      <c r="LFE29" s="211"/>
      <c r="LFF29" s="211"/>
      <c r="LFG29" s="211"/>
      <c r="LFH29" s="211"/>
      <c r="LFI29" s="211"/>
      <c r="LFJ29" s="211"/>
      <c r="LFK29" s="211"/>
      <c r="LFL29" s="211"/>
      <c r="LFM29" s="211"/>
      <c r="LFN29" s="211"/>
      <c r="LFO29" s="211"/>
      <c r="LFP29" s="211"/>
      <c r="LFQ29" s="211"/>
      <c r="LFR29" s="211"/>
      <c r="LFS29" s="211"/>
      <c r="LFT29" s="211"/>
      <c r="LFU29" s="211"/>
      <c r="LFV29" s="211"/>
      <c r="LFW29" s="211"/>
      <c r="LFX29" s="211"/>
      <c r="LFY29" s="211"/>
      <c r="LFZ29" s="211"/>
      <c r="LGA29" s="211"/>
      <c r="LGB29" s="211"/>
      <c r="LGC29" s="211"/>
      <c r="LGD29" s="211"/>
      <c r="LGE29" s="211"/>
      <c r="LGF29" s="211"/>
      <c r="LGG29" s="211"/>
      <c r="LGH29" s="211"/>
      <c r="LGI29" s="211"/>
      <c r="LGJ29" s="211"/>
      <c r="LGK29" s="211"/>
      <c r="LGL29" s="211"/>
      <c r="LGM29" s="211"/>
      <c r="LGN29" s="211"/>
      <c r="LGO29" s="211"/>
      <c r="LGP29" s="211"/>
      <c r="LGQ29" s="211"/>
      <c r="LGR29" s="211"/>
      <c r="LGS29" s="211"/>
      <c r="LGT29" s="211"/>
      <c r="LGU29" s="211"/>
      <c r="LGV29" s="211"/>
      <c r="LGW29" s="211"/>
      <c r="LGX29" s="211"/>
      <c r="LGY29" s="211"/>
      <c r="LGZ29" s="211"/>
      <c r="LHA29" s="211"/>
      <c r="LHB29" s="211"/>
      <c r="LHC29" s="211"/>
      <c r="LHD29" s="211"/>
      <c r="LHE29" s="211"/>
      <c r="LHF29" s="211"/>
      <c r="LHG29" s="211"/>
      <c r="LHH29" s="211"/>
      <c r="LHI29" s="211"/>
      <c r="LHJ29" s="211"/>
      <c r="LHK29" s="211"/>
      <c r="LHL29" s="211"/>
      <c r="LHM29" s="211"/>
      <c r="LHN29" s="211"/>
      <c r="LHO29" s="211"/>
      <c r="LHP29" s="211"/>
      <c r="LHQ29" s="211"/>
      <c r="LHR29" s="211"/>
      <c r="LHS29" s="211"/>
      <c r="LHT29" s="211"/>
      <c r="LHU29" s="211"/>
      <c r="LHV29" s="211"/>
      <c r="LHW29" s="211"/>
      <c r="LHX29" s="211"/>
      <c r="LHY29" s="211"/>
      <c r="LHZ29" s="211"/>
      <c r="LIA29" s="211"/>
      <c r="LIB29" s="211"/>
      <c r="LIC29" s="211"/>
      <c r="LID29" s="211"/>
      <c r="LIE29" s="211"/>
      <c r="LIF29" s="211"/>
      <c r="LIG29" s="211"/>
      <c r="LIH29" s="211"/>
      <c r="LII29" s="211"/>
      <c r="LIJ29" s="211"/>
      <c r="LIK29" s="211"/>
      <c r="LIL29" s="211"/>
      <c r="LIM29" s="211"/>
      <c r="LIN29" s="211"/>
      <c r="LIO29" s="211"/>
      <c r="LIP29" s="211"/>
      <c r="LIQ29" s="211"/>
      <c r="LIR29" s="211"/>
      <c r="LIS29" s="211"/>
      <c r="LIT29" s="211"/>
      <c r="LIU29" s="211"/>
      <c r="LIV29" s="211"/>
      <c r="LIW29" s="211"/>
      <c r="LIX29" s="211"/>
      <c r="LIY29" s="211"/>
      <c r="LIZ29" s="211"/>
      <c r="LJA29" s="211"/>
      <c r="LJB29" s="211"/>
      <c r="LJC29" s="211"/>
      <c r="LJD29" s="211"/>
      <c r="LJE29" s="211"/>
      <c r="LJF29" s="211"/>
      <c r="LJG29" s="211"/>
      <c r="LJH29" s="211"/>
      <c r="LJI29" s="211"/>
      <c r="LJJ29" s="211"/>
      <c r="LJK29" s="211"/>
      <c r="LJL29" s="211"/>
      <c r="LJM29" s="211"/>
      <c r="LJN29" s="211"/>
      <c r="LJO29" s="211"/>
      <c r="LJP29" s="211"/>
      <c r="LJQ29" s="211"/>
      <c r="LJR29" s="211"/>
      <c r="LJS29" s="211"/>
      <c r="LJT29" s="211"/>
      <c r="LJU29" s="211"/>
      <c r="LJV29" s="211"/>
      <c r="LJW29" s="211"/>
      <c r="LJX29" s="211"/>
      <c r="LJY29" s="211"/>
      <c r="LJZ29" s="211"/>
      <c r="LKA29" s="211"/>
      <c r="LKB29" s="211"/>
      <c r="LKC29" s="211"/>
      <c r="LKD29" s="211"/>
      <c r="LKE29" s="211"/>
      <c r="LKF29" s="211"/>
      <c r="LKG29" s="211"/>
      <c r="LKH29" s="211"/>
      <c r="LKI29" s="211"/>
      <c r="LKJ29" s="211"/>
      <c r="LKK29" s="211"/>
      <c r="LKL29" s="211"/>
      <c r="LKM29" s="211"/>
      <c r="LKN29" s="211"/>
      <c r="LKO29" s="211"/>
      <c r="LKP29" s="211"/>
      <c r="LKQ29" s="211"/>
      <c r="LKR29" s="211"/>
      <c r="LKS29" s="211"/>
      <c r="LKT29" s="211"/>
      <c r="LKU29" s="211"/>
      <c r="LKV29" s="211"/>
      <c r="LKW29" s="211"/>
      <c r="LKX29" s="211"/>
      <c r="LKY29" s="211"/>
      <c r="LKZ29" s="211"/>
      <c r="LLA29" s="211"/>
      <c r="LLB29" s="211"/>
      <c r="LLC29" s="211"/>
      <c r="LLD29" s="211"/>
      <c r="LLE29" s="211"/>
      <c r="LLF29" s="211"/>
      <c r="LLG29" s="211"/>
      <c r="LLH29" s="211"/>
      <c r="LLI29" s="211"/>
      <c r="LLJ29" s="211"/>
      <c r="LLK29" s="211"/>
      <c r="LLL29" s="211"/>
      <c r="LLM29" s="211"/>
      <c r="LLN29" s="211"/>
      <c r="LLO29" s="211"/>
      <c r="LLP29" s="211"/>
      <c r="LLQ29" s="211"/>
      <c r="LLR29" s="211"/>
      <c r="LLS29" s="211"/>
      <c r="LLT29" s="211"/>
      <c r="LLU29" s="211"/>
      <c r="LLV29" s="211"/>
      <c r="LLW29" s="211"/>
      <c r="LLX29" s="211"/>
      <c r="LLY29" s="211"/>
      <c r="LLZ29" s="211"/>
      <c r="LMA29" s="211"/>
      <c r="LMB29" s="211"/>
      <c r="LMC29" s="211"/>
      <c r="LMD29" s="211"/>
      <c r="LME29" s="211"/>
      <c r="LMF29" s="211"/>
      <c r="LMG29" s="211"/>
      <c r="LMH29" s="211"/>
      <c r="LMI29" s="211"/>
      <c r="LMJ29" s="211"/>
      <c r="LMK29" s="211"/>
      <c r="LML29" s="211"/>
      <c r="LMM29" s="211"/>
      <c r="LMN29" s="211"/>
      <c r="LMO29" s="211"/>
      <c r="LMP29" s="211"/>
      <c r="LMQ29" s="211"/>
      <c r="LMR29" s="211"/>
      <c r="LMS29" s="211"/>
      <c r="LMT29" s="211"/>
      <c r="LMU29" s="211"/>
      <c r="LMV29" s="211"/>
      <c r="LMW29" s="211"/>
      <c r="LMX29" s="211"/>
      <c r="LMY29" s="211"/>
      <c r="LMZ29" s="211"/>
      <c r="LNA29" s="211"/>
      <c r="LNB29" s="211"/>
      <c r="LNC29" s="211"/>
      <c r="LND29" s="211"/>
      <c r="LNE29" s="211"/>
      <c r="LNF29" s="211"/>
      <c r="LNG29" s="211"/>
      <c r="LNH29" s="211"/>
      <c r="LNI29" s="211"/>
      <c r="LNJ29" s="211"/>
      <c r="LNK29" s="211"/>
      <c r="LNL29" s="211"/>
      <c r="LNM29" s="211"/>
      <c r="LNN29" s="211"/>
      <c r="LNO29" s="211"/>
      <c r="LNP29" s="211"/>
      <c r="LNQ29" s="211"/>
      <c r="LNR29" s="211"/>
      <c r="LNS29" s="211"/>
      <c r="LNT29" s="211"/>
      <c r="LNU29" s="211"/>
      <c r="LNV29" s="211"/>
      <c r="LNW29" s="211"/>
      <c r="LNX29" s="211"/>
      <c r="LNY29" s="211"/>
      <c r="LNZ29" s="211"/>
      <c r="LOA29" s="211"/>
      <c r="LOB29" s="211"/>
      <c r="LOC29" s="211"/>
      <c r="LOD29" s="211"/>
      <c r="LOE29" s="211"/>
      <c r="LOF29" s="211"/>
      <c r="LOG29" s="211"/>
      <c r="LOH29" s="211"/>
      <c r="LOI29" s="211"/>
      <c r="LOJ29" s="211"/>
      <c r="LOK29" s="211"/>
      <c r="LOL29" s="211"/>
      <c r="LOM29" s="211"/>
      <c r="LON29" s="211"/>
      <c r="LOO29" s="211"/>
      <c r="LOP29" s="211"/>
      <c r="LOQ29" s="211"/>
      <c r="LOR29" s="211"/>
      <c r="LOS29" s="211"/>
      <c r="LOT29" s="211"/>
      <c r="LOU29" s="211"/>
      <c r="LOV29" s="211"/>
      <c r="LOW29" s="211"/>
      <c r="LOX29" s="211"/>
      <c r="LOY29" s="211"/>
      <c r="LOZ29" s="211"/>
      <c r="LPA29" s="211"/>
      <c r="LPB29" s="211"/>
      <c r="LPC29" s="211"/>
      <c r="LPD29" s="211"/>
      <c r="LPE29" s="211"/>
      <c r="LPF29" s="211"/>
      <c r="LPG29" s="211"/>
      <c r="LPH29" s="211"/>
      <c r="LPI29" s="211"/>
      <c r="LPJ29" s="211"/>
      <c r="LPK29" s="211"/>
      <c r="LPL29" s="211"/>
      <c r="LPM29" s="211"/>
      <c r="LPN29" s="211"/>
      <c r="LPO29" s="211"/>
      <c r="LPP29" s="211"/>
      <c r="LPQ29" s="211"/>
      <c r="LPR29" s="211"/>
      <c r="LPS29" s="211"/>
      <c r="LPT29" s="211"/>
      <c r="LPU29" s="211"/>
      <c r="LPV29" s="211"/>
      <c r="LPW29" s="211"/>
      <c r="LPX29" s="211"/>
      <c r="LPY29" s="211"/>
      <c r="LPZ29" s="211"/>
      <c r="LQA29" s="211"/>
      <c r="LQB29" s="211"/>
      <c r="LQC29" s="211"/>
      <c r="LQD29" s="211"/>
      <c r="LQE29" s="211"/>
      <c r="LQF29" s="211"/>
      <c r="LQG29" s="211"/>
      <c r="LQH29" s="211"/>
      <c r="LQI29" s="211"/>
      <c r="LQJ29" s="211"/>
      <c r="LQK29" s="211"/>
      <c r="LQL29" s="211"/>
      <c r="LQM29" s="211"/>
      <c r="LQN29" s="211"/>
      <c r="LQO29" s="211"/>
      <c r="LQP29" s="211"/>
      <c r="LQQ29" s="211"/>
      <c r="LQR29" s="211"/>
      <c r="LQS29" s="211"/>
      <c r="LQT29" s="211"/>
      <c r="LQU29" s="211"/>
      <c r="LQV29" s="211"/>
      <c r="LQW29" s="211"/>
      <c r="LQX29" s="211"/>
      <c r="LQY29" s="211"/>
      <c r="LQZ29" s="211"/>
      <c r="LRA29" s="211"/>
      <c r="LRB29" s="211"/>
      <c r="LRC29" s="211"/>
      <c r="LRD29" s="211"/>
      <c r="LRE29" s="211"/>
      <c r="LRF29" s="211"/>
      <c r="LRG29" s="211"/>
      <c r="LRH29" s="211"/>
      <c r="LRI29" s="211"/>
      <c r="LRJ29" s="211"/>
      <c r="LRK29" s="211"/>
      <c r="LRL29" s="211"/>
      <c r="LRM29" s="211"/>
      <c r="LRN29" s="211"/>
      <c r="LRO29" s="211"/>
      <c r="LRP29" s="211"/>
      <c r="LRQ29" s="211"/>
      <c r="LRR29" s="211"/>
      <c r="LRS29" s="211"/>
      <c r="LRT29" s="211"/>
      <c r="LRU29" s="211"/>
      <c r="LRV29" s="211"/>
      <c r="LRW29" s="211"/>
      <c r="LRX29" s="211"/>
      <c r="LRY29" s="211"/>
      <c r="LRZ29" s="211"/>
      <c r="LSA29" s="211"/>
      <c r="LSB29" s="211"/>
      <c r="LSC29" s="211"/>
      <c r="LSD29" s="211"/>
      <c r="LSE29" s="211"/>
      <c r="LSF29" s="211"/>
      <c r="LSG29" s="211"/>
      <c r="LSH29" s="211"/>
      <c r="LSI29" s="211"/>
      <c r="LSJ29" s="211"/>
      <c r="LSK29" s="211"/>
      <c r="LSL29" s="211"/>
      <c r="LSM29" s="211"/>
      <c r="LSN29" s="211"/>
      <c r="LSO29" s="211"/>
      <c r="LSP29" s="211"/>
      <c r="LSQ29" s="211"/>
      <c r="LSR29" s="211"/>
      <c r="LSS29" s="211"/>
      <c r="LST29" s="211"/>
      <c r="LSU29" s="211"/>
      <c r="LSV29" s="211"/>
      <c r="LSW29" s="211"/>
      <c r="LSX29" s="211"/>
      <c r="LSY29" s="211"/>
      <c r="LSZ29" s="211"/>
      <c r="LTA29" s="211"/>
      <c r="LTB29" s="211"/>
      <c r="LTC29" s="211"/>
      <c r="LTD29" s="211"/>
      <c r="LTE29" s="211"/>
      <c r="LTF29" s="211"/>
      <c r="LTG29" s="211"/>
      <c r="LTH29" s="211"/>
      <c r="LTI29" s="211"/>
      <c r="LTJ29" s="211"/>
      <c r="LTK29" s="211"/>
      <c r="LTL29" s="211"/>
      <c r="LTM29" s="211"/>
      <c r="LTN29" s="211"/>
      <c r="LTO29" s="211"/>
      <c r="LTP29" s="211"/>
      <c r="LTQ29" s="211"/>
      <c r="LTR29" s="211"/>
      <c r="LTS29" s="211"/>
      <c r="LTT29" s="211"/>
      <c r="LTU29" s="211"/>
      <c r="LTV29" s="211"/>
      <c r="LTW29" s="211"/>
      <c r="LTX29" s="211"/>
      <c r="LTY29" s="211"/>
      <c r="LTZ29" s="211"/>
      <c r="LUA29" s="211"/>
      <c r="LUB29" s="211"/>
      <c r="LUC29" s="211"/>
      <c r="LUD29" s="211"/>
      <c r="LUE29" s="211"/>
      <c r="LUF29" s="211"/>
      <c r="LUG29" s="211"/>
      <c r="LUH29" s="211"/>
      <c r="LUI29" s="211"/>
      <c r="LUJ29" s="211"/>
      <c r="LUK29" s="211"/>
      <c r="LUL29" s="211"/>
      <c r="LUM29" s="211"/>
      <c r="LUN29" s="211"/>
      <c r="LUO29" s="211"/>
      <c r="LUP29" s="211"/>
      <c r="LUQ29" s="211"/>
      <c r="LUR29" s="211"/>
      <c r="LUS29" s="211"/>
      <c r="LUT29" s="211"/>
      <c r="LUU29" s="211"/>
      <c r="LUV29" s="211"/>
      <c r="LUW29" s="211"/>
      <c r="LUX29" s="211"/>
      <c r="LUY29" s="211"/>
      <c r="LUZ29" s="211"/>
      <c r="LVA29" s="211"/>
      <c r="LVB29" s="211"/>
      <c r="LVC29" s="211"/>
      <c r="LVD29" s="211"/>
      <c r="LVE29" s="211"/>
      <c r="LVF29" s="211"/>
      <c r="LVG29" s="211"/>
      <c r="LVH29" s="211"/>
      <c r="LVI29" s="211"/>
      <c r="LVJ29" s="211"/>
      <c r="LVK29" s="211"/>
      <c r="LVL29" s="211"/>
      <c r="LVM29" s="211"/>
      <c r="LVN29" s="211"/>
      <c r="LVO29" s="211"/>
      <c r="LVP29" s="211"/>
      <c r="LVQ29" s="211"/>
      <c r="LVR29" s="211"/>
      <c r="LVS29" s="211"/>
      <c r="LVT29" s="211"/>
      <c r="LVU29" s="211"/>
      <c r="LVV29" s="211"/>
      <c r="LVW29" s="211"/>
      <c r="LVX29" s="211"/>
      <c r="LVY29" s="211"/>
      <c r="LVZ29" s="211"/>
      <c r="LWA29" s="211"/>
      <c r="LWB29" s="211"/>
      <c r="LWC29" s="211"/>
      <c r="LWD29" s="211"/>
      <c r="LWE29" s="211"/>
      <c r="LWF29" s="211"/>
      <c r="LWG29" s="211"/>
      <c r="LWH29" s="211"/>
      <c r="LWI29" s="211"/>
      <c r="LWJ29" s="211"/>
      <c r="LWK29" s="211"/>
      <c r="LWL29" s="211"/>
      <c r="LWM29" s="211"/>
      <c r="LWN29" s="211"/>
      <c r="LWO29" s="211"/>
      <c r="LWP29" s="211"/>
      <c r="LWQ29" s="211"/>
      <c r="LWR29" s="211"/>
      <c r="LWS29" s="211"/>
      <c r="LWT29" s="211"/>
      <c r="LWU29" s="211"/>
      <c r="LWV29" s="211"/>
      <c r="LWW29" s="211"/>
      <c r="LWX29" s="211"/>
      <c r="LWY29" s="211"/>
      <c r="LWZ29" s="211"/>
      <c r="LXA29" s="211"/>
      <c r="LXB29" s="211"/>
      <c r="LXC29" s="211"/>
      <c r="LXD29" s="211"/>
      <c r="LXE29" s="211"/>
      <c r="LXF29" s="211"/>
      <c r="LXG29" s="211"/>
      <c r="LXH29" s="211"/>
      <c r="LXI29" s="211"/>
      <c r="LXJ29" s="211"/>
      <c r="LXK29" s="211"/>
      <c r="LXL29" s="211"/>
      <c r="LXM29" s="211"/>
      <c r="LXN29" s="211"/>
      <c r="LXO29" s="211"/>
      <c r="LXP29" s="211"/>
      <c r="LXQ29" s="211"/>
      <c r="LXR29" s="211"/>
      <c r="LXS29" s="211"/>
      <c r="LXT29" s="211"/>
      <c r="LXU29" s="211"/>
      <c r="LXV29" s="211"/>
      <c r="LXW29" s="211"/>
      <c r="LXX29" s="211"/>
      <c r="LXY29" s="211"/>
      <c r="LXZ29" s="211"/>
      <c r="LYA29" s="211"/>
      <c r="LYB29" s="211"/>
      <c r="LYC29" s="211"/>
      <c r="LYD29" s="211"/>
      <c r="LYE29" s="211"/>
      <c r="LYF29" s="211"/>
      <c r="LYG29" s="211"/>
      <c r="LYH29" s="211"/>
      <c r="LYI29" s="211"/>
      <c r="LYJ29" s="211"/>
      <c r="LYK29" s="211"/>
      <c r="LYL29" s="211"/>
      <c r="LYM29" s="211"/>
      <c r="LYN29" s="211"/>
      <c r="LYO29" s="211"/>
      <c r="LYP29" s="211"/>
      <c r="LYQ29" s="211"/>
      <c r="LYR29" s="211"/>
      <c r="LYS29" s="211"/>
      <c r="LYT29" s="211"/>
      <c r="LYU29" s="211"/>
      <c r="LYV29" s="211"/>
      <c r="LYW29" s="211"/>
      <c r="LYX29" s="211"/>
      <c r="LYY29" s="211"/>
      <c r="LYZ29" s="211"/>
      <c r="LZA29" s="211"/>
      <c r="LZB29" s="211"/>
      <c r="LZC29" s="211"/>
      <c r="LZD29" s="211"/>
      <c r="LZE29" s="211"/>
      <c r="LZF29" s="211"/>
      <c r="LZG29" s="211"/>
      <c r="LZH29" s="211"/>
      <c r="LZI29" s="211"/>
      <c r="LZJ29" s="211"/>
      <c r="LZK29" s="211"/>
      <c r="LZL29" s="211"/>
      <c r="LZM29" s="211"/>
      <c r="LZN29" s="211"/>
      <c r="LZO29" s="211"/>
      <c r="LZP29" s="211"/>
      <c r="LZQ29" s="211"/>
      <c r="LZR29" s="211"/>
      <c r="LZS29" s="211"/>
      <c r="LZT29" s="211"/>
      <c r="LZU29" s="211"/>
      <c r="LZV29" s="211"/>
      <c r="LZW29" s="211"/>
      <c r="LZX29" s="211"/>
      <c r="LZY29" s="211"/>
      <c r="LZZ29" s="211"/>
      <c r="MAA29" s="211"/>
      <c r="MAB29" s="211"/>
      <c r="MAC29" s="211"/>
      <c r="MAD29" s="211"/>
      <c r="MAE29" s="211"/>
      <c r="MAF29" s="211"/>
      <c r="MAG29" s="211"/>
      <c r="MAH29" s="211"/>
      <c r="MAI29" s="211"/>
      <c r="MAJ29" s="211"/>
      <c r="MAK29" s="211"/>
      <c r="MAL29" s="211"/>
      <c r="MAM29" s="211"/>
      <c r="MAN29" s="211"/>
      <c r="MAO29" s="211"/>
      <c r="MAP29" s="211"/>
      <c r="MAQ29" s="211"/>
      <c r="MAR29" s="211"/>
      <c r="MAS29" s="211"/>
      <c r="MAT29" s="211"/>
      <c r="MAU29" s="211"/>
      <c r="MAV29" s="211"/>
      <c r="MAW29" s="211"/>
      <c r="MAX29" s="211"/>
      <c r="MAY29" s="211"/>
      <c r="MAZ29" s="211"/>
      <c r="MBA29" s="211"/>
      <c r="MBB29" s="211"/>
      <c r="MBC29" s="211"/>
      <c r="MBD29" s="211"/>
      <c r="MBE29" s="211"/>
      <c r="MBF29" s="211"/>
      <c r="MBG29" s="211"/>
      <c r="MBH29" s="211"/>
      <c r="MBI29" s="211"/>
      <c r="MBJ29" s="211"/>
      <c r="MBK29" s="211"/>
      <c r="MBL29" s="211"/>
      <c r="MBM29" s="211"/>
      <c r="MBN29" s="211"/>
      <c r="MBO29" s="211"/>
      <c r="MBP29" s="211"/>
      <c r="MBQ29" s="211"/>
      <c r="MBR29" s="211"/>
      <c r="MBS29" s="211"/>
      <c r="MBT29" s="211"/>
      <c r="MBU29" s="211"/>
      <c r="MBV29" s="211"/>
      <c r="MBW29" s="211"/>
      <c r="MBX29" s="211"/>
      <c r="MBY29" s="211"/>
      <c r="MBZ29" s="211"/>
      <c r="MCA29" s="211"/>
      <c r="MCB29" s="211"/>
      <c r="MCC29" s="211"/>
      <c r="MCD29" s="211"/>
      <c r="MCE29" s="211"/>
      <c r="MCF29" s="211"/>
      <c r="MCG29" s="211"/>
      <c r="MCH29" s="211"/>
      <c r="MCI29" s="211"/>
      <c r="MCJ29" s="211"/>
      <c r="MCK29" s="211"/>
      <c r="MCL29" s="211"/>
      <c r="MCM29" s="211"/>
      <c r="MCN29" s="211"/>
      <c r="MCO29" s="211"/>
      <c r="MCP29" s="211"/>
      <c r="MCQ29" s="211"/>
      <c r="MCR29" s="211"/>
      <c r="MCS29" s="211"/>
      <c r="MCT29" s="211"/>
      <c r="MCU29" s="211"/>
      <c r="MCV29" s="211"/>
      <c r="MCW29" s="211"/>
      <c r="MCX29" s="211"/>
      <c r="MCY29" s="211"/>
      <c r="MCZ29" s="211"/>
      <c r="MDA29" s="211"/>
      <c r="MDB29" s="211"/>
      <c r="MDC29" s="211"/>
      <c r="MDD29" s="211"/>
      <c r="MDE29" s="211"/>
      <c r="MDF29" s="211"/>
      <c r="MDG29" s="211"/>
      <c r="MDH29" s="211"/>
      <c r="MDI29" s="211"/>
      <c r="MDJ29" s="211"/>
      <c r="MDK29" s="211"/>
      <c r="MDL29" s="211"/>
      <c r="MDM29" s="211"/>
      <c r="MDN29" s="211"/>
      <c r="MDO29" s="211"/>
      <c r="MDP29" s="211"/>
      <c r="MDQ29" s="211"/>
      <c r="MDR29" s="211"/>
      <c r="MDS29" s="211"/>
      <c r="MDT29" s="211"/>
      <c r="MDU29" s="211"/>
      <c r="MDV29" s="211"/>
      <c r="MDW29" s="211"/>
      <c r="MDX29" s="211"/>
      <c r="MDY29" s="211"/>
      <c r="MDZ29" s="211"/>
      <c r="MEA29" s="211"/>
      <c r="MEB29" s="211"/>
      <c r="MEC29" s="211"/>
      <c r="MED29" s="211"/>
      <c r="MEE29" s="211"/>
      <c r="MEF29" s="211"/>
      <c r="MEG29" s="211"/>
      <c r="MEH29" s="211"/>
      <c r="MEI29" s="211"/>
      <c r="MEJ29" s="211"/>
      <c r="MEK29" s="211"/>
      <c r="MEL29" s="211"/>
      <c r="MEM29" s="211"/>
      <c r="MEN29" s="211"/>
      <c r="MEO29" s="211"/>
      <c r="MEP29" s="211"/>
      <c r="MEQ29" s="211"/>
      <c r="MER29" s="211"/>
      <c r="MES29" s="211"/>
      <c r="MET29" s="211"/>
      <c r="MEU29" s="211"/>
      <c r="MEV29" s="211"/>
      <c r="MEW29" s="211"/>
      <c r="MEX29" s="211"/>
      <c r="MEY29" s="211"/>
      <c r="MEZ29" s="211"/>
      <c r="MFA29" s="211"/>
      <c r="MFB29" s="211"/>
      <c r="MFC29" s="211"/>
      <c r="MFD29" s="211"/>
      <c r="MFE29" s="211"/>
      <c r="MFF29" s="211"/>
      <c r="MFG29" s="211"/>
      <c r="MFH29" s="211"/>
      <c r="MFI29" s="211"/>
      <c r="MFJ29" s="211"/>
      <c r="MFK29" s="211"/>
      <c r="MFL29" s="211"/>
      <c r="MFM29" s="211"/>
      <c r="MFN29" s="211"/>
      <c r="MFO29" s="211"/>
      <c r="MFP29" s="211"/>
      <c r="MFQ29" s="211"/>
      <c r="MFR29" s="211"/>
      <c r="MFS29" s="211"/>
      <c r="MFT29" s="211"/>
      <c r="MFU29" s="211"/>
      <c r="MFV29" s="211"/>
      <c r="MFW29" s="211"/>
      <c r="MFX29" s="211"/>
      <c r="MFY29" s="211"/>
      <c r="MFZ29" s="211"/>
      <c r="MGA29" s="211"/>
      <c r="MGB29" s="211"/>
      <c r="MGC29" s="211"/>
      <c r="MGD29" s="211"/>
      <c r="MGE29" s="211"/>
      <c r="MGF29" s="211"/>
      <c r="MGG29" s="211"/>
      <c r="MGH29" s="211"/>
      <c r="MGI29" s="211"/>
      <c r="MGJ29" s="211"/>
      <c r="MGK29" s="211"/>
      <c r="MGL29" s="211"/>
      <c r="MGM29" s="211"/>
      <c r="MGN29" s="211"/>
      <c r="MGO29" s="211"/>
      <c r="MGP29" s="211"/>
      <c r="MGQ29" s="211"/>
      <c r="MGR29" s="211"/>
      <c r="MGS29" s="211"/>
      <c r="MGT29" s="211"/>
      <c r="MGU29" s="211"/>
      <c r="MGV29" s="211"/>
      <c r="MGW29" s="211"/>
      <c r="MGX29" s="211"/>
      <c r="MGY29" s="211"/>
      <c r="MGZ29" s="211"/>
      <c r="MHA29" s="211"/>
      <c r="MHB29" s="211"/>
      <c r="MHC29" s="211"/>
      <c r="MHD29" s="211"/>
      <c r="MHE29" s="211"/>
      <c r="MHF29" s="211"/>
      <c r="MHG29" s="211"/>
      <c r="MHH29" s="211"/>
      <c r="MHI29" s="211"/>
      <c r="MHJ29" s="211"/>
      <c r="MHK29" s="211"/>
      <c r="MHL29" s="211"/>
      <c r="MHM29" s="211"/>
      <c r="MHN29" s="211"/>
      <c r="MHO29" s="211"/>
      <c r="MHP29" s="211"/>
      <c r="MHQ29" s="211"/>
      <c r="MHR29" s="211"/>
      <c r="MHS29" s="211"/>
      <c r="MHT29" s="211"/>
      <c r="MHU29" s="211"/>
      <c r="MHV29" s="211"/>
      <c r="MHW29" s="211"/>
      <c r="MHX29" s="211"/>
      <c r="MHY29" s="211"/>
      <c r="MHZ29" s="211"/>
      <c r="MIA29" s="211"/>
      <c r="MIB29" s="211"/>
      <c r="MIC29" s="211"/>
      <c r="MID29" s="211"/>
      <c r="MIE29" s="211"/>
      <c r="MIF29" s="211"/>
      <c r="MIG29" s="211"/>
      <c r="MIH29" s="211"/>
      <c r="MII29" s="211"/>
      <c r="MIJ29" s="211"/>
      <c r="MIK29" s="211"/>
      <c r="MIL29" s="211"/>
      <c r="MIM29" s="211"/>
      <c r="MIN29" s="211"/>
      <c r="MIO29" s="211"/>
      <c r="MIP29" s="211"/>
      <c r="MIQ29" s="211"/>
      <c r="MIR29" s="211"/>
      <c r="MIS29" s="211"/>
      <c r="MIT29" s="211"/>
      <c r="MIU29" s="211"/>
      <c r="MIV29" s="211"/>
      <c r="MIW29" s="211"/>
      <c r="MIX29" s="211"/>
      <c r="MIY29" s="211"/>
      <c r="MIZ29" s="211"/>
      <c r="MJA29" s="211"/>
      <c r="MJB29" s="211"/>
      <c r="MJC29" s="211"/>
      <c r="MJD29" s="211"/>
      <c r="MJE29" s="211"/>
      <c r="MJF29" s="211"/>
      <c r="MJG29" s="211"/>
      <c r="MJH29" s="211"/>
      <c r="MJI29" s="211"/>
      <c r="MJJ29" s="211"/>
      <c r="MJK29" s="211"/>
      <c r="MJL29" s="211"/>
      <c r="MJM29" s="211"/>
      <c r="MJN29" s="211"/>
      <c r="MJO29" s="211"/>
      <c r="MJP29" s="211"/>
      <c r="MJQ29" s="211"/>
      <c r="MJR29" s="211"/>
      <c r="MJS29" s="211"/>
      <c r="MJT29" s="211"/>
      <c r="MJU29" s="211"/>
      <c r="MJV29" s="211"/>
      <c r="MJW29" s="211"/>
      <c r="MJX29" s="211"/>
      <c r="MJY29" s="211"/>
      <c r="MJZ29" s="211"/>
      <c r="MKA29" s="211"/>
      <c r="MKB29" s="211"/>
      <c r="MKC29" s="211"/>
      <c r="MKD29" s="211"/>
      <c r="MKE29" s="211"/>
      <c r="MKF29" s="211"/>
      <c r="MKG29" s="211"/>
      <c r="MKH29" s="211"/>
      <c r="MKI29" s="211"/>
      <c r="MKJ29" s="211"/>
      <c r="MKK29" s="211"/>
      <c r="MKL29" s="211"/>
      <c r="MKM29" s="211"/>
      <c r="MKN29" s="211"/>
      <c r="MKO29" s="211"/>
      <c r="MKP29" s="211"/>
      <c r="MKQ29" s="211"/>
      <c r="MKR29" s="211"/>
      <c r="MKS29" s="211"/>
      <c r="MKT29" s="211"/>
      <c r="MKU29" s="211"/>
      <c r="MKV29" s="211"/>
      <c r="MKW29" s="211"/>
      <c r="MKX29" s="211"/>
      <c r="MKY29" s="211"/>
      <c r="MKZ29" s="211"/>
      <c r="MLA29" s="211"/>
      <c r="MLB29" s="211"/>
      <c r="MLC29" s="211"/>
      <c r="MLD29" s="211"/>
      <c r="MLE29" s="211"/>
      <c r="MLF29" s="211"/>
      <c r="MLG29" s="211"/>
      <c r="MLH29" s="211"/>
      <c r="MLI29" s="211"/>
      <c r="MLJ29" s="211"/>
      <c r="MLK29" s="211"/>
      <c r="MLL29" s="211"/>
      <c r="MLM29" s="211"/>
      <c r="MLN29" s="211"/>
      <c r="MLO29" s="211"/>
      <c r="MLP29" s="211"/>
      <c r="MLQ29" s="211"/>
      <c r="MLR29" s="211"/>
      <c r="MLS29" s="211"/>
      <c r="MLT29" s="211"/>
      <c r="MLU29" s="211"/>
      <c r="MLV29" s="211"/>
      <c r="MLW29" s="211"/>
      <c r="MLX29" s="211"/>
      <c r="MLY29" s="211"/>
      <c r="MLZ29" s="211"/>
      <c r="MMA29" s="211"/>
      <c r="MMB29" s="211"/>
      <c r="MMC29" s="211"/>
      <c r="MMD29" s="211"/>
      <c r="MME29" s="211"/>
      <c r="MMF29" s="211"/>
      <c r="MMG29" s="211"/>
      <c r="MMH29" s="211"/>
      <c r="MMI29" s="211"/>
      <c r="MMJ29" s="211"/>
      <c r="MMK29" s="211"/>
      <c r="MML29" s="211"/>
      <c r="MMM29" s="211"/>
      <c r="MMN29" s="211"/>
      <c r="MMO29" s="211"/>
      <c r="MMP29" s="211"/>
      <c r="MMQ29" s="211"/>
      <c r="MMR29" s="211"/>
      <c r="MMS29" s="211"/>
      <c r="MMT29" s="211"/>
      <c r="MMU29" s="211"/>
      <c r="MMV29" s="211"/>
      <c r="MMW29" s="211"/>
      <c r="MMX29" s="211"/>
      <c r="MMY29" s="211"/>
      <c r="MMZ29" s="211"/>
      <c r="MNA29" s="211"/>
      <c r="MNB29" s="211"/>
      <c r="MNC29" s="211"/>
      <c r="MND29" s="211"/>
      <c r="MNE29" s="211"/>
      <c r="MNF29" s="211"/>
      <c r="MNG29" s="211"/>
      <c r="MNH29" s="211"/>
      <c r="MNI29" s="211"/>
      <c r="MNJ29" s="211"/>
      <c r="MNK29" s="211"/>
      <c r="MNL29" s="211"/>
      <c r="MNM29" s="211"/>
      <c r="MNN29" s="211"/>
      <c r="MNO29" s="211"/>
      <c r="MNP29" s="211"/>
      <c r="MNQ29" s="211"/>
      <c r="MNR29" s="211"/>
      <c r="MNS29" s="211"/>
      <c r="MNT29" s="211"/>
      <c r="MNU29" s="211"/>
      <c r="MNV29" s="211"/>
      <c r="MNW29" s="211"/>
      <c r="MNX29" s="211"/>
      <c r="MNY29" s="211"/>
      <c r="MNZ29" s="211"/>
      <c r="MOA29" s="211"/>
      <c r="MOB29" s="211"/>
      <c r="MOC29" s="211"/>
      <c r="MOD29" s="211"/>
      <c r="MOE29" s="211"/>
      <c r="MOF29" s="211"/>
      <c r="MOG29" s="211"/>
      <c r="MOH29" s="211"/>
      <c r="MOI29" s="211"/>
      <c r="MOJ29" s="211"/>
      <c r="MOK29" s="211"/>
      <c r="MOL29" s="211"/>
      <c r="MOM29" s="211"/>
      <c r="MON29" s="211"/>
      <c r="MOO29" s="211"/>
      <c r="MOP29" s="211"/>
      <c r="MOQ29" s="211"/>
      <c r="MOR29" s="211"/>
      <c r="MOS29" s="211"/>
      <c r="MOT29" s="211"/>
      <c r="MOU29" s="211"/>
      <c r="MOV29" s="211"/>
      <c r="MOW29" s="211"/>
      <c r="MOX29" s="211"/>
      <c r="MOY29" s="211"/>
      <c r="MOZ29" s="211"/>
      <c r="MPA29" s="211"/>
      <c r="MPB29" s="211"/>
      <c r="MPC29" s="211"/>
      <c r="MPD29" s="211"/>
      <c r="MPE29" s="211"/>
      <c r="MPF29" s="211"/>
      <c r="MPG29" s="211"/>
      <c r="MPH29" s="211"/>
      <c r="MPI29" s="211"/>
      <c r="MPJ29" s="211"/>
      <c r="MPK29" s="211"/>
      <c r="MPL29" s="211"/>
      <c r="MPM29" s="211"/>
      <c r="MPN29" s="211"/>
      <c r="MPO29" s="211"/>
      <c r="MPP29" s="211"/>
      <c r="MPQ29" s="211"/>
      <c r="MPR29" s="211"/>
      <c r="MPS29" s="211"/>
      <c r="MPT29" s="211"/>
      <c r="MPU29" s="211"/>
      <c r="MPV29" s="211"/>
      <c r="MPW29" s="211"/>
      <c r="MPX29" s="211"/>
      <c r="MPY29" s="211"/>
      <c r="MPZ29" s="211"/>
      <c r="MQA29" s="211"/>
      <c r="MQB29" s="211"/>
      <c r="MQC29" s="211"/>
      <c r="MQD29" s="211"/>
      <c r="MQE29" s="211"/>
      <c r="MQF29" s="211"/>
      <c r="MQG29" s="211"/>
      <c r="MQH29" s="211"/>
      <c r="MQI29" s="211"/>
      <c r="MQJ29" s="211"/>
      <c r="MQK29" s="211"/>
      <c r="MQL29" s="211"/>
      <c r="MQM29" s="211"/>
      <c r="MQN29" s="211"/>
      <c r="MQO29" s="211"/>
      <c r="MQP29" s="211"/>
      <c r="MQQ29" s="211"/>
      <c r="MQR29" s="211"/>
      <c r="MQS29" s="211"/>
      <c r="MQT29" s="211"/>
      <c r="MQU29" s="211"/>
      <c r="MQV29" s="211"/>
      <c r="MQW29" s="211"/>
      <c r="MQX29" s="211"/>
      <c r="MQY29" s="211"/>
      <c r="MQZ29" s="211"/>
      <c r="MRA29" s="211"/>
      <c r="MRB29" s="211"/>
      <c r="MRC29" s="211"/>
      <c r="MRD29" s="211"/>
      <c r="MRE29" s="211"/>
      <c r="MRF29" s="211"/>
      <c r="MRG29" s="211"/>
      <c r="MRH29" s="211"/>
      <c r="MRI29" s="211"/>
      <c r="MRJ29" s="211"/>
      <c r="MRK29" s="211"/>
      <c r="MRL29" s="211"/>
      <c r="MRM29" s="211"/>
      <c r="MRN29" s="211"/>
      <c r="MRO29" s="211"/>
      <c r="MRP29" s="211"/>
      <c r="MRQ29" s="211"/>
      <c r="MRR29" s="211"/>
      <c r="MRS29" s="211"/>
      <c r="MRT29" s="211"/>
      <c r="MRU29" s="211"/>
      <c r="MRV29" s="211"/>
      <c r="MRW29" s="211"/>
      <c r="MRX29" s="211"/>
      <c r="MRY29" s="211"/>
      <c r="MRZ29" s="211"/>
      <c r="MSA29" s="211"/>
      <c r="MSB29" s="211"/>
      <c r="MSC29" s="211"/>
      <c r="MSD29" s="211"/>
      <c r="MSE29" s="211"/>
      <c r="MSF29" s="211"/>
      <c r="MSG29" s="211"/>
      <c r="MSH29" s="211"/>
      <c r="MSI29" s="211"/>
      <c r="MSJ29" s="211"/>
      <c r="MSK29" s="211"/>
      <c r="MSL29" s="211"/>
      <c r="MSM29" s="211"/>
      <c r="MSN29" s="211"/>
      <c r="MSO29" s="211"/>
      <c r="MSP29" s="211"/>
      <c r="MSQ29" s="211"/>
      <c r="MSR29" s="211"/>
      <c r="MSS29" s="211"/>
      <c r="MST29" s="211"/>
      <c r="MSU29" s="211"/>
      <c r="MSV29" s="211"/>
      <c r="MSW29" s="211"/>
      <c r="MSX29" s="211"/>
      <c r="MSY29" s="211"/>
      <c r="MSZ29" s="211"/>
      <c r="MTA29" s="211"/>
      <c r="MTB29" s="211"/>
      <c r="MTC29" s="211"/>
      <c r="MTD29" s="211"/>
      <c r="MTE29" s="211"/>
      <c r="MTF29" s="211"/>
      <c r="MTG29" s="211"/>
      <c r="MTH29" s="211"/>
      <c r="MTI29" s="211"/>
      <c r="MTJ29" s="211"/>
      <c r="MTK29" s="211"/>
      <c r="MTL29" s="211"/>
      <c r="MTM29" s="211"/>
      <c r="MTN29" s="211"/>
      <c r="MTO29" s="211"/>
      <c r="MTP29" s="211"/>
      <c r="MTQ29" s="211"/>
      <c r="MTR29" s="211"/>
      <c r="MTS29" s="211"/>
      <c r="MTT29" s="211"/>
      <c r="MTU29" s="211"/>
      <c r="MTV29" s="211"/>
      <c r="MTW29" s="211"/>
      <c r="MTX29" s="211"/>
      <c r="MTY29" s="211"/>
      <c r="MTZ29" s="211"/>
      <c r="MUA29" s="211"/>
      <c r="MUB29" s="211"/>
      <c r="MUC29" s="211"/>
      <c r="MUD29" s="211"/>
      <c r="MUE29" s="211"/>
      <c r="MUF29" s="211"/>
      <c r="MUG29" s="211"/>
      <c r="MUH29" s="211"/>
      <c r="MUI29" s="211"/>
      <c r="MUJ29" s="211"/>
      <c r="MUK29" s="211"/>
      <c r="MUL29" s="211"/>
      <c r="MUM29" s="211"/>
      <c r="MUN29" s="211"/>
      <c r="MUO29" s="211"/>
      <c r="MUP29" s="211"/>
      <c r="MUQ29" s="211"/>
      <c r="MUR29" s="211"/>
      <c r="MUS29" s="211"/>
      <c r="MUT29" s="211"/>
      <c r="MUU29" s="211"/>
      <c r="MUV29" s="211"/>
      <c r="MUW29" s="211"/>
      <c r="MUX29" s="211"/>
      <c r="MUY29" s="211"/>
      <c r="MUZ29" s="211"/>
      <c r="MVA29" s="211"/>
      <c r="MVB29" s="211"/>
      <c r="MVC29" s="211"/>
      <c r="MVD29" s="211"/>
      <c r="MVE29" s="211"/>
      <c r="MVF29" s="211"/>
      <c r="MVG29" s="211"/>
      <c r="MVH29" s="211"/>
      <c r="MVI29" s="211"/>
      <c r="MVJ29" s="211"/>
      <c r="MVK29" s="211"/>
      <c r="MVL29" s="211"/>
      <c r="MVM29" s="211"/>
      <c r="MVN29" s="211"/>
      <c r="MVO29" s="211"/>
      <c r="MVP29" s="211"/>
      <c r="MVQ29" s="211"/>
      <c r="MVR29" s="211"/>
      <c r="MVS29" s="211"/>
      <c r="MVT29" s="211"/>
      <c r="MVU29" s="211"/>
      <c r="MVV29" s="211"/>
      <c r="MVW29" s="211"/>
      <c r="MVX29" s="211"/>
      <c r="MVY29" s="211"/>
      <c r="MVZ29" s="211"/>
      <c r="MWA29" s="211"/>
      <c r="MWB29" s="211"/>
      <c r="MWC29" s="211"/>
      <c r="MWD29" s="211"/>
      <c r="MWE29" s="211"/>
      <c r="MWF29" s="211"/>
      <c r="MWG29" s="211"/>
      <c r="MWH29" s="211"/>
      <c r="MWI29" s="211"/>
      <c r="MWJ29" s="211"/>
      <c r="MWK29" s="211"/>
      <c r="MWL29" s="211"/>
      <c r="MWM29" s="211"/>
      <c r="MWN29" s="211"/>
      <c r="MWO29" s="211"/>
      <c r="MWP29" s="211"/>
      <c r="MWQ29" s="211"/>
      <c r="MWR29" s="211"/>
      <c r="MWS29" s="211"/>
      <c r="MWT29" s="211"/>
      <c r="MWU29" s="211"/>
      <c r="MWV29" s="211"/>
      <c r="MWW29" s="211"/>
      <c r="MWX29" s="211"/>
      <c r="MWY29" s="211"/>
      <c r="MWZ29" s="211"/>
      <c r="MXA29" s="211"/>
      <c r="MXB29" s="211"/>
      <c r="MXC29" s="211"/>
      <c r="MXD29" s="211"/>
      <c r="MXE29" s="211"/>
      <c r="MXF29" s="211"/>
      <c r="MXG29" s="211"/>
      <c r="MXH29" s="211"/>
      <c r="MXI29" s="211"/>
      <c r="MXJ29" s="211"/>
      <c r="MXK29" s="211"/>
      <c r="MXL29" s="211"/>
      <c r="MXM29" s="211"/>
      <c r="MXN29" s="211"/>
      <c r="MXO29" s="211"/>
      <c r="MXP29" s="211"/>
      <c r="MXQ29" s="211"/>
      <c r="MXR29" s="211"/>
      <c r="MXS29" s="211"/>
      <c r="MXT29" s="211"/>
      <c r="MXU29" s="211"/>
      <c r="MXV29" s="211"/>
      <c r="MXW29" s="211"/>
      <c r="MXX29" s="211"/>
      <c r="MXY29" s="211"/>
      <c r="MXZ29" s="211"/>
      <c r="MYA29" s="211"/>
      <c r="MYB29" s="211"/>
      <c r="MYC29" s="211"/>
      <c r="MYD29" s="211"/>
      <c r="MYE29" s="211"/>
      <c r="MYF29" s="211"/>
      <c r="MYG29" s="211"/>
      <c r="MYH29" s="211"/>
      <c r="MYI29" s="211"/>
      <c r="MYJ29" s="211"/>
      <c r="MYK29" s="211"/>
      <c r="MYL29" s="211"/>
      <c r="MYM29" s="211"/>
      <c r="MYN29" s="211"/>
      <c r="MYO29" s="211"/>
      <c r="MYP29" s="211"/>
      <c r="MYQ29" s="211"/>
      <c r="MYR29" s="211"/>
      <c r="MYS29" s="211"/>
      <c r="MYT29" s="211"/>
      <c r="MYU29" s="211"/>
      <c r="MYV29" s="211"/>
      <c r="MYW29" s="211"/>
      <c r="MYX29" s="211"/>
      <c r="MYY29" s="211"/>
      <c r="MYZ29" s="211"/>
      <c r="MZA29" s="211"/>
      <c r="MZB29" s="211"/>
      <c r="MZC29" s="211"/>
      <c r="MZD29" s="211"/>
      <c r="MZE29" s="211"/>
      <c r="MZF29" s="211"/>
      <c r="MZG29" s="211"/>
      <c r="MZH29" s="211"/>
      <c r="MZI29" s="211"/>
      <c r="MZJ29" s="211"/>
      <c r="MZK29" s="211"/>
      <c r="MZL29" s="211"/>
      <c r="MZM29" s="211"/>
      <c r="MZN29" s="211"/>
      <c r="MZO29" s="211"/>
      <c r="MZP29" s="211"/>
      <c r="MZQ29" s="211"/>
      <c r="MZR29" s="211"/>
      <c r="MZS29" s="211"/>
      <c r="MZT29" s="211"/>
      <c r="MZU29" s="211"/>
      <c r="MZV29" s="211"/>
      <c r="MZW29" s="211"/>
      <c r="MZX29" s="211"/>
      <c r="MZY29" s="211"/>
      <c r="MZZ29" s="211"/>
      <c r="NAA29" s="211"/>
      <c r="NAB29" s="211"/>
      <c r="NAC29" s="211"/>
      <c r="NAD29" s="211"/>
      <c r="NAE29" s="211"/>
      <c r="NAF29" s="211"/>
      <c r="NAG29" s="211"/>
      <c r="NAH29" s="211"/>
      <c r="NAI29" s="211"/>
      <c r="NAJ29" s="211"/>
      <c r="NAK29" s="211"/>
      <c r="NAL29" s="211"/>
      <c r="NAM29" s="211"/>
      <c r="NAN29" s="211"/>
      <c r="NAO29" s="211"/>
      <c r="NAP29" s="211"/>
      <c r="NAQ29" s="211"/>
      <c r="NAR29" s="211"/>
      <c r="NAS29" s="211"/>
      <c r="NAT29" s="211"/>
      <c r="NAU29" s="211"/>
      <c r="NAV29" s="211"/>
      <c r="NAW29" s="211"/>
      <c r="NAX29" s="211"/>
      <c r="NAY29" s="211"/>
      <c r="NAZ29" s="211"/>
      <c r="NBA29" s="211"/>
      <c r="NBB29" s="211"/>
      <c r="NBC29" s="211"/>
      <c r="NBD29" s="211"/>
      <c r="NBE29" s="211"/>
      <c r="NBF29" s="211"/>
      <c r="NBG29" s="211"/>
      <c r="NBH29" s="211"/>
      <c r="NBI29" s="211"/>
      <c r="NBJ29" s="211"/>
      <c r="NBK29" s="211"/>
      <c r="NBL29" s="211"/>
      <c r="NBM29" s="211"/>
      <c r="NBN29" s="211"/>
      <c r="NBO29" s="211"/>
      <c r="NBP29" s="211"/>
      <c r="NBQ29" s="211"/>
      <c r="NBR29" s="211"/>
      <c r="NBS29" s="211"/>
      <c r="NBT29" s="211"/>
      <c r="NBU29" s="211"/>
      <c r="NBV29" s="211"/>
      <c r="NBW29" s="211"/>
      <c r="NBX29" s="211"/>
      <c r="NBY29" s="211"/>
      <c r="NBZ29" s="211"/>
      <c r="NCA29" s="211"/>
      <c r="NCB29" s="211"/>
      <c r="NCC29" s="211"/>
      <c r="NCD29" s="211"/>
      <c r="NCE29" s="211"/>
      <c r="NCF29" s="211"/>
      <c r="NCG29" s="211"/>
      <c r="NCH29" s="211"/>
      <c r="NCI29" s="211"/>
      <c r="NCJ29" s="211"/>
      <c r="NCK29" s="211"/>
      <c r="NCL29" s="211"/>
      <c r="NCM29" s="211"/>
      <c r="NCN29" s="211"/>
      <c r="NCO29" s="211"/>
      <c r="NCP29" s="211"/>
      <c r="NCQ29" s="211"/>
      <c r="NCR29" s="211"/>
      <c r="NCS29" s="211"/>
      <c r="NCT29" s="211"/>
      <c r="NCU29" s="211"/>
      <c r="NCV29" s="211"/>
      <c r="NCW29" s="211"/>
      <c r="NCX29" s="211"/>
      <c r="NCY29" s="211"/>
      <c r="NCZ29" s="211"/>
      <c r="NDA29" s="211"/>
      <c r="NDB29" s="211"/>
      <c r="NDC29" s="211"/>
      <c r="NDD29" s="211"/>
      <c r="NDE29" s="211"/>
      <c r="NDF29" s="211"/>
      <c r="NDG29" s="211"/>
      <c r="NDH29" s="211"/>
      <c r="NDI29" s="211"/>
      <c r="NDJ29" s="211"/>
      <c r="NDK29" s="211"/>
      <c r="NDL29" s="211"/>
      <c r="NDM29" s="211"/>
      <c r="NDN29" s="211"/>
      <c r="NDO29" s="211"/>
      <c r="NDP29" s="211"/>
      <c r="NDQ29" s="211"/>
      <c r="NDR29" s="211"/>
      <c r="NDS29" s="211"/>
      <c r="NDT29" s="211"/>
      <c r="NDU29" s="211"/>
      <c r="NDV29" s="211"/>
      <c r="NDW29" s="211"/>
      <c r="NDX29" s="211"/>
      <c r="NDY29" s="211"/>
      <c r="NDZ29" s="211"/>
      <c r="NEA29" s="211"/>
      <c r="NEB29" s="211"/>
      <c r="NEC29" s="211"/>
      <c r="NED29" s="211"/>
      <c r="NEE29" s="211"/>
      <c r="NEF29" s="211"/>
      <c r="NEG29" s="211"/>
      <c r="NEH29" s="211"/>
      <c r="NEI29" s="211"/>
      <c r="NEJ29" s="211"/>
      <c r="NEK29" s="211"/>
      <c r="NEL29" s="211"/>
      <c r="NEM29" s="211"/>
      <c r="NEN29" s="211"/>
      <c r="NEO29" s="211"/>
      <c r="NEP29" s="211"/>
      <c r="NEQ29" s="211"/>
      <c r="NER29" s="211"/>
      <c r="NES29" s="211"/>
      <c r="NET29" s="211"/>
      <c r="NEU29" s="211"/>
      <c r="NEV29" s="211"/>
      <c r="NEW29" s="211"/>
      <c r="NEX29" s="211"/>
      <c r="NEY29" s="211"/>
      <c r="NEZ29" s="211"/>
      <c r="NFA29" s="211"/>
      <c r="NFB29" s="211"/>
      <c r="NFC29" s="211"/>
      <c r="NFD29" s="211"/>
      <c r="NFE29" s="211"/>
      <c r="NFF29" s="211"/>
      <c r="NFG29" s="211"/>
      <c r="NFH29" s="211"/>
      <c r="NFI29" s="211"/>
      <c r="NFJ29" s="211"/>
      <c r="NFK29" s="211"/>
      <c r="NFL29" s="211"/>
      <c r="NFM29" s="211"/>
      <c r="NFN29" s="211"/>
      <c r="NFO29" s="211"/>
      <c r="NFP29" s="211"/>
      <c r="NFQ29" s="211"/>
      <c r="NFR29" s="211"/>
      <c r="NFS29" s="211"/>
      <c r="NFT29" s="211"/>
      <c r="NFU29" s="211"/>
      <c r="NFV29" s="211"/>
      <c r="NFW29" s="211"/>
      <c r="NFX29" s="211"/>
      <c r="NFY29" s="211"/>
      <c r="NFZ29" s="211"/>
      <c r="NGA29" s="211"/>
      <c r="NGB29" s="211"/>
      <c r="NGC29" s="211"/>
      <c r="NGD29" s="211"/>
      <c r="NGE29" s="211"/>
      <c r="NGF29" s="211"/>
      <c r="NGG29" s="211"/>
      <c r="NGH29" s="211"/>
      <c r="NGI29" s="211"/>
      <c r="NGJ29" s="211"/>
      <c r="NGK29" s="211"/>
      <c r="NGL29" s="211"/>
      <c r="NGM29" s="211"/>
      <c r="NGN29" s="211"/>
      <c r="NGO29" s="211"/>
      <c r="NGP29" s="211"/>
      <c r="NGQ29" s="211"/>
      <c r="NGR29" s="211"/>
      <c r="NGS29" s="211"/>
      <c r="NGT29" s="211"/>
      <c r="NGU29" s="211"/>
      <c r="NGV29" s="211"/>
      <c r="NGW29" s="211"/>
      <c r="NGX29" s="211"/>
      <c r="NGY29" s="211"/>
      <c r="NGZ29" s="211"/>
      <c r="NHA29" s="211"/>
      <c r="NHB29" s="211"/>
      <c r="NHC29" s="211"/>
      <c r="NHD29" s="211"/>
      <c r="NHE29" s="211"/>
      <c r="NHF29" s="211"/>
      <c r="NHG29" s="211"/>
      <c r="NHH29" s="211"/>
      <c r="NHI29" s="211"/>
      <c r="NHJ29" s="211"/>
      <c r="NHK29" s="211"/>
      <c r="NHL29" s="211"/>
      <c r="NHM29" s="211"/>
      <c r="NHN29" s="211"/>
      <c r="NHO29" s="211"/>
      <c r="NHP29" s="211"/>
      <c r="NHQ29" s="211"/>
      <c r="NHR29" s="211"/>
      <c r="NHS29" s="211"/>
      <c r="NHT29" s="211"/>
      <c r="NHU29" s="211"/>
      <c r="NHV29" s="211"/>
      <c r="NHW29" s="211"/>
      <c r="NHX29" s="211"/>
      <c r="NHY29" s="211"/>
      <c r="NHZ29" s="211"/>
      <c r="NIA29" s="211"/>
      <c r="NIB29" s="211"/>
      <c r="NIC29" s="211"/>
      <c r="NID29" s="211"/>
      <c r="NIE29" s="211"/>
      <c r="NIF29" s="211"/>
      <c r="NIG29" s="211"/>
      <c r="NIH29" s="211"/>
      <c r="NII29" s="211"/>
      <c r="NIJ29" s="211"/>
      <c r="NIK29" s="211"/>
      <c r="NIL29" s="211"/>
      <c r="NIM29" s="211"/>
      <c r="NIN29" s="211"/>
      <c r="NIO29" s="211"/>
      <c r="NIP29" s="211"/>
      <c r="NIQ29" s="211"/>
      <c r="NIR29" s="211"/>
      <c r="NIS29" s="211"/>
      <c r="NIT29" s="211"/>
      <c r="NIU29" s="211"/>
      <c r="NIV29" s="211"/>
      <c r="NIW29" s="211"/>
      <c r="NIX29" s="211"/>
      <c r="NIY29" s="211"/>
      <c r="NIZ29" s="211"/>
      <c r="NJA29" s="211"/>
      <c r="NJB29" s="211"/>
      <c r="NJC29" s="211"/>
      <c r="NJD29" s="211"/>
      <c r="NJE29" s="211"/>
      <c r="NJF29" s="211"/>
      <c r="NJG29" s="211"/>
      <c r="NJH29" s="211"/>
      <c r="NJI29" s="211"/>
      <c r="NJJ29" s="211"/>
      <c r="NJK29" s="211"/>
      <c r="NJL29" s="211"/>
      <c r="NJM29" s="211"/>
      <c r="NJN29" s="211"/>
      <c r="NJO29" s="211"/>
      <c r="NJP29" s="211"/>
      <c r="NJQ29" s="211"/>
      <c r="NJR29" s="211"/>
      <c r="NJS29" s="211"/>
      <c r="NJT29" s="211"/>
      <c r="NJU29" s="211"/>
      <c r="NJV29" s="211"/>
      <c r="NJW29" s="211"/>
      <c r="NJX29" s="211"/>
      <c r="NJY29" s="211"/>
      <c r="NJZ29" s="211"/>
      <c r="NKA29" s="211"/>
      <c r="NKB29" s="211"/>
      <c r="NKC29" s="211"/>
      <c r="NKD29" s="211"/>
      <c r="NKE29" s="211"/>
      <c r="NKF29" s="211"/>
      <c r="NKG29" s="211"/>
      <c r="NKH29" s="211"/>
      <c r="NKI29" s="211"/>
      <c r="NKJ29" s="211"/>
      <c r="NKK29" s="211"/>
      <c r="NKL29" s="211"/>
      <c r="NKM29" s="211"/>
      <c r="NKN29" s="211"/>
      <c r="NKO29" s="211"/>
      <c r="NKP29" s="211"/>
      <c r="NKQ29" s="211"/>
      <c r="NKR29" s="211"/>
      <c r="NKS29" s="211"/>
      <c r="NKT29" s="211"/>
      <c r="NKU29" s="211"/>
      <c r="NKV29" s="211"/>
      <c r="NKW29" s="211"/>
      <c r="NKX29" s="211"/>
      <c r="NKY29" s="211"/>
      <c r="NKZ29" s="211"/>
      <c r="NLA29" s="211"/>
      <c r="NLB29" s="211"/>
      <c r="NLC29" s="211"/>
      <c r="NLD29" s="211"/>
      <c r="NLE29" s="211"/>
      <c r="NLF29" s="211"/>
      <c r="NLG29" s="211"/>
      <c r="NLH29" s="211"/>
      <c r="NLI29" s="211"/>
      <c r="NLJ29" s="211"/>
      <c r="NLK29" s="211"/>
      <c r="NLL29" s="211"/>
      <c r="NLM29" s="211"/>
      <c r="NLN29" s="211"/>
      <c r="NLO29" s="211"/>
      <c r="NLP29" s="211"/>
      <c r="NLQ29" s="211"/>
      <c r="NLR29" s="211"/>
      <c r="NLS29" s="211"/>
      <c r="NLT29" s="211"/>
      <c r="NLU29" s="211"/>
      <c r="NLV29" s="211"/>
      <c r="NLW29" s="211"/>
      <c r="NLX29" s="211"/>
      <c r="NLY29" s="211"/>
      <c r="NLZ29" s="211"/>
      <c r="NMA29" s="211"/>
      <c r="NMB29" s="211"/>
      <c r="NMC29" s="211"/>
      <c r="NMD29" s="211"/>
      <c r="NME29" s="211"/>
      <c r="NMF29" s="211"/>
      <c r="NMG29" s="211"/>
      <c r="NMH29" s="211"/>
      <c r="NMI29" s="211"/>
      <c r="NMJ29" s="211"/>
      <c r="NMK29" s="211"/>
      <c r="NML29" s="211"/>
      <c r="NMM29" s="211"/>
      <c r="NMN29" s="211"/>
      <c r="NMO29" s="211"/>
      <c r="NMP29" s="211"/>
      <c r="NMQ29" s="211"/>
      <c r="NMR29" s="211"/>
      <c r="NMS29" s="211"/>
      <c r="NMT29" s="211"/>
      <c r="NMU29" s="211"/>
      <c r="NMV29" s="211"/>
      <c r="NMW29" s="211"/>
      <c r="NMX29" s="211"/>
      <c r="NMY29" s="211"/>
      <c r="NMZ29" s="211"/>
      <c r="NNA29" s="211"/>
      <c r="NNB29" s="211"/>
      <c r="NNC29" s="211"/>
      <c r="NND29" s="211"/>
      <c r="NNE29" s="211"/>
      <c r="NNF29" s="211"/>
      <c r="NNG29" s="211"/>
      <c r="NNH29" s="211"/>
      <c r="NNI29" s="211"/>
      <c r="NNJ29" s="211"/>
      <c r="NNK29" s="211"/>
      <c r="NNL29" s="211"/>
      <c r="NNM29" s="211"/>
      <c r="NNN29" s="211"/>
      <c r="NNO29" s="211"/>
      <c r="NNP29" s="211"/>
      <c r="NNQ29" s="211"/>
      <c r="NNR29" s="211"/>
      <c r="NNS29" s="211"/>
      <c r="NNT29" s="211"/>
      <c r="NNU29" s="211"/>
      <c r="NNV29" s="211"/>
      <c r="NNW29" s="211"/>
      <c r="NNX29" s="211"/>
      <c r="NNY29" s="211"/>
      <c r="NNZ29" s="211"/>
      <c r="NOA29" s="211"/>
      <c r="NOB29" s="211"/>
      <c r="NOC29" s="211"/>
      <c r="NOD29" s="211"/>
      <c r="NOE29" s="211"/>
      <c r="NOF29" s="211"/>
      <c r="NOG29" s="211"/>
      <c r="NOH29" s="211"/>
      <c r="NOI29" s="211"/>
      <c r="NOJ29" s="211"/>
      <c r="NOK29" s="211"/>
      <c r="NOL29" s="211"/>
      <c r="NOM29" s="211"/>
      <c r="NON29" s="211"/>
      <c r="NOO29" s="211"/>
      <c r="NOP29" s="211"/>
      <c r="NOQ29" s="211"/>
      <c r="NOR29" s="211"/>
      <c r="NOS29" s="211"/>
      <c r="NOT29" s="211"/>
      <c r="NOU29" s="211"/>
      <c r="NOV29" s="211"/>
      <c r="NOW29" s="211"/>
      <c r="NOX29" s="211"/>
      <c r="NOY29" s="211"/>
      <c r="NOZ29" s="211"/>
      <c r="NPA29" s="211"/>
      <c r="NPB29" s="211"/>
      <c r="NPC29" s="211"/>
      <c r="NPD29" s="211"/>
      <c r="NPE29" s="211"/>
      <c r="NPF29" s="211"/>
      <c r="NPG29" s="211"/>
      <c r="NPH29" s="211"/>
      <c r="NPI29" s="211"/>
      <c r="NPJ29" s="211"/>
      <c r="NPK29" s="211"/>
      <c r="NPL29" s="211"/>
      <c r="NPM29" s="211"/>
      <c r="NPN29" s="211"/>
      <c r="NPO29" s="211"/>
      <c r="NPP29" s="211"/>
      <c r="NPQ29" s="211"/>
      <c r="NPR29" s="211"/>
      <c r="NPS29" s="211"/>
      <c r="NPT29" s="211"/>
      <c r="NPU29" s="211"/>
      <c r="NPV29" s="211"/>
      <c r="NPW29" s="211"/>
      <c r="NPX29" s="211"/>
      <c r="NPY29" s="211"/>
      <c r="NPZ29" s="211"/>
      <c r="NQA29" s="211"/>
      <c r="NQB29" s="211"/>
      <c r="NQC29" s="211"/>
      <c r="NQD29" s="211"/>
      <c r="NQE29" s="211"/>
      <c r="NQF29" s="211"/>
      <c r="NQG29" s="211"/>
      <c r="NQH29" s="211"/>
      <c r="NQI29" s="211"/>
      <c r="NQJ29" s="211"/>
      <c r="NQK29" s="211"/>
      <c r="NQL29" s="211"/>
      <c r="NQM29" s="211"/>
      <c r="NQN29" s="211"/>
      <c r="NQO29" s="211"/>
      <c r="NQP29" s="211"/>
      <c r="NQQ29" s="211"/>
      <c r="NQR29" s="211"/>
      <c r="NQS29" s="211"/>
      <c r="NQT29" s="211"/>
      <c r="NQU29" s="211"/>
      <c r="NQV29" s="211"/>
      <c r="NQW29" s="211"/>
      <c r="NQX29" s="211"/>
      <c r="NQY29" s="211"/>
      <c r="NQZ29" s="211"/>
      <c r="NRA29" s="211"/>
      <c r="NRB29" s="211"/>
      <c r="NRC29" s="211"/>
      <c r="NRD29" s="211"/>
      <c r="NRE29" s="211"/>
      <c r="NRF29" s="211"/>
      <c r="NRG29" s="211"/>
      <c r="NRH29" s="211"/>
      <c r="NRI29" s="211"/>
      <c r="NRJ29" s="211"/>
      <c r="NRK29" s="211"/>
      <c r="NRL29" s="211"/>
      <c r="NRM29" s="211"/>
      <c r="NRN29" s="211"/>
      <c r="NRO29" s="211"/>
      <c r="NRP29" s="211"/>
      <c r="NRQ29" s="211"/>
      <c r="NRR29" s="211"/>
      <c r="NRS29" s="211"/>
      <c r="NRT29" s="211"/>
      <c r="NRU29" s="211"/>
      <c r="NRV29" s="211"/>
      <c r="NRW29" s="211"/>
      <c r="NRX29" s="211"/>
      <c r="NRY29" s="211"/>
      <c r="NRZ29" s="211"/>
      <c r="NSA29" s="211"/>
      <c r="NSB29" s="211"/>
      <c r="NSC29" s="211"/>
      <c r="NSD29" s="211"/>
      <c r="NSE29" s="211"/>
      <c r="NSF29" s="211"/>
      <c r="NSG29" s="211"/>
      <c r="NSH29" s="211"/>
      <c r="NSI29" s="211"/>
      <c r="NSJ29" s="211"/>
      <c r="NSK29" s="211"/>
      <c r="NSL29" s="211"/>
      <c r="NSM29" s="211"/>
      <c r="NSN29" s="211"/>
      <c r="NSO29" s="211"/>
      <c r="NSP29" s="211"/>
      <c r="NSQ29" s="211"/>
      <c r="NSR29" s="211"/>
      <c r="NSS29" s="211"/>
      <c r="NST29" s="211"/>
      <c r="NSU29" s="211"/>
      <c r="NSV29" s="211"/>
      <c r="NSW29" s="211"/>
      <c r="NSX29" s="211"/>
      <c r="NSY29" s="211"/>
      <c r="NSZ29" s="211"/>
      <c r="NTA29" s="211"/>
      <c r="NTB29" s="211"/>
      <c r="NTC29" s="211"/>
      <c r="NTD29" s="211"/>
      <c r="NTE29" s="211"/>
      <c r="NTF29" s="211"/>
      <c r="NTG29" s="211"/>
      <c r="NTH29" s="211"/>
      <c r="NTI29" s="211"/>
      <c r="NTJ29" s="211"/>
      <c r="NTK29" s="211"/>
      <c r="NTL29" s="211"/>
      <c r="NTM29" s="211"/>
      <c r="NTN29" s="211"/>
      <c r="NTO29" s="211"/>
      <c r="NTP29" s="211"/>
      <c r="NTQ29" s="211"/>
      <c r="NTR29" s="211"/>
      <c r="NTS29" s="211"/>
      <c r="NTT29" s="211"/>
      <c r="NTU29" s="211"/>
      <c r="NTV29" s="211"/>
      <c r="NTW29" s="211"/>
      <c r="NTX29" s="211"/>
      <c r="NTY29" s="211"/>
      <c r="NTZ29" s="211"/>
      <c r="NUA29" s="211"/>
      <c r="NUB29" s="211"/>
      <c r="NUC29" s="211"/>
      <c r="NUD29" s="211"/>
      <c r="NUE29" s="211"/>
      <c r="NUF29" s="211"/>
      <c r="NUG29" s="211"/>
      <c r="NUH29" s="211"/>
      <c r="NUI29" s="211"/>
      <c r="NUJ29" s="211"/>
      <c r="NUK29" s="211"/>
      <c r="NUL29" s="211"/>
      <c r="NUM29" s="211"/>
      <c r="NUN29" s="211"/>
      <c r="NUO29" s="211"/>
      <c r="NUP29" s="211"/>
      <c r="NUQ29" s="211"/>
      <c r="NUR29" s="211"/>
      <c r="NUS29" s="211"/>
      <c r="NUT29" s="211"/>
      <c r="NUU29" s="211"/>
      <c r="NUV29" s="211"/>
      <c r="NUW29" s="211"/>
      <c r="NUX29" s="211"/>
      <c r="NUY29" s="211"/>
      <c r="NUZ29" s="211"/>
      <c r="NVA29" s="211"/>
      <c r="NVB29" s="211"/>
      <c r="NVC29" s="211"/>
      <c r="NVD29" s="211"/>
      <c r="NVE29" s="211"/>
      <c r="NVF29" s="211"/>
      <c r="NVG29" s="211"/>
      <c r="NVH29" s="211"/>
      <c r="NVI29" s="211"/>
      <c r="NVJ29" s="211"/>
      <c r="NVK29" s="211"/>
      <c r="NVL29" s="211"/>
      <c r="NVM29" s="211"/>
      <c r="NVN29" s="211"/>
      <c r="NVO29" s="211"/>
      <c r="NVP29" s="211"/>
      <c r="NVQ29" s="211"/>
      <c r="NVR29" s="211"/>
      <c r="NVS29" s="211"/>
      <c r="NVT29" s="211"/>
      <c r="NVU29" s="211"/>
      <c r="NVV29" s="211"/>
      <c r="NVW29" s="211"/>
      <c r="NVX29" s="211"/>
      <c r="NVY29" s="211"/>
      <c r="NVZ29" s="211"/>
      <c r="NWA29" s="211"/>
      <c r="NWB29" s="211"/>
      <c r="NWC29" s="211"/>
      <c r="NWD29" s="211"/>
      <c r="NWE29" s="211"/>
      <c r="NWF29" s="211"/>
      <c r="NWG29" s="211"/>
      <c r="NWH29" s="211"/>
      <c r="NWI29" s="211"/>
      <c r="NWJ29" s="211"/>
      <c r="NWK29" s="211"/>
      <c r="NWL29" s="211"/>
      <c r="NWM29" s="211"/>
      <c r="NWN29" s="211"/>
      <c r="NWO29" s="211"/>
      <c r="NWP29" s="211"/>
      <c r="NWQ29" s="211"/>
      <c r="NWR29" s="211"/>
      <c r="NWS29" s="211"/>
      <c r="NWT29" s="211"/>
      <c r="NWU29" s="211"/>
      <c r="NWV29" s="211"/>
      <c r="NWW29" s="211"/>
      <c r="NWX29" s="211"/>
      <c r="NWY29" s="211"/>
      <c r="NWZ29" s="211"/>
      <c r="NXA29" s="211"/>
      <c r="NXB29" s="211"/>
      <c r="NXC29" s="211"/>
      <c r="NXD29" s="211"/>
      <c r="NXE29" s="211"/>
      <c r="NXF29" s="211"/>
      <c r="NXG29" s="211"/>
      <c r="NXH29" s="211"/>
      <c r="NXI29" s="211"/>
      <c r="NXJ29" s="211"/>
      <c r="NXK29" s="211"/>
      <c r="NXL29" s="211"/>
      <c r="NXM29" s="211"/>
      <c r="NXN29" s="211"/>
      <c r="NXO29" s="211"/>
      <c r="NXP29" s="211"/>
      <c r="NXQ29" s="211"/>
      <c r="NXR29" s="211"/>
      <c r="NXS29" s="211"/>
      <c r="NXT29" s="211"/>
      <c r="NXU29" s="211"/>
      <c r="NXV29" s="211"/>
      <c r="NXW29" s="211"/>
      <c r="NXX29" s="211"/>
      <c r="NXY29" s="211"/>
      <c r="NXZ29" s="211"/>
      <c r="NYA29" s="211"/>
      <c r="NYB29" s="211"/>
      <c r="NYC29" s="211"/>
      <c r="NYD29" s="211"/>
      <c r="NYE29" s="211"/>
      <c r="NYF29" s="211"/>
      <c r="NYG29" s="211"/>
      <c r="NYH29" s="211"/>
      <c r="NYI29" s="211"/>
      <c r="NYJ29" s="211"/>
      <c r="NYK29" s="211"/>
      <c r="NYL29" s="211"/>
      <c r="NYM29" s="211"/>
      <c r="NYN29" s="211"/>
      <c r="NYO29" s="211"/>
      <c r="NYP29" s="211"/>
      <c r="NYQ29" s="211"/>
      <c r="NYR29" s="211"/>
      <c r="NYS29" s="211"/>
      <c r="NYT29" s="211"/>
      <c r="NYU29" s="211"/>
      <c r="NYV29" s="211"/>
      <c r="NYW29" s="211"/>
      <c r="NYX29" s="211"/>
      <c r="NYY29" s="211"/>
      <c r="NYZ29" s="211"/>
      <c r="NZA29" s="211"/>
      <c r="NZB29" s="211"/>
      <c r="NZC29" s="211"/>
      <c r="NZD29" s="211"/>
      <c r="NZE29" s="211"/>
      <c r="NZF29" s="211"/>
      <c r="NZG29" s="211"/>
      <c r="NZH29" s="211"/>
      <c r="NZI29" s="211"/>
      <c r="NZJ29" s="211"/>
      <c r="NZK29" s="211"/>
      <c r="NZL29" s="211"/>
      <c r="NZM29" s="211"/>
      <c r="NZN29" s="211"/>
      <c r="NZO29" s="211"/>
      <c r="NZP29" s="211"/>
      <c r="NZQ29" s="211"/>
      <c r="NZR29" s="211"/>
      <c r="NZS29" s="211"/>
      <c r="NZT29" s="211"/>
      <c r="NZU29" s="211"/>
      <c r="NZV29" s="211"/>
      <c r="NZW29" s="211"/>
      <c r="NZX29" s="211"/>
      <c r="NZY29" s="211"/>
      <c r="NZZ29" s="211"/>
      <c r="OAA29" s="211"/>
      <c r="OAB29" s="211"/>
      <c r="OAC29" s="211"/>
      <c r="OAD29" s="211"/>
      <c r="OAE29" s="211"/>
      <c r="OAF29" s="211"/>
      <c r="OAG29" s="211"/>
      <c r="OAH29" s="211"/>
      <c r="OAI29" s="211"/>
      <c r="OAJ29" s="211"/>
      <c r="OAK29" s="211"/>
      <c r="OAL29" s="211"/>
      <c r="OAM29" s="211"/>
      <c r="OAN29" s="211"/>
      <c r="OAO29" s="211"/>
      <c r="OAP29" s="211"/>
      <c r="OAQ29" s="211"/>
      <c r="OAR29" s="211"/>
      <c r="OAS29" s="211"/>
      <c r="OAT29" s="211"/>
      <c r="OAU29" s="211"/>
      <c r="OAV29" s="211"/>
      <c r="OAW29" s="211"/>
      <c r="OAX29" s="211"/>
      <c r="OAY29" s="211"/>
      <c r="OAZ29" s="211"/>
      <c r="OBA29" s="211"/>
      <c r="OBB29" s="211"/>
      <c r="OBC29" s="211"/>
      <c r="OBD29" s="211"/>
      <c r="OBE29" s="211"/>
      <c r="OBF29" s="211"/>
      <c r="OBG29" s="211"/>
      <c r="OBH29" s="211"/>
      <c r="OBI29" s="211"/>
      <c r="OBJ29" s="211"/>
      <c r="OBK29" s="211"/>
      <c r="OBL29" s="211"/>
      <c r="OBM29" s="211"/>
      <c r="OBN29" s="211"/>
      <c r="OBO29" s="211"/>
      <c r="OBP29" s="211"/>
      <c r="OBQ29" s="211"/>
      <c r="OBR29" s="211"/>
      <c r="OBS29" s="211"/>
      <c r="OBT29" s="211"/>
      <c r="OBU29" s="211"/>
      <c r="OBV29" s="211"/>
      <c r="OBW29" s="211"/>
      <c r="OBX29" s="211"/>
      <c r="OBY29" s="211"/>
      <c r="OBZ29" s="211"/>
      <c r="OCA29" s="211"/>
      <c r="OCB29" s="211"/>
      <c r="OCC29" s="211"/>
      <c r="OCD29" s="211"/>
      <c r="OCE29" s="211"/>
      <c r="OCF29" s="211"/>
      <c r="OCG29" s="211"/>
      <c r="OCH29" s="211"/>
      <c r="OCI29" s="211"/>
      <c r="OCJ29" s="211"/>
      <c r="OCK29" s="211"/>
      <c r="OCL29" s="211"/>
      <c r="OCM29" s="211"/>
      <c r="OCN29" s="211"/>
      <c r="OCO29" s="211"/>
      <c r="OCP29" s="211"/>
      <c r="OCQ29" s="211"/>
      <c r="OCR29" s="211"/>
      <c r="OCS29" s="211"/>
      <c r="OCT29" s="211"/>
      <c r="OCU29" s="211"/>
      <c r="OCV29" s="211"/>
      <c r="OCW29" s="211"/>
      <c r="OCX29" s="211"/>
      <c r="OCY29" s="211"/>
      <c r="OCZ29" s="211"/>
      <c r="ODA29" s="211"/>
      <c r="ODB29" s="211"/>
      <c r="ODC29" s="211"/>
      <c r="ODD29" s="211"/>
      <c r="ODE29" s="211"/>
      <c r="ODF29" s="211"/>
      <c r="ODG29" s="211"/>
      <c r="ODH29" s="211"/>
      <c r="ODI29" s="211"/>
      <c r="ODJ29" s="211"/>
      <c r="ODK29" s="211"/>
      <c r="ODL29" s="211"/>
      <c r="ODM29" s="211"/>
      <c r="ODN29" s="211"/>
      <c r="ODO29" s="211"/>
      <c r="ODP29" s="211"/>
      <c r="ODQ29" s="211"/>
      <c r="ODR29" s="211"/>
      <c r="ODS29" s="211"/>
      <c r="ODT29" s="211"/>
      <c r="ODU29" s="211"/>
      <c r="ODV29" s="211"/>
      <c r="ODW29" s="211"/>
      <c r="ODX29" s="211"/>
      <c r="ODY29" s="211"/>
      <c r="ODZ29" s="211"/>
      <c r="OEA29" s="211"/>
      <c r="OEB29" s="211"/>
      <c r="OEC29" s="211"/>
      <c r="OED29" s="211"/>
      <c r="OEE29" s="211"/>
      <c r="OEF29" s="211"/>
      <c r="OEG29" s="211"/>
      <c r="OEH29" s="211"/>
      <c r="OEI29" s="211"/>
      <c r="OEJ29" s="211"/>
      <c r="OEK29" s="211"/>
      <c r="OEL29" s="211"/>
      <c r="OEM29" s="211"/>
      <c r="OEN29" s="211"/>
      <c r="OEO29" s="211"/>
      <c r="OEP29" s="211"/>
      <c r="OEQ29" s="211"/>
      <c r="OER29" s="211"/>
      <c r="OES29" s="211"/>
      <c r="OET29" s="211"/>
      <c r="OEU29" s="211"/>
      <c r="OEV29" s="211"/>
      <c r="OEW29" s="211"/>
      <c r="OEX29" s="211"/>
      <c r="OEY29" s="211"/>
      <c r="OEZ29" s="211"/>
      <c r="OFA29" s="211"/>
      <c r="OFB29" s="211"/>
      <c r="OFC29" s="211"/>
      <c r="OFD29" s="211"/>
      <c r="OFE29" s="211"/>
      <c r="OFF29" s="211"/>
      <c r="OFG29" s="211"/>
      <c r="OFH29" s="211"/>
      <c r="OFI29" s="211"/>
      <c r="OFJ29" s="211"/>
      <c r="OFK29" s="211"/>
      <c r="OFL29" s="211"/>
      <c r="OFM29" s="211"/>
      <c r="OFN29" s="211"/>
      <c r="OFO29" s="211"/>
      <c r="OFP29" s="211"/>
      <c r="OFQ29" s="211"/>
      <c r="OFR29" s="211"/>
      <c r="OFS29" s="211"/>
      <c r="OFT29" s="211"/>
      <c r="OFU29" s="211"/>
      <c r="OFV29" s="211"/>
      <c r="OFW29" s="211"/>
      <c r="OFX29" s="211"/>
      <c r="OFY29" s="211"/>
      <c r="OFZ29" s="211"/>
      <c r="OGA29" s="211"/>
      <c r="OGB29" s="211"/>
      <c r="OGC29" s="211"/>
      <c r="OGD29" s="211"/>
      <c r="OGE29" s="211"/>
      <c r="OGF29" s="211"/>
      <c r="OGG29" s="211"/>
      <c r="OGH29" s="211"/>
      <c r="OGI29" s="211"/>
      <c r="OGJ29" s="211"/>
      <c r="OGK29" s="211"/>
      <c r="OGL29" s="211"/>
      <c r="OGM29" s="211"/>
      <c r="OGN29" s="211"/>
      <c r="OGO29" s="211"/>
      <c r="OGP29" s="211"/>
      <c r="OGQ29" s="211"/>
      <c r="OGR29" s="211"/>
      <c r="OGS29" s="211"/>
      <c r="OGT29" s="211"/>
      <c r="OGU29" s="211"/>
      <c r="OGV29" s="211"/>
      <c r="OGW29" s="211"/>
      <c r="OGX29" s="211"/>
      <c r="OGY29" s="211"/>
      <c r="OGZ29" s="211"/>
      <c r="OHA29" s="211"/>
      <c r="OHB29" s="211"/>
      <c r="OHC29" s="211"/>
      <c r="OHD29" s="211"/>
      <c r="OHE29" s="211"/>
      <c r="OHF29" s="211"/>
      <c r="OHG29" s="211"/>
      <c r="OHH29" s="211"/>
      <c r="OHI29" s="211"/>
      <c r="OHJ29" s="211"/>
      <c r="OHK29" s="211"/>
      <c r="OHL29" s="211"/>
      <c r="OHM29" s="211"/>
      <c r="OHN29" s="211"/>
      <c r="OHO29" s="211"/>
      <c r="OHP29" s="211"/>
      <c r="OHQ29" s="211"/>
      <c r="OHR29" s="211"/>
      <c r="OHS29" s="211"/>
      <c r="OHT29" s="211"/>
      <c r="OHU29" s="211"/>
      <c r="OHV29" s="211"/>
      <c r="OHW29" s="211"/>
      <c r="OHX29" s="211"/>
      <c r="OHY29" s="211"/>
      <c r="OHZ29" s="211"/>
      <c r="OIA29" s="211"/>
      <c r="OIB29" s="211"/>
      <c r="OIC29" s="211"/>
      <c r="OID29" s="211"/>
      <c r="OIE29" s="211"/>
      <c r="OIF29" s="211"/>
      <c r="OIG29" s="211"/>
      <c r="OIH29" s="211"/>
      <c r="OII29" s="211"/>
      <c r="OIJ29" s="211"/>
      <c r="OIK29" s="211"/>
      <c r="OIL29" s="211"/>
      <c r="OIM29" s="211"/>
      <c r="OIN29" s="211"/>
      <c r="OIO29" s="211"/>
      <c r="OIP29" s="211"/>
      <c r="OIQ29" s="211"/>
      <c r="OIR29" s="211"/>
      <c r="OIS29" s="211"/>
      <c r="OIT29" s="211"/>
      <c r="OIU29" s="211"/>
      <c r="OIV29" s="211"/>
      <c r="OIW29" s="211"/>
      <c r="OIX29" s="211"/>
      <c r="OIY29" s="211"/>
      <c r="OIZ29" s="211"/>
      <c r="OJA29" s="211"/>
      <c r="OJB29" s="211"/>
      <c r="OJC29" s="211"/>
      <c r="OJD29" s="211"/>
      <c r="OJE29" s="211"/>
      <c r="OJF29" s="211"/>
      <c r="OJG29" s="211"/>
      <c r="OJH29" s="211"/>
      <c r="OJI29" s="211"/>
      <c r="OJJ29" s="211"/>
      <c r="OJK29" s="211"/>
      <c r="OJL29" s="211"/>
      <c r="OJM29" s="211"/>
      <c r="OJN29" s="211"/>
      <c r="OJO29" s="211"/>
      <c r="OJP29" s="211"/>
      <c r="OJQ29" s="211"/>
      <c r="OJR29" s="211"/>
      <c r="OJS29" s="211"/>
      <c r="OJT29" s="211"/>
      <c r="OJU29" s="211"/>
      <c r="OJV29" s="211"/>
      <c r="OJW29" s="211"/>
      <c r="OJX29" s="211"/>
      <c r="OJY29" s="211"/>
      <c r="OJZ29" s="211"/>
      <c r="OKA29" s="211"/>
      <c r="OKB29" s="211"/>
      <c r="OKC29" s="211"/>
      <c r="OKD29" s="211"/>
      <c r="OKE29" s="211"/>
      <c r="OKF29" s="211"/>
      <c r="OKG29" s="211"/>
      <c r="OKH29" s="211"/>
      <c r="OKI29" s="211"/>
      <c r="OKJ29" s="211"/>
      <c r="OKK29" s="211"/>
      <c r="OKL29" s="211"/>
      <c r="OKM29" s="211"/>
      <c r="OKN29" s="211"/>
      <c r="OKO29" s="211"/>
      <c r="OKP29" s="211"/>
      <c r="OKQ29" s="211"/>
      <c r="OKR29" s="211"/>
      <c r="OKS29" s="211"/>
      <c r="OKT29" s="211"/>
      <c r="OKU29" s="211"/>
      <c r="OKV29" s="211"/>
      <c r="OKW29" s="211"/>
      <c r="OKX29" s="211"/>
      <c r="OKY29" s="211"/>
      <c r="OKZ29" s="211"/>
      <c r="OLA29" s="211"/>
      <c r="OLB29" s="211"/>
      <c r="OLC29" s="211"/>
      <c r="OLD29" s="211"/>
      <c r="OLE29" s="211"/>
      <c r="OLF29" s="211"/>
      <c r="OLG29" s="211"/>
      <c r="OLH29" s="211"/>
      <c r="OLI29" s="211"/>
      <c r="OLJ29" s="211"/>
      <c r="OLK29" s="211"/>
      <c r="OLL29" s="211"/>
      <c r="OLM29" s="211"/>
      <c r="OLN29" s="211"/>
      <c r="OLO29" s="211"/>
      <c r="OLP29" s="211"/>
      <c r="OLQ29" s="211"/>
      <c r="OLR29" s="211"/>
      <c r="OLS29" s="211"/>
      <c r="OLT29" s="211"/>
      <c r="OLU29" s="211"/>
      <c r="OLV29" s="211"/>
      <c r="OLW29" s="211"/>
      <c r="OLX29" s="211"/>
      <c r="OLY29" s="211"/>
      <c r="OLZ29" s="211"/>
      <c r="OMA29" s="211"/>
      <c r="OMB29" s="211"/>
      <c r="OMC29" s="211"/>
      <c r="OMD29" s="211"/>
      <c r="OME29" s="211"/>
      <c r="OMF29" s="211"/>
      <c r="OMG29" s="211"/>
      <c r="OMH29" s="211"/>
      <c r="OMI29" s="211"/>
      <c r="OMJ29" s="211"/>
      <c r="OMK29" s="211"/>
      <c r="OML29" s="211"/>
      <c r="OMM29" s="211"/>
      <c r="OMN29" s="211"/>
      <c r="OMO29" s="211"/>
      <c r="OMP29" s="211"/>
      <c r="OMQ29" s="211"/>
      <c r="OMR29" s="211"/>
      <c r="OMS29" s="211"/>
      <c r="OMT29" s="211"/>
      <c r="OMU29" s="211"/>
      <c r="OMV29" s="211"/>
      <c r="OMW29" s="211"/>
      <c r="OMX29" s="211"/>
      <c r="OMY29" s="211"/>
      <c r="OMZ29" s="211"/>
      <c r="ONA29" s="211"/>
      <c r="ONB29" s="211"/>
      <c r="ONC29" s="211"/>
      <c r="OND29" s="211"/>
      <c r="ONE29" s="211"/>
      <c r="ONF29" s="211"/>
      <c r="ONG29" s="211"/>
      <c r="ONH29" s="211"/>
      <c r="ONI29" s="211"/>
      <c r="ONJ29" s="211"/>
      <c r="ONK29" s="211"/>
      <c r="ONL29" s="211"/>
      <c r="ONM29" s="211"/>
      <c r="ONN29" s="211"/>
      <c r="ONO29" s="211"/>
      <c r="ONP29" s="211"/>
      <c r="ONQ29" s="211"/>
      <c r="ONR29" s="211"/>
      <c r="ONS29" s="211"/>
      <c r="ONT29" s="211"/>
      <c r="ONU29" s="211"/>
      <c r="ONV29" s="211"/>
      <c r="ONW29" s="211"/>
      <c r="ONX29" s="211"/>
      <c r="ONY29" s="211"/>
      <c r="ONZ29" s="211"/>
      <c r="OOA29" s="211"/>
      <c r="OOB29" s="211"/>
      <c r="OOC29" s="211"/>
      <c r="OOD29" s="211"/>
      <c r="OOE29" s="211"/>
      <c r="OOF29" s="211"/>
      <c r="OOG29" s="211"/>
      <c r="OOH29" s="211"/>
      <c r="OOI29" s="211"/>
      <c r="OOJ29" s="211"/>
      <c r="OOK29" s="211"/>
      <c r="OOL29" s="211"/>
      <c r="OOM29" s="211"/>
      <c r="OON29" s="211"/>
      <c r="OOO29" s="211"/>
      <c r="OOP29" s="211"/>
      <c r="OOQ29" s="211"/>
      <c r="OOR29" s="211"/>
      <c r="OOS29" s="211"/>
      <c r="OOT29" s="211"/>
      <c r="OOU29" s="211"/>
      <c r="OOV29" s="211"/>
      <c r="OOW29" s="211"/>
      <c r="OOX29" s="211"/>
      <c r="OOY29" s="211"/>
      <c r="OOZ29" s="211"/>
      <c r="OPA29" s="211"/>
      <c r="OPB29" s="211"/>
      <c r="OPC29" s="211"/>
      <c r="OPD29" s="211"/>
      <c r="OPE29" s="211"/>
      <c r="OPF29" s="211"/>
      <c r="OPG29" s="211"/>
      <c r="OPH29" s="211"/>
      <c r="OPI29" s="211"/>
      <c r="OPJ29" s="211"/>
      <c r="OPK29" s="211"/>
      <c r="OPL29" s="211"/>
      <c r="OPM29" s="211"/>
      <c r="OPN29" s="211"/>
      <c r="OPO29" s="211"/>
      <c r="OPP29" s="211"/>
      <c r="OPQ29" s="211"/>
      <c r="OPR29" s="211"/>
      <c r="OPS29" s="211"/>
      <c r="OPT29" s="211"/>
      <c r="OPU29" s="211"/>
      <c r="OPV29" s="211"/>
      <c r="OPW29" s="211"/>
      <c r="OPX29" s="211"/>
      <c r="OPY29" s="211"/>
      <c r="OPZ29" s="211"/>
      <c r="OQA29" s="211"/>
      <c r="OQB29" s="211"/>
      <c r="OQC29" s="211"/>
      <c r="OQD29" s="211"/>
      <c r="OQE29" s="211"/>
      <c r="OQF29" s="211"/>
      <c r="OQG29" s="211"/>
      <c r="OQH29" s="211"/>
      <c r="OQI29" s="211"/>
      <c r="OQJ29" s="211"/>
      <c r="OQK29" s="211"/>
      <c r="OQL29" s="211"/>
      <c r="OQM29" s="211"/>
      <c r="OQN29" s="211"/>
      <c r="OQO29" s="211"/>
      <c r="OQP29" s="211"/>
      <c r="OQQ29" s="211"/>
      <c r="OQR29" s="211"/>
      <c r="OQS29" s="211"/>
      <c r="OQT29" s="211"/>
      <c r="OQU29" s="211"/>
      <c r="OQV29" s="211"/>
      <c r="OQW29" s="211"/>
      <c r="OQX29" s="211"/>
      <c r="OQY29" s="211"/>
      <c r="OQZ29" s="211"/>
      <c r="ORA29" s="211"/>
      <c r="ORB29" s="211"/>
      <c r="ORC29" s="211"/>
      <c r="ORD29" s="211"/>
      <c r="ORE29" s="211"/>
      <c r="ORF29" s="211"/>
      <c r="ORG29" s="211"/>
      <c r="ORH29" s="211"/>
      <c r="ORI29" s="211"/>
      <c r="ORJ29" s="211"/>
      <c r="ORK29" s="211"/>
      <c r="ORL29" s="211"/>
      <c r="ORM29" s="211"/>
      <c r="ORN29" s="211"/>
      <c r="ORO29" s="211"/>
      <c r="ORP29" s="211"/>
      <c r="ORQ29" s="211"/>
      <c r="ORR29" s="211"/>
      <c r="ORS29" s="211"/>
      <c r="ORT29" s="211"/>
      <c r="ORU29" s="211"/>
      <c r="ORV29" s="211"/>
      <c r="ORW29" s="211"/>
      <c r="ORX29" s="211"/>
      <c r="ORY29" s="211"/>
      <c r="ORZ29" s="211"/>
      <c r="OSA29" s="211"/>
      <c r="OSB29" s="211"/>
      <c r="OSC29" s="211"/>
      <c r="OSD29" s="211"/>
      <c r="OSE29" s="211"/>
      <c r="OSF29" s="211"/>
      <c r="OSG29" s="211"/>
      <c r="OSH29" s="211"/>
      <c r="OSI29" s="211"/>
      <c r="OSJ29" s="211"/>
      <c r="OSK29" s="211"/>
      <c r="OSL29" s="211"/>
      <c r="OSM29" s="211"/>
      <c r="OSN29" s="211"/>
      <c r="OSO29" s="211"/>
      <c r="OSP29" s="211"/>
      <c r="OSQ29" s="211"/>
      <c r="OSR29" s="211"/>
      <c r="OSS29" s="211"/>
      <c r="OST29" s="211"/>
      <c r="OSU29" s="211"/>
      <c r="OSV29" s="211"/>
      <c r="OSW29" s="211"/>
      <c r="OSX29" s="211"/>
      <c r="OSY29" s="211"/>
      <c r="OSZ29" s="211"/>
      <c r="OTA29" s="211"/>
      <c r="OTB29" s="211"/>
      <c r="OTC29" s="211"/>
      <c r="OTD29" s="211"/>
      <c r="OTE29" s="211"/>
      <c r="OTF29" s="211"/>
      <c r="OTG29" s="211"/>
      <c r="OTH29" s="211"/>
      <c r="OTI29" s="211"/>
      <c r="OTJ29" s="211"/>
      <c r="OTK29" s="211"/>
      <c r="OTL29" s="211"/>
      <c r="OTM29" s="211"/>
      <c r="OTN29" s="211"/>
      <c r="OTO29" s="211"/>
      <c r="OTP29" s="211"/>
      <c r="OTQ29" s="211"/>
      <c r="OTR29" s="211"/>
      <c r="OTS29" s="211"/>
      <c r="OTT29" s="211"/>
      <c r="OTU29" s="211"/>
      <c r="OTV29" s="211"/>
      <c r="OTW29" s="211"/>
      <c r="OTX29" s="211"/>
      <c r="OTY29" s="211"/>
      <c r="OTZ29" s="211"/>
      <c r="OUA29" s="211"/>
      <c r="OUB29" s="211"/>
      <c r="OUC29" s="211"/>
      <c r="OUD29" s="211"/>
      <c r="OUE29" s="211"/>
      <c r="OUF29" s="211"/>
      <c r="OUG29" s="211"/>
      <c r="OUH29" s="211"/>
      <c r="OUI29" s="211"/>
      <c r="OUJ29" s="211"/>
      <c r="OUK29" s="211"/>
      <c r="OUL29" s="211"/>
      <c r="OUM29" s="211"/>
      <c r="OUN29" s="211"/>
      <c r="OUO29" s="211"/>
      <c r="OUP29" s="211"/>
      <c r="OUQ29" s="211"/>
      <c r="OUR29" s="211"/>
      <c r="OUS29" s="211"/>
      <c r="OUT29" s="211"/>
      <c r="OUU29" s="211"/>
      <c r="OUV29" s="211"/>
      <c r="OUW29" s="211"/>
      <c r="OUX29" s="211"/>
      <c r="OUY29" s="211"/>
      <c r="OUZ29" s="211"/>
      <c r="OVA29" s="211"/>
      <c r="OVB29" s="211"/>
      <c r="OVC29" s="211"/>
      <c r="OVD29" s="211"/>
      <c r="OVE29" s="211"/>
      <c r="OVF29" s="211"/>
      <c r="OVG29" s="211"/>
      <c r="OVH29" s="211"/>
      <c r="OVI29" s="211"/>
      <c r="OVJ29" s="211"/>
      <c r="OVK29" s="211"/>
      <c r="OVL29" s="211"/>
      <c r="OVM29" s="211"/>
      <c r="OVN29" s="211"/>
      <c r="OVO29" s="211"/>
      <c r="OVP29" s="211"/>
      <c r="OVQ29" s="211"/>
      <c r="OVR29" s="211"/>
      <c r="OVS29" s="211"/>
      <c r="OVT29" s="211"/>
      <c r="OVU29" s="211"/>
      <c r="OVV29" s="211"/>
      <c r="OVW29" s="211"/>
      <c r="OVX29" s="211"/>
      <c r="OVY29" s="211"/>
      <c r="OVZ29" s="211"/>
      <c r="OWA29" s="211"/>
      <c r="OWB29" s="211"/>
      <c r="OWC29" s="211"/>
      <c r="OWD29" s="211"/>
      <c r="OWE29" s="211"/>
      <c r="OWF29" s="211"/>
      <c r="OWG29" s="211"/>
      <c r="OWH29" s="211"/>
      <c r="OWI29" s="211"/>
      <c r="OWJ29" s="211"/>
      <c r="OWK29" s="211"/>
      <c r="OWL29" s="211"/>
      <c r="OWM29" s="211"/>
      <c r="OWN29" s="211"/>
      <c r="OWO29" s="211"/>
      <c r="OWP29" s="211"/>
      <c r="OWQ29" s="211"/>
      <c r="OWR29" s="211"/>
      <c r="OWS29" s="211"/>
      <c r="OWT29" s="211"/>
      <c r="OWU29" s="211"/>
      <c r="OWV29" s="211"/>
      <c r="OWW29" s="211"/>
      <c r="OWX29" s="211"/>
      <c r="OWY29" s="211"/>
      <c r="OWZ29" s="211"/>
      <c r="OXA29" s="211"/>
      <c r="OXB29" s="211"/>
      <c r="OXC29" s="211"/>
      <c r="OXD29" s="211"/>
      <c r="OXE29" s="211"/>
      <c r="OXF29" s="211"/>
      <c r="OXG29" s="211"/>
      <c r="OXH29" s="211"/>
      <c r="OXI29" s="211"/>
      <c r="OXJ29" s="211"/>
      <c r="OXK29" s="211"/>
      <c r="OXL29" s="211"/>
      <c r="OXM29" s="211"/>
      <c r="OXN29" s="211"/>
      <c r="OXO29" s="211"/>
      <c r="OXP29" s="211"/>
      <c r="OXQ29" s="211"/>
      <c r="OXR29" s="211"/>
      <c r="OXS29" s="211"/>
      <c r="OXT29" s="211"/>
      <c r="OXU29" s="211"/>
      <c r="OXV29" s="211"/>
      <c r="OXW29" s="211"/>
      <c r="OXX29" s="211"/>
      <c r="OXY29" s="211"/>
      <c r="OXZ29" s="211"/>
      <c r="OYA29" s="211"/>
      <c r="OYB29" s="211"/>
      <c r="OYC29" s="211"/>
      <c r="OYD29" s="211"/>
      <c r="OYE29" s="211"/>
      <c r="OYF29" s="211"/>
      <c r="OYG29" s="211"/>
      <c r="OYH29" s="211"/>
      <c r="OYI29" s="211"/>
      <c r="OYJ29" s="211"/>
      <c r="OYK29" s="211"/>
      <c r="OYL29" s="211"/>
      <c r="OYM29" s="211"/>
      <c r="OYN29" s="211"/>
      <c r="OYO29" s="211"/>
      <c r="OYP29" s="211"/>
      <c r="OYQ29" s="211"/>
      <c r="OYR29" s="211"/>
      <c r="OYS29" s="211"/>
      <c r="OYT29" s="211"/>
      <c r="OYU29" s="211"/>
      <c r="OYV29" s="211"/>
      <c r="OYW29" s="211"/>
      <c r="OYX29" s="211"/>
      <c r="OYY29" s="211"/>
      <c r="OYZ29" s="211"/>
      <c r="OZA29" s="211"/>
      <c r="OZB29" s="211"/>
      <c r="OZC29" s="211"/>
      <c r="OZD29" s="211"/>
      <c r="OZE29" s="211"/>
      <c r="OZF29" s="211"/>
      <c r="OZG29" s="211"/>
      <c r="OZH29" s="211"/>
      <c r="OZI29" s="211"/>
      <c r="OZJ29" s="211"/>
      <c r="OZK29" s="211"/>
      <c r="OZL29" s="211"/>
      <c r="OZM29" s="211"/>
      <c r="OZN29" s="211"/>
      <c r="OZO29" s="211"/>
      <c r="OZP29" s="211"/>
      <c r="OZQ29" s="211"/>
      <c r="OZR29" s="211"/>
      <c r="OZS29" s="211"/>
      <c r="OZT29" s="211"/>
      <c r="OZU29" s="211"/>
      <c r="OZV29" s="211"/>
      <c r="OZW29" s="211"/>
      <c r="OZX29" s="211"/>
      <c r="OZY29" s="211"/>
      <c r="OZZ29" s="211"/>
      <c r="PAA29" s="211"/>
      <c r="PAB29" s="211"/>
      <c r="PAC29" s="211"/>
      <c r="PAD29" s="211"/>
      <c r="PAE29" s="211"/>
      <c r="PAF29" s="211"/>
      <c r="PAG29" s="211"/>
      <c r="PAH29" s="211"/>
      <c r="PAI29" s="211"/>
      <c r="PAJ29" s="211"/>
      <c r="PAK29" s="211"/>
      <c r="PAL29" s="211"/>
      <c r="PAM29" s="211"/>
      <c r="PAN29" s="211"/>
      <c r="PAO29" s="211"/>
      <c r="PAP29" s="211"/>
      <c r="PAQ29" s="211"/>
      <c r="PAR29" s="211"/>
      <c r="PAS29" s="211"/>
      <c r="PAT29" s="211"/>
      <c r="PAU29" s="211"/>
      <c r="PAV29" s="211"/>
      <c r="PAW29" s="211"/>
      <c r="PAX29" s="211"/>
      <c r="PAY29" s="211"/>
      <c r="PAZ29" s="211"/>
      <c r="PBA29" s="211"/>
      <c r="PBB29" s="211"/>
      <c r="PBC29" s="211"/>
      <c r="PBD29" s="211"/>
      <c r="PBE29" s="211"/>
      <c r="PBF29" s="211"/>
      <c r="PBG29" s="211"/>
      <c r="PBH29" s="211"/>
      <c r="PBI29" s="211"/>
      <c r="PBJ29" s="211"/>
      <c r="PBK29" s="211"/>
      <c r="PBL29" s="211"/>
      <c r="PBM29" s="211"/>
      <c r="PBN29" s="211"/>
      <c r="PBO29" s="211"/>
      <c r="PBP29" s="211"/>
      <c r="PBQ29" s="211"/>
      <c r="PBR29" s="211"/>
      <c r="PBS29" s="211"/>
      <c r="PBT29" s="211"/>
      <c r="PBU29" s="211"/>
      <c r="PBV29" s="211"/>
      <c r="PBW29" s="211"/>
      <c r="PBX29" s="211"/>
      <c r="PBY29" s="211"/>
      <c r="PBZ29" s="211"/>
      <c r="PCA29" s="211"/>
      <c r="PCB29" s="211"/>
      <c r="PCC29" s="211"/>
      <c r="PCD29" s="211"/>
      <c r="PCE29" s="211"/>
      <c r="PCF29" s="211"/>
      <c r="PCG29" s="211"/>
      <c r="PCH29" s="211"/>
      <c r="PCI29" s="211"/>
      <c r="PCJ29" s="211"/>
      <c r="PCK29" s="211"/>
      <c r="PCL29" s="211"/>
      <c r="PCM29" s="211"/>
      <c r="PCN29" s="211"/>
      <c r="PCO29" s="211"/>
      <c r="PCP29" s="211"/>
      <c r="PCQ29" s="211"/>
      <c r="PCR29" s="211"/>
      <c r="PCS29" s="211"/>
      <c r="PCT29" s="211"/>
      <c r="PCU29" s="211"/>
      <c r="PCV29" s="211"/>
      <c r="PCW29" s="211"/>
      <c r="PCX29" s="211"/>
      <c r="PCY29" s="211"/>
      <c r="PCZ29" s="211"/>
      <c r="PDA29" s="211"/>
      <c r="PDB29" s="211"/>
      <c r="PDC29" s="211"/>
      <c r="PDD29" s="211"/>
      <c r="PDE29" s="211"/>
      <c r="PDF29" s="211"/>
      <c r="PDG29" s="211"/>
      <c r="PDH29" s="211"/>
      <c r="PDI29" s="211"/>
      <c r="PDJ29" s="211"/>
      <c r="PDK29" s="211"/>
      <c r="PDL29" s="211"/>
      <c r="PDM29" s="211"/>
      <c r="PDN29" s="211"/>
      <c r="PDO29" s="211"/>
      <c r="PDP29" s="211"/>
      <c r="PDQ29" s="211"/>
      <c r="PDR29" s="211"/>
      <c r="PDS29" s="211"/>
      <c r="PDT29" s="211"/>
      <c r="PDU29" s="211"/>
      <c r="PDV29" s="211"/>
      <c r="PDW29" s="211"/>
      <c r="PDX29" s="211"/>
      <c r="PDY29" s="211"/>
      <c r="PDZ29" s="211"/>
      <c r="PEA29" s="211"/>
      <c r="PEB29" s="211"/>
      <c r="PEC29" s="211"/>
      <c r="PED29" s="211"/>
      <c r="PEE29" s="211"/>
      <c r="PEF29" s="211"/>
      <c r="PEG29" s="211"/>
      <c r="PEH29" s="211"/>
      <c r="PEI29" s="211"/>
      <c r="PEJ29" s="211"/>
      <c r="PEK29" s="211"/>
      <c r="PEL29" s="211"/>
      <c r="PEM29" s="211"/>
      <c r="PEN29" s="211"/>
      <c r="PEO29" s="211"/>
      <c r="PEP29" s="211"/>
      <c r="PEQ29" s="211"/>
      <c r="PER29" s="211"/>
      <c r="PES29" s="211"/>
      <c r="PET29" s="211"/>
      <c r="PEU29" s="211"/>
      <c r="PEV29" s="211"/>
      <c r="PEW29" s="211"/>
      <c r="PEX29" s="211"/>
      <c r="PEY29" s="211"/>
      <c r="PEZ29" s="211"/>
      <c r="PFA29" s="211"/>
      <c r="PFB29" s="211"/>
      <c r="PFC29" s="211"/>
      <c r="PFD29" s="211"/>
      <c r="PFE29" s="211"/>
      <c r="PFF29" s="211"/>
      <c r="PFG29" s="211"/>
      <c r="PFH29" s="211"/>
      <c r="PFI29" s="211"/>
      <c r="PFJ29" s="211"/>
      <c r="PFK29" s="211"/>
      <c r="PFL29" s="211"/>
      <c r="PFM29" s="211"/>
      <c r="PFN29" s="211"/>
      <c r="PFO29" s="211"/>
      <c r="PFP29" s="211"/>
      <c r="PFQ29" s="211"/>
      <c r="PFR29" s="211"/>
      <c r="PFS29" s="211"/>
      <c r="PFT29" s="211"/>
      <c r="PFU29" s="211"/>
      <c r="PFV29" s="211"/>
      <c r="PFW29" s="211"/>
      <c r="PFX29" s="211"/>
      <c r="PFY29" s="211"/>
      <c r="PFZ29" s="211"/>
      <c r="PGA29" s="211"/>
      <c r="PGB29" s="211"/>
      <c r="PGC29" s="211"/>
      <c r="PGD29" s="211"/>
      <c r="PGE29" s="211"/>
      <c r="PGF29" s="211"/>
      <c r="PGG29" s="211"/>
      <c r="PGH29" s="211"/>
      <c r="PGI29" s="211"/>
      <c r="PGJ29" s="211"/>
      <c r="PGK29" s="211"/>
      <c r="PGL29" s="211"/>
      <c r="PGM29" s="211"/>
      <c r="PGN29" s="211"/>
      <c r="PGO29" s="211"/>
      <c r="PGP29" s="211"/>
      <c r="PGQ29" s="211"/>
      <c r="PGR29" s="211"/>
      <c r="PGS29" s="211"/>
      <c r="PGT29" s="211"/>
      <c r="PGU29" s="211"/>
      <c r="PGV29" s="211"/>
      <c r="PGW29" s="211"/>
      <c r="PGX29" s="211"/>
      <c r="PGY29" s="211"/>
      <c r="PGZ29" s="211"/>
      <c r="PHA29" s="211"/>
      <c r="PHB29" s="211"/>
      <c r="PHC29" s="211"/>
      <c r="PHD29" s="211"/>
      <c r="PHE29" s="211"/>
      <c r="PHF29" s="211"/>
      <c r="PHG29" s="211"/>
      <c r="PHH29" s="211"/>
      <c r="PHI29" s="211"/>
      <c r="PHJ29" s="211"/>
      <c r="PHK29" s="211"/>
      <c r="PHL29" s="211"/>
      <c r="PHM29" s="211"/>
      <c r="PHN29" s="211"/>
      <c r="PHO29" s="211"/>
      <c r="PHP29" s="211"/>
      <c r="PHQ29" s="211"/>
      <c r="PHR29" s="211"/>
      <c r="PHS29" s="211"/>
      <c r="PHT29" s="211"/>
      <c r="PHU29" s="211"/>
      <c r="PHV29" s="211"/>
      <c r="PHW29" s="211"/>
      <c r="PHX29" s="211"/>
      <c r="PHY29" s="211"/>
      <c r="PHZ29" s="211"/>
      <c r="PIA29" s="211"/>
      <c r="PIB29" s="211"/>
      <c r="PIC29" s="211"/>
      <c r="PID29" s="211"/>
      <c r="PIE29" s="211"/>
      <c r="PIF29" s="211"/>
      <c r="PIG29" s="211"/>
      <c r="PIH29" s="211"/>
      <c r="PII29" s="211"/>
      <c r="PIJ29" s="211"/>
      <c r="PIK29" s="211"/>
      <c r="PIL29" s="211"/>
      <c r="PIM29" s="211"/>
      <c r="PIN29" s="211"/>
      <c r="PIO29" s="211"/>
      <c r="PIP29" s="211"/>
      <c r="PIQ29" s="211"/>
      <c r="PIR29" s="211"/>
      <c r="PIS29" s="211"/>
      <c r="PIT29" s="211"/>
      <c r="PIU29" s="211"/>
      <c r="PIV29" s="211"/>
      <c r="PIW29" s="211"/>
      <c r="PIX29" s="211"/>
      <c r="PIY29" s="211"/>
      <c r="PIZ29" s="211"/>
      <c r="PJA29" s="211"/>
      <c r="PJB29" s="211"/>
      <c r="PJC29" s="211"/>
      <c r="PJD29" s="211"/>
      <c r="PJE29" s="211"/>
      <c r="PJF29" s="211"/>
      <c r="PJG29" s="211"/>
      <c r="PJH29" s="211"/>
      <c r="PJI29" s="211"/>
      <c r="PJJ29" s="211"/>
      <c r="PJK29" s="211"/>
      <c r="PJL29" s="211"/>
      <c r="PJM29" s="211"/>
      <c r="PJN29" s="211"/>
      <c r="PJO29" s="211"/>
      <c r="PJP29" s="211"/>
      <c r="PJQ29" s="211"/>
      <c r="PJR29" s="211"/>
      <c r="PJS29" s="211"/>
      <c r="PJT29" s="211"/>
      <c r="PJU29" s="211"/>
      <c r="PJV29" s="211"/>
      <c r="PJW29" s="211"/>
      <c r="PJX29" s="211"/>
      <c r="PJY29" s="211"/>
      <c r="PJZ29" s="211"/>
      <c r="PKA29" s="211"/>
      <c r="PKB29" s="211"/>
      <c r="PKC29" s="211"/>
      <c r="PKD29" s="211"/>
      <c r="PKE29" s="211"/>
      <c r="PKF29" s="211"/>
      <c r="PKG29" s="211"/>
      <c r="PKH29" s="211"/>
      <c r="PKI29" s="211"/>
      <c r="PKJ29" s="211"/>
      <c r="PKK29" s="211"/>
      <c r="PKL29" s="211"/>
      <c r="PKM29" s="211"/>
      <c r="PKN29" s="211"/>
      <c r="PKO29" s="211"/>
      <c r="PKP29" s="211"/>
      <c r="PKQ29" s="211"/>
      <c r="PKR29" s="211"/>
      <c r="PKS29" s="211"/>
      <c r="PKT29" s="211"/>
      <c r="PKU29" s="211"/>
      <c r="PKV29" s="211"/>
      <c r="PKW29" s="211"/>
      <c r="PKX29" s="211"/>
      <c r="PKY29" s="211"/>
      <c r="PKZ29" s="211"/>
      <c r="PLA29" s="211"/>
      <c r="PLB29" s="211"/>
      <c r="PLC29" s="211"/>
      <c r="PLD29" s="211"/>
      <c r="PLE29" s="211"/>
      <c r="PLF29" s="211"/>
      <c r="PLG29" s="211"/>
      <c r="PLH29" s="211"/>
      <c r="PLI29" s="211"/>
      <c r="PLJ29" s="211"/>
      <c r="PLK29" s="211"/>
      <c r="PLL29" s="211"/>
      <c r="PLM29" s="211"/>
      <c r="PLN29" s="211"/>
      <c r="PLO29" s="211"/>
      <c r="PLP29" s="211"/>
      <c r="PLQ29" s="211"/>
      <c r="PLR29" s="211"/>
      <c r="PLS29" s="211"/>
      <c r="PLT29" s="211"/>
      <c r="PLU29" s="211"/>
      <c r="PLV29" s="211"/>
      <c r="PLW29" s="211"/>
      <c r="PLX29" s="211"/>
      <c r="PLY29" s="211"/>
      <c r="PLZ29" s="211"/>
      <c r="PMA29" s="211"/>
      <c r="PMB29" s="211"/>
      <c r="PMC29" s="211"/>
      <c r="PMD29" s="211"/>
      <c r="PME29" s="211"/>
      <c r="PMF29" s="211"/>
      <c r="PMG29" s="211"/>
      <c r="PMH29" s="211"/>
      <c r="PMI29" s="211"/>
      <c r="PMJ29" s="211"/>
      <c r="PMK29" s="211"/>
      <c r="PML29" s="211"/>
      <c r="PMM29" s="211"/>
      <c r="PMN29" s="211"/>
      <c r="PMO29" s="211"/>
      <c r="PMP29" s="211"/>
      <c r="PMQ29" s="211"/>
      <c r="PMR29" s="211"/>
      <c r="PMS29" s="211"/>
      <c r="PMT29" s="211"/>
      <c r="PMU29" s="211"/>
      <c r="PMV29" s="211"/>
      <c r="PMW29" s="211"/>
      <c r="PMX29" s="211"/>
      <c r="PMY29" s="211"/>
      <c r="PMZ29" s="211"/>
      <c r="PNA29" s="211"/>
      <c r="PNB29" s="211"/>
      <c r="PNC29" s="211"/>
      <c r="PND29" s="211"/>
      <c r="PNE29" s="211"/>
      <c r="PNF29" s="211"/>
      <c r="PNG29" s="211"/>
      <c r="PNH29" s="211"/>
      <c r="PNI29" s="211"/>
      <c r="PNJ29" s="211"/>
      <c r="PNK29" s="211"/>
      <c r="PNL29" s="211"/>
      <c r="PNM29" s="211"/>
      <c r="PNN29" s="211"/>
      <c r="PNO29" s="211"/>
      <c r="PNP29" s="211"/>
      <c r="PNQ29" s="211"/>
      <c r="PNR29" s="211"/>
      <c r="PNS29" s="211"/>
      <c r="PNT29" s="211"/>
      <c r="PNU29" s="211"/>
      <c r="PNV29" s="211"/>
      <c r="PNW29" s="211"/>
      <c r="PNX29" s="211"/>
      <c r="PNY29" s="211"/>
      <c r="PNZ29" s="211"/>
      <c r="POA29" s="211"/>
      <c r="POB29" s="211"/>
      <c r="POC29" s="211"/>
      <c r="POD29" s="211"/>
      <c r="POE29" s="211"/>
      <c r="POF29" s="211"/>
      <c r="POG29" s="211"/>
      <c r="POH29" s="211"/>
      <c r="POI29" s="211"/>
      <c r="POJ29" s="211"/>
      <c r="POK29" s="211"/>
      <c r="POL29" s="211"/>
      <c r="POM29" s="211"/>
      <c r="PON29" s="211"/>
      <c r="POO29" s="211"/>
      <c r="POP29" s="211"/>
      <c r="POQ29" s="211"/>
      <c r="POR29" s="211"/>
      <c r="POS29" s="211"/>
      <c r="POT29" s="211"/>
      <c r="POU29" s="211"/>
      <c r="POV29" s="211"/>
      <c r="POW29" s="211"/>
      <c r="POX29" s="211"/>
      <c r="POY29" s="211"/>
      <c r="POZ29" s="211"/>
      <c r="PPA29" s="211"/>
      <c r="PPB29" s="211"/>
      <c r="PPC29" s="211"/>
      <c r="PPD29" s="211"/>
      <c r="PPE29" s="211"/>
      <c r="PPF29" s="211"/>
      <c r="PPG29" s="211"/>
      <c r="PPH29" s="211"/>
      <c r="PPI29" s="211"/>
      <c r="PPJ29" s="211"/>
      <c r="PPK29" s="211"/>
      <c r="PPL29" s="211"/>
      <c r="PPM29" s="211"/>
      <c r="PPN29" s="211"/>
      <c r="PPO29" s="211"/>
      <c r="PPP29" s="211"/>
      <c r="PPQ29" s="211"/>
      <c r="PPR29" s="211"/>
      <c r="PPS29" s="211"/>
      <c r="PPT29" s="211"/>
      <c r="PPU29" s="211"/>
      <c r="PPV29" s="211"/>
      <c r="PPW29" s="211"/>
      <c r="PPX29" s="211"/>
      <c r="PPY29" s="211"/>
      <c r="PPZ29" s="211"/>
      <c r="PQA29" s="211"/>
      <c r="PQB29" s="211"/>
      <c r="PQC29" s="211"/>
      <c r="PQD29" s="211"/>
      <c r="PQE29" s="211"/>
      <c r="PQF29" s="211"/>
      <c r="PQG29" s="211"/>
      <c r="PQH29" s="211"/>
      <c r="PQI29" s="211"/>
      <c r="PQJ29" s="211"/>
      <c r="PQK29" s="211"/>
      <c r="PQL29" s="211"/>
      <c r="PQM29" s="211"/>
      <c r="PQN29" s="211"/>
      <c r="PQO29" s="211"/>
      <c r="PQP29" s="211"/>
      <c r="PQQ29" s="211"/>
      <c r="PQR29" s="211"/>
      <c r="PQS29" s="211"/>
      <c r="PQT29" s="211"/>
      <c r="PQU29" s="211"/>
      <c r="PQV29" s="211"/>
      <c r="PQW29" s="211"/>
      <c r="PQX29" s="211"/>
      <c r="PQY29" s="211"/>
      <c r="PQZ29" s="211"/>
      <c r="PRA29" s="211"/>
      <c r="PRB29" s="211"/>
      <c r="PRC29" s="211"/>
      <c r="PRD29" s="211"/>
      <c r="PRE29" s="211"/>
      <c r="PRF29" s="211"/>
      <c r="PRG29" s="211"/>
      <c r="PRH29" s="211"/>
      <c r="PRI29" s="211"/>
      <c r="PRJ29" s="211"/>
      <c r="PRK29" s="211"/>
      <c r="PRL29" s="211"/>
      <c r="PRM29" s="211"/>
      <c r="PRN29" s="211"/>
      <c r="PRO29" s="211"/>
      <c r="PRP29" s="211"/>
      <c r="PRQ29" s="211"/>
      <c r="PRR29" s="211"/>
      <c r="PRS29" s="211"/>
      <c r="PRT29" s="211"/>
      <c r="PRU29" s="211"/>
      <c r="PRV29" s="211"/>
      <c r="PRW29" s="211"/>
      <c r="PRX29" s="211"/>
      <c r="PRY29" s="211"/>
      <c r="PRZ29" s="211"/>
      <c r="PSA29" s="211"/>
      <c r="PSB29" s="211"/>
      <c r="PSC29" s="211"/>
      <c r="PSD29" s="211"/>
      <c r="PSE29" s="211"/>
      <c r="PSF29" s="211"/>
      <c r="PSG29" s="211"/>
      <c r="PSH29" s="211"/>
      <c r="PSI29" s="211"/>
      <c r="PSJ29" s="211"/>
      <c r="PSK29" s="211"/>
      <c r="PSL29" s="211"/>
      <c r="PSM29" s="211"/>
      <c r="PSN29" s="211"/>
      <c r="PSO29" s="211"/>
      <c r="PSP29" s="211"/>
      <c r="PSQ29" s="211"/>
      <c r="PSR29" s="211"/>
      <c r="PSS29" s="211"/>
      <c r="PST29" s="211"/>
      <c r="PSU29" s="211"/>
      <c r="PSV29" s="211"/>
      <c r="PSW29" s="211"/>
      <c r="PSX29" s="211"/>
      <c r="PSY29" s="211"/>
      <c r="PSZ29" s="211"/>
      <c r="PTA29" s="211"/>
      <c r="PTB29" s="211"/>
      <c r="PTC29" s="211"/>
      <c r="PTD29" s="211"/>
      <c r="PTE29" s="211"/>
      <c r="PTF29" s="211"/>
      <c r="PTG29" s="211"/>
      <c r="PTH29" s="211"/>
      <c r="PTI29" s="211"/>
      <c r="PTJ29" s="211"/>
      <c r="PTK29" s="211"/>
      <c r="PTL29" s="211"/>
      <c r="PTM29" s="211"/>
      <c r="PTN29" s="211"/>
      <c r="PTO29" s="211"/>
      <c r="PTP29" s="211"/>
      <c r="PTQ29" s="211"/>
      <c r="PTR29" s="211"/>
      <c r="PTS29" s="211"/>
      <c r="PTT29" s="211"/>
      <c r="PTU29" s="211"/>
      <c r="PTV29" s="211"/>
      <c r="PTW29" s="211"/>
      <c r="PTX29" s="211"/>
      <c r="PTY29" s="211"/>
      <c r="PTZ29" s="211"/>
      <c r="PUA29" s="211"/>
      <c r="PUB29" s="211"/>
      <c r="PUC29" s="211"/>
      <c r="PUD29" s="211"/>
      <c r="PUE29" s="211"/>
      <c r="PUF29" s="211"/>
      <c r="PUG29" s="211"/>
      <c r="PUH29" s="211"/>
      <c r="PUI29" s="211"/>
      <c r="PUJ29" s="211"/>
      <c r="PUK29" s="211"/>
      <c r="PUL29" s="211"/>
      <c r="PUM29" s="211"/>
      <c r="PUN29" s="211"/>
      <c r="PUO29" s="211"/>
      <c r="PUP29" s="211"/>
      <c r="PUQ29" s="211"/>
      <c r="PUR29" s="211"/>
      <c r="PUS29" s="211"/>
      <c r="PUT29" s="211"/>
      <c r="PUU29" s="211"/>
      <c r="PUV29" s="211"/>
      <c r="PUW29" s="211"/>
      <c r="PUX29" s="211"/>
      <c r="PUY29" s="211"/>
      <c r="PUZ29" s="211"/>
      <c r="PVA29" s="211"/>
      <c r="PVB29" s="211"/>
      <c r="PVC29" s="211"/>
      <c r="PVD29" s="211"/>
      <c r="PVE29" s="211"/>
      <c r="PVF29" s="211"/>
      <c r="PVG29" s="211"/>
      <c r="PVH29" s="211"/>
      <c r="PVI29" s="211"/>
      <c r="PVJ29" s="211"/>
      <c r="PVK29" s="211"/>
      <c r="PVL29" s="211"/>
      <c r="PVM29" s="211"/>
      <c r="PVN29" s="211"/>
      <c r="PVO29" s="211"/>
      <c r="PVP29" s="211"/>
      <c r="PVQ29" s="211"/>
      <c r="PVR29" s="211"/>
      <c r="PVS29" s="211"/>
      <c r="PVT29" s="211"/>
      <c r="PVU29" s="211"/>
      <c r="PVV29" s="211"/>
      <c r="PVW29" s="211"/>
      <c r="PVX29" s="211"/>
      <c r="PVY29" s="211"/>
      <c r="PVZ29" s="211"/>
      <c r="PWA29" s="211"/>
      <c r="PWB29" s="211"/>
      <c r="PWC29" s="211"/>
      <c r="PWD29" s="211"/>
      <c r="PWE29" s="211"/>
      <c r="PWF29" s="211"/>
      <c r="PWG29" s="211"/>
      <c r="PWH29" s="211"/>
      <c r="PWI29" s="211"/>
      <c r="PWJ29" s="211"/>
      <c r="PWK29" s="211"/>
      <c r="PWL29" s="211"/>
      <c r="PWM29" s="211"/>
      <c r="PWN29" s="211"/>
      <c r="PWO29" s="211"/>
      <c r="PWP29" s="211"/>
      <c r="PWQ29" s="211"/>
      <c r="PWR29" s="211"/>
      <c r="PWS29" s="211"/>
      <c r="PWT29" s="211"/>
      <c r="PWU29" s="211"/>
      <c r="PWV29" s="211"/>
      <c r="PWW29" s="211"/>
      <c r="PWX29" s="211"/>
      <c r="PWY29" s="211"/>
      <c r="PWZ29" s="211"/>
      <c r="PXA29" s="211"/>
      <c r="PXB29" s="211"/>
      <c r="PXC29" s="211"/>
      <c r="PXD29" s="211"/>
      <c r="PXE29" s="211"/>
      <c r="PXF29" s="211"/>
      <c r="PXG29" s="211"/>
      <c r="PXH29" s="211"/>
      <c r="PXI29" s="211"/>
      <c r="PXJ29" s="211"/>
      <c r="PXK29" s="211"/>
      <c r="PXL29" s="211"/>
      <c r="PXM29" s="211"/>
      <c r="PXN29" s="211"/>
      <c r="PXO29" s="211"/>
      <c r="PXP29" s="211"/>
      <c r="PXQ29" s="211"/>
      <c r="PXR29" s="211"/>
      <c r="PXS29" s="211"/>
      <c r="PXT29" s="211"/>
      <c r="PXU29" s="211"/>
      <c r="PXV29" s="211"/>
      <c r="PXW29" s="211"/>
      <c r="PXX29" s="211"/>
      <c r="PXY29" s="211"/>
      <c r="PXZ29" s="211"/>
      <c r="PYA29" s="211"/>
      <c r="PYB29" s="211"/>
      <c r="PYC29" s="211"/>
      <c r="PYD29" s="211"/>
      <c r="PYE29" s="211"/>
      <c r="PYF29" s="211"/>
      <c r="PYG29" s="211"/>
      <c r="PYH29" s="211"/>
      <c r="PYI29" s="211"/>
      <c r="PYJ29" s="211"/>
      <c r="PYK29" s="211"/>
      <c r="PYL29" s="211"/>
      <c r="PYM29" s="211"/>
      <c r="PYN29" s="211"/>
      <c r="PYO29" s="211"/>
      <c r="PYP29" s="211"/>
      <c r="PYQ29" s="211"/>
      <c r="PYR29" s="211"/>
      <c r="PYS29" s="211"/>
      <c r="PYT29" s="211"/>
      <c r="PYU29" s="211"/>
      <c r="PYV29" s="211"/>
      <c r="PYW29" s="211"/>
      <c r="PYX29" s="211"/>
      <c r="PYY29" s="211"/>
      <c r="PYZ29" s="211"/>
      <c r="PZA29" s="211"/>
      <c r="PZB29" s="211"/>
      <c r="PZC29" s="211"/>
      <c r="PZD29" s="211"/>
      <c r="PZE29" s="211"/>
      <c r="PZF29" s="211"/>
      <c r="PZG29" s="211"/>
      <c r="PZH29" s="211"/>
      <c r="PZI29" s="211"/>
      <c r="PZJ29" s="211"/>
      <c r="PZK29" s="211"/>
      <c r="PZL29" s="211"/>
      <c r="PZM29" s="211"/>
      <c r="PZN29" s="211"/>
      <c r="PZO29" s="211"/>
      <c r="PZP29" s="211"/>
      <c r="PZQ29" s="211"/>
      <c r="PZR29" s="211"/>
      <c r="PZS29" s="211"/>
      <c r="PZT29" s="211"/>
      <c r="PZU29" s="211"/>
      <c r="PZV29" s="211"/>
      <c r="PZW29" s="211"/>
      <c r="PZX29" s="211"/>
      <c r="PZY29" s="211"/>
      <c r="PZZ29" s="211"/>
      <c r="QAA29" s="211"/>
      <c r="QAB29" s="211"/>
      <c r="QAC29" s="211"/>
      <c r="QAD29" s="211"/>
      <c r="QAE29" s="211"/>
      <c r="QAF29" s="211"/>
      <c r="QAG29" s="211"/>
      <c r="QAH29" s="211"/>
      <c r="QAI29" s="211"/>
      <c r="QAJ29" s="211"/>
      <c r="QAK29" s="211"/>
      <c r="QAL29" s="211"/>
      <c r="QAM29" s="211"/>
      <c r="QAN29" s="211"/>
      <c r="QAO29" s="211"/>
      <c r="QAP29" s="211"/>
      <c r="QAQ29" s="211"/>
      <c r="QAR29" s="211"/>
      <c r="QAS29" s="211"/>
      <c r="QAT29" s="211"/>
      <c r="QAU29" s="211"/>
      <c r="QAV29" s="211"/>
      <c r="QAW29" s="211"/>
      <c r="QAX29" s="211"/>
      <c r="QAY29" s="211"/>
      <c r="QAZ29" s="211"/>
      <c r="QBA29" s="211"/>
      <c r="QBB29" s="211"/>
      <c r="QBC29" s="211"/>
      <c r="QBD29" s="211"/>
      <c r="QBE29" s="211"/>
      <c r="QBF29" s="211"/>
      <c r="QBG29" s="211"/>
      <c r="QBH29" s="211"/>
      <c r="QBI29" s="211"/>
      <c r="QBJ29" s="211"/>
      <c r="QBK29" s="211"/>
      <c r="QBL29" s="211"/>
      <c r="QBM29" s="211"/>
      <c r="QBN29" s="211"/>
      <c r="QBO29" s="211"/>
      <c r="QBP29" s="211"/>
      <c r="QBQ29" s="211"/>
      <c r="QBR29" s="211"/>
      <c r="QBS29" s="211"/>
      <c r="QBT29" s="211"/>
      <c r="QBU29" s="211"/>
      <c r="QBV29" s="211"/>
      <c r="QBW29" s="211"/>
      <c r="QBX29" s="211"/>
      <c r="QBY29" s="211"/>
      <c r="QBZ29" s="211"/>
      <c r="QCA29" s="211"/>
      <c r="QCB29" s="211"/>
      <c r="QCC29" s="211"/>
      <c r="QCD29" s="211"/>
      <c r="QCE29" s="211"/>
      <c r="QCF29" s="211"/>
      <c r="QCG29" s="211"/>
      <c r="QCH29" s="211"/>
      <c r="QCI29" s="211"/>
      <c r="QCJ29" s="211"/>
      <c r="QCK29" s="211"/>
      <c r="QCL29" s="211"/>
      <c r="QCM29" s="211"/>
      <c r="QCN29" s="211"/>
      <c r="QCO29" s="211"/>
      <c r="QCP29" s="211"/>
      <c r="QCQ29" s="211"/>
      <c r="QCR29" s="211"/>
      <c r="QCS29" s="211"/>
      <c r="QCT29" s="211"/>
      <c r="QCU29" s="211"/>
      <c r="QCV29" s="211"/>
      <c r="QCW29" s="211"/>
      <c r="QCX29" s="211"/>
      <c r="QCY29" s="211"/>
      <c r="QCZ29" s="211"/>
      <c r="QDA29" s="211"/>
      <c r="QDB29" s="211"/>
      <c r="QDC29" s="211"/>
      <c r="QDD29" s="211"/>
      <c r="QDE29" s="211"/>
      <c r="QDF29" s="211"/>
      <c r="QDG29" s="211"/>
      <c r="QDH29" s="211"/>
      <c r="QDI29" s="211"/>
      <c r="QDJ29" s="211"/>
      <c r="QDK29" s="211"/>
      <c r="QDL29" s="211"/>
      <c r="QDM29" s="211"/>
      <c r="QDN29" s="211"/>
      <c r="QDO29" s="211"/>
      <c r="QDP29" s="211"/>
      <c r="QDQ29" s="211"/>
      <c r="QDR29" s="211"/>
      <c r="QDS29" s="211"/>
      <c r="QDT29" s="211"/>
      <c r="QDU29" s="211"/>
      <c r="QDV29" s="211"/>
      <c r="QDW29" s="211"/>
      <c r="QDX29" s="211"/>
      <c r="QDY29" s="211"/>
      <c r="QDZ29" s="211"/>
      <c r="QEA29" s="211"/>
      <c r="QEB29" s="211"/>
      <c r="QEC29" s="211"/>
      <c r="QED29" s="211"/>
      <c r="QEE29" s="211"/>
      <c r="QEF29" s="211"/>
      <c r="QEG29" s="211"/>
      <c r="QEH29" s="211"/>
      <c r="QEI29" s="211"/>
      <c r="QEJ29" s="211"/>
      <c r="QEK29" s="211"/>
      <c r="QEL29" s="211"/>
      <c r="QEM29" s="211"/>
      <c r="QEN29" s="211"/>
      <c r="QEO29" s="211"/>
      <c r="QEP29" s="211"/>
      <c r="QEQ29" s="211"/>
      <c r="QER29" s="211"/>
      <c r="QES29" s="211"/>
      <c r="QET29" s="211"/>
      <c r="QEU29" s="211"/>
      <c r="QEV29" s="211"/>
      <c r="QEW29" s="211"/>
      <c r="QEX29" s="211"/>
      <c r="QEY29" s="211"/>
      <c r="QEZ29" s="211"/>
      <c r="QFA29" s="211"/>
      <c r="QFB29" s="211"/>
      <c r="QFC29" s="211"/>
      <c r="QFD29" s="211"/>
      <c r="QFE29" s="211"/>
      <c r="QFF29" s="211"/>
      <c r="QFG29" s="211"/>
      <c r="QFH29" s="211"/>
      <c r="QFI29" s="211"/>
      <c r="QFJ29" s="211"/>
      <c r="QFK29" s="211"/>
      <c r="QFL29" s="211"/>
      <c r="QFM29" s="211"/>
      <c r="QFN29" s="211"/>
      <c r="QFO29" s="211"/>
      <c r="QFP29" s="211"/>
      <c r="QFQ29" s="211"/>
      <c r="QFR29" s="211"/>
      <c r="QFS29" s="211"/>
      <c r="QFT29" s="211"/>
      <c r="QFU29" s="211"/>
      <c r="QFV29" s="211"/>
      <c r="QFW29" s="211"/>
      <c r="QFX29" s="211"/>
      <c r="QFY29" s="211"/>
      <c r="QFZ29" s="211"/>
      <c r="QGA29" s="211"/>
      <c r="QGB29" s="211"/>
      <c r="QGC29" s="211"/>
      <c r="QGD29" s="211"/>
      <c r="QGE29" s="211"/>
      <c r="QGF29" s="211"/>
      <c r="QGG29" s="211"/>
      <c r="QGH29" s="211"/>
      <c r="QGI29" s="211"/>
      <c r="QGJ29" s="211"/>
      <c r="QGK29" s="211"/>
      <c r="QGL29" s="211"/>
      <c r="QGM29" s="211"/>
      <c r="QGN29" s="211"/>
      <c r="QGO29" s="211"/>
      <c r="QGP29" s="211"/>
      <c r="QGQ29" s="211"/>
      <c r="QGR29" s="211"/>
      <c r="QGS29" s="211"/>
      <c r="QGT29" s="211"/>
      <c r="QGU29" s="211"/>
      <c r="QGV29" s="211"/>
      <c r="QGW29" s="211"/>
      <c r="QGX29" s="211"/>
      <c r="QGY29" s="211"/>
      <c r="QGZ29" s="211"/>
      <c r="QHA29" s="211"/>
      <c r="QHB29" s="211"/>
      <c r="QHC29" s="211"/>
      <c r="QHD29" s="211"/>
      <c r="QHE29" s="211"/>
      <c r="QHF29" s="211"/>
      <c r="QHG29" s="211"/>
      <c r="QHH29" s="211"/>
      <c r="QHI29" s="211"/>
      <c r="QHJ29" s="211"/>
      <c r="QHK29" s="211"/>
      <c r="QHL29" s="211"/>
      <c r="QHM29" s="211"/>
      <c r="QHN29" s="211"/>
      <c r="QHO29" s="211"/>
      <c r="QHP29" s="211"/>
      <c r="QHQ29" s="211"/>
      <c r="QHR29" s="211"/>
      <c r="QHS29" s="211"/>
      <c r="QHT29" s="211"/>
      <c r="QHU29" s="211"/>
      <c r="QHV29" s="211"/>
      <c r="QHW29" s="211"/>
      <c r="QHX29" s="211"/>
      <c r="QHY29" s="211"/>
      <c r="QHZ29" s="211"/>
      <c r="QIA29" s="211"/>
      <c r="QIB29" s="211"/>
      <c r="QIC29" s="211"/>
      <c r="QID29" s="211"/>
      <c r="QIE29" s="211"/>
      <c r="QIF29" s="211"/>
      <c r="QIG29" s="211"/>
      <c r="QIH29" s="211"/>
      <c r="QII29" s="211"/>
      <c r="QIJ29" s="211"/>
      <c r="QIK29" s="211"/>
      <c r="QIL29" s="211"/>
      <c r="QIM29" s="211"/>
      <c r="QIN29" s="211"/>
      <c r="QIO29" s="211"/>
      <c r="QIP29" s="211"/>
      <c r="QIQ29" s="211"/>
      <c r="QIR29" s="211"/>
      <c r="QIS29" s="211"/>
      <c r="QIT29" s="211"/>
      <c r="QIU29" s="211"/>
      <c r="QIV29" s="211"/>
      <c r="QIW29" s="211"/>
      <c r="QIX29" s="211"/>
      <c r="QIY29" s="211"/>
      <c r="QIZ29" s="211"/>
      <c r="QJA29" s="211"/>
      <c r="QJB29" s="211"/>
      <c r="QJC29" s="211"/>
      <c r="QJD29" s="211"/>
      <c r="QJE29" s="211"/>
      <c r="QJF29" s="211"/>
      <c r="QJG29" s="211"/>
      <c r="QJH29" s="211"/>
      <c r="QJI29" s="211"/>
      <c r="QJJ29" s="211"/>
      <c r="QJK29" s="211"/>
      <c r="QJL29" s="211"/>
      <c r="QJM29" s="211"/>
      <c r="QJN29" s="211"/>
      <c r="QJO29" s="211"/>
      <c r="QJP29" s="211"/>
      <c r="QJQ29" s="211"/>
      <c r="QJR29" s="211"/>
      <c r="QJS29" s="211"/>
      <c r="QJT29" s="211"/>
      <c r="QJU29" s="211"/>
      <c r="QJV29" s="211"/>
      <c r="QJW29" s="211"/>
      <c r="QJX29" s="211"/>
      <c r="QJY29" s="211"/>
      <c r="QJZ29" s="211"/>
      <c r="QKA29" s="211"/>
      <c r="QKB29" s="211"/>
      <c r="QKC29" s="211"/>
      <c r="QKD29" s="211"/>
      <c r="QKE29" s="211"/>
      <c r="QKF29" s="211"/>
      <c r="QKG29" s="211"/>
      <c r="QKH29" s="211"/>
      <c r="QKI29" s="211"/>
      <c r="QKJ29" s="211"/>
      <c r="QKK29" s="211"/>
      <c r="QKL29" s="211"/>
      <c r="QKM29" s="211"/>
      <c r="QKN29" s="211"/>
      <c r="QKO29" s="211"/>
      <c r="QKP29" s="211"/>
      <c r="QKQ29" s="211"/>
      <c r="QKR29" s="211"/>
      <c r="QKS29" s="211"/>
      <c r="QKT29" s="211"/>
      <c r="QKU29" s="211"/>
      <c r="QKV29" s="211"/>
      <c r="QKW29" s="211"/>
      <c r="QKX29" s="211"/>
      <c r="QKY29" s="211"/>
      <c r="QKZ29" s="211"/>
      <c r="QLA29" s="211"/>
      <c r="QLB29" s="211"/>
      <c r="QLC29" s="211"/>
      <c r="QLD29" s="211"/>
      <c r="QLE29" s="211"/>
      <c r="QLF29" s="211"/>
      <c r="QLG29" s="211"/>
      <c r="QLH29" s="211"/>
      <c r="QLI29" s="211"/>
      <c r="QLJ29" s="211"/>
      <c r="QLK29" s="211"/>
      <c r="QLL29" s="211"/>
      <c r="QLM29" s="211"/>
      <c r="QLN29" s="211"/>
      <c r="QLO29" s="211"/>
      <c r="QLP29" s="211"/>
      <c r="QLQ29" s="211"/>
      <c r="QLR29" s="211"/>
      <c r="QLS29" s="211"/>
      <c r="QLT29" s="211"/>
      <c r="QLU29" s="211"/>
      <c r="QLV29" s="211"/>
      <c r="QLW29" s="211"/>
      <c r="QLX29" s="211"/>
      <c r="QLY29" s="211"/>
      <c r="QLZ29" s="211"/>
      <c r="QMA29" s="211"/>
      <c r="QMB29" s="211"/>
      <c r="QMC29" s="211"/>
      <c r="QMD29" s="211"/>
      <c r="QME29" s="211"/>
      <c r="QMF29" s="211"/>
      <c r="QMG29" s="211"/>
      <c r="QMH29" s="211"/>
      <c r="QMI29" s="211"/>
      <c r="QMJ29" s="211"/>
      <c r="QMK29" s="211"/>
      <c r="QML29" s="211"/>
      <c r="QMM29" s="211"/>
      <c r="QMN29" s="211"/>
      <c r="QMO29" s="211"/>
      <c r="QMP29" s="211"/>
      <c r="QMQ29" s="211"/>
      <c r="QMR29" s="211"/>
      <c r="QMS29" s="211"/>
      <c r="QMT29" s="211"/>
      <c r="QMU29" s="211"/>
      <c r="QMV29" s="211"/>
      <c r="QMW29" s="211"/>
      <c r="QMX29" s="211"/>
      <c r="QMY29" s="211"/>
      <c r="QMZ29" s="211"/>
      <c r="QNA29" s="211"/>
      <c r="QNB29" s="211"/>
      <c r="QNC29" s="211"/>
      <c r="QND29" s="211"/>
      <c r="QNE29" s="211"/>
      <c r="QNF29" s="211"/>
      <c r="QNG29" s="211"/>
      <c r="QNH29" s="211"/>
      <c r="QNI29" s="211"/>
      <c r="QNJ29" s="211"/>
      <c r="QNK29" s="211"/>
      <c r="QNL29" s="211"/>
      <c r="QNM29" s="211"/>
      <c r="QNN29" s="211"/>
      <c r="QNO29" s="211"/>
      <c r="QNP29" s="211"/>
      <c r="QNQ29" s="211"/>
      <c r="QNR29" s="211"/>
      <c r="QNS29" s="211"/>
      <c r="QNT29" s="211"/>
      <c r="QNU29" s="211"/>
      <c r="QNV29" s="211"/>
      <c r="QNW29" s="211"/>
      <c r="QNX29" s="211"/>
      <c r="QNY29" s="211"/>
      <c r="QNZ29" s="211"/>
      <c r="QOA29" s="211"/>
      <c r="QOB29" s="211"/>
      <c r="QOC29" s="211"/>
      <c r="QOD29" s="211"/>
      <c r="QOE29" s="211"/>
      <c r="QOF29" s="211"/>
      <c r="QOG29" s="211"/>
      <c r="QOH29" s="211"/>
      <c r="QOI29" s="211"/>
      <c r="QOJ29" s="211"/>
      <c r="QOK29" s="211"/>
      <c r="QOL29" s="211"/>
      <c r="QOM29" s="211"/>
      <c r="QON29" s="211"/>
      <c r="QOO29" s="211"/>
      <c r="QOP29" s="211"/>
      <c r="QOQ29" s="211"/>
      <c r="QOR29" s="211"/>
      <c r="QOS29" s="211"/>
      <c r="QOT29" s="211"/>
      <c r="QOU29" s="211"/>
      <c r="QOV29" s="211"/>
      <c r="QOW29" s="211"/>
      <c r="QOX29" s="211"/>
      <c r="QOY29" s="211"/>
      <c r="QOZ29" s="211"/>
      <c r="QPA29" s="211"/>
      <c r="QPB29" s="211"/>
      <c r="QPC29" s="211"/>
      <c r="QPD29" s="211"/>
      <c r="QPE29" s="211"/>
      <c r="QPF29" s="211"/>
      <c r="QPG29" s="211"/>
      <c r="QPH29" s="211"/>
      <c r="QPI29" s="211"/>
      <c r="QPJ29" s="211"/>
      <c r="QPK29" s="211"/>
      <c r="QPL29" s="211"/>
      <c r="QPM29" s="211"/>
      <c r="QPN29" s="211"/>
      <c r="QPO29" s="211"/>
      <c r="QPP29" s="211"/>
      <c r="QPQ29" s="211"/>
      <c r="QPR29" s="211"/>
      <c r="QPS29" s="211"/>
      <c r="QPT29" s="211"/>
      <c r="QPU29" s="211"/>
      <c r="QPV29" s="211"/>
      <c r="QPW29" s="211"/>
      <c r="QPX29" s="211"/>
      <c r="QPY29" s="211"/>
      <c r="QPZ29" s="211"/>
      <c r="QQA29" s="211"/>
      <c r="QQB29" s="211"/>
      <c r="QQC29" s="211"/>
      <c r="QQD29" s="211"/>
      <c r="QQE29" s="211"/>
      <c r="QQF29" s="211"/>
      <c r="QQG29" s="211"/>
      <c r="QQH29" s="211"/>
      <c r="QQI29" s="211"/>
      <c r="QQJ29" s="211"/>
      <c r="QQK29" s="211"/>
      <c r="QQL29" s="211"/>
      <c r="QQM29" s="211"/>
      <c r="QQN29" s="211"/>
      <c r="QQO29" s="211"/>
      <c r="QQP29" s="211"/>
      <c r="QQQ29" s="211"/>
      <c r="QQR29" s="211"/>
      <c r="QQS29" s="211"/>
      <c r="QQT29" s="211"/>
      <c r="QQU29" s="211"/>
      <c r="QQV29" s="211"/>
      <c r="QQW29" s="211"/>
      <c r="QQX29" s="211"/>
      <c r="QQY29" s="211"/>
      <c r="QQZ29" s="211"/>
      <c r="QRA29" s="211"/>
      <c r="QRB29" s="211"/>
      <c r="QRC29" s="211"/>
      <c r="QRD29" s="211"/>
      <c r="QRE29" s="211"/>
      <c r="QRF29" s="211"/>
      <c r="QRG29" s="211"/>
      <c r="QRH29" s="211"/>
      <c r="QRI29" s="211"/>
      <c r="QRJ29" s="211"/>
      <c r="QRK29" s="211"/>
      <c r="QRL29" s="211"/>
      <c r="QRM29" s="211"/>
      <c r="QRN29" s="211"/>
      <c r="QRO29" s="211"/>
      <c r="QRP29" s="211"/>
      <c r="QRQ29" s="211"/>
      <c r="QRR29" s="211"/>
      <c r="QRS29" s="211"/>
      <c r="QRT29" s="211"/>
      <c r="QRU29" s="211"/>
      <c r="QRV29" s="211"/>
      <c r="QRW29" s="211"/>
      <c r="QRX29" s="211"/>
      <c r="QRY29" s="211"/>
      <c r="QRZ29" s="211"/>
      <c r="QSA29" s="211"/>
      <c r="QSB29" s="211"/>
      <c r="QSC29" s="211"/>
      <c r="QSD29" s="211"/>
      <c r="QSE29" s="211"/>
      <c r="QSF29" s="211"/>
      <c r="QSG29" s="211"/>
      <c r="QSH29" s="211"/>
      <c r="QSI29" s="211"/>
      <c r="QSJ29" s="211"/>
      <c r="QSK29" s="211"/>
      <c r="QSL29" s="211"/>
      <c r="QSM29" s="211"/>
      <c r="QSN29" s="211"/>
      <c r="QSO29" s="211"/>
      <c r="QSP29" s="211"/>
      <c r="QSQ29" s="211"/>
      <c r="QSR29" s="211"/>
      <c r="QSS29" s="211"/>
      <c r="QST29" s="211"/>
      <c r="QSU29" s="211"/>
      <c r="QSV29" s="211"/>
      <c r="QSW29" s="211"/>
      <c r="QSX29" s="211"/>
      <c r="QSY29" s="211"/>
      <c r="QSZ29" s="211"/>
      <c r="QTA29" s="211"/>
      <c r="QTB29" s="211"/>
      <c r="QTC29" s="211"/>
      <c r="QTD29" s="211"/>
      <c r="QTE29" s="211"/>
      <c r="QTF29" s="211"/>
      <c r="QTG29" s="211"/>
      <c r="QTH29" s="211"/>
      <c r="QTI29" s="211"/>
      <c r="QTJ29" s="211"/>
      <c r="QTK29" s="211"/>
      <c r="QTL29" s="211"/>
      <c r="QTM29" s="211"/>
      <c r="QTN29" s="211"/>
      <c r="QTO29" s="211"/>
      <c r="QTP29" s="211"/>
      <c r="QTQ29" s="211"/>
      <c r="QTR29" s="211"/>
      <c r="QTS29" s="211"/>
      <c r="QTT29" s="211"/>
      <c r="QTU29" s="211"/>
      <c r="QTV29" s="211"/>
      <c r="QTW29" s="211"/>
      <c r="QTX29" s="211"/>
      <c r="QTY29" s="211"/>
      <c r="QTZ29" s="211"/>
      <c r="QUA29" s="211"/>
      <c r="QUB29" s="211"/>
      <c r="QUC29" s="211"/>
      <c r="QUD29" s="211"/>
      <c r="QUE29" s="211"/>
      <c r="QUF29" s="211"/>
      <c r="QUG29" s="211"/>
      <c r="QUH29" s="211"/>
      <c r="QUI29" s="211"/>
      <c r="QUJ29" s="211"/>
      <c r="QUK29" s="211"/>
      <c r="QUL29" s="211"/>
      <c r="QUM29" s="211"/>
      <c r="QUN29" s="211"/>
      <c r="QUO29" s="211"/>
      <c r="QUP29" s="211"/>
      <c r="QUQ29" s="211"/>
      <c r="QUR29" s="211"/>
      <c r="QUS29" s="211"/>
      <c r="QUT29" s="211"/>
      <c r="QUU29" s="211"/>
      <c r="QUV29" s="211"/>
      <c r="QUW29" s="211"/>
      <c r="QUX29" s="211"/>
      <c r="QUY29" s="211"/>
      <c r="QUZ29" s="211"/>
      <c r="QVA29" s="211"/>
      <c r="QVB29" s="211"/>
      <c r="QVC29" s="211"/>
      <c r="QVD29" s="211"/>
      <c r="QVE29" s="211"/>
      <c r="QVF29" s="211"/>
      <c r="QVG29" s="211"/>
      <c r="QVH29" s="211"/>
      <c r="QVI29" s="211"/>
      <c r="QVJ29" s="211"/>
      <c r="QVK29" s="211"/>
      <c r="QVL29" s="211"/>
      <c r="QVM29" s="211"/>
      <c r="QVN29" s="211"/>
      <c r="QVO29" s="211"/>
      <c r="QVP29" s="211"/>
      <c r="QVQ29" s="211"/>
      <c r="QVR29" s="211"/>
      <c r="QVS29" s="211"/>
      <c r="QVT29" s="211"/>
      <c r="QVU29" s="211"/>
      <c r="QVV29" s="211"/>
      <c r="QVW29" s="211"/>
      <c r="QVX29" s="211"/>
      <c r="QVY29" s="211"/>
      <c r="QVZ29" s="211"/>
      <c r="QWA29" s="211"/>
      <c r="QWB29" s="211"/>
      <c r="QWC29" s="211"/>
      <c r="QWD29" s="211"/>
      <c r="QWE29" s="211"/>
      <c r="QWF29" s="211"/>
      <c r="QWG29" s="211"/>
      <c r="QWH29" s="211"/>
      <c r="QWI29" s="211"/>
      <c r="QWJ29" s="211"/>
      <c r="QWK29" s="211"/>
      <c r="QWL29" s="211"/>
      <c r="QWM29" s="211"/>
      <c r="QWN29" s="211"/>
      <c r="QWO29" s="211"/>
      <c r="QWP29" s="211"/>
      <c r="QWQ29" s="211"/>
      <c r="QWR29" s="211"/>
      <c r="QWS29" s="211"/>
      <c r="QWT29" s="211"/>
      <c r="QWU29" s="211"/>
      <c r="QWV29" s="211"/>
      <c r="QWW29" s="211"/>
      <c r="QWX29" s="211"/>
      <c r="QWY29" s="211"/>
      <c r="QWZ29" s="211"/>
      <c r="QXA29" s="211"/>
      <c r="QXB29" s="211"/>
      <c r="QXC29" s="211"/>
      <c r="QXD29" s="211"/>
      <c r="QXE29" s="211"/>
      <c r="QXF29" s="211"/>
      <c r="QXG29" s="211"/>
      <c r="QXH29" s="211"/>
      <c r="QXI29" s="211"/>
      <c r="QXJ29" s="211"/>
      <c r="QXK29" s="211"/>
      <c r="QXL29" s="211"/>
      <c r="QXM29" s="211"/>
      <c r="QXN29" s="211"/>
      <c r="QXO29" s="211"/>
      <c r="QXP29" s="211"/>
      <c r="QXQ29" s="211"/>
      <c r="QXR29" s="211"/>
      <c r="QXS29" s="211"/>
      <c r="QXT29" s="211"/>
      <c r="QXU29" s="211"/>
      <c r="QXV29" s="211"/>
      <c r="QXW29" s="211"/>
      <c r="QXX29" s="211"/>
      <c r="QXY29" s="211"/>
      <c r="QXZ29" s="211"/>
      <c r="QYA29" s="211"/>
      <c r="QYB29" s="211"/>
      <c r="QYC29" s="211"/>
      <c r="QYD29" s="211"/>
      <c r="QYE29" s="211"/>
      <c r="QYF29" s="211"/>
      <c r="QYG29" s="211"/>
      <c r="QYH29" s="211"/>
      <c r="QYI29" s="211"/>
      <c r="QYJ29" s="211"/>
      <c r="QYK29" s="211"/>
      <c r="QYL29" s="211"/>
      <c r="QYM29" s="211"/>
      <c r="QYN29" s="211"/>
      <c r="QYO29" s="211"/>
      <c r="QYP29" s="211"/>
      <c r="QYQ29" s="211"/>
      <c r="QYR29" s="211"/>
      <c r="QYS29" s="211"/>
      <c r="QYT29" s="211"/>
      <c r="QYU29" s="211"/>
      <c r="QYV29" s="211"/>
      <c r="QYW29" s="211"/>
      <c r="QYX29" s="211"/>
      <c r="QYY29" s="211"/>
      <c r="QYZ29" s="211"/>
      <c r="QZA29" s="211"/>
      <c r="QZB29" s="211"/>
      <c r="QZC29" s="211"/>
      <c r="QZD29" s="211"/>
      <c r="QZE29" s="211"/>
      <c r="QZF29" s="211"/>
      <c r="QZG29" s="211"/>
      <c r="QZH29" s="211"/>
      <c r="QZI29" s="211"/>
      <c r="QZJ29" s="211"/>
      <c r="QZK29" s="211"/>
      <c r="QZL29" s="211"/>
      <c r="QZM29" s="211"/>
      <c r="QZN29" s="211"/>
      <c r="QZO29" s="211"/>
      <c r="QZP29" s="211"/>
      <c r="QZQ29" s="211"/>
      <c r="QZR29" s="211"/>
      <c r="QZS29" s="211"/>
      <c r="QZT29" s="211"/>
      <c r="QZU29" s="211"/>
      <c r="QZV29" s="211"/>
      <c r="QZW29" s="211"/>
      <c r="QZX29" s="211"/>
      <c r="QZY29" s="211"/>
      <c r="QZZ29" s="211"/>
      <c r="RAA29" s="211"/>
      <c r="RAB29" s="211"/>
      <c r="RAC29" s="211"/>
      <c r="RAD29" s="211"/>
      <c r="RAE29" s="211"/>
      <c r="RAF29" s="211"/>
      <c r="RAG29" s="211"/>
      <c r="RAH29" s="211"/>
      <c r="RAI29" s="211"/>
      <c r="RAJ29" s="211"/>
      <c r="RAK29" s="211"/>
      <c r="RAL29" s="211"/>
      <c r="RAM29" s="211"/>
      <c r="RAN29" s="211"/>
      <c r="RAO29" s="211"/>
      <c r="RAP29" s="211"/>
      <c r="RAQ29" s="211"/>
      <c r="RAR29" s="211"/>
      <c r="RAS29" s="211"/>
      <c r="RAT29" s="211"/>
      <c r="RAU29" s="211"/>
      <c r="RAV29" s="211"/>
      <c r="RAW29" s="211"/>
      <c r="RAX29" s="211"/>
      <c r="RAY29" s="211"/>
      <c r="RAZ29" s="211"/>
      <c r="RBA29" s="211"/>
      <c r="RBB29" s="211"/>
      <c r="RBC29" s="211"/>
      <c r="RBD29" s="211"/>
      <c r="RBE29" s="211"/>
      <c r="RBF29" s="211"/>
      <c r="RBG29" s="211"/>
      <c r="RBH29" s="211"/>
      <c r="RBI29" s="211"/>
      <c r="RBJ29" s="211"/>
      <c r="RBK29" s="211"/>
      <c r="RBL29" s="211"/>
      <c r="RBM29" s="211"/>
      <c r="RBN29" s="211"/>
      <c r="RBO29" s="211"/>
      <c r="RBP29" s="211"/>
      <c r="RBQ29" s="211"/>
      <c r="RBR29" s="211"/>
      <c r="RBS29" s="211"/>
      <c r="RBT29" s="211"/>
      <c r="RBU29" s="211"/>
      <c r="RBV29" s="211"/>
      <c r="RBW29" s="211"/>
      <c r="RBX29" s="211"/>
      <c r="RBY29" s="211"/>
      <c r="RBZ29" s="211"/>
      <c r="RCA29" s="211"/>
      <c r="RCB29" s="211"/>
      <c r="RCC29" s="211"/>
      <c r="RCD29" s="211"/>
      <c r="RCE29" s="211"/>
      <c r="RCF29" s="211"/>
      <c r="RCG29" s="211"/>
      <c r="RCH29" s="211"/>
      <c r="RCI29" s="211"/>
      <c r="RCJ29" s="211"/>
      <c r="RCK29" s="211"/>
      <c r="RCL29" s="211"/>
      <c r="RCM29" s="211"/>
      <c r="RCN29" s="211"/>
      <c r="RCO29" s="211"/>
      <c r="RCP29" s="211"/>
      <c r="RCQ29" s="211"/>
      <c r="RCR29" s="211"/>
      <c r="RCS29" s="211"/>
      <c r="RCT29" s="211"/>
      <c r="RCU29" s="211"/>
      <c r="RCV29" s="211"/>
      <c r="RCW29" s="211"/>
      <c r="RCX29" s="211"/>
      <c r="RCY29" s="211"/>
      <c r="RCZ29" s="211"/>
      <c r="RDA29" s="211"/>
      <c r="RDB29" s="211"/>
      <c r="RDC29" s="211"/>
      <c r="RDD29" s="211"/>
      <c r="RDE29" s="211"/>
      <c r="RDF29" s="211"/>
      <c r="RDG29" s="211"/>
      <c r="RDH29" s="211"/>
      <c r="RDI29" s="211"/>
      <c r="RDJ29" s="211"/>
      <c r="RDK29" s="211"/>
      <c r="RDL29" s="211"/>
      <c r="RDM29" s="211"/>
      <c r="RDN29" s="211"/>
      <c r="RDO29" s="211"/>
      <c r="RDP29" s="211"/>
      <c r="RDQ29" s="211"/>
      <c r="RDR29" s="211"/>
      <c r="RDS29" s="211"/>
      <c r="RDT29" s="211"/>
      <c r="RDU29" s="211"/>
      <c r="RDV29" s="211"/>
      <c r="RDW29" s="211"/>
      <c r="RDX29" s="211"/>
      <c r="RDY29" s="211"/>
      <c r="RDZ29" s="211"/>
      <c r="REA29" s="211"/>
      <c r="REB29" s="211"/>
      <c r="REC29" s="211"/>
      <c r="RED29" s="211"/>
      <c r="REE29" s="211"/>
      <c r="REF29" s="211"/>
      <c r="REG29" s="211"/>
      <c r="REH29" s="211"/>
      <c r="REI29" s="211"/>
      <c r="REJ29" s="211"/>
      <c r="REK29" s="211"/>
      <c r="REL29" s="211"/>
      <c r="REM29" s="211"/>
      <c r="REN29" s="211"/>
      <c r="REO29" s="211"/>
      <c r="REP29" s="211"/>
      <c r="REQ29" s="211"/>
      <c r="RER29" s="211"/>
      <c r="RES29" s="211"/>
      <c r="RET29" s="211"/>
      <c r="REU29" s="211"/>
      <c r="REV29" s="211"/>
      <c r="REW29" s="211"/>
      <c r="REX29" s="211"/>
      <c r="REY29" s="211"/>
      <c r="REZ29" s="211"/>
      <c r="RFA29" s="211"/>
      <c r="RFB29" s="211"/>
      <c r="RFC29" s="211"/>
      <c r="RFD29" s="211"/>
      <c r="RFE29" s="211"/>
      <c r="RFF29" s="211"/>
      <c r="RFG29" s="211"/>
      <c r="RFH29" s="211"/>
      <c r="RFI29" s="211"/>
      <c r="RFJ29" s="211"/>
      <c r="RFK29" s="211"/>
      <c r="RFL29" s="211"/>
      <c r="RFM29" s="211"/>
      <c r="RFN29" s="211"/>
      <c r="RFO29" s="211"/>
      <c r="RFP29" s="211"/>
      <c r="RFQ29" s="211"/>
      <c r="RFR29" s="211"/>
      <c r="RFS29" s="211"/>
      <c r="RFT29" s="211"/>
      <c r="RFU29" s="211"/>
      <c r="RFV29" s="211"/>
      <c r="RFW29" s="211"/>
      <c r="RFX29" s="211"/>
      <c r="RFY29" s="211"/>
      <c r="RFZ29" s="211"/>
      <c r="RGA29" s="211"/>
      <c r="RGB29" s="211"/>
      <c r="RGC29" s="211"/>
      <c r="RGD29" s="211"/>
      <c r="RGE29" s="211"/>
      <c r="RGF29" s="211"/>
      <c r="RGG29" s="211"/>
      <c r="RGH29" s="211"/>
      <c r="RGI29" s="211"/>
      <c r="RGJ29" s="211"/>
      <c r="RGK29" s="211"/>
      <c r="RGL29" s="211"/>
      <c r="RGM29" s="211"/>
      <c r="RGN29" s="211"/>
      <c r="RGO29" s="211"/>
      <c r="RGP29" s="211"/>
      <c r="RGQ29" s="211"/>
      <c r="RGR29" s="211"/>
      <c r="RGS29" s="211"/>
      <c r="RGT29" s="211"/>
      <c r="RGU29" s="211"/>
      <c r="RGV29" s="211"/>
      <c r="RGW29" s="211"/>
      <c r="RGX29" s="211"/>
      <c r="RGY29" s="211"/>
      <c r="RGZ29" s="211"/>
      <c r="RHA29" s="211"/>
      <c r="RHB29" s="211"/>
      <c r="RHC29" s="211"/>
      <c r="RHD29" s="211"/>
      <c r="RHE29" s="211"/>
      <c r="RHF29" s="211"/>
      <c r="RHG29" s="211"/>
      <c r="RHH29" s="211"/>
      <c r="RHI29" s="211"/>
      <c r="RHJ29" s="211"/>
      <c r="RHK29" s="211"/>
      <c r="RHL29" s="211"/>
      <c r="RHM29" s="211"/>
      <c r="RHN29" s="211"/>
      <c r="RHO29" s="211"/>
      <c r="RHP29" s="211"/>
      <c r="RHQ29" s="211"/>
      <c r="RHR29" s="211"/>
      <c r="RHS29" s="211"/>
      <c r="RHT29" s="211"/>
      <c r="RHU29" s="211"/>
      <c r="RHV29" s="211"/>
      <c r="RHW29" s="211"/>
      <c r="RHX29" s="211"/>
      <c r="RHY29" s="211"/>
      <c r="RHZ29" s="211"/>
      <c r="RIA29" s="211"/>
      <c r="RIB29" s="211"/>
      <c r="RIC29" s="211"/>
      <c r="RID29" s="211"/>
      <c r="RIE29" s="211"/>
      <c r="RIF29" s="211"/>
      <c r="RIG29" s="211"/>
      <c r="RIH29" s="211"/>
      <c r="RII29" s="211"/>
      <c r="RIJ29" s="211"/>
      <c r="RIK29" s="211"/>
      <c r="RIL29" s="211"/>
      <c r="RIM29" s="211"/>
      <c r="RIN29" s="211"/>
      <c r="RIO29" s="211"/>
      <c r="RIP29" s="211"/>
      <c r="RIQ29" s="211"/>
      <c r="RIR29" s="211"/>
      <c r="RIS29" s="211"/>
      <c r="RIT29" s="211"/>
      <c r="RIU29" s="211"/>
      <c r="RIV29" s="211"/>
      <c r="RIW29" s="211"/>
      <c r="RIX29" s="211"/>
      <c r="RIY29" s="211"/>
      <c r="RIZ29" s="211"/>
      <c r="RJA29" s="211"/>
      <c r="RJB29" s="211"/>
      <c r="RJC29" s="211"/>
      <c r="RJD29" s="211"/>
      <c r="RJE29" s="211"/>
      <c r="RJF29" s="211"/>
      <c r="RJG29" s="211"/>
      <c r="RJH29" s="211"/>
      <c r="RJI29" s="211"/>
      <c r="RJJ29" s="211"/>
      <c r="RJK29" s="211"/>
      <c r="RJL29" s="211"/>
      <c r="RJM29" s="211"/>
      <c r="RJN29" s="211"/>
      <c r="RJO29" s="211"/>
      <c r="RJP29" s="211"/>
      <c r="RJQ29" s="211"/>
      <c r="RJR29" s="211"/>
      <c r="RJS29" s="211"/>
      <c r="RJT29" s="211"/>
      <c r="RJU29" s="211"/>
      <c r="RJV29" s="211"/>
      <c r="RJW29" s="211"/>
      <c r="RJX29" s="211"/>
      <c r="RJY29" s="211"/>
      <c r="RJZ29" s="211"/>
      <c r="RKA29" s="211"/>
      <c r="RKB29" s="211"/>
      <c r="RKC29" s="211"/>
      <c r="RKD29" s="211"/>
      <c r="RKE29" s="211"/>
      <c r="RKF29" s="211"/>
      <c r="RKG29" s="211"/>
      <c r="RKH29" s="211"/>
      <c r="RKI29" s="211"/>
      <c r="RKJ29" s="211"/>
      <c r="RKK29" s="211"/>
      <c r="RKL29" s="211"/>
      <c r="RKM29" s="211"/>
      <c r="RKN29" s="211"/>
      <c r="RKO29" s="211"/>
      <c r="RKP29" s="211"/>
      <c r="RKQ29" s="211"/>
      <c r="RKR29" s="211"/>
      <c r="RKS29" s="211"/>
      <c r="RKT29" s="211"/>
      <c r="RKU29" s="211"/>
      <c r="RKV29" s="211"/>
      <c r="RKW29" s="211"/>
      <c r="RKX29" s="211"/>
      <c r="RKY29" s="211"/>
      <c r="RKZ29" s="211"/>
      <c r="RLA29" s="211"/>
      <c r="RLB29" s="211"/>
      <c r="RLC29" s="211"/>
      <c r="RLD29" s="211"/>
      <c r="RLE29" s="211"/>
      <c r="RLF29" s="211"/>
      <c r="RLG29" s="211"/>
      <c r="RLH29" s="211"/>
      <c r="RLI29" s="211"/>
      <c r="RLJ29" s="211"/>
      <c r="RLK29" s="211"/>
      <c r="RLL29" s="211"/>
      <c r="RLM29" s="211"/>
      <c r="RLN29" s="211"/>
      <c r="RLO29" s="211"/>
      <c r="RLP29" s="211"/>
      <c r="RLQ29" s="211"/>
      <c r="RLR29" s="211"/>
      <c r="RLS29" s="211"/>
      <c r="RLT29" s="211"/>
      <c r="RLU29" s="211"/>
      <c r="RLV29" s="211"/>
      <c r="RLW29" s="211"/>
      <c r="RLX29" s="211"/>
      <c r="RLY29" s="211"/>
      <c r="RLZ29" s="211"/>
      <c r="RMA29" s="211"/>
      <c r="RMB29" s="211"/>
      <c r="RMC29" s="211"/>
      <c r="RMD29" s="211"/>
      <c r="RME29" s="211"/>
      <c r="RMF29" s="211"/>
      <c r="RMG29" s="211"/>
      <c r="RMH29" s="211"/>
      <c r="RMI29" s="211"/>
      <c r="RMJ29" s="211"/>
      <c r="RMK29" s="211"/>
      <c r="RML29" s="211"/>
      <c r="RMM29" s="211"/>
      <c r="RMN29" s="211"/>
      <c r="RMO29" s="211"/>
      <c r="RMP29" s="211"/>
      <c r="RMQ29" s="211"/>
      <c r="RMR29" s="211"/>
      <c r="RMS29" s="211"/>
      <c r="RMT29" s="211"/>
      <c r="RMU29" s="211"/>
      <c r="RMV29" s="211"/>
      <c r="RMW29" s="211"/>
      <c r="RMX29" s="211"/>
      <c r="RMY29" s="211"/>
      <c r="RMZ29" s="211"/>
      <c r="RNA29" s="211"/>
      <c r="RNB29" s="211"/>
      <c r="RNC29" s="211"/>
      <c r="RND29" s="211"/>
      <c r="RNE29" s="211"/>
      <c r="RNF29" s="211"/>
      <c r="RNG29" s="211"/>
      <c r="RNH29" s="211"/>
      <c r="RNI29" s="211"/>
      <c r="RNJ29" s="211"/>
      <c r="RNK29" s="211"/>
      <c r="RNL29" s="211"/>
      <c r="RNM29" s="211"/>
      <c r="RNN29" s="211"/>
      <c r="RNO29" s="211"/>
      <c r="RNP29" s="211"/>
      <c r="RNQ29" s="211"/>
      <c r="RNR29" s="211"/>
      <c r="RNS29" s="211"/>
      <c r="RNT29" s="211"/>
      <c r="RNU29" s="211"/>
      <c r="RNV29" s="211"/>
      <c r="RNW29" s="211"/>
      <c r="RNX29" s="211"/>
      <c r="RNY29" s="211"/>
      <c r="RNZ29" s="211"/>
      <c r="ROA29" s="211"/>
      <c r="ROB29" s="211"/>
      <c r="ROC29" s="211"/>
      <c r="ROD29" s="211"/>
      <c r="ROE29" s="211"/>
      <c r="ROF29" s="211"/>
      <c r="ROG29" s="211"/>
      <c r="ROH29" s="211"/>
      <c r="ROI29" s="211"/>
      <c r="ROJ29" s="211"/>
      <c r="ROK29" s="211"/>
      <c r="ROL29" s="211"/>
      <c r="ROM29" s="211"/>
      <c r="RON29" s="211"/>
      <c r="ROO29" s="211"/>
      <c r="ROP29" s="211"/>
      <c r="ROQ29" s="211"/>
      <c r="ROR29" s="211"/>
      <c r="ROS29" s="211"/>
      <c r="ROT29" s="211"/>
      <c r="ROU29" s="211"/>
      <c r="ROV29" s="211"/>
      <c r="ROW29" s="211"/>
      <c r="ROX29" s="211"/>
      <c r="ROY29" s="211"/>
      <c r="ROZ29" s="211"/>
      <c r="RPA29" s="211"/>
      <c r="RPB29" s="211"/>
      <c r="RPC29" s="211"/>
      <c r="RPD29" s="211"/>
      <c r="RPE29" s="211"/>
      <c r="RPF29" s="211"/>
      <c r="RPG29" s="211"/>
      <c r="RPH29" s="211"/>
      <c r="RPI29" s="211"/>
      <c r="RPJ29" s="211"/>
      <c r="RPK29" s="211"/>
      <c r="RPL29" s="211"/>
      <c r="RPM29" s="211"/>
      <c r="RPN29" s="211"/>
      <c r="RPO29" s="211"/>
      <c r="RPP29" s="211"/>
      <c r="RPQ29" s="211"/>
      <c r="RPR29" s="211"/>
      <c r="RPS29" s="211"/>
      <c r="RPT29" s="211"/>
      <c r="RPU29" s="211"/>
      <c r="RPV29" s="211"/>
      <c r="RPW29" s="211"/>
      <c r="RPX29" s="211"/>
      <c r="RPY29" s="211"/>
      <c r="RPZ29" s="211"/>
      <c r="RQA29" s="211"/>
      <c r="RQB29" s="211"/>
      <c r="RQC29" s="211"/>
      <c r="RQD29" s="211"/>
      <c r="RQE29" s="211"/>
      <c r="RQF29" s="211"/>
      <c r="RQG29" s="211"/>
      <c r="RQH29" s="211"/>
      <c r="RQI29" s="211"/>
      <c r="RQJ29" s="211"/>
      <c r="RQK29" s="211"/>
      <c r="RQL29" s="211"/>
      <c r="RQM29" s="211"/>
      <c r="RQN29" s="211"/>
      <c r="RQO29" s="211"/>
      <c r="RQP29" s="211"/>
      <c r="RQQ29" s="211"/>
      <c r="RQR29" s="211"/>
      <c r="RQS29" s="211"/>
      <c r="RQT29" s="211"/>
      <c r="RQU29" s="211"/>
      <c r="RQV29" s="211"/>
      <c r="RQW29" s="211"/>
      <c r="RQX29" s="211"/>
      <c r="RQY29" s="211"/>
      <c r="RQZ29" s="211"/>
      <c r="RRA29" s="211"/>
      <c r="RRB29" s="211"/>
      <c r="RRC29" s="211"/>
      <c r="RRD29" s="211"/>
      <c r="RRE29" s="211"/>
      <c r="RRF29" s="211"/>
      <c r="RRG29" s="211"/>
      <c r="RRH29" s="211"/>
      <c r="RRI29" s="211"/>
      <c r="RRJ29" s="211"/>
      <c r="RRK29" s="211"/>
      <c r="RRL29" s="211"/>
      <c r="RRM29" s="211"/>
      <c r="RRN29" s="211"/>
      <c r="RRO29" s="211"/>
      <c r="RRP29" s="211"/>
      <c r="RRQ29" s="211"/>
      <c r="RRR29" s="211"/>
      <c r="RRS29" s="211"/>
      <c r="RRT29" s="211"/>
      <c r="RRU29" s="211"/>
      <c r="RRV29" s="211"/>
      <c r="RRW29" s="211"/>
      <c r="RRX29" s="211"/>
      <c r="RRY29" s="211"/>
      <c r="RRZ29" s="211"/>
      <c r="RSA29" s="211"/>
      <c r="RSB29" s="211"/>
      <c r="RSC29" s="211"/>
      <c r="RSD29" s="211"/>
      <c r="RSE29" s="211"/>
      <c r="RSF29" s="211"/>
      <c r="RSG29" s="211"/>
      <c r="RSH29" s="211"/>
      <c r="RSI29" s="211"/>
      <c r="RSJ29" s="211"/>
      <c r="RSK29" s="211"/>
      <c r="RSL29" s="211"/>
      <c r="RSM29" s="211"/>
      <c r="RSN29" s="211"/>
      <c r="RSO29" s="211"/>
      <c r="RSP29" s="211"/>
      <c r="RSQ29" s="211"/>
      <c r="RSR29" s="211"/>
      <c r="RSS29" s="211"/>
      <c r="RST29" s="211"/>
      <c r="RSU29" s="211"/>
      <c r="RSV29" s="211"/>
      <c r="RSW29" s="211"/>
      <c r="RSX29" s="211"/>
      <c r="RSY29" s="211"/>
      <c r="RSZ29" s="211"/>
      <c r="RTA29" s="211"/>
      <c r="RTB29" s="211"/>
      <c r="RTC29" s="211"/>
      <c r="RTD29" s="211"/>
      <c r="RTE29" s="211"/>
      <c r="RTF29" s="211"/>
      <c r="RTG29" s="211"/>
      <c r="RTH29" s="211"/>
      <c r="RTI29" s="211"/>
      <c r="RTJ29" s="211"/>
      <c r="RTK29" s="211"/>
      <c r="RTL29" s="211"/>
      <c r="RTM29" s="211"/>
      <c r="RTN29" s="211"/>
      <c r="RTO29" s="211"/>
      <c r="RTP29" s="211"/>
      <c r="RTQ29" s="211"/>
      <c r="RTR29" s="211"/>
      <c r="RTS29" s="211"/>
      <c r="RTT29" s="211"/>
      <c r="RTU29" s="211"/>
      <c r="RTV29" s="211"/>
      <c r="RTW29" s="211"/>
      <c r="RTX29" s="211"/>
      <c r="RTY29" s="211"/>
      <c r="RTZ29" s="211"/>
      <c r="RUA29" s="211"/>
      <c r="RUB29" s="211"/>
      <c r="RUC29" s="211"/>
      <c r="RUD29" s="211"/>
      <c r="RUE29" s="211"/>
      <c r="RUF29" s="211"/>
      <c r="RUG29" s="211"/>
      <c r="RUH29" s="211"/>
      <c r="RUI29" s="211"/>
      <c r="RUJ29" s="211"/>
      <c r="RUK29" s="211"/>
      <c r="RUL29" s="211"/>
      <c r="RUM29" s="211"/>
      <c r="RUN29" s="211"/>
      <c r="RUO29" s="211"/>
      <c r="RUP29" s="211"/>
      <c r="RUQ29" s="211"/>
      <c r="RUR29" s="211"/>
      <c r="RUS29" s="211"/>
      <c r="RUT29" s="211"/>
      <c r="RUU29" s="211"/>
      <c r="RUV29" s="211"/>
      <c r="RUW29" s="211"/>
      <c r="RUX29" s="211"/>
      <c r="RUY29" s="211"/>
      <c r="RUZ29" s="211"/>
      <c r="RVA29" s="211"/>
      <c r="RVB29" s="211"/>
      <c r="RVC29" s="211"/>
      <c r="RVD29" s="211"/>
      <c r="RVE29" s="211"/>
      <c r="RVF29" s="211"/>
      <c r="RVG29" s="211"/>
      <c r="RVH29" s="211"/>
      <c r="RVI29" s="211"/>
      <c r="RVJ29" s="211"/>
      <c r="RVK29" s="211"/>
      <c r="RVL29" s="211"/>
      <c r="RVM29" s="211"/>
      <c r="RVN29" s="211"/>
      <c r="RVO29" s="211"/>
      <c r="RVP29" s="211"/>
      <c r="RVQ29" s="211"/>
      <c r="RVR29" s="211"/>
      <c r="RVS29" s="211"/>
      <c r="RVT29" s="211"/>
      <c r="RVU29" s="211"/>
      <c r="RVV29" s="211"/>
      <c r="RVW29" s="211"/>
      <c r="RVX29" s="211"/>
      <c r="RVY29" s="211"/>
      <c r="RVZ29" s="211"/>
      <c r="RWA29" s="211"/>
      <c r="RWB29" s="211"/>
      <c r="RWC29" s="211"/>
      <c r="RWD29" s="211"/>
      <c r="RWE29" s="211"/>
      <c r="RWF29" s="211"/>
      <c r="RWG29" s="211"/>
      <c r="RWH29" s="211"/>
      <c r="RWI29" s="211"/>
      <c r="RWJ29" s="211"/>
      <c r="RWK29" s="211"/>
      <c r="RWL29" s="211"/>
      <c r="RWM29" s="211"/>
      <c r="RWN29" s="211"/>
      <c r="RWO29" s="211"/>
      <c r="RWP29" s="211"/>
      <c r="RWQ29" s="211"/>
      <c r="RWR29" s="211"/>
      <c r="RWS29" s="211"/>
      <c r="RWT29" s="211"/>
      <c r="RWU29" s="211"/>
      <c r="RWV29" s="211"/>
      <c r="RWW29" s="211"/>
      <c r="RWX29" s="211"/>
      <c r="RWY29" s="211"/>
      <c r="RWZ29" s="211"/>
      <c r="RXA29" s="211"/>
      <c r="RXB29" s="211"/>
      <c r="RXC29" s="211"/>
      <c r="RXD29" s="211"/>
      <c r="RXE29" s="211"/>
      <c r="RXF29" s="211"/>
      <c r="RXG29" s="211"/>
      <c r="RXH29" s="211"/>
      <c r="RXI29" s="211"/>
      <c r="RXJ29" s="211"/>
      <c r="RXK29" s="211"/>
      <c r="RXL29" s="211"/>
      <c r="RXM29" s="211"/>
      <c r="RXN29" s="211"/>
      <c r="RXO29" s="211"/>
      <c r="RXP29" s="211"/>
      <c r="RXQ29" s="211"/>
      <c r="RXR29" s="211"/>
      <c r="RXS29" s="211"/>
      <c r="RXT29" s="211"/>
      <c r="RXU29" s="211"/>
      <c r="RXV29" s="211"/>
      <c r="RXW29" s="211"/>
      <c r="RXX29" s="211"/>
      <c r="RXY29" s="211"/>
      <c r="RXZ29" s="211"/>
      <c r="RYA29" s="211"/>
      <c r="RYB29" s="211"/>
      <c r="RYC29" s="211"/>
      <c r="RYD29" s="211"/>
      <c r="RYE29" s="211"/>
      <c r="RYF29" s="211"/>
      <c r="RYG29" s="211"/>
      <c r="RYH29" s="211"/>
      <c r="RYI29" s="211"/>
      <c r="RYJ29" s="211"/>
      <c r="RYK29" s="211"/>
      <c r="RYL29" s="211"/>
      <c r="RYM29" s="211"/>
      <c r="RYN29" s="211"/>
      <c r="RYO29" s="211"/>
      <c r="RYP29" s="211"/>
      <c r="RYQ29" s="211"/>
      <c r="RYR29" s="211"/>
      <c r="RYS29" s="211"/>
      <c r="RYT29" s="211"/>
      <c r="RYU29" s="211"/>
      <c r="RYV29" s="211"/>
      <c r="RYW29" s="211"/>
      <c r="RYX29" s="211"/>
      <c r="RYY29" s="211"/>
      <c r="RYZ29" s="211"/>
      <c r="RZA29" s="211"/>
      <c r="RZB29" s="211"/>
      <c r="RZC29" s="211"/>
      <c r="RZD29" s="211"/>
      <c r="RZE29" s="211"/>
      <c r="RZF29" s="211"/>
      <c r="RZG29" s="211"/>
      <c r="RZH29" s="211"/>
      <c r="RZI29" s="211"/>
      <c r="RZJ29" s="211"/>
      <c r="RZK29" s="211"/>
      <c r="RZL29" s="211"/>
      <c r="RZM29" s="211"/>
      <c r="RZN29" s="211"/>
      <c r="RZO29" s="211"/>
      <c r="RZP29" s="211"/>
      <c r="RZQ29" s="211"/>
      <c r="RZR29" s="211"/>
      <c r="RZS29" s="211"/>
      <c r="RZT29" s="211"/>
      <c r="RZU29" s="211"/>
      <c r="RZV29" s="211"/>
      <c r="RZW29" s="211"/>
      <c r="RZX29" s="211"/>
      <c r="RZY29" s="211"/>
      <c r="RZZ29" s="211"/>
      <c r="SAA29" s="211"/>
      <c r="SAB29" s="211"/>
      <c r="SAC29" s="211"/>
      <c r="SAD29" s="211"/>
      <c r="SAE29" s="211"/>
      <c r="SAF29" s="211"/>
      <c r="SAG29" s="211"/>
      <c r="SAH29" s="211"/>
      <c r="SAI29" s="211"/>
      <c r="SAJ29" s="211"/>
      <c r="SAK29" s="211"/>
      <c r="SAL29" s="211"/>
      <c r="SAM29" s="211"/>
      <c r="SAN29" s="211"/>
      <c r="SAO29" s="211"/>
      <c r="SAP29" s="211"/>
      <c r="SAQ29" s="211"/>
      <c r="SAR29" s="211"/>
      <c r="SAS29" s="211"/>
      <c r="SAT29" s="211"/>
      <c r="SAU29" s="211"/>
      <c r="SAV29" s="211"/>
      <c r="SAW29" s="211"/>
      <c r="SAX29" s="211"/>
      <c r="SAY29" s="211"/>
      <c r="SAZ29" s="211"/>
      <c r="SBA29" s="211"/>
      <c r="SBB29" s="211"/>
      <c r="SBC29" s="211"/>
      <c r="SBD29" s="211"/>
      <c r="SBE29" s="211"/>
      <c r="SBF29" s="211"/>
      <c r="SBG29" s="211"/>
      <c r="SBH29" s="211"/>
      <c r="SBI29" s="211"/>
      <c r="SBJ29" s="211"/>
      <c r="SBK29" s="211"/>
      <c r="SBL29" s="211"/>
      <c r="SBM29" s="211"/>
      <c r="SBN29" s="211"/>
      <c r="SBO29" s="211"/>
      <c r="SBP29" s="211"/>
      <c r="SBQ29" s="211"/>
      <c r="SBR29" s="211"/>
      <c r="SBS29" s="211"/>
      <c r="SBT29" s="211"/>
      <c r="SBU29" s="211"/>
      <c r="SBV29" s="211"/>
      <c r="SBW29" s="211"/>
      <c r="SBX29" s="211"/>
      <c r="SBY29" s="211"/>
      <c r="SBZ29" s="211"/>
      <c r="SCA29" s="211"/>
      <c r="SCB29" s="211"/>
      <c r="SCC29" s="211"/>
      <c r="SCD29" s="211"/>
      <c r="SCE29" s="211"/>
      <c r="SCF29" s="211"/>
      <c r="SCG29" s="211"/>
      <c r="SCH29" s="211"/>
      <c r="SCI29" s="211"/>
      <c r="SCJ29" s="211"/>
      <c r="SCK29" s="211"/>
      <c r="SCL29" s="211"/>
      <c r="SCM29" s="211"/>
      <c r="SCN29" s="211"/>
      <c r="SCO29" s="211"/>
      <c r="SCP29" s="211"/>
      <c r="SCQ29" s="211"/>
      <c r="SCR29" s="211"/>
      <c r="SCS29" s="211"/>
      <c r="SCT29" s="211"/>
      <c r="SCU29" s="211"/>
      <c r="SCV29" s="211"/>
      <c r="SCW29" s="211"/>
      <c r="SCX29" s="211"/>
      <c r="SCY29" s="211"/>
      <c r="SCZ29" s="211"/>
      <c r="SDA29" s="211"/>
      <c r="SDB29" s="211"/>
      <c r="SDC29" s="211"/>
      <c r="SDD29" s="211"/>
      <c r="SDE29" s="211"/>
      <c r="SDF29" s="211"/>
      <c r="SDG29" s="211"/>
      <c r="SDH29" s="211"/>
      <c r="SDI29" s="211"/>
      <c r="SDJ29" s="211"/>
      <c r="SDK29" s="211"/>
      <c r="SDL29" s="211"/>
      <c r="SDM29" s="211"/>
      <c r="SDN29" s="211"/>
      <c r="SDO29" s="211"/>
      <c r="SDP29" s="211"/>
      <c r="SDQ29" s="211"/>
      <c r="SDR29" s="211"/>
      <c r="SDS29" s="211"/>
      <c r="SDT29" s="211"/>
      <c r="SDU29" s="211"/>
      <c r="SDV29" s="211"/>
      <c r="SDW29" s="211"/>
      <c r="SDX29" s="211"/>
      <c r="SDY29" s="211"/>
      <c r="SDZ29" s="211"/>
      <c r="SEA29" s="211"/>
      <c r="SEB29" s="211"/>
      <c r="SEC29" s="211"/>
      <c r="SED29" s="211"/>
      <c r="SEE29" s="211"/>
      <c r="SEF29" s="211"/>
      <c r="SEG29" s="211"/>
      <c r="SEH29" s="211"/>
      <c r="SEI29" s="211"/>
      <c r="SEJ29" s="211"/>
      <c r="SEK29" s="211"/>
      <c r="SEL29" s="211"/>
      <c r="SEM29" s="211"/>
      <c r="SEN29" s="211"/>
      <c r="SEO29" s="211"/>
      <c r="SEP29" s="211"/>
      <c r="SEQ29" s="211"/>
      <c r="SER29" s="211"/>
      <c r="SES29" s="211"/>
      <c r="SET29" s="211"/>
      <c r="SEU29" s="211"/>
      <c r="SEV29" s="211"/>
      <c r="SEW29" s="211"/>
      <c r="SEX29" s="211"/>
      <c r="SEY29" s="211"/>
      <c r="SEZ29" s="211"/>
      <c r="SFA29" s="211"/>
      <c r="SFB29" s="211"/>
      <c r="SFC29" s="211"/>
      <c r="SFD29" s="211"/>
      <c r="SFE29" s="211"/>
      <c r="SFF29" s="211"/>
      <c r="SFG29" s="211"/>
      <c r="SFH29" s="211"/>
      <c r="SFI29" s="211"/>
      <c r="SFJ29" s="211"/>
      <c r="SFK29" s="211"/>
      <c r="SFL29" s="211"/>
      <c r="SFM29" s="211"/>
      <c r="SFN29" s="211"/>
      <c r="SFO29" s="211"/>
      <c r="SFP29" s="211"/>
      <c r="SFQ29" s="211"/>
      <c r="SFR29" s="211"/>
      <c r="SFS29" s="211"/>
      <c r="SFT29" s="211"/>
      <c r="SFU29" s="211"/>
      <c r="SFV29" s="211"/>
      <c r="SFW29" s="211"/>
      <c r="SFX29" s="211"/>
      <c r="SFY29" s="211"/>
      <c r="SFZ29" s="211"/>
      <c r="SGA29" s="211"/>
      <c r="SGB29" s="211"/>
      <c r="SGC29" s="211"/>
      <c r="SGD29" s="211"/>
      <c r="SGE29" s="211"/>
      <c r="SGF29" s="211"/>
      <c r="SGG29" s="211"/>
      <c r="SGH29" s="211"/>
      <c r="SGI29" s="211"/>
      <c r="SGJ29" s="211"/>
      <c r="SGK29" s="211"/>
      <c r="SGL29" s="211"/>
      <c r="SGM29" s="211"/>
      <c r="SGN29" s="211"/>
      <c r="SGO29" s="211"/>
      <c r="SGP29" s="211"/>
      <c r="SGQ29" s="211"/>
      <c r="SGR29" s="211"/>
      <c r="SGS29" s="211"/>
      <c r="SGT29" s="211"/>
      <c r="SGU29" s="211"/>
      <c r="SGV29" s="211"/>
      <c r="SGW29" s="211"/>
      <c r="SGX29" s="211"/>
      <c r="SGY29" s="211"/>
      <c r="SGZ29" s="211"/>
      <c r="SHA29" s="211"/>
      <c r="SHB29" s="211"/>
      <c r="SHC29" s="211"/>
      <c r="SHD29" s="211"/>
      <c r="SHE29" s="211"/>
      <c r="SHF29" s="211"/>
      <c r="SHG29" s="211"/>
      <c r="SHH29" s="211"/>
      <c r="SHI29" s="211"/>
      <c r="SHJ29" s="211"/>
      <c r="SHK29" s="211"/>
      <c r="SHL29" s="211"/>
      <c r="SHM29" s="211"/>
      <c r="SHN29" s="211"/>
      <c r="SHO29" s="211"/>
      <c r="SHP29" s="211"/>
      <c r="SHQ29" s="211"/>
      <c r="SHR29" s="211"/>
      <c r="SHS29" s="211"/>
      <c r="SHT29" s="211"/>
      <c r="SHU29" s="211"/>
      <c r="SHV29" s="211"/>
      <c r="SHW29" s="211"/>
      <c r="SHX29" s="211"/>
      <c r="SHY29" s="211"/>
      <c r="SHZ29" s="211"/>
      <c r="SIA29" s="211"/>
      <c r="SIB29" s="211"/>
      <c r="SIC29" s="211"/>
      <c r="SID29" s="211"/>
      <c r="SIE29" s="211"/>
      <c r="SIF29" s="211"/>
      <c r="SIG29" s="211"/>
      <c r="SIH29" s="211"/>
      <c r="SII29" s="211"/>
      <c r="SIJ29" s="211"/>
      <c r="SIK29" s="211"/>
      <c r="SIL29" s="211"/>
      <c r="SIM29" s="211"/>
      <c r="SIN29" s="211"/>
      <c r="SIO29" s="211"/>
      <c r="SIP29" s="211"/>
      <c r="SIQ29" s="211"/>
      <c r="SIR29" s="211"/>
      <c r="SIS29" s="211"/>
      <c r="SIT29" s="211"/>
      <c r="SIU29" s="211"/>
      <c r="SIV29" s="211"/>
      <c r="SIW29" s="211"/>
      <c r="SIX29" s="211"/>
      <c r="SIY29" s="211"/>
      <c r="SIZ29" s="211"/>
      <c r="SJA29" s="211"/>
      <c r="SJB29" s="211"/>
      <c r="SJC29" s="211"/>
      <c r="SJD29" s="211"/>
      <c r="SJE29" s="211"/>
      <c r="SJF29" s="211"/>
      <c r="SJG29" s="211"/>
      <c r="SJH29" s="211"/>
      <c r="SJI29" s="211"/>
      <c r="SJJ29" s="211"/>
      <c r="SJK29" s="211"/>
      <c r="SJL29" s="211"/>
      <c r="SJM29" s="211"/>
      <c r="SJN29" s="211"/>
      <c r="SJO29" s="211"/>
      <c r="SJP29" s="211"/>
      <c r="SJQ29" s="211"/>
      <c r="SJR29" s="211"/>
      <c r="SJS29" s="211"/>
      <c r="SJT29" s="211"/>
      <c r="SJU29" s="211"/>
      <c r="SJV29" s="211"/>
      <c r="SJW29" s="211"/>
      <c r="SJX29" s="211"/>
      <c r="SJY29" s="211"/>
      <c r="SJZ29" s="211"/>
      <c r="SKA29" s="211"/>
      <c r="SKB29" s="211"/>
      <c r="SKC29" s="211"/>
      <c r="SKD29" s="211"/>
      <c r="SKE29" s="211"/>
      <c r="SKF29" s="211"/>
      <c r="SKG29" s="211"/>
      <c r="SKH29" s="211"/>
      <c r="SKI29" s="211"/>
      <c r="SKJ29" s="211"/>
      <c r="SKK29" s="211"/>
      <c r="SKL29" s="211"/>
      <c r="SKM29" s="211"/>
      <c r="SKN29" s="211"/>
      <c r="SKO29" s="211"/>
      <c r="SKP29" s="211"/>
      <c r="SKQ29" s="211"/>
      <c r="SKR29" s="211"/>
      <c r="SKS29" s="211"/>
      <c r="SKT29" s="211"/>
      <c r="SKU29" s="211"/>
      <c r="SKV29" s="211"/>
      <c r="SKW29" s="211"/>
      <c r="SKX29" s="211"/>
      <c r="SKY29" s="211"/>
      <c r="SKZ29" s="211"/>
      <c r="SLA29" s="211"/>
      <c r="SLB29" s="211"/>
      <c r="SLC29" s="211"/>
      <c r="SLD29" s="211"/>
      <c r="SLE29" s="211"/>
      <c r="SLF29" s="211"/>
      <c r="SLG29" s="211"/>
      <c r="SLH29" s="211"/>
      <c r="SLI29" s="211"/>
      <c r="SLJ29" s="211"/>
      <c r="SLK29" s="211"/>
      <c r="SLL29" s="211"/>
      <c r="SLM29" s="211"/>
      <c r="SLN29" s="211"/>
      <c r="SLO29" s="211"/>
      <c r="SLP29" s="211"/>
      <c r="SLQ29" s="211"/>
      <c r="SLR29" s="211"/>
      <c r="SLS29" s="211"/>
      <c r="SLT29" s="211"/>
      <c r="SLU29" s="211"/>
      <c r="SLV29" s="211"/>
      <c r="SLW29" s="211"/>
      <c r="SLX29" s="211"/>
      <c r="SLY29" s="211"/>
      <c r="SLZ29" s="211"/>
      <c r="SMA29" s="211"/>
      <c r="SMB29" s="211"/>
      <c r="SMC29" s="211"/>
      <c r="SMD29" s="211"/>
      <c r="SME29" s="211"/>
      <c r="SMF29" s="211"/>
      <c r="SMG29" s="211"/>
      <c r="SMH29" s="211"/>
      <c r="SMI29" s="211"/>
      <c r="SMJ29" s="211"/>
      <c r="SMK29" s="211"/>
      <c r="SML29" s="211"/>
      <c r="SMM29" s="211"/>
      <c r="SMN29" s="211"/>
      <c r="SMO29" s="211"/>
      <c r="SMP29" s="211"/>
      <c r="SMQ29" s="211"/>
      <c r="SMR29" s="211"/>
      <c r="SMS29" s="211"/>
      <c r="SMT29" s="211"/>
      <c r="SMU29" s="211"/>
      <c r="SMV29" s="211"/>
      <c r="SMW29" s="211"/>
      <c r="SMX29" s="211"/>
      <c r="SMY29" s="211"/>
      <c r="SMZ29" s="211"/>
      <c r="SNA29" s="211"/>
      <c r="SNB29" s="211"/>
      <c r="SNC29" s="211"/>
      <c r="SND29" s="211"/>
      <c r="SNE29" s="211"/>
      <c r="SNF29" s="211"/>
      <c r="SNG29" s="211"/>
      <c r="SNH29" s="211"/>
      <c r="SNI29" s="211"/>
      <c r="SNJ29" s="211"/>
      <c r="SNK29" s="211"/>
      <c r="SNL29" s="211"/>
      <c r="SNM29" s="211"/>
      <c r="SNN29" s="211"/>
      <c r="SNO29" s="211"/>
      <c r="SNP29" s="211"/>
      <c r="SNQ29" s="211"/>
      <c r="SNR29" s="211"/>
      <c r="SNS29" s="211"/>
      <c r="SNT29" s="211"/>
      <c r="SNU29" s="211"/>
      <c r="SNV29" s="211"/>
      <c r="SNW29" s="211"/>
      <c r="SNX29" s="211"/>
      <c r="SNY29" s="211"/>
      <c r="SNZ29" s="211"/>
      <c r="SOA29" s="211"/>
      <c r="SOB29" s="211"/>
      <c r="SOC29" s="211"/>
      <c r="SOD29" s="211"/>
      <c r="SOE29" s="211"/>
      <c r="SOF29" s="211"/>
      <c r="SOG29" s="211"/>
      <c r="SOH29" s="211"/>
      <c r="SOI29" s="211"/>
      <c r="SOJ29" s="211"/>
      <c r="SOK29" s="211"/>
      <c r="SOL29" s="211"/>
      <c r="SOM29" s="211"/>
      <c r="SON29" s="211"/>
      <c r="SOO29" s="211"/>
      <c r="SOP29" s="211"/>
      <c r="SOQ29" s="211"/>
      <c r="SOR29" s="211"/>
      <c r="SOS29" s="211"/>
      <c r="SOT29" s="211"/>
      <c r="SOU29" s="211"/>
      <c r="SOV29" s="211"/>
      <c r="SOW29" s="211"/>
      <c r="SOX29" s="211"/>
      <c r="SOY29" s="211"/>
      <c r="SOZ29" s="211"/>
      <c r="SPA29" s="211"/>
      <c r="SPB29" s="211"/>
      <c r="SPC29" s="211"/>
      <c r="SPD29" s="211"/>
      <c r="SPE29" s="211"/>
      <c r="SPF29" s="211"/>
      <c r="SPG29" s="211"/>
      <c r="SPH29" s="211"/>
      <c r="SPI29" s="211"/>
      <c r="SPJ29" s="211"/>
      <c r="SPK29" s="211"/>
      <c r="SPL29" s="211"/>
      <c r="SPM29" s="211"/>
      <c r="SPN29" s="211"/>
      <c r="SPO29" s="211"/>
      <c r="SPP29" s="211"/>
      <c r="SPQ29" s="211"/>
      <c r="SPR29" s="211"/>
      <c r="SPS29" s="211"/>
      <c r="SPT29" s="211"/>
      <c r="SPU29" s="211"/>
      <c r="SPV29" s="211"/>
      <c r="SPW29" s="211"/>
      <c r="SPX29" s="211"/>
      <c r="SPY29" s="211"/>
      <c r="SPZ29" s="211"/>
      <c r="SQA29" s="211"/>
      <c r="SQB29" s="211"/>
      <c r="SQC29" s="211"/>
      <c r="SQD29" s="211"/>
      <c r="SQE29" s="211"/>
      <c r="SQF29" s="211"/>
      <c r="SQG29" s="211"/>
      <c r="SQH29" s="211"/>
      <c r="SQI29" s="211"/>
      <c r="SQJ29" s="211"/>
      <c r="SQK29" s="211"/>
      <c r="SQL29" s="211"/>
      <c r="SQM29" s="211"/>
      <c r="SQN29" s="211"/>
      <c r="SQO29" s="211"/>
      <c r="SQP29" s="211"/>
      <c r="SQQ29" s="211"/>
      <c r="SQR29" s="211"/>
      <c r="SQS29" s="211"/>
      <c r="SQT29" s="211"/>
      <c r="SQU29" s="211"/>
      <c r="SQV29" s="211"/>
      <c r="SQW29" s="211"/>
      <c r="SQX29" s="211"/>
      <c r="SQY29" s="211"/>
      <c r="SQZ29" s="211"/>
      <c r="SRA29" s="211"/>
      <c r="SRB29" s="211"/>
      <c r="SRC29" s="211"/>
      <c r="SRD29" s="211"/>
      <c r="SRE29" s="211"/>
      <c r="SRF29" s="211"/>
      <c r="SRG29" s="211"/>
      <c r="SRH29" s="211"/>
      <c r="SRI29" s="211"/>
      <c r="SRJ29" s="211"/>
      <c r="SRK29" s="211"/>
      <c r="SRL29" s="211"/>
      <c r="SRM29" s="211"/>
      <c r="SRN29" s="211"/>
      <c r="SRO29" s="211"/>
      <c r="SRP29" s="211"/>
      <c r="SRQ29" s="211"/>
      <c r="SRR29" s="211"/>
      <c r="SRS29" s="211"/>
      <c r="SRT29" s="211"/>
      <c r="SRU29" s="211"/>
      <c r="SRV29" s="211"/>
      <c r="SRW29" s="211"/>
      <c r="SRX29" s="211"/>
      <c r="SRY29" s="211"/>
      <c r="SRZ29" s="211"/>
      <c r="SSA29" s="211"/>
      <c r="SSB29" s="211"/>
      <c r="SSC29" s="211"/>
      <c r="SSD29" s="211"/>
      <c r="SSE29" s="211"/>
      <c r="SSF29" s="211"/>
      <c r="SSG29" s="211"/>
      <c r="SSH29" s="211"/>
      <c r="SSI29" s="211"/>
      <c r="SSJ29" s="211"/>
      <c r="SSK29" s="211"/>
      <c r="SSL29" s="211"/>
      <c r="SSM29" s="211"/>
      <c r="SSN29" s="211"/>
      <c r="SSO29" s="211"/>
      <c r="SSP29" s="211"/>
      <c r="SSQ29" s="211"/>
      <c r="SSR29" s="211"/>
      <c r="SSS29" s="211"/>
      <c r="SST29" s="211"/>
      <c r="SSU29" s="211"/>
      <c r="SSV29" s="211"/>
      <c r="SSW29" s="211"/>
      <c r="SSX29" s="211"/>
      <c r="SSY29" s="211"/>
      <c r="SSZ29" s="211"/>
      <c r="STA29" s="211"/>
      <c r="STB29" s="211"/>
      <c r="STC29" s="211"/>
      <c r="STD29" s="211"/>
      <c r="STE29" s="211"/>
      <c r="STF29" s="211"/>
      <c r="STG29" s="211"/>
      <c r="STH29" s="211"/>
      <c r="STI29" s="211"/>
      <c r="STJ29" s="211"/>
      <c r="STK29" s="211"/>
      <c r="STL29" s="211"/>
      <c r="STM29" s="211"/>
      <c r="STN29" s="211"/>
      <c r="STO29" s="211"/>
      <c r="STP29" s="211"/>
      <c r="STQ29" s="211"/>
      <c r="STR29" s="211"/>
      <c r="STS29" s="211"/>
      <c r="STT29" s="211"/>
      <c r="STU29" s="211"/>
      <c r="STV29" s="211"/>
      <c r="STW29" s="211"/>
      <c r="STX29" s="211"/>
      <c r="STY29" s="211"/>
      <c r="STZ29" s="211"/>
      <c r="SUA29" s="211"/>
      <c r="SUB29" s="211"/>
      <c r="SUC29" s="211"/>
      <c r="SUD29" s="211"/>
      <c r="SUE29" s="211"/>
      <c r="SUF29" s="211"/>
      <c r="SUG29" s="211"/>
      <c r="SUH29" s="211"/>
      <c r="SUI29" s="211"/>
      <c r="SUJ29" s="211"/>
      <c r="SUK29" s="211"/>
      <c r="SUL29" s="211"/>
      <c r="SUM29" s="211"/>
      <c r="SUN29" s="211"/>
      <c r="SUO29" s="211"/>
      <c r="SUP29" s="211"/>
      <c r="SUQ29" s="211"/>
      <c r="SUR29" s="211"/>
      <c r="SUS29" s="211"/>
      <c r="SUT29" s="211"/>
      <c r="SUU29" s="211"/>
      <c r="SUV29" s="211"/>
      <c r="SUW29" s="211"/>
      <c r="SUX29" s="211"/>
      <c r="SUY29" s="211"/>
      <c r="SUZ29" s="211"/>
      <c r="SVA29" s="211"/>
      <c r="SVB29" s="211"/>
      <c r="SVC29" s="211"/>
      <c r="SVD29" s="211"/>
      <c r="SVE29" s="211"/>
      <c r="SVF29" s="211"/>
      <c r="SVG29" s="211"/>
      <c r="SVH29" s="211"/>
      <c r="SVI29" s="211"/>
      <c r="SVJ29" s="211"/>
      <c r="SVK29" s="211"/>
      <c r="SVL29" s="211"/>
      <c r="SVM29" s="211"/>
      <c r="SVN29" s="211"/>
      <c r="SVO29" s="211"/>
      <c r="SVP29" s="211"/>
      <c r="SVQ29" s="211"/>
      <c r="SVR29" s="211"/>
      <c r="SVS29" s="211"/>
      <c r="SVT29" s="211"/>
      <c r="SVU29" s="211"/>
      <c r="SVV29" s="211"/>
      <c r="SVW29" s="211"/>
      <c r="SVX29" s="211"/>
      <c r="SVY29" s="211"/>
      <c r="SVZ29" s="211"/>
      <c r="SWA29" s="211"/>
      <c r="SWB29" s="211"/>
      <c r="SWC29" s="211"/>
      <c r="SWD29" s="211"/>
      <c r="SWE29" s="211"/>
      <c r="SWF29" s="211"/>
      <c r="SWG29" s="211"/>
      <c r="SWH29" s="211"/>
      <c r="SWI29" s="211"/>
      <c r="SWJ29" s="211"/>
      <c r="SWK29" s="211"/>
      <c r="SWL29" s="211"/>
      <c r="SWM29" s="211"/>
      <c r="SWN29" s="211"/>
      <c r="SWO29" s="211"/>
      <c r="SWP29" s="211"/>
      <c r="SWQ29" s="211"/>
      <c r="SWR29" s="211"/>
      <c r="SWS29" s="211"/>
      <c r="SWT29" s="211"/>
      <c r="SWU29" s="211"/>
      <c r="SWV29" s="211"/>
      <c r="SWW29" s="211"/>
      <c r="SWX29" s="211"/>
      <c r="SWY29" s="211"/>
      <c r="SWZ29" s="211"/>
      <c r="SXA29" s="211"/>
      <c r="SXB29" s="211"/>
      <c r="SXC29" s="211"/>
      <c r="SXD29" s="211"/>
      <c r="SXE29" s="211"/>
      <c r="SXF29" s="211"/>
      <c r="SXG29" s="211"/>
      <c r="SXH29" s="211"/>
      <c r="SXI29" s="211"/>
      <c r="SXJ29" s="211"/>
      <c r="SXK29" s="211"/>
      <c r="SXL29" s="211"/>
      <c r="SXM29" s="211"/>
      <c r="SXN29" s="211"/>
      <c r="SXO29" s="211"/>
      <c r="SXP29" s="211"/>
      <c r="SXQ29" s="211"/>
      <c r="SXR29" s="211"/>
      <c r="SXS29" s="211"/>
      <c r="SXT29" s="211"/>
      <c r="SXU29" s="211"/>
      <c r="SXV29" s="211"/>
      <c r="SXW29" s="211"/>
      <c r="SXX29" s="211"/>
      <c r="SXY29" s="211"/>
      <c r="SXZ29" s="211"/>
      <c r="SYA29" s="211"/>
      <c r="SYB29" s="211"/>
      <c r="SYC29" s="211"/>
      <c r="SYD29" s="211"/>
      <c r="SYE29" s="211"/>
      <c r="SYF29" s="211"/>
      <c r="SYG29" s="211"/>
      <c r="SYH29" s="211"/>
      <c r="SYI29" s="211"/>
      <c r="SYJ29" s="211"/>
      <c r="SYK29" s="211"/>
      <c r="SYL29" s="211"/>
      <c r="SYM29" s="211"/>
      <c r="SYN29" s="211"/>
      <c r="SYO29" s="211"/>
      <c r="SYP29" s="211"/>
      <c r="SYQ29" s="211"/>
      <c r="SYR29" s="211"/>
      <c r="SYS29" s="211"/>
      <c r="SYT29" s="211"/>
      <c r="SYU29" s="211"/>
      <c r="SYV29" s="211"/>
      <c r="SYW29" s="211"/>
      <c r="SYX29" s="211"/>
      <c r="SYY29" s="211"/>
      <c r="SYZ29" s="211"/>
      <c r="SZA29" s="211"/>
      <c r="SZB29" s="211"/>
      <c r="SZC29" s="211"/>
      <c r="SZD29" s="211"/>
      <c r="SZE29" s="211"/>
      <c r="SZF29" s="211"/>
      <c r="SZG29" s="211"/>
      <c r="SZH29" s="211"/>
      <c r="SZI29" s="211"/>
      <c r="SZJ29" s="211"/>
      <c r="SZK29" s="211"/>
      <c r="SZL29" s="211"/>
      <c r="SZM29" s="211"/>
      <c r="SZN29" s="211"/>
      <c r="SZO29" s="211"/>
      <c r="SZP29" s="211"/>
      <c r="SZQ29" s="211"/>
      <c r="SZR29" s="211"/>
      <c r="SZS29" s="211"/>
      <c r="SZT29" s="211"/>
      <c r="SZU29" s="211"/>
      <c r="SZV29" s="211"/>
      <c r="SZW29" s="211"/>
      <c r="SZX29" s="211"/>
      <c r="SZY29" s="211"/>
      <c r="SZZ29" s="211"/>
      <c r="TAA29" s="211"/>
      <c r="TAB29" s="211"/>
      <c r="TAC29" s="211"/>
      <c r="TAD29" s="211"/>
      <c r="TAE29" s="211"/>
      <c r="TAF29" s="211"/>
      <c r="TAG29" s="211"/>
      <c r="TAH29" s="211"/>
      <c r="TAI29" s="211"/>
      <c r="TAJ29" s="211"/>
      <c r="TAK29" s="211"/>
      <c r="TAL29" s="211"/>
      <c r="TAM29" s="211"/>
      <c r="TAN29" s="211"/>
      <c r="TAO29" s="211"/>
      <c r="TAP29" s="211"/>
      <c r="TAQ29" s="211"/>
      <c r="TAR29" s="211"/>
      <c r="TAS29" s="211"/>
      <c r="TAT29" s="211"/>
      <c r="TAU29" s="211"/>
      <c r="TAV29" s="211"/>
      <c r="TAW29" s="211"/>
      <c r="TAX29" s="211"/>
      <c r="TAY29" s="211"/>
      <c r="TAZ29" s="211"/>
      <c r="TBA29" s="211"/>
      <c r="TBB29" s="211"/>
      <c r="TBC29" s="211"/>
      <c r="TBD29" s="211"/>
      <c r="TBE29" s="211"/>
      <c r="TBF29" s="211"/>
      <c r="TBG29" s="211"/>
      <c r="TBH29" s="211"/>
      <c r="TBI29" s="211"/>
      <c r="TBJ29" s="211"/>
      <c r="TBK29" s="211"/>
      <c r="TBL29" s="211"/>
      <c r="TBM29" s="211"/>
      <c r="TBN29" s="211"/>
      <c r="TBO29" s="211"/>
      <c r="TBP29" s="211"/>
      <c r="TBQ29" s="211"/>
      <c r="TBR29" s="211"/>
      <c r="TBS29" s="211"/>
      <c r="TBT29" s="211"/>
      <c r="TBU29" s="211"/>
      <c r="TBV29" s="211"/>
      <c r="TBW29" s="211"/>
      <c r="TBX29" s="211"/>
      <c r="TBY29" s="211"/>
      <c r="TBZ29" s="211"/>
      <c r="TCA29" s="211"/>
      <c r="TCB29" s="211"/>
      <c r="TCC29" s="211"/>
      <c r="TCD29" s="211"/>
      <c r="TCE29" s="211"/>
      <c r="TCF29" s="211"/>
      <c r="TCG29" s="211"/>
      <c r="TCH29" s="211"/>
      <c r="TCI29" s="211"/>
      <c r="TCJ29" s="211"/>
      <c r="TCK29" s="211"/>
      <c r="TCL29" s="211"/>
      <c r="TCM29" s="211"/>
      <c r="TCN29" s="211"/>
      <c r="TCO29" s="211"/>
      <c r="TCP29" s="211"/>
      <c r="TCQ29" s="211"/>
      <c r="TCR29" s="211"/>
      <c r="TCS29" s="211"/>
      <c r="TCT29" s="211"/>
      <c r="TCU29" s="211"/>
      <c r="TCV29" s="211"/>
      <c r="TCW29" s="211"/>
      <c r="TCX29" s="211"/>
      <c r="TCY29" s="211"/>
      <c r="TCZ29" s="211"/>
      <c r="TDA29" s="211"/>
      <c r="TDB29" s="211"/>
      <c r="TDC29" s="211"/>
      <c r="TDD29" s="211"/>
      <c r="TDE29" s="211"/>
      <c r="TDF29" s="211"/>
      <c r="TDG29" s="211"/>
      <c r="TDH29" s="211"/>
      <c r="TDI29" s="211"/>
      <c r="TDJ29" s="211"/>
      <c r="TDK29" s="211"/>
      <c r="TDL29" s="211"/>
      <c r="TDM29" s="211"/>
      <c r="TDN29" s="211"/>
      <c r="TDO29" s="211"/>
      <c r="TDP29" s="211"/>
      <c r="TDQ29" s="211"/>
      <c r="TDR29" s="211"/>
      <c r="TDS29" s="211"/>
      <c r="TDT29" s="211"/>
      <c r="TDU29" s="211"/>
      <c r="TDV29" s="211"/>
      <c r="TDW29" s="211"/>
      <c r="TDX29" s="211"/>
      <c r="TDY29" s="211"/>
      <c r="TDZ29" s="211"/>
      <c r="TEA29" s="211"/>
      <c r="TEB29" s="211"/>
      <c r="TEC29" s="211"/>
      <c r="TED29" s="211"/>
      <c r="TEE29" s="211"/>
      <c r="TEF29" s="211"/>
      <c r="TEG29" s="211"/>
      <c r="TEH29" s="211"/>
      <c r="TEI29" s="211"/>
      <c r="TEJ29" s="211"/>
      <c r="TEK29" s="211"/>
      <c r="TEL29" s="211"/>
      <c r="TEM29" s="211"/>
      <c r="TEN29" s="211"/>
      <c r="TEO29" s="211"/>
      <c r="TEP29" s="211"/>
      <c r="TEQ29" s="211"/>
      <c r="TER29" s="211"/>
      <c r="TES29" s="211"/>
      <c r="TET29" s="211"/>
      <c r="TEU29" s="211"/>
      <c r="TEV29" s="211"/>
      <c r="TEW29" s="211"/>
      <c r="TEX29" s="211"/>
      <c r="TEY29" s="211"/>
      <c r="TEZ29" s="211"/>
      <c r="TFA29" s="211"/>
      <c r="TFB29" s="211"/>
      <c r="TFC29" s="211"/>
      <c r="TFD29" s="211"/>
      <c r="TFE29" s="211"/>
      <c r="TFF29" s="211"/>
      <c r="TFG29" s="211"/>
      <c r="TFH29" s="211"/>
      <c r="TFI29" s="211"/>
      <c r="TFJ29" s="211"/>
      <c r="TFK29" s="211"/>
      <c r="TFL29" s="211"/>
      <c r="TFM29" s="211"/>
      <c r="TFN29" s="211"/>
      <c r="TFO29" s="211"/>
      <c r="TFP29" s="211"/>
      <c r="TFQ29" s="211"/>
      <c r="TFR29" s="211"/>
      <c r="TFS29" s="211"/>
      <c r="TFT29" s="211"/>
      <c r="TFU29" s="211"/>
      <c r="TFV29" s="211"/>
      <c r="TFW29" s="211"/>
      <c r="TFX29" s="211"/>
      <c r="TFY29" s="211"/>
      <c r="TFZ29" s="211"/>
      <c r="TGA29" s="211"/>
      <c r="TGB29" s="211"/>
      <c r="TGC29" s="211"/>
      <c r="TGD29" s="211"/>
      <c r="TGE29" s="211"/>
      <c r="TGF29" s="211"/>
      <c r="TGG29" s="211"/>
      <c r="TGH29" s="211"/>
      <c r="TGI29" s="211"/>
      <c r="TGJ29" s="211"/>
      <c r="TGK29" s="211"/>
      <c r="TGL29" s="211"/>
      <c r="TGM29" s="211"/>
      <c r="TGN29" s="211"/>
      <c r="TGO29" s="211"/>
      <c r="TGP29" s="211"/>
      <c r="TGQ29" s="211"/>
      <c r="TGR29" s="211"/>
      <c r="TGS29" s="211"/>
      <c r="TGT29" s="211"/>
      <c r="TGU29" s="211"/>
      <c r="TGV29" s="211"/>
      <c r="TGW29" s="211"/>
      <c r="TGX29" s="211"/>
      <c r="TGY29" s="211"/>
      <c r="TGZ29" s="211"/>
      <c r="THA29" s="211"/>
      <c r="THB29" s="211"/>
      <c r="THC29" s="211"/>
      <c r="THD29" s="211"/>
      <c r="THE29" s="211"/>
      <c r="THF29" s="211"/>
      <c r="THG29" s="211"/>
      <c r="THH29" s="211"/>
      <c r="THI29" s="211"/>
      <c r="THJ29" s="211"/>
      <c r="THK29" s="211"/>
      <c r="THL29" s="211"/>
      <c r="THM29" s="211"/>
      <c r="THN29" s="211"/>
      <c r="THO29" s="211"/>
      <c r="THP29" s="211"/>
      <c r="THQ29" s="211"/>
      <c r="THR29" s="211"/>
      <c r="THS29" s="211"/>
      <c r="THT29" s="211"/>
      <c r="THU29" s="211"/>
      <c r="THV29" s="211"/>
      <c r="THW29" s="211"/>
      <c r="THX29" s="211"/>
      <c r="THY29" s="211"/>
      <c r="THZ29" s="211"/>
      <c r="TIA29" s="211"/>
      <c r="TIB29" s="211"/>
      <c r="TIC29" s="211"/>
      <c r="TID29" s="211"/>
      <c r="TIE29" s="211"/>
      <c r="TIF29" s="211"/>
      <c r="TIG29" s="211"/>
      <c r="TIH29" s="211"/>
      <c r="TII29" s="211"/>
      <c r="TIJ29" s="211"/>
      <c r="TIK29" s="211"/>
      <c r="TIL29" s="211"/>
      <c r="TIM29" s="211"/>
      <c r="TIN29" s="211"/>
      <c r="TIO29" s="211"/>
      <c r="TIP29" s="211"/>
      <c r="TIQ29" s="211"/>
      <c r="TIR29" s="211"/>
      <c r="TIS29" s="211"/>
      <c r="TIT29" s="211"/>
      <c r="TIU29" s="211"/>
      <c r="TIV29" s="211"/>
      <c r="TIW29" s="211"/>
      <c r="TIX29" s="211"/>
      <c r="TIY29" s="211"/>
      <c r="TIZ29" s="211"/>
      <c r="TJA29" s="211"/>
      <c r="TJB29" s="211"/>
      <c r="TJC29" s="211"/>
      <c r="TJD29" s="211"/>
      <c r="TJE29" s="211"/>
      <c r="TJF29" s="211"/>
      <c r="TJG29" s="211"/>
      <c r="TJH29" s="211"/>
      <c r="TJI29" s="211"/>
      <c r="TJJ29" s="211"/>
      <c r="TJK29" s="211"/>
      <c r="TJL29" s="211"/>
      <c r="TJM29" s="211"/>
      <c r="TJN29" s="211"/>
      <c r="TJO29" s="211"/>
      <c r="TJP29" s="211"/>
      <c r="TJQ29" s="211"/>
      <c r="TJR29" s="211"/>
      <c r="TJS29" s="211"/>
      <c r="TJT29" s="211"/>
      <c r="TJU29" s="211"/>
      <c r="TJV29" s="211"/>
      <c r="TJW29" s="211"/>
      <c r="TJX29" s="211"/>
      <c r="TJY29" s="211"/>
      <c r="TJZ29" s="211"/>
      <c r="TKA29" s="211"/>
      <c r="TKB29" s="211"/>
      <c r="TKC29" s="211"/>
      <c r="TKD29" s="211"/>
      <c r="TKE29" s="211"/>
      <c r="TKF29" s="211"/>
      <c r="TKG29" s="211"/>
      <c r="TKH29" s="211"/>
      <c r="TKI29" s="211"/>
      <c r="TKJ29" s="211"/>
      <c r="TKK29" s="211"/>
      <c r="TKL29" s="211"/>
      <c r="TKM29" s="211"/>
      <c r="TKN29" s="211"/>
      <c r="TKO29" s="211"/>
      <c r="TKP29" s="211"/>
      <c r="TKQ29" s="211"/>
      <c r="TKR29" s="211"/>
      <c r="TKS29" s="211"/>
      <c r="TKT29" s="211"/>
      <c r="TKU29" s="211"/>
      <c r="TKV29" s="211"/>
      <c r="TKW29" s="211"/>
      <c r="TKX29" s="211"/>
      <c r="TKY29" s="211"/>
      <c r="TKZ29" s="211"/>
      <c r="TLA29" s="211"/>
      <c r="TLB29" s="211"/>
      <c r="TLC29" s="211"/>
      <c r="TLD29" s="211"/>
      <c r="TLE29" s="211"/>
      <c r="TLF29" s="211"/>
      <c r="TLG29" s="211"/>
      <c r="TLH29" s="211"/>
      <c r="TLI29" s="211"/>
      <c r="TLJ29" s="211"/>
      <c r="TLK29" s="211"/>
      <c r="TLL29" s="211"/>
      <c r="TLM29" s="211"/>
      <c r="TLN29" s="211"/>
      <c r="TLO29" s="211"/>
      <c r="TLP29" s="211"/>
      <c r="TLQ29" s="211"/>
      <c r="TLR29" s="211"/>
      <c r="TLS29" s="211"/>
      <c r="TLT29" s="211"/>
      <c r="TLU29" s="211"/>
      <c r="TLV29" s="211"/>
      <c r="TLW29" s="211"/>
      <c r="TLX29" s="211"/>
      <c r="TLY29" s="211"/>
      <c r="TLZ29" s="211"/>
      <c r="TMA29" s="211"/>
      <c r="TMB29" s="211"/>
      <c r="TMC29" s="211"/>
      <c r="TMD29" s="211"/>
      <c r="TME29" s="211"/>
      <c r="TMF29" s="211"/>
      <c r="TMG29" s="211"/>
      <c r="TMH29" s="211"/>
      <c r="TMI29" s="211"/>
      <c r="TMJ29" s="211"/>
      <c r="TMK29" s="211"/>
      <c r="TML29" s="211"/>
      <c r="TMM29" s="211"/>
      <c r="TMN29" s="211"/>
      <c r="TMO29" s="211"/>
      <c r="TMP29" s="211"/>
      <c r="TMQ29" s="211"/>
      <c r="TMR29" s="211"/>
      <c r="TMS29" s="211"/>
      <c r="TMT29" s="211"/>
      <c r="TMU29" s="211"/>
      <c r="TMV29" s="211"/>
      <c r="TMW29" s="211"/>
      <c r="TMX29" s="211"/>
      <c r="TMY29" s="211"/>
      <c r="TMZ29" s="211"/>
      <c r="TNA29" s="211"/>
      <c r="TNB29" s="211"/>
      <c r="TNC29" s="211"/>
      <c r="TND29" s="211"/>
      <c r="TNE29" s="211"/>
      <c r="TNF29" s="211"/>
      <c r="TNG29" s="211"/>
      <c r="TNH29" s="211"/>
      <c r="TNI29" s="211"/>
      <c r="TNJ29" s="211"/>
      <c r="TNK29" s="211"/>
      <c r="TNL29" s="211"/>
      <c r="TNM29" s="211"/>
      <c r="TNN29" s="211"/>
      <c r="TNO29" s="211"/>
      <c r="TNP29" s="211"/>
      <c r="TNQ29" s="211"/>
      <c r="TNR29" s="211"/>
      <c r="TNS29" s="211"/>
      <c r="TNT29" s="211"/>
      <c r="TNU29" s="211"/>
      <c r="TNV29" s="211"/>
      <c r="TNW29" s="211"/>
      <c r="TNX29" s="211"/>
      <c r="TNY29" s="211"/>
      <c r="TNZ29" s="211"/>
      <c r="TOA29" s="211"/>
      <c r="TOB29" s="211"/>
      <c r="TOC29" s="211"/>
      <c r="TOD29" s="211"/>
      <c r="TOE29" s="211"/>
      <c r="TOF29" s="211"/>
      <c r="TOG29" s="211"/>
      <c r="TOH29" s="211"/>
      <c r="TOI29" s="211"/>
      <c r="TOJ29" s="211"/>
      <c r="TOK29" s="211"/>
      <c r="TOL29" s="211"/>
      <c r="TOM29" s="211"/>
      <c r="TON29" s="211"/>
      <c r="TOO29" s="211"/>
      <c r="TOP29" s="211"/>
      <c r="TOQ29" s="211"/>
      <c r="TOR29" s="211"/>
      <c r="TOS29" s="211"/>
      <c r="TOT29" s="211"/>
      <c r="TOU29" s="211"/>
      <c r="TOV29" s="211"/>
      <c r="TOW29" s="211"/>
      <c r="TOX29" s="211"/>
      <c r="TOY29" s="211"/>
      <c r="TOZ29" s="211"/>
      <c r="TPA29" s="211"/>
      <c r="TPB29" s="211"/>
      <c r="TPC29" s="211"/>
      <c r="TPD29" s="211"/>
      <c r="TPE29" s="211"/>
      <c r="TPF29" s="211"/>
      <c r="TPG29" s="211"/>
      <c r="TPH29" s="211"/>
      <c r="TPI29" s="211"/>
      <c r="TPJ29" s="211"/>
      <c r="TPK29" s="211"/>
      <c r="TPL29" s="211"/>
      <c r="TPM29" s="211"/>
      <c r="TPN29" s="211"/>
      <c r="TPO29" s="211"/>
      <c r="TPP29" s="211"/>
      <c r="TPQ29" s="211"/>
      <c r="TPR29" s="211"/>
      <c r="TPS29" s="211"/>
      <c r="TPT29" s="211"/>
      <c r="TPU29" s="211"/>
      <c r="TPV29" s="211"/>
      <c r="TPW29" s="211"/>
      <c r="TPX29" s="211"/>
      <c r="TPY29" s="211"/>
      <c r="TPZ29" s="211"/>
      <c r="TQA29" s="211"/>
      <c r="TQB29" s="211"/>
      <c r="TQC29" s="211"/>
      <c r="TQD29" s="211"/>
      <c r="TQE29" s="211"/>
      <c r="TQF29" s="211"/>
      <c r="TQG29" s="211"/>
      <c r="TQH29" s="211"/>
      <c r="TQI29" s="211"/>
      <c r="TQJ29" s="211"/>
      <c r="TQK29" s="211"/>
      <c r="TQL29" s="211"/>
      <c r="TQM29" s="211"/>
      <c r="TQN29" s="211"/>
      <c r="TQO29" s="211"/>
      <c r="TQP29" s="211"/>
      <c r="TQQ29" s="211"/>
      <c r="TQR29" s="211"/>
      <c r="TQS29" s="211"/>
      <c r="TQT29" s="211"/>
      <c r="TQU29" s="211"/>
      <c r="TQV29" s="211"/>
      <c r="TQW29" s="211"/>
      <c r="TQX29" s="211"/>
      <c r="TQY29" s="211"/>
      <c r="TQZ29" s="211"/>
      <c r="TRA29" s="211"/>
      <c r="TRB29" s="211"/>
      <c r="TRC29" s="211"/>
      <c r="TRD29" s="211"/>
      <c r="TRE29" s="211"/>
      <c r="TRF29" s="211"/>
      <c r="TRG29" s="211"/>
      <c r="TRH29" s="211"/>
      <c r="TRI29" s="211"/>
      <c r="TRJ29" s="211"/>
      <c r="TRK29" s="211"/>
      <c r="TRL29" s="211"/>
      <c r="TRM29" s="211"/>
      <c r="TRN29" s="211"/>
      <c r="TRO29" s="211"/>
      <c r="TRP29" s="211"/>
      <c r="TRQ29" s="211"/>
      <c r="TRR29" s="211"/>
      <c r="TRS29" s="211"/>
      <c r="TRT29" s="211"/>
      <c r="TRU29" s="211"/>
      <c r="TRV29" s="211"/>
      <c r="TRW29" s="211"/>
      <c r="TRX29" s="211"/>
      <c r="TRY29" s="211"/>
      <c r="TRZ29" s="211"/>
      <c r="TSA29" s="211"/>
      <c r="TSB29" s="211"/>
      <c r="TSC29" s="211"/>
      <c r="TSD29" s="211"/>
      <c r="TSE29" s="211"/>
      <c r="TSF29" s="211"/>
      <c r="TSG29" s="211"/>
      <c r="TSH29" s="211"/>
      <c r="TSI29" s="211"/>
      <c r="TSJ29" s="211"/>
      <c r="TSK29" s="211"/>
      <c r="TSL29" s="211"/>
      <c r="TSM29" s="211"/>
      <c r="TSN29" s="211"/>
      <c r="TSO29" s="211"/>
      <c r="TSP29" s="211"/>
      <c r="TSQ29" s="211"/>
      <c r="TSR29" s="211"/>
      <c r="TSS29" s="211"/>
      <c r="TST29" s="211"/>
      <c r="TSU29" s="211"/>
      <c r="TSV29" s="211"/>
      <c r="TSW29" s="211"/>
      <c r="TSX29" s="211"/>
      <c r="TSY29" s="211"/>
      <c r="TSZ29" s="211"/>
      <c r="TTA29" s="211"/>
      <c r="TTB29" s="211"/>
      <c r="TTC29" s="211"/>
      <c r="TTD29" s="211"/>
      <c r="TTE29" s="211"/>
      <c r="TTF29" s="211"/>
      <c r="TTG29" s="211"/>
      <c r="TTH29" s="211"/>
      <c r="TTI29" s="211"/>
      <c r="TTJ29" s="211"/>
      <c r="TTK29" s="211"/>
      <c r="TTL29" s="211"/>
      <c r="TTM29" s="211"/>
      <c r="TTN29" s="211"/>
      <c r="TTO29" s="211"/>
      <c r="TTP29" s="211"/>
      <c r="TTQ29" s="211"/>
      <c r="TTR29" s="211"/>
      <c r="TTS29" s="211"/>
      <c r="TTT29" s="211"/>
      <c r="TTU29" s="211"/>
      <c r="TTV29" s="211"/>
      <c r="TTW29" s="211"/>
      <c r="TTX29" s="211"/>
      <c r="TTY29" s="211"/>
      <c r="TTZ29" s="211"/>
      <c r="TUA29" s="211"/>
      <c r="TUB29" s="211"/>
      <c r="TUC29" s="211"/>
      <c r="TUD29" s="211"/>
      <c r="TUE29" s="211"/>
      <c r="TUF29" s="211"/>
      <c r="TUG29" s="211"/>
      <c r="TUH29" s="211"/>
      <c r="TUI29" s="211"/>
      <c r="TUJ29" s="211"/>
      <c r="TUK29" s="211"/>
      <c r="TUL29" s="211"/>
      <c r="TUM29" s="211"/>
      <c r="TUN29" s="211"/>
      <c r="TUO29" s="211"/>
      <c r="TUP29" s="211"/>
      <c r="TUQ29" s="211"/>
      <c r="TUR29" s="211"/>
      <c r="TUS29" s="211"/>
      <c r="TUT29" s="211"/>
      <c r="TUU29" s="211"/>
      <c r="TUV29" s="211"/>
      <c r="TUW29" s="211"/>
      <c r="TUX29" s="211"/>
      <c r="TUY29" s="211"/>
      <c r="TUZ29" s="211"/>
      <c r="TVA29" s="211"/>
      <c r="TVB29" s="211"/>
      <c r="TVC29" s="211"/>
      <c r="TVD29" s="211"/>
      <c r="TVE29" s="211"/>
      <c r="TVF29" s="211"/>
      <c r="TVG29" s="211"/>
      <c r="TVH29" s="211"/>
      <c r="TVI29" s="211"/>
      <c r="TVJ29" s="211"/>
      <c r="TVK29" s="211"/>
      <c r="TVL29" s="211"/>
      <c r="TVM29" s="211"/>
      <c r="TVN29" s="211"/>
      <c r="TVO29" s="211"/>
      <c r="TVP29" s="211"/>
      <c r="TVQ29" s="211"/>
      <c r="TVR29" s="211"/>
      <c r="TVS29" s="211"/>
      <c r="TVT29" s="211"/>
      <c r="TVU29" s="211"/>
      <c r="TVV29" s="211"/>
      <c r="TVW29" s="211"/>
      <c r="TVX29" s="211"/>
      <c r="TVY29" s="211"/>
      <c r="TVZ29" s="211"/>
      <c r="TWA29" s="211"/>
      <c r="TWB29" s="211"/>
      <c r="TWC29" s="211"/>
      <c r="TWD29" s="211"/>
      <c r="TWE29" s="211"/>
      <c r="TWF29" s="211"/>
      <c r="TWG29" s="211"/>
      <c r="TWH29" s="211"/>
      <c r="TWI29" s="211"/>
      <c r="TWJ29" s="211"/>
      <c r="TWK29" s="211"/>
      <c r="TWL29" s="211"/>
      <c r="TWM29" s="211"/>
      <c r="TWN29" s="211"/>
      <c r="TWO29" s="211"/>
      <c r="TWP29" s="211"/>
      <c r="TWQ29" s="211"/>
      <c r="TWR29" s="211"/>
      <c r="TWS29" s="211"/>
      <c r="TWT29" s="211"/>
      <c r="TWU29" s="211"/>
      <c r="TWV29" s="211"/>
      <c r="TWW29" s="211"/>
      <c r="TWX29" s="211"/>
      <c r="TWY29" s="211"/>
      <c r="TWZ29" s="211"/>
      <c r="TXA29" s="211"/>
      <c r="TXB29" s="211"/>
      <c r="TXC29" s="211"/>
      <c r="TXD29" s="211"/>
      <c r="TXE29" s="211"/>
      <c r="TXF29" s="211"/>
      <c r="TXG29" s="211"/>
      <c r="TXH29" s="211"/>
      <c r="TXI29" s="211"/>
      <c r="TXJ29" s="211"/>
      <c r="TXK29" s="211"/>
      <c r="TXL29" s="211"/>
      <c r="TXM29" s="211"/>
      <c r="TXN29" s="211"/>
      <c r="TXO29" s="211"/>
      <c r="TXP29" s="211"/>
      <c r="TXQ29" s="211"/>
      <c r="TXR29" s="211"/>
      <c r="TXS29" s="211"/>
      <c r="TXT29" s="211"/>
      <c r="TXU29" s="211"/>
      <c r="TXV29" s="211"/>
      <c r="TXW29" s="211"/>
      <c r="TXX29" s="211"/>
      <c r="TXY29" s="211"/>
      <c r="TXZ29" s="211"/>
      <c r="TYA29" s="211"/>
      <c r="TYB29" s="211"/>
      <c r="TYC29" s="211"/>
      <c r="TYD29" s="211"/>
      <c r="TYE29" s="211"/>
      <c r="TYF29" s="211"/>
      <c r="TYG29" s="211"/>
      <c r="TYH29" s="211"/>
      <c r="TYI29" s="211"/>
      <c r="TYJ29" s="211"/>
      <c r="TYK29" s="211"/>
      <c r="TYL29" s="211"/>
      <c r="TYM29" s="211"/>
      <c r="TYN29" s="211"/>
      <c r="TYO29" s="211"/>
      <c r="TYP29" s="211"/>
      <c r="TYQ29" s="211"/>
      <c r="TYR29" s="211"/>
      <c r="TYS29" s="211"/>
      <c r="TYT29" s="211"/>
      <c r="TYU29" s="211"/>
      <c r="TYV29" s="211"/>
      <c r="TYW29" s="211"/>
      <c r="TYX29" s="211"/>
      <c r="TYY29" s="211"/>
      <c r="TYZ29" s="211"/>
      <c r="TZA29" s="211"/>
      <c r="TZB29" s="211"/>
      <c r="TZC29" s="211"/>
      <c r="TZD29" s="211"/>
      <c r="TZE29" s="211"/>
      <c r="TZF29" s="211"/>
      <c r="TZG29" s="211"/>
      <c r="TZH29" s="211"/>
      <c r="TZI29" s="211"/>
      <c r="TZJ29" s="211"/>
      <c r="TZK29" s="211"/>
      <c r="TZL29" s="211"/>
      <c r="TZM29" s="211"/>
      <c r="TZN29" s="211"/>
      <c r="TZO29" s="211"/>
      <c r="TZP29" s="211"/>
      <c r="TZQ29" s="211"/>
      <c r="TZR29" s="211"/>
      <c r="TZS29" s="211"/>
      <c r="TZT29" s="211"/>
      <c r="TZU29" s="211"/>
      <c r="TZV29" s="211"/>
      <c r="TZW29" s="211"/>
      <c r="TZX29" s="211"/>
      <c r="TZY29" s="211"/>
      <c r="TZZ29" s="211"/>
      <c r="UAA29" s="211"/>
      <c r="UAB29" s="211"/>
      <c r="UAC29" s="211"/>
      <c r="UAD29" s="211"/>
      <c r="UAE29" s="211"/>
      <c r="UAF29" s="211"/>
      <c r="UAG29" s="211"/>
      <c r="UAH29" s="211"/>
      <c r="UAI29" s="211"/>
      <c r="UAJ29" s="211"/>
      <c r="UAK29" s="211"/>
      <c r="UAL29" s="211"/>
      <c r="UAM29" s="211"/>
      <c r="UAN29" s="211"/>
      <c r="UAO29" s="211"/>
      <c r="UAP29" s="211"/>
      <c r="UAQ29" s="211"/>
      <c r="UAR29" s="211"/>
      <c r="UAS29" s="211"/>
      <c r="UAT29" s="211"/>
      <c r="UAU29" s="211"/>
      <c r="UAV29" s="211"/>
      <c r="UAW29" s="211"/>
      <c r="UAX29" s="211"/>
      <c r="UAY29" s="211"/>
      <c r="UAZ29" s="211"/>
      <c r="UBA29" s="211"/>
      <c r="UBB29" s="211"/>
      <c r="UBC29" s="211"/>
      <c r="UBD29" s="211"/>
      <c r="UBE29" s="211"/>
      <c r="UBF29" s="211"/>
      <c r="UBG29" s="211"/>
      <c r="UBH29" s="211"/>
      <c r="UBI29" s="211"/>
      <c r="UBJ29" s="211"/>
      <c r="UBK29" s="211"/>
      <c r="UBL29" s="211"/>
      <c r="UBM29" s="211"/>
      <c r="UBN29" s="211"/>
      <c r="UBO29" s="211"/>
      <c r="UBP29" s="211"/>
      <c r="UBQ29" s="211"/>
      <c r="UBR29" s="211"/>
      <c r="UBS29" s="211"/>
      <c r="UBT29" s="211"/>
      <c r="UBU29" s="211"/>
      <c r="UBV29" s="211"/>
      <c r="UBW29" s="211"/>
      <c r="UBX29" s="211"/>
      <c r="UBY29" s="211"/>
      <c r="UBZ29" s="211"/>
      <c r="UCA29" s="211"/>
      <c r="UCB29" s="211"/>
      <c r="UCC29" s="211"/>
      <c r="UCD29" s="211"/>
      <c r="UCE29" s="211"/>
      <c r="UCF29" s="211"/>
      <c r="UCG29" s="211"/>
      <c r="UCH29" s="211"/>
      <c r="UCI29" s="211"/>
      <c r="UCJ29" s="211"/>
      <c r="UCK29" s="211"/>
      <c r="UCL29" s="211"/>
      <c r="UCM29" s="211"/>
      <c r="UCN29" s="211"/>
      <c r="UCO29" s="211"/>
      <c r="UCP29" s="211"/>
      <c r="UCQ29" s="211"/>
      <c r="UCR29" s="211"/>
      <c r="UCS29" s="211"/>
      <c r="UCT29" s="211"/>
      <c r="UCU29" s="211"/>
      <c r="UCV29" s="211"/>
      <c r="UCW29" s="211"/>
      <c r="UCX29" s="211"/>
      <c r="UCY29" s="211"/>
      <c r="UCZ29" s="211"/>
      <c r="UDA29" s="211"/>
      <c r="UDB29" s="211"/>
      <c r="UDC29" s="211"/>
      <c r="UDD29" s="211"/>
      <c r="UDE29" s="211"/>
      <c r="UDF29" s="211"/>
      <c r="UDG29" s="211"/>
      <c r="UDH29" s="211"/>
      <c r="UDI29" s="211"/>
      <c r="UDJ29" s="211"/>
      <c r="UDK29" s="211"/>
      <c r="UDL29" s="211"/>
      <c r="UDM29" s="211"/>
      <c r="UDN29" s="211"/>
      <c r="UDO29" s="211"/>
      <c r="UDP29" s="211"/>
      <c r="UDQ29" s="211"/>
      <c r="UDR29" s="211"/>
      <c r="UDS29" s="211"/>
      <c r="UDT29" s="211"/>
      <c r="UDU29" s="211"/>
      <c r="UDV29" s="211"/>
      <c r="UDW29" s="211"/>
      <c r="UDX29" s="211"/>
      <c r="UDY29" s="211"/>
      <c r="UDZ29" s="211"/>
      <c r="UEA29" s="211"/>
      <c r="UEB29" s="211"/>
      <c r="UEC29" s="211"/>
      <c r="UED29" s="211"/>
      <c r="UEE29" s="211"/>
      <c r="UEF29" s="211"/>
      <c r="UEG29" s="211"/>
      <c r="UEH29" s="211"/>
      <c r="UEI29" s="211"/>
      <c r="UEJ29" s="211"/>
      <c r="UEK29" s="211"/>
      <c r="UEL29" s="211"/>
      <c r="UEM29" s="211"/>
      <c r="UEN29" s="211"/>
      <c r="UEO29" s="211"/>
      <c r="UEP29" s="211"/>
      <c r="UEQ29" s="211"/>
      <c r="UER29" s="211"/>
      <c r="UES29" s="211"/>
      <c r="UET29" s="211"/>
      <c r="UEU29" s="211"/>
      <c r="UEV29" s="211"/>
      <c r="UEW29" s="211"/>
      <c r="UEX29" s="211"/>
      <c r="UEY29" s="211"/>
      <c r="UEZ29" s="211"/>
      <c r="UFA29" s="211"/>
      <c r="UFB29" s="211"/>
      <c r="UFC29" s="211"/>
      <c r="UFD29" s="211"/>
      <c r="UFE29" s="211"/>
      <c r="UFF29" s="211"/>
      <c r="UFG29" s="211"/>
      <c r="UFH29" s="211"/>
      <c r="UFI29" s="211"/>
      <c r="UFJ29" s="211"/>
      <c r="UFK29" s="211"/>
      <c r="UFL29" s="211"/>
      <c r="UFM29" s="211"/>
      <c r="UFN29" s="211"/>
      <c r="UFO29" s="211"/>
      <c r="UFP29" s="211"/>
      <c r="UFQ29" s="211"/>
      <c r="UFR29" s="211"/>
      <c r="UFS29" s="211"/>
      <c r="UFT29" s="211"/>
      <c r="UFU29" s="211"/>
      <c r="UFV29" s="211"/>
      <c r="UFW29" s="211"/>
      <c r="UFX29" s="211"/>
      <c r="UFY29" s="211"/>
      <c r="UFZ29" s="211"/>
      <c r="UGA29" s="211"/>
      <c r="UGB29" s="211"/>
      <c r="UGC29" s="211"/>
      <c r="UGD29" s="211"/>
      <c r="UGE29" s="211"/>
      <c r="UGF29" s="211"/>
      <c r="UGG29" s="211"/>
      <c r="UGH29" s="211"/>
      <c r="UGI29" s="211"/>
      <c r="UGJ29" s="211"/>
      <c r="UGK29" s="211"/>
      <c r="UGL29" s="211"/>
      <c r="UGM29" s="211"/>
      <c r="UGN29" s="211"/>
      <c r="UGO29" s="211"/>
      <c r="UGP29" s="211"/>
      <c r="UGQ29" s="211"/>
      <c r="UGR29" s="211"/>
      <c r="UGS29" s="211"/>
      <c r="UGT29" s="211"/>
      <c r="UGU29" s="211"/>
      <c r="UGV29" s="211"/>
      <c r="UGW29" s="211"/>
      <c r="UGX29" s="211"/>
      <c r="UGY29" s="211"/>
      <c r="UGZ29" s="211"/>
      <c r="UHA29" s="211"/>
      <c r="UHB29" s="211"/>
      <c r="UHC29" s="211"/>
      <c r="UHD29" s="211"/>
      <c r="UHE29" s="211"/>
      <c r="UHF29" s="211"/>
      <c r="UHG29" s="211"/>
      <c r="UHH29" s="211"/>
      <c r="UHI29" s="211"/>
      <c r="UHJ29" s="211"/>
      <c r="UHK29" s="211"/>
      <c r="UHL29" s="211"/>
      <c r="UHM29" s="211"/>
      <c r="UHN29" s="211"/>
      <c r="UHO29" s="211"/>
      <c r="UHP29" s="211"/>
      <c r="UHQ29" s="211"/>
      <c r="UHR29" s="211"/>
      <c r="UHS29" s="211"/>
      <c r="UHT29" s="211"/>
      <c r="UHU29" s="211"/>
      <c r="UHV29" s="211"/>
      <c r="UHW29" s="211"/>
      <c r="UHX29" s="211"/>
      <c r="UHY29" s="211"/>
      <c r="UHZ29" s="211"/>
      <c r="UIA29" s="211"/>
      <c r="UIB29" s="211"/>
      <c r="UIC29" s="211"/>
      <c r="UID29" s="211"/>
      <c r="UIE29" s="211"/>
      <c r="UIF29" s="211"/>
      <c r="UIG29" s="211"/>
      <c r="UIH29" s="211"/>
      <c r="UII29" s="211"/>
      <c r="UIJ29" s="211"/>
      <c r="UIK29" s="211"/>
      <c r="UIL29" s="211"/>
      <c r="UIM29" s="211"/>
      <c r="UIN29" s="211"/>
      <c r="UIO29" s="211"/>
      <c r="UIP29" s="211"/>
      <c r="UIQ29" s="211"/>
      <c r="UIR29" s="211"/>
      <c r="UIS29" s="211"/>
      <c r="UIT29" s="211"/>
      <c r="UIU29" s="211"/>
      <c r="UIV29" s="211"/>
      <c r="UIW29" s="211"/>
      <c r="UIX29" s="211"/>
      <c r="UIY29" s="211"/>
      <c r="UIZ29" s="211"/>
      <c r="UJA29" s="211"/>
      <c r="UJB29" s="211"/>
      <c r="UJC29" s="211"/>
      <c r="UJD29" s="211"/>
      <c r="UJE29" s="211"/>
      <c r="UJF29" s="211"/>
      <c r="UJG29" s="211"/>
      <c r="UJH29" s="211"/>
      <c r="UJI29" s="211"/>
      <c r="UJJ29" s="211"/>
      <c r="UJK29" s="211"/>
      <c r="UJL29" s="211"/>
      <c r="UJM29" s="211"/>
      <c r="UJN29" s="211"/>
      <c r="UJO29" s="211"/>
      <c r="UJP29" s="211"/>
      <c r="UJQ29" s="211"/>
      <c r="UJR29" s="211"/>
      <c r="UJS29" s="211"/>
      <c r="UJT29" s="211"/>
      <c r="UJU29" s="211"/>
      <c r="UJV29" s="211"/>
      <c r="UJW29" s="211"/>
      <c r="UJX29" s="211"/>
      <c r="UJY29" s="211"/>
      <c r="UJZ29" s="211"/>
      <c r="UKA29" s="211"/>
      <c r="UKB29" s="211"/>
      <c r="UKC29" s="211"/>
      <c r="UKD29" s="211"/>
      <c r="UKE29" s="211"/>
      <c r="UKF29" s="211"/>
      <c r="UKG29" s="211"/>
      <c r="UKH29" s="211"/>
      <c r="UKI29" s="211"/>
      <c r="UKJ29" s="211"/>
      <c r="UKK29" s="211"/>
      <c r="UKL29" s="211"/>
      <c r="UKM29" s="211"/>
      <c r="UKN29" s="211"/>
      <c r="UKO29" s="211"/>
      <c r="UKP29" s="211"/>
      <c r="UKQ29" s="211"/>
      <c r="UKR29" s="211"/>
      <c r="UKS29" s="211"/>
      <c r="UKT29" s="211"/>
      <c r="UKU29" s="211"/>
      <c r="UKV29" s="211"/>
      <c r="UKW29" s="211"/>
      <c r="UKX29" s="211"/>
      <c r="UKY29" s="211"/>
      <c r="UKZ29" s="211"/>
      <c r="ULA29" s="211"/>
      <c r="ULB29" s="211"/>
      <c r="ULC29" s="211"/>
      <c r="ULD29" s="211"/>
      <c r="ULE29" s="211"/>
      <c r="ULF29" s="211"/>
      <c r="ULG29" s="211"/>
      <c r="ULH29" s="211"/>
      <c r="ULI29" s="211"/>
      <c r="ULJ29" s="211"/>
      <c r="ULK29" s="211"/>
      <c r="ULL29" s="211"/>
      <c r="ULM29" s="211"/>
      <c r="ULN29" s="211"/>
      <c r="ULO29" s="211"/>
      <c r="ULP29" s="211"/>
      <c r="ULQ29" s="211"/>
      <c r="ULR29" s="211"/>
      <c r="ULS29" s="211"/>
      <c r="ULT29" s="211"/>
      <c r="ULU29" s="211"/>
      <c r="ULV29" s="211"/>
      <c r="ULW29" s="211"/>
      <c r="ULX29" s="211"/>
      <c r="ULY29" s="211"/>
      <c r="ULZ29" s="211"/>
      <c r="UMA29" s="211"/>
      <c r="UMB29" s="211"/>
      <c r="UMC29" s="211"/>
      <c r="UMD29" s="211"/>
      <c r="UME29" s="211"/>
      <c r="UMF29" s="211"/>
      <c r="UMG29" s="211"/>
      <c r="UMH29" s="211"/>
      <c r="UMI29" s="211"/>
      <c r="UMJ29" s="211"/>
      <c r="UMK29" s="211"/>
      <c r="UML29" s="211"/>
      <c r="UMM29" s="211"/>
      <c r="UMN29" s="211"/>
      <c r="UMO29" s="211"/>
      <c r="UMP29" s="211"/>
      <c r="UMQ29" s="211"/>
      <c r="UMR29" s="211"/>
      <c r="UMS29" s="211"/>
      <c r="UMT29" s="211"/>
      <c r="UMU29" s="211"/>
      <c r="UMV29" s="211"/>
      <c r="UMW29" s="211"/>
      <c r="UMX29" s="211"/>
      <c r="UMY29" s="211"/>
      <c r="UMZ29" s="211"/>
      <c r="UNA29" s="211"/>
      <c r="UNB29" s="211"/>
      <c r="UNC29" s="211"/>
      <c r="UND29" s="211"/>
      <c r="UNE29" s="211"/>
      <c r="UNF29" s="211"/>
      <c r="UNG29" s="211"/>
      <c r="UNH29" s="211"/>
      <c r="UNI29" s="211"/>
      <c r="UNJ29" s="211"/>
      <c r="UNK29" s="211"/>
      <c r="UNL29" s="211"/>
      <c r="UNM29" s="211"/>
      <c r="UNN29" s="211"/>
      <c r="UNO29" s="211"/>
      <c r="UNP29" s="211"/>
      <c r="UNQ29" s="211"/>
      <c r="UNR29" s="211"/>
      <c r="UNS29" s="211"/>
      <c r="UNT29" s="211"/>
      <c r="UNU29" s="211"/>
      <c r="UNV29" s="211"/>
      <c r="UNW29" s="211"/>
      <c r="UNX29" s="211"/>
      <c r="UNY29" s="211"/>
      <c r="UNZ29" s="211"/>
      <c r="UOA29" s="211"/>
      <c r="UOB29" s="211"/>
      <c r="UOC29" s="211"/>
      <c r="UOD29" s="211"/>
      <c r="UOE29" s="211"/>
      <c r="UOF29" s="211"/>
      <c r="UOG29" s="211"/>
      <c r="UOH29" s="211"/>
      <c r="UOI29" s="211"/>
      <c r="UOJ29" s="211"/>
      <c r="UOK29" s="211"/>
      <c r="UOL29" s="211"/>
      <c r="UOM29" s="211"/>
      <c r="UON29" s="211"/>
      <c r="UOO29" s="211"/>
      <c r="UOP29" s="211"/>
      <c r="UOQ29" s="211"/>
      <c r="UOR29" s="211"/>
      <c r="UOS29" s="211"/>
      <c r="UOT29" s="211"/>
      <c r="UOU29" s="211"/>
      <c r="UOV29" s="211"/>
      <c r="UOW29" s="211"/>
      <c r="UOX29" s="211"/>
      <c r="UOY29" s="211"/>
      <c r="UOZ29" s="211"/>
      <c r="UPA29" s="211"/>
      <c r="UPB29" s="211"/>
      <c r="UPC29" s="211"/>
      <c r="UPD29" s="211"/>
      <c r="UPE29" s="211"/>
      <c r="UPF29" s="211"/>
      <c r="UPG29" s="211"/>
      <c r="UPH29" s="211"/>
      <c r="UPI29" s="211"/>
      <c r="UPJ29" s="211"/>
      <c r="UPK29" s="211"/>
      <c r="UPL29" s="211"/>
      <c r="UPM29" s="211"/>
      <c r="UPN29" s="211"/>
      <c r="UPO29" s="211"/>
      <c r="UPP29" s="211"/>
      <c r="UPQ29" s="211"/>
      <c r="UPR29" s="211"/>
      <c r="UPS29" s="211"/>
      <c r="UPT29" s="211"/>
      <c r="UPU29" s="211"/>
      <c r="UPV29" s="211"/>
      <c r="UPW29" s="211"/>
      <c r="UPX29" s="211"/>
      <c r="UPY29" s="211"/>
      <c r="UPZ29" s="211"/>
      <c r="UQA29" s="211"/>
      <c r="UQB29" s="211"/>
      <c r="UQC29" s="211"/>
      <c r="UQD29" s="211"/>
      <c r="UQE29" s="211"/>
      <c r="UQF29" s="211"/>
      <c r="UQG29" s="211"/>
      <c r="UQH29" s="211"/>
      <c r="UQI29" s="211"/>
      <c r="UQJ29" s="211"/>
      <c r="UQK29" s="211"/>
      <c r="UQL29" s="211"/>
      <c r="UQM29" s="211"/>
      <c r="UQN29" s="211"/>
      <c r="UQO29" s="211"/>
      <c r="UQP29" s="211"/>
      <c r="UQQ29" s="211"/>
      <c r="UQR29" s="211"/>
      <c r="UQS29" s="211"/>
      <c r="UQT29" s="211"/>
      <c r="UQU29" s="211"/>
      <c r="UQV29" s="211"/>
      <c r="UQW29" s="211"/>
      <c r="UQX29" s="211"/>
      <c r="UQY29" s="211"/>
      <c r="UQZ29" s="211"/>
      <c r="URA29" s="211"/>
      <c r="URB29" s="211"/>
      <c r="URC29" s="211"/>
      <c r="URD29" s="211"/>
      <c r="URE29" s="211"/>
      <c r="URF29" s="211"/>
      <c r="URG29" s="211"/>
      <c r="URH29" s="211"/>
      <c r="URI29" s="211"/>
      <c r="URJ29" s="211"/>
      <c r="URK29" s="211"/>
      <c r="URL29" s="211"/>
      <c r="URM29" s="211"/>
      <c r="URN29" s="211"/>
      <c r="URO29" s="211"/>
      <c r="URP29" s="211"/>
      <c r="URQ29" s="211"/>
      <c r="URR29" s="211"/>
      <c r="URS29" s="211"/>
      <c r="URT29" s="211"/>
      <c r="URU29" s="211"/>
      <c r="URV29" s="211"/>
      <c r="URW29" s="211"/>
      <c r="URX29" s="211"/>
      <c r="URY29" s="211"/>
      <c r="URZ29" s="211"/>
      <c r="USA29" s="211"/>
      <c r="USB29" s="211"/>
      <c r="USC29" s="211"/>
      <c r="USD29" s="211"/>
      <c r="USE29" s="211"/>
      <c r="USF29" s="211"/>
      <c r="USG29" s="211"/>
      <c r="USH29" s="211"/>
      <c r="USI29" s="211"/>
      <c r="USJ29" s="211"/>
      <c r="USK29" s="211"/>
      <c r="USL29" s="211"/>
      <c r="USM29" s="211"/>
      <c r="USN29" s="211"/>
      <c r="USO29" s="211"/>
      <c r="USP29" s="211"/>
      <c r="USQ29" s="211"/>
      <c r="USR29" s="211"/>
      <c r="USS29" s="211"/>
      <c r="UST29" s="211"/>
      <c r="USU29" s="211"/>
      <c r="USV29" s="211"/>
      <c r="USW29" s="211"/>
      <c r="USX29" s="211"/>
      <c r="USY29" s="211"/>
      <c r="USZ29" s="211"/>
      <c r="UTA29" s="211"/>
      <c r="UTB29" s="211"/>
      <c r="UTC29" s="211"/>
      <c r="UTD29" s="211"/>
      <c r="UTE29" s="211"/>
      <c r="UTF29" s="211"/>
      <c r="UTG29" s="211"/>
      <c r="UTH29" s="211"/>
      <c r="UTI29" s="211"/>
      <c r="UTJ29" s="211"/>
      <c r="UTK29" s="211"/>
      <c r="UTL29" s="211"/>
      <c r="UTM29" s="211"/>
      <c r="UTN29" s="211"/>
      <c r="UTO29" s="211"/>
      <c r="UTP29" s="211"/>
      <c r="UTQ29" s="211"/>
      <c r="UTR29" s="211"/>
      <c r="UTS29" s="211"/>
      <c r="UTT29" s="211"/>
      <c r="UTU29" s="211"/>
      <c r="UTV29" s="211"/>
      <c r="UTW29" s="211"/>
      <c r="UTX29" s="211"/>
      <c r="UTY29" s="211"/>
      <c r="UTZ29" s="211"/>
      <c r="UUA29" s="211"/>
      <c r="UUB29" s="211"/>
      <c r="UUC29" s="211"/>
      <c r="UUD29" s="211"/>
      <c r="UUE29" s="211"/>
      <c r="UUF29" s="211"/>
      <c r="UUG29" s="211"/>
      <c r="UUH29" s="211"/>
      <c r="UUI29" s="211"/>
      <c r="UUJ29" s="211"/>
      <c r="UUK29" s="211"/>
      <c r="UUL29" s="211"/>
      <c r="UUM29" s="211"/>
      <c r="UUN29" s="211"/>
      <c r="UUO29" s="211"/>
      <c r="UUP29" s="211"/>
      <c r="UUQ29" s="211"/>
      <c r="UUR29" s="211"/>
      <c r="UUS29" s="211"/>
      <c r="UUT29" s="211"/>
      <c r="UUU29" s="211"/>
      <c r="UUV29" s="211"/>
      <c r="UUW29" s="211"/>
      <c r="UUX29" s="211"/>
      <c r="UUY29" s="211"/>
      <c r="UUZ29" s="211"/>
      <c r="UVA29" s="211"/>
      <c r="UVB29" s="211"/>
      <c r="UVC29" s="211"/>
      <c r="UVD29" s="211"/>
      <c r="UVE29" s="211"/>
      <c r="UVF29" s="211"/>
      <c r="UVG29" s="211"/>
      <c r="UVH29" s="211"/>
      <c r="UVI29" s="211"/>
      <c r="UVJ29" s="211"/>
      <c r="UVK29" s="211"/>
      <c r="UVL29" s="211"/>
      <c r="UVM29" s="211"/>
      <c r="UVN29" s="211"/>
      <c r="UVO29" s="211"/>
      <c r="UVP29" s="211"/>
      <c r="UVQ29" s="211"/>
      <c r="UVR29" s="211"/>
      <c r="UVS29" s="211"/>
      <c r="UVT29" s="211"/>
      <c r="UVU29" s="211"/>
      <c r="UVV29" s="211"/>
      <c r="UVW29" s="211"/>
      <c r="UVX29" s="211"/>
      <c r="UVY29" s="211"/>
      <c r="UVZ29" s="211"/>
      <c r="UWA29" s="211"/>
      <c r="UWB29" s="211"/>
      <c r="UWC29" s="211"/>
      <c r="UWD29" s="211"/>
      <c r="UWE29" s="211"/>
      <c r="UWF29" s="211"/>
      <c r="UWG29" s="211"/>
      <c r="UWH29" s="211"/>
      <c r="UWI29" s="211"/>
      <c r="UWJ29" s="211"/>
      <c r="UWK29" s="211"/>
      <c r="UWL29" s="211"/>
      <c r="UWM29" s="211"/>
      <c r="UWN29" s="211"/>
      <c r="UWO29" s="211"/>
      <c r="UWP29" s="211"/>
      <c r="UWQ29" s="211"/>
      <c r="UWR29" s="211"/>
      <c r="UWS29" s="211"/>
      <c r="UWT29" s="211"/>
      <c r="UWU29" s="211"/>
      <c r="UWV29" s="211"/>
      <c r="UWW29" s="211"/>
      <c r="UWX29" s="211"/>
      <c r="UWY29" s="211"/>
      <c r="UWZ29" s="211"/>
      <c r="UXA29" s="211"/>
      <c r="UXB29" s="211"/>
      <c r="UXC29" s="211"/>
      <c r="UXD29" s="211"/>
      <c r="UXE29" s="211"/>
      <c r="UXF29" s="211"/>
      <c r="UXG29" s="211"/>
      <c r="UXH29" s="211"/>
      <c r="UXI29" s="211"/>
      <c r="UXJ29" s="211"/>
      <c r="UXK29" s="211"/>
      <c r="UXL29" s="211"/>
      <c r="UXM29" s="211"/>
      <c r="UXN29" s="211"/>
      <c r="UXO29" s="211"/>
      <c r="UXP29" s="211"/>
      <c r="UXQ29" s="211"/>
      <c r="UXR29" s="211"/>
      <c r="UXS29" s="211"/>
      <c r="UXT29" s="211"/>
      <c r="UXU29" s="211"/>
      <c r="UXV29" s="211"/>
      <c r="UXW29" s="211"/>
      <c r="UXX29" s="211"/>
      <c r="UXY29" s="211"/>
      <c r="UXZ29" s="211"/>
      <c r="UYA29" s="211"/>
      <c r="UYB29" s="211"/>
      <c r="UYC29" s="211"/>
      <c r="UYD29" s="211"/>
      <c r="UYE29" s="211"/>
      <c r="UYF29" s="211"/>
      <c r="UYG29" s="211"/>
      <c r="UYH29" s="211"/>
      <c r="UYI29" s="211"/>
      <c r="UYJ29" s="211"/>
      <c r="UYK29" s="211"/>
      <c r="UYL29" s="211"/>
      <c r="UYM29" s="211"/>
      <c r="UYN29" s="211"/>
      <c r="UYO29" s="211"/>
      <c r="UYP29" s="211"/>
      <c r="UYQ29" s="211"/>
      <c r="UYR29" s="211"/>
      <c r="UYS29" s="211"/>
      <c r="UYT29" s="211"/>
      <c r="UYU29" s="211"/>
      <c r="UYV29" s="211"/>
      <c r="UYW29" s="211"/>
      <c r="UYX29" s="211"/>
      <c r="UYY29" s="211"/>
      <c r="UYZ29" s="211"/>
      <c r="UZA29" s="211"/>
      <c r="UZB29" s="211"/>
      <c r="UZC29" s="211"/>
      <c r="UZD29" s="211"/>
      <c r="UZE29" s="211"/>
      <c r="UZF29" s="211"/>
      <c r="UZG29" s="211"/>
      <c r="UZH29" s="211"/>
      <c r="UZI29" s="211"/>
      <c r="UZJ29" s="211"/>
      <c r="UZK29" s="211"/>
      <c r="UZL29" s="211"/>
      <c r="UZM29" s="211"/>
      <c r="UZN29" s="211"/>
      <c r="UZO29" s="211"/>
      <c r="UZP29" s="211"/>
      <c r="UZQ29" s="211"/>
      <c r="UZR29" s="211"/>
      <c r="UZS29" s="211"/>
      <c r="UZT29" s="211"/>
      <c r="UZU29" s="211"/>
      <c r="UZV29" s="211"/>
      <c r="UZW29" s="211"/>
      <c r="UZX29" s="211"/>
      <c r="UZY29" s="211"/>
      <c r="UZZ29" s="211"/>
      <c r="VAA29" s="211"/>
      <c r="VAB29" s="211"/>
      <c r="VAC29" s="211"/>
      <c r="VAD29" s="211"/>
      <c r="VAE29" s="211"/>
      <c r="VAF29" s="211"/>
      <c r="VAG29" s="211"/>
      <c r="VAH29" s="211"/>
      <c r="VAI29" s="211"/>
      <c r="VAJ29" s="211"/>
      <c r="VAK29" s="211"/>
      <c r="VAL29" s="211"/>
      <c r="VAM29" s="211"/>
      <c r="VAN29" s="211"/>
      <c r="VAO29" s="211"/>
      <c r="VAP29" s="211"/>
      <c r="VAQ29" s="211"/>
      <c r="VAR29" s="211"/>
      <c r="VAS29" s="211"/>
      <c r="VAT29" s="211"/>
      <c r="VAU29" s="211"/>
      <c r="VAV29" s="211"/>
      <c r="VAW29" s="211"/>
      <c r="VAX29" s="211"/>
      <c r="VAY29" s="211"/>
      <c r="VAZ29" s="211"/>
      <c r="VBA29" s="211"/>
      <c r="VBB29" s="211"/>
      <c r="VBC29" s="211"/>
      <c r="VBD29" s="211"/>
      <c r="VBE29" s="211"/>
      <c r="VBF29" s="211"/>
      <c r="VBG29" s="211"/>
      <c r="VBH29" s="211"/>
      <c r="VBI29" s="211"/>
      <c r="VBJ29" s="211"/>
      <c r="VBK29" s="211"/>
      <c r="VBL29" s="211"/>
      <c r="VBM29" s="211"/>
      <c r="VBN29" s="211"/>
      <c r="VBO29" s="211"/>
      <c r="VBP29" s="211"/>
      <c r="VBQ29" s="211"/>
      <c r="VBR29" s="211"/>
      <c r="VBS29" s="211"/>
      <c r="VBT29" s="211"/>
      <c r="VBU29" s="211"/>
      <c r="VBV29" s="211"/>
      <c r="VBW29" s="211"/>
      <c r="VBX29" s="211"/>
      <c r="VBY29" s="211"/>
      <c r="VBZ29" s="211"/>
      <c r="VCA29" s="211"/>
      <c r="VCB29" s="211"/>
      <c r="VCC29" s="211"/>
      <c r="VCD29" s="211"/>
      <c r="VCE29" s="211"/>
      <c r="VCF29" s="211"/>
      <c r="VCG29" s="211"/>
      <c r="VCH29" s="211"/>
      <c r="VCI29" s="211"/>
      <c r="VCJ29" s="211"/>
      <c r="VCK29" s="211"/>
      <c r="VCL29" s="211"/>
      <c r="VCM29" s="211"/>
      <c r="VCN29" s="211"/>
      <c r="VCO29" s="211"/>
      <c r="VCP29" s="211"/>
      <c r="VCQ29" s="211"/>
      <c r="VCR29" s="211"/>
      <c r="VCS29" s="211"/>
      <c r="VCT29" s="211"/>
      <c r="VCU29" s="211"/>
      <c r="VCV29" s="211"/>
      <c r="VCW29" s="211"/>
      <c r="VCX29" s="211"/>
      <c r="VCY29" s="211"/>
      <c r="VCZ29" s="211"/>
      <c r="VDA29" s="211"/>
      <c r="VDB29" s="211"/>
      <c r="VDC29" s="211"/>
      <c r="VDD29" s="211"/>
      <c r="VDE29" s="211"/>
      <c r="VDF29" s="211"/>
      <c r="VDG29" s="211"/>
      <c r="VDH29" s="211"/>
      <c r="VDI29" s="211"/>
      <c r="VDJ29" s="211"/>
      <c r="VDK29" s="211"/>
      <c r="VDL29" s="211"/>
      <c r="VDM29" s="211"/>
      <c r="VDN29" s="211"/>
      <c r="VDO29" s="211"/>
      <c r="VDP29" s="211"/>
      <c r="VDQ29" s="211"/>
      <c r="VDR29" s="211"/>
      <c r="VDS29" s="211"/>
      <c r="VDT29" s="211"/>
      <c r="VDU29" s="211"/>
      <c r="VDV29" s="211"/>
      <c r="VDW29" s="211"/>
      <c r="VDX29" s="211"/>
      <c r="VDY29" s="211"/>
      <c r="VDZ29" s="211"/>
      <c r="VEA29" s="211"/>
      <c r="VEB29" s="211"/>
      <c r="VEC29" s="211"/>
      <c r="VED29" s="211"/>
      <c r="VEE29" s="211"/>
      <c r="VEF29" s="211"/>
      <c r="VEG29" s="211"/>
      <c r="VEH29" s="211"/>
      <c r="VEI29" s="211"/>
      <c r="VEJ29" s="211"/>
      <c r="VEK29" s="211"/>
      <c r="VEL29" s="211"/>
      <c r="VEM29" s="211"/>
      <c r="VEN29" s="211"/>
      <c r="VEO29" s="211"/>
      <c r="VEP29" s="211"/>
      <c r="VEQ29" s="211"/>
      <c r="VER29" s="211"/>
      <c r="VES29" s="211"/>
      <c r="VET29" s="211"/>
      <c r="VEU29" s="211"/>
      <c r="VEV29" s="211"/>
      <c r="VEW29" s="211"/>
      <c r="VEX29" s="211"/>
      <c r="VEY29" s="211"/>
      <c r="VEZ29" s="211"/>
      <c r="VFA29" s="211"/>
      <c r="VFB29" s="211"/>
      <c r="VFC29" s="211"/>
      <c r="VFD29" s="211"/>
      <c r="VFE29" s="211"/>
      <c r="VFF29" s="211"/>
      <c r="VFG29" s="211"/>
      <c r="VFH29" s="211"/>
      <c r="VFI29" s="211"/>
      <c r="VFJ29" s="211"/>
      <c r="VFK29" s="211"/>
      <c r="VFL29" s="211"/>
      <c r="VFM29" s="211"/>
      <c r="VFN29" s="211"/>
      <c r="VFO29" s="211"/>
      <c r="VFP29" s="211"/>
      <c r="VFQ29" s="211"/>
      <c r="VFR29" s="211"/>
      <c r="VFS29" s="211"/>
      <c r="VFT29" s="211"/>
      <c r="VFU29" s="211"/>
      <c r="VFV29" s="211"/>
      <c r="VFW29" s="211"/>
      <c r="VFX29" s="211"/>
      <c r="VFY29" s="211"/>
      <c r="VFZ29" s="211"/>
      <c r="VGA29" s="211"/>
      <c r="VGB29" s="211"/>
      <c r="VGC29" s="211"/>
      <c r="VGD29" s="211"/>
      <c r="VGE29" s="211"/>
      <c r="VGF29" s="211"/>
      <c r="VGG29" s="211"/>
      <c r="VGH29" s="211"/>
      <c r="VGI29" s="211"/>
      <c r="VGJ29" s="211"/>
      <c r="VGK29" s="211"/>
      <c r="VGL29" s="211"/>
      <c r="VGM29" s="211"/>
      <c r="VGN29" s="211"/>
      <c r="VGO29" s="211"/>
      <c r="VGP29" s="211"/>
      <c r="VGQ29" s="211"/>
      <c r="VGR29" s="211"/>
      <c r="VGS29" s="211"/>
      <c r="VGT29" s="211"/>
      <c r="VGU29" s="211"/>
      <c r="VGV29" s="211"/>
      <c r="VGW29" s="211"/>
      <c r="VGX29" s="211"/>
      <c r="VGY29" s="211"/>
      <c r="VGZ29" s="211"/>
      <c r="VHA29" s="211"/>
      <c r="VHB29" s="211"/>
      <c r="VHC29" s="211"/>
      <c r="VHD29" s="211"/>
      <c r="VHE29" s="211"/>
      <c r="VHF29" s="211"/>
      <c r="VHG29" s="211"/>
      <c r="VHH29" s="211"/>
      <c r="VHI29" s="211"/>
      <c r="VHJ29" s="211"/>
      <c r="VHK29" s="211"/>
      <c r="VHL29" s="211"/>
      <c r="VHM29" s="211"/>
      <c r="VHN29" s="211"/>
      <c r="VHO29" s="211"/>
      <c r="VHP29" s="211"/>
      <c r="VHQ29" s="211"/>
      <c r="VHR29" s="211"/>
      <c r="VHS29" s="211"/>
      <c r="VHT29" s="211"/>
      <c r="VHU29" s="211"/>
      <c r="VHV29" s="211"/>
      <c r="VHW29" s="211"/>
      <c r="VHX29" s="211"/>
      <c r="VHY29" s="211"/>
      <c r="VHZ29" s="211"/>
      <c r="VIA29" s="211"/>
      <c r="VIB29" s="211"/>
      <c r="VIC29" s="211"/>
      <c r="VID29" s="211"/>
      <c r="VIE29" s="211"/>
      <c r="VIF29" s="211"/>
      <c r="VIG29" s="211"/>
      <c r="VIH29" s="211"/>
      <c r="VII29" s="211"/>
      <c r="VIJ29" s="211"/>
      <c r="VIK29" s="211"/>
      <c r="VIL29" s="211"/>
      <c r="VIM29" s="211"/>
      <c r="VIN29" s="211"/>
      <c r="VIO29" s="211"/>
      <c r="VIP29" s="211"/>
      <c r="VIQ29" s="211"/>
      <c r="VIR29" s="211"/>
      <c r="VIS29" s="211"/>
      <c r="VIT29" s="211"/>
      <c r="VIU29" s="211"/>
      <c r="VIV29" s="211"/>
      <c r="VIW29" s="211"/>
      <c r="VIX29" s="211"/>
      <c r="VIY29" s="211"/>
      <c r="VIZ29" s="211"/>
      <c r="VJA29" s="211"/>
      <c r="VJB29" s="211"/>
      <c r="VJC29" s="211"/>
      <c r="VJD29" s="211"/>
      <c r="VJE29" s="211"/>
      <c r="VJF29" s="211"/>
      <c r="VJG29" s="211"/>
      <c r="VJH29" s="211"/>
      <c r="VJI29" s="211"/>
      <c r="VJJ29" s="211"/>
      <c r="VJK29" s="211"/>
      <c r="VJL29" s="211"/>
      <c r="VJM29" s="211"/>
      <c r="VJN29" s="211"/>
      <c r="VJO29" s="211"/>
      <c r="VJP29" s="211"/>
      <c r="VJQ29" s="211"/>
      <c r="VJR29" s="211"/>
      <c r="VJS29" s="211"/>
      <c r="VJT29" s="211"/>
      <c r="VJU29" s="211"/>
      <c r="VJV29" s="211"/>
      <c r="VJW29" s="211"/>
      <c r="VJX29" s="211"/>
      <c r="VJY29" s="211"/>
      <c r="VJZ29" s="211"/>
      <c r="VKA29" s="211"/>
      <c r="VKB29" s="211"/>
      <c r="VKC29" s="211"/>
      <c r="VKD29" s="211"/>
      <c r="VKE29" s="211"/>
      <c r="VKF29" s="211"/>
      <c r="VKG29" s="211"/>
      <c r="VKH29" s="211"/>
      <c r="VKI29" s="211"/>
      <c r="VKJ29" s="211"/>
      <c r="VKK29" s="211"/>
      <c r="VKL29" s="211"/>
      <c r="VKM29" s="211"/>
      <c r="VKN29" s="211"/>
      <c r="VKO29" s="211"/>
      <c r="VKP29" s="211"/>
      <c r="VKQ29" s="211"/>
      <c r="VKR29" s="211"/>
      <c r="VKS29" s="211"/>
      <c r="VKT29" s="211"/>
      <c r="VKU29" s="211"/>
      <c r="VKV29" s="211"/>
      <c r="VKW29" s="211"/>
      <c r="VKX29" s="211"/>
      <c r="VKY29" s="211"/>
      <c r="VKZ29" s="211"/>
      <c r="VLA29" s="211"/>
      <c r="VLB29" s="211"/>
      <c r="VLC29" s="211"/>
      <c r="VLD29" s="211"/>
      <c r="VLE29" s="211"/>
      <c r="VLF29" s="211"/>
      <c r="VLG29" s="211"/>
      <c r="VLH29" s="211"/>
      <c r="VLI29" s="211"/>
      <c r="VLJ29" s="211"/>
      <c r="VLK29" s="211"/>
      <c r="VLL29" s="211"/>
      <c r="VLM29" s="211"/>
      <c r="VLN29" s="211"/>
      <c r="VLO29" s="211"/>
      <c r="VLP29" s="211"/>
      <c r="VLQ29" s="211"/>
      <c r="VLR29" s="211"/>
      <c r="VLS29" s="211"/>
      <c r="VLT29" s="211"/>
      <c r="VLU29" s="211"/>
      <c r="VLV29" s="211"/>
      <c r="VLW29" s="211"/>
      <c r="VLX29" s="211"/>
      <c r="VLY29" s="211"/>
      <c r="VLZ29" s="211"/>
      <c r="VMA29" s="211"/>
      <c r="VMB29" s="211"/>
      <c r="VMC29" s="211"/>
      <c r="VMD29" s="211"/>
      <c r="VME29" s="211"/>
      <c r="VMF29" s="211"/>
      <c r="VMG29" s="211"/>
      <c r="VMH29" s="211"/>
      <c r="VMI29" s="211"/>
      <c r="VMJ29" s="211"/>
      <c r="VMK29" s="211"/>
      <c r="VML29" s="211"/>
      <c r="VMM29" s="211"/>
      <c r="VMN29" s="211"/>
      <c r="VMO29" s="211"/>
      <c r="VMP29" s="211"/>
      <c r="VMQ29" s="211"/>
      <c r="VMR29" s="211"/>
      <c r="VMS29" s="211"/>
      <c r="VMT29" s="211"/>
      <c r="VMU29" s="211"/>
      <c r="VMV29" s="211"/>
      <c r="VMW29" s="211"/>
      <c r="VMX29" s="211"/>
      <c r="VMY29" s="211"/>
      <c r="VMZ29" s="211"/>
      <c r="VNA29" s="211"/>
      <c r="VNB29" s="211"/>
      <c r="VNC29" s="211"/>
      <c r="VND29" s="211"/>
      <c r="VNE29" s="211"/>
      <c r="VNF29" s="211"/>
      <c r="VNG29" s="211"/>
      <c r="VNH29" s="211"/>
      <c r="VNI29" s="211"/>
      <c r="VNJ29" s="211"/>
      <c r="VNK29" s="211"/>
      <c r="VNL29" s="211"/>
      <c r="VNM29" s="211"/>
      <c r="VNN29" s="211"/>
      <c r="VNO29" s="211"/>
      <c r="VNP29" s="211"/>
      <c r="VNQ29" s="211"/>
      <c r="VNR29" s="211"/>
      <c r="VNS29" s="211"/>
      <c r="VNT29" s="211"/>
      <c r="VNU29" s="211"/>
      <c r="VNV29" s="211"/>
      <c r="VNW29" s="211"/>
      <c r="VNX29" s="211"/>
      <c r="VNY29" s="211"/>
      <c r="VNZ29" s="211"/>
      <c r="VOA29" s="211"/>
      <c r="VOB29" s="211"/>
      <c r="VOC29" s="211"/>
      <c r="VOD29" s="211"/>
      <c r="VOE29" s="211"/>
      <c r="VOF29" s="211"/>
      <c r="VOG29" s="211"/>
      <c r="VOH29" s="211"/>
      <c r="VOI29" s="211"/>
      <c r="VOJ29" s="211"/>
      <c r="VOK29" s="211"/>
      <c r="VOL29" s="211"/>
      <c r="VOM29" s="211"/>
      <c r="VON29" s="211"/>
      <c r="VOO29" s="211"/>
      <c r="VOP29" s="211"/>
      <c r="VOQ29" s="211"/>
      <c r="VOR29" s="211"/>
      <c r="VOS29" s="211"/>
      <c r="VOT29" s="211"/>
      <c r="VOU29" s="211"/>
      <c r="VOV29" s="211"/>
      <c r="VOW29" s="211"/>
      <c r="VOX29" s="211"/>
      <c r="VOY29" s="211"/>
      <c r="VOZ29" s="211"/>
      <c r="VPA29" s="211"/>
      <c r="VPB29" s="211"/>
      <c r="VPC29" s="211"/>
      <c r="VPD29" s="211"/>
      <c r="VPE29" s="211"/>
      <c r="VPF29" s="211"/>
      <c r="VPG29" s="211"/>
      <c r="VPH29" s="211"/>
      <c r="VPI29" s="211"/>
      <c r="VPJ29" s="211"/>
      <c r="VPK29" s="211"/>
      <c r="VPL29" s="211"/>
      <c r="VPM29" s="211"/>
      <c r="VPN29" s="211"/>
      <c r="VPO29" s="211"/>
      <c r="VPP29" s="211"/>
      <c r="VPQ29" s="211"/>
      <c r="VPR29" s="211"/>
      <c r="VPS29" s="211"/>
      <c r="VPT29" s="211"/>
      <c r="VPU29" s="211"/>
      <c r="VPV29" s="211"/>
      <c r="VPW29" s="211"/>
      <c r="VPX29" s="211"/>
      <c r="VPY29" s="211"/>
      <c r="VPZ29" s="211"/>
      <c r="VQA29" s="211"/>
      <c r="VQB29" s="211"/>
      <c r="VQC29" s="211"/>
      <c r="VQD29" s="211"/>
      <c r="VQE29" s="211"/>
      <c r="VQF29" s="211"/>
      <c r="VQG29" s="211"/>
      <c r="VQH29" s="211"/>
      <c r="VQI29" s="211"/>
      <c r="VQJ29" s="211"/>
      <c r="VQK29" s="211"/>
      <c r="VQL29" s="211"/>
      <c r="VQM29" s="211"/>
      <c r="VQN29" s="211"/>
      <c r="VQO29" s="211"/>
      <c r="VQP29" s="211"/>
      <c r="VQQ29" s="211"/>
      <c r="VQR29" s="211"/>
      <c r="VQS29" s="211"/>
      <c r="VQT29" s="211"/>
      <c r="VQU29" s="211"/>
      <c r="VQV29" s="211"/>
      <c r="VQW29" s="211"/>
      <c r="VQX29" s="211"/>
      <c r="VQY29" s="211"/>
      <c r="VQZ29" s="211"/>
      <c r="VRA29" s="211"/>
      <c r="VRB29" s="211"/>
      <c r="VRC29" s="211"/>
      <c r="VRD29" s="211"/>
      <c r="VRE29" s="211"/>
      <c r="VRF29" s="211"/>
      <c r="VRG29" s="211"/>
      <c r="VRH29" s="211"/>
      <c r="VRI29" s="211"/>
      <c r="VRJ29" s="211"/>
      <c r="VRK29" s="211"/>
      <c r="VRL29" s="211"/>
      <c r="VRM29" s="211"/>
      <c r="VRN29" s="211"/>
      <c r="VRO29" s="211"/>
      <c r="VRP29" s="211"/>
      <c r="VRQ29" s="211"/>
      <c r="VRR29" s="211"/>
      <c r="VRS29" s="211"/>
      <c r="VRT29" s="211"/>
      <c r="VRU29" s="211"/>
      <c r="VRV29" s="211"/>
      <c r="VRW29" s="211"/>
      <c r="VRX29" s="211"/>
      <c r="VRY29" s="211"/>
      <c r="VRZ29" s="211"/>
      <c r="VSA29" s="211"/>
      <c r="VSB29" s="211"/>
      <c r="VSC29" s="211"/>
      <c r="VSD29" s="211"/>
      <c r="VSE29" s="211"/>
      <c r="VSF29" s="211"/>
      <c r="VSG29" s="211"/>
      <c r="VSH29" s="211"/>
      <c r="VSI29" s="211"/>
      <c r="VSJ29" s="211"/>
      <c r="VSK29" s="211"/>
      <c r="VSL29" s="211"/>
      <c r="VSM29" s="211"/>
      <c r="VSN29" s="211"/>
      <c r="VSO29" s="211"/>
      <c r="VSP29" s="211"/>
      <c r="VSQ29" s="211"/>
      <c r="VSR29" s="211"/>
      <c r="VSS29" s="211"/>
      <c r="VST29" s="211"/>
      <c r="VSU29" s="211"/>
      <c r="VSV29" s="211"/>
      <c r="VSW29" s="211"/>
      <c r="VSX29" s="211"/>
      <c r="VSY29" s="211"/>
      <c r="VSZ29" s="211"/>
      <c r="VTA29" s="211"/>
      <c r="VTB29" s="211"/>
      <c r="VTC29" s="211"/>
      <c r="VTD29" s="211"/>
      <c r="VTE29" s="211"/>
      <c r="VTF29" s="211"/>
      <c r="VTG29" s="211"/>
      <c r="VTH29" s="211"/>
      <c r="VTI29" s="211"/>
      <c r="VTJ29" s="211"/>
      <c r="VTK29" s="211"/>
      <c r="VTL29" s="211"/>
      <c r="VTM29" s="211"/>
      <c r="VTN29" s="211"/>
      <c r="VTO29" s="211"/>
      <c r="VTP29" s="211"/>
      <c r="VTQ29" s="211"/>
      <c r="VTR29" s="211"/>
      <c r="VTS29" s="211"/>
      <c r="VTT29" s="211"/>
      <c r="VTU29" s="211"/>
      <c r="VTV29" s="211"/>
      <c r="VTW29" s="211"/>
      <c r="VTX29" s="211"/>
      <c r="VTY29" s="211"/>
      <c r="VTZ29" s="211"/>
      <c r="VUA29" s="211"/>
      <c r="VUB29" s="211"/>
      <c r="VUC29" s="211"/>
      <c r="VUD29" s="211"/>
      <c r="VUE29" s="211"/>
      <c r="VUF29" s="211"/>
      <c r="VUG29" s="211"/>
      <c r="VUH29" s="211"/>
      <c r="VUI29" s="211"/>
      <c r="VUJ29" s="211"/>
      <c r="VUK29" s="211"/>
      <c r="VUL29" s="211"/>
      <c r="VUM29" s="211"/>
      <c r="VUN29" s="211"/>
      <c r="VUO29" s="211"/>
      <c r="VUP29" s="211"/>
      <c r="VUQ29" s="211"/>
      <c r="VUR29" s="211"/>
      <c r="VUS29" s="211"/>
      <c r="VUT29" s="211"/>
      <c r="VUU29" s="211"/>
      <c r="VUV29" s="211"/>
      <c r="VUW29" s="211"/>
      <c r="VUX29" s="211"/>
      <c r="VUY29" s="211"/>
      <c r="VUZ29" s="211"/>
      <c r="VVA29" s="211"/>
      <c r="VVB29" s="211"/>
      <c r="VVC29" s="211"/>
      <c r="VVD29" s="211"/>
      <c r="VVE29" s="211"/>
      <c r="VVF29" s="211"/>
      <c r="VVG29" s="211"/>
      <c r="VVH29" s="211"/>
      <c r="VVI29" s="211"/>
      <c r="VVJ29" s="211"/>
      <c r="VVK29" s="211"/>
      <c r="VVL29" s="211"/>
      <c r="VVM29" s="211"/>
      <c r="VVN29" s="211"/>
      <c r="VVO29" s="211"/>
      <c r="VVP29" s="211"/>
      <c r="VVQ29" s="211"/>
      <c r="VVR29" s="211"/>
      <c r="VVS29" s="211"/>
      <c r="VVT29" s="211"/>
      <c r="VVU29" s="211"/>
      <c r="VVV29" s="211"/>
      <c r="VVW29" s="211"/>
      <c r="VVX29" s="211"/>
      <c r="VVY29" s="211"/>
      <c r="VVZ29" s="211"/>
      <c r="VWA29" s="211"/>
      <c r="VWB29" s="211"/>
      <c r="VWC29" s="211"/>
      <c r="VWD29" s="211"/>
      <c r="VWE29" s="211"/>
      <c r="VWF29" s="211"/>
      <c r="VWG29" s="211"/>
      <c r="VWH29" s="211"/>
      <c r="VWI29" s="211"/>
      <c r="VWJ29" s="211"/>
      <c r="VWK29" s="211"/>
      <c r="VWL29" s="211"/>
      <c r="VWM29" s="211"/>
      <c r="VWN29" s="211"/>
      <c r="VWO29" s="211"/>
      <c r="VWP29" s="211"/>
      <c r="VWQ29" s="211"/>
      <c r="VWR29" s="211"/>
      <c r="VWS29" s="211"/>
      <c r="VWT29" s="211"/>
      <c r="VWU29" s="211"/>
      <c r="VWV29" s="211"/>
      <c r="VWW29" s="211"/>
      <c r="VWX29" s="211"/>
      <c r="VWY29" s="211"/>
      <c r="VWZ29" s="211"/>
      <c r="VXA29" s="211"/>
      <c r="VXB29" s="211"/>
      <c r="VXC29" s="211"/>
      <c r="VXD29" s="211"/>
      <c r="VXE29" s="211"/>
      <c r="VXF29" s="211"/>
      <c r="VXG29" s="211"/>
      <c r="VXH29" s="211"/>
      <c r="VXI29" s="211"/>
      <c r="VXJ29" s="211"/>
      <c r="VXK29" s="211"/>
      <c r="VXL29" s="211"/>
      <c r="VXM29" s="211"/>
      <c r="VXN29" s="211"/>
      <c r="VXO29" s="211"/>
      <c r="VXP29" s="211"/>
      <c r="VXQ29" s="211"/>
      <c r="VXR29" s="211"/>
      <c r="VXS29" s="211"/>
      <c r="VXT29" s="211"/>
      <c r="VXU29" s="211"/>
      <c r="VXV29" s="211"/>
      <c r="VXW29" s="211"/>
      <c r="VXX29" s="211"/>
      <c r="VXY29" s="211"/>
      <c r="VXZ29" s="211"/>
      <c r="VYA29" s="211"/>
      <c r="VYB29" s="211"/>
      <c r="VYC29" s="211"/>
      <c r="VYD29" s="211"/>
      <c r="VYE29" s="211"/>
      <c r="VYF29" s="211"/>
      <c r="VYG29" s="211"/>
      <c r="VYH29" s="211"/>
      <c r="VYI29" s="211"/>
      <c r="VYJ29" s="211"/>
      <c r="VYK29" s="211"/>
      <c r="VYL29" s="211"/>
      <c r="VYM29" s="211"/>
      <c r="VYN29" s="211"/>
      <c r="VYO29" s="211"/>
      <c r="VYP29" s="211"/>
      <c r="VYQ29" s="211"/>
      <c r="VYR29" s="211"/>
      <c r="VYS29" s="211"/>
      <c r="VYT29" s="211"/>
      <c r="VYU29" s="211"/>
      <c r="VYV29" s="211"/>
      <c r="VYW29" s="211"/>
      <c r="VYX29" s="211"/>
      <c r="VYY29" s="211"/>
      <c r="VYZ29" s="211"/>
      <c r="VZA29" s="211"/>
      <c r="VZB29" s="211"/>
      <c r="VZC29" s="211"/>
      <c r="VZD29" s="211"/>
      <c r="VZE29" s="211"/>
      <c r="VZF29" s="211"/>
      <c r="VZG29" s="211"/>
      <c r="VZH29" s="211"/>
      <c r="VZI29" s="211"/>
      <c r="VZJ29" s="211"/>
      <c r="VZK29" s="211"/>
      <c r="VZL29" s="211"/>
      <c r="VZM29" s="211"/>
      <c r="VZN29" s="211"/>
      <c r="VZO29" s="211"/>
      <c r="VZP29" s="211"/>
      <c r="VZQ29" s="211"/>
      <c r="VZR29" s="211"/>
      <c r="VZS29" s="211"/>
      <c r="VZT29" s="211"/>
      <c r="VZU29" s="211"/>
      <c r="VZV29" s="211"/>
      <c r="VZW29" s="211"/>
      <c r="VZX29" s="211"/>
      <c r="VZY29" s="211"/>
      <c r="VZZ29" s="211"/>
      <c r="WAA29" s="211"/>
      <c r="WAB29" s="211"/>
      <c r="WAC29" s="211"/>
      <c r="WAD29" s="211"/>
      <c r="WAE29" s="211"/>
      <c r="WAF29" s="211"/>
      <c r="WAG29" s="211"/>
      <c r="WAH29" s="211"/>
      <c r="WAI29" s="211"/>
      <c r="WAJ29" s="211"/>
      <c r="WAK29" s="211"/>
      <c r="WAL29" s="211"/>
      <c r="WAM29" s="211"/>
      <c r="WAN29" s="211"/>
      <c r="WAO29" s="211"/>
      <c r="WAP29" s="211"/>
      <c r="WAQ29" s="211"/>
      <c r="WAR29" s="211"/>
      <c r="WAS29" s="211"/>
      <c r="WAT29" s="211"/>
      <c r="WAU29" s="211"/>
      <c r="WAV29" s="211"/>
      <c r="WAW29" s="211"/>
      <c r="WAX29" s="211"/>
      <c r="WAY29" s="211"/>
      <c r="WAZ29" s="211"/>
      <c r="WBA29" s="211"/>
      <c r="WBB29" s="211"/>
      <c r="WBC29" s="211"/>
      <c r="WBD29" s="211"/>
      <c r="WBE29" s="211"/>
      <c r="WBF29" s="211"/>
      <c r="WBG29" s="211"/>
      <c r="WBH29" s="211"/>
      <c r="WBI29" s="211"/>
      <c r="WBJ29" s="211"/>
      <c r="WBK29" s="211"/>
      <c r="WBL29" s="211"/>
      <c r="WBM29" s="211"/>
      <c r="WBN29" s="211"/>
      <c r="WBO29" s="211"/>
      <c r="WBP29" s="211"/>
      <c r="WBQ29" s="211"/>
      <c r="WBR29" s="211"/>
      <c r="WBS29" s="211"/>
      <c r="WBT29" s="211"/>
      <c r="WBU29" s="211"/>
      <c r="WBV29" s="211"/>
      <c r="WBW29" s="211"/>
      <c r="WBX29" s="211"/>
      <c r="WBY29" s="211"/>
      <c r="WBZ29" s="211"/>
      <c r="WCA29" s="211"/>
      <c r="WCB29" s="211"/>
      <c r="WCC29" s="211"/>
      <c r="WCD29" s="211"/>
      <c r="WCE29" s="211"/>
      <c r="WCF29" s="211"/>
      <c r="WCG29" s="211"/>
      <c r="WCH29" s="211"/>
      <c r="WCI29" s="211"/>
      <c r="WCJ29" s="211"/>
      <c r="WCK29" s="211"/>
      <c r="WCL29" s="211"/>
      <c r="WCM29" s="211"/>
      <c r="WCN29" s="211"/>
      <c r="WCO29" s="211"/>
      <c r="WCP29" s="211"/>
      <c r="WCQ29" s="211"/>
      <c r="WCR29" s="211"/>
      <c r="WCS29" s="211"/>
      <c r="WCT29" s="211"/>
      <c r="WCU29" s="211"/>
      <c r="WCV29" s="211"/>
      <c r="WCW29" s="211"/>
      <c r="WCX29" s="211"/>
      <c r="WCY29" s="211"/>
      <c r="WCZ29" s="211"/>
      <c r="WDA29" s="211"/>
      <c r="WDB29" s="211"/>
      <c r="WDC29" s="211"/>
      <c r="WDD29" s="211"/>
      <c r="WDE29" s="211"/>
      <c r="WDF29" s="211"/>
      <c r="WDG29" s="211"/>
      <c r="WDH29" s="211"/>
      <c r="WDI29" s="211"/>
      <c r="WDJ29" s="211"/>
      <c r="WDK29" s="211"/>
      <c r="WDL29" s="211"/>
      <c r="WDM29" s="211"/>
      <c r="WDN29" s="211"/>
      <c r="WDO29" s="211"/>
      <c r="WDP29" s="211"/>
      <c r="WDQ29" s="211"/>
      <c r="WDR29" s="211"/>
      <c r="WDS29" s="211"/>
      <c r="WDT29" s="211"/>
      <c r="WDU29" s="211"/>
      <c r="WDV29" s="211"/>
      <c r="WDW29" s="211"/>
      <c r="WDX29" s="211"/>
      <c r="WDY29" s="211"/>
      <c r="WDZ29" s="211"/>
      <c r="WEA29" s="211"/>
      <c r="WEB29" s="211"/>
      <c r="WEC29" s="211"/>
      <c r="WED29" s="211"/>
      <c r="WEE29" s="211"/>
      <c r="WEF29" s="211"/>
      <c r="WEG29" s="211"/>
      <c r="WEH29" s="211"/>
      <c r="WEI29" s="211"/>
      <c r="WEJ29" s="211"/>
      <c r="WEK29" s="211"/>
      <c r="WEL29" s="211"/>
      <c r="WEM29" s="211"/>
      <c r="WEN29" s="211"/>
      <c r="WEO29" s="211"/>
      <c r="WEP29" s="211"/>
      <c r="WEQ29" s="211"/>
      <c r="WER29" s="211"/>
      <c r="WES29" s="211"/>
      <c r="WET29" s="211"/>
      <c r="WEU29" s="211"/>
      <c r="WEV29" s="211"/>
      <c r="WEW29" s="211"/>
      <c r="WEX29" s="211"/>
      <c r="WEY29" s="211"/>
      <c r="WEZ29" s="211"/>
      <c r="WFA29" s="211"/>
      <c r="WFB29" s="211"/>
      <c r="WFC29" s="211"/>
      <c r="WFD29" s="211"/>
      <c r="WFE29" s="211"/>
      <c r="WFF29" s="211"/>
      <c r="WFG29" s="211"/>
      <c r="WFH29" s="211"/>
      <c r="WFI29" s="211"/>
      <c r="WFJ29" s="211"/>
      <c r="WFK29" s="211"/>
      <c r="WFL29" s="211"/>
      <c r="WFM29" s="211"/>
      <c r="WFN29" s="211"/>
      <c r="WFO29" s="211"/>
      <c r="WFP29" s="211"/>
      <c r="WFQ29" s="211"/>
      <c r="WFR29" s="211"/>
      <c r="WFS29" s="211"/>
      <c r="WFT29" s="211"/>
      <c r="WFU29" s="211"/>
      <c r="WFV29" s="211"/>
      <c r="WFW29" s="211"/>
      <c r="WFX29" s="211"/>
      <c r="WFY29" s="211"/>
      <c r="WFZ29" s="211"/>
      <c r="WGA29" s="211"/>
      <c r="WGB29" s="211"/>
      <c r="WGC29" s="211"/>
      <c r="WGD29" s="211"/>
      <c r="WGE29" s="211"/>
      <c r="WGF29" s="211"/>
      <c r="WGG29" s="211"/>
      <c r="WGH29" s="211"/>
      <c r="WGI29" s="211"/>
      <c r="WGJ29" s="211"/>
      <c r="WGK29" s="211"/>
      <c r="WGL29" s="211"/>
      <c r="WGM29" s="211"/>
      <c r="WGN29" s="211"/>
      <c r="WGO29" s="211"/>
      <c r="WGP29" s="211"/>
      <c r="WGQ29" s="211"/>
      <c r="WGR29" s="211"/>
      <c r="WGS29" s="211"/>
      <c r="WGT29" s="211"/>
      <c r="WGU29" s="211"/>
      <c r="WGV29" s="211"/>
      <c r="WGW29" s="211"/>
      <c r="WGX29" s="211"/>
      <c r="WGY29" s="211"/>
      <c r="WGZ29" s="211"/>
      <c r="WHA29" s="211"/>
      <c r="WHB29" s="211"/>
      <c r="WHC29" s="211"/>
      <c r="WHD29" s="211"/>
      <c r="WHE29" s="211"/>
      <c r="WHF29" s="211"/>
      <c r="WHG29" s="211"/>
      <c r="WHH29" s="211"/>
      <c r="WHI29" s="211"/>
      <c r="WHJ29" s="211"/>
      <c r="WHK29" s="211"/>
      <c r="WHL29" s="211"/>
      <c r="WHM29" s="211"/>
      <c r="WHN29" s="211"/>
      <c r="WHO29" s="211"/>
      <c r="WHP29" s="211"/>
      <c r="WHQ29" s="211"/>
      <c r="WHR29" s="211"/>
      <c r="WHS29" s="211"/>
      <c r="WHT29" s="211"/>
      <c r="WHU29" s="211"/>
      <c r="WHV29" s="211"/>
      <c r="WHW29" s="211"/>
      <c r="WHX29" s="211"/>
      <c r="WHY29" s="211"/>
      <c r="WHZ29" s="211"/>
      <c r="WIA29" s="211"/>
      <c r="WIB29" s="211"/>
      <c r="WIC29" s="211"/>
      <c r="WID29" s="211"/>
      <c r="WIE29" s="211"/>
      <c r="WIF29" s="211"/>
      <c r="WIG29" s="211"/>
      <c r="WIH29" s="211"/>
      <c r="WII29" s="211"/>
      <c r="WIJ29" s="211"/>
      <c r="WIK29" s="211"/>
      <c r="WIL29" s="211"/>
      <c r="WIM29" s="211"/>
      <c r="WIN29" s="211"/>
      <c r="WIO29" s="211"/>
      <c r="WIP29" s="211"/>
      <c r="WIQ29" s="211"/>
      <c r="WIR29" s="211"/>
      <c r="WIS29" s="211"/>
      <c r="WIT29" s="211"/>
      <c r="WIU29" s="211"/>
      <c r="WIV29" s="211"/>
      <c r="WIW29" s="211"/>
      <c r="WIX29" s="211"/>
      <c r="WIY29" s="211"/>
      <c r="WIZ29" s="211"/>
      <c r="WJA29" s="211"/>
      <c r="WJB29" s="211"/>
      <c r="WJC29" s="211"/>
      <c r="WJD29" s="211"/>
      <c r="WJE29" s="211"/>
      <c r="WJF29" s="211"/>
      <c r="WJG29" s="211"/>
      <c r="WJH29" s="211"/>
      <c r="WJI29" s="211"/>
      <c r="WJJ29" s="211"/>
      <c r="WJK29" s="211"/>
      <c r="WJL29" s="211"/>
      <c r="WJM29" s="211"/>
      <c r="WJN29" s="211"/>
      <c r="WJO29" s="211"/>
      <c r="WJP29" s="211"/>
      <c r="WJQ29" s="211"/>
      <c r="WJR29" s="211"/>
      <c r="WJS29" s="211"/>
      <c r="WJT29" s="211"/>
      <c r="WJU29" s="211"/>
      <c r="WJV29" s="211"/>
      <c r="WJW29" s="211"/>
      <c r="WJX29" s="211"/>
      <c r="WJY29" s="211"/>
      <c r="WJZ29" s="211"/>
      <c r="WKA29" s="211"/>
      <c r="WKB29" s="211"/>
      <c r="WKC29" s="211"/>
      <c r="WKD29" s="211"/>
      <c r="WKE29" s="211"/>
      <c r="WKF29" s="211"/>
      <c r="WKG29" s="211"/>
      <c r="WKH29" s="211"/>
      <c r="WKI29" s="211"/>
      <c r="WKJ29" s="211"/>
      <c r="WKK29" s="211"/>
      <c r="WKL29" s="211"/>
      <c r="WKM29" s="211"/>
      <c r="WKN29" s="211"/>
      <c r="WKO29" s="211"/>
      <c r="WKP29" s="211"/>
      <c r="WKQ29" s="211"/>
      <c r="WKR29" s="211"/>
      <c r="WKS29" s="211"/>
      <c r="WKT29" s="211"/>
      <c r="WKU29" s="211"/>
      <c r="WKV29" s="211"/>
      <c r="WKW29" s="211"/>
      <c r="WKX29" s="211"/>
      <c r="WKY29" s="211"/>
      <c r="WKZ29" s="211"/>
      <c r="WLA29" s="211"/>
      <c r="WLB29" s="211"/>
      <c r="WLC29" s="211"/>
      <c r="WLD29" s="211"/>
      <c r="WLE29" s="211"/>
      <c r="WLF29" s="211"/>
      <c r="WLG29" s="211"/>
      <c r="WLH29" s="211"/>
      <c r="WLI29" s="211"/>
      <c r="WLJ29" s="211"/>
      <c r="WLK29" s="211"/>
      <c r="WLL29" s="211"/>
      <c r="WLM29" s="211"/>
      <c r="WLN29" s="211"/>
      <c r="WLO29" s="211"/>
      <c r="WLP29" s="211"/>
      <c r="WLQ29" s="211"/>
      <c r="WLR29" s="211"/>
      <c r="WLS29" s="211"/>
      <c r="WLT29" s="211"/>
      <c r="WLU29" s="211"/>
      <c r="WLV29" s="211"/>
      <c r="WLW29" s="211"/>
      <c r="WLX29" s="211"/>
      <c r="WLY29" s="211"/>
      <c r="WLZ29" s="211"/>
      <c r="WMA29" s="211"/>
      <c r="WMB29" s="211"/>
      <c r="WMC29" s="211"/>
      <c r="WMD29" s="211"/>
      <c r="WME29" s="211"/>
      <c r="WMF29" s="211"/>
      <c r="WMG29" s="211"/>
      <c r="WMH29" s="211"/>
      <c r="WMI29" s="211"/>
      <c r="WMJ29" s="211"/>
      <c r="WMK29" s="211"/>
      <c r="WML29" s="211"/>
      <c r="WMM29" s="211"/>
      <c r="WMN29" s="211"/>
      <c r="WMO29" s="211"/>
      <c r="WMP29" s="211"/>
      <c r="WMQ29" s="211"/>
      <c r="WMR29" s="211"/>
      <c r="WMS29" s="211"/>
      <c r="WMT29" s="211"/>
      <c r="WMU29" s="211"/>
      <c r="WMV29" s="211"/>
      <c r="WMW29" s="211"/>
      <c r="WMX29" s="211"/>
      <c r="WMY29" s="211"/>
      <c r="WMZ29" s="211"/>
      <c r="WNA29" s="211"/>
      <c r="WNB29" s="211"/>
      <c r="WNC29" s="211"/>
      <c r="WND29" s="211"/>
      <c r="WNE29" s="211"/>
      <c r="WNF29" s="211"/>
      <c r="WNG29" s="211"/>
      <c r="WNH29" s="211"/>
      <c r="WNI29" s="211"/>
      <c r="WNJ29" s="211"/>
      <c r="WNK29" s="211"/>
      <c r="WNL29" s="211"/>
      <c r="WNM29" s="211"/>
      <c r="WNN29" s="211"/>
      <c r="WNO29" s="211"/>
      <c r="WNP29" s="211"/>
      <c r="WNQ29" s="211"/>
      <c r="WNR29" s="211"/>
      <c r="WNS29" s="211"/>
      <c r="WNT29" s="211"/>
      <c r="WNU29" s="211"/>
      <c r="WNV29" s="211"/>
      <c r="WNW29" s="211"/>
      <c r="WNX29" s="211"/>
      <c r="WNY29" s="211"/>
      <c r="WNZ29" s="211"/>
      <c r="WOA29" s="211"/>
      <c r="WOB29" s="211"/>
      <c r="WOC29" s="211"/>
      <c r="WOD29" s="211"/>
      <c r="WOE29" s="211"/>
      <c r="WOF29" s="211"/>
      <c r="WOG29" s="211"/>
      <c r="WOH29" s="211"/>
      <c r="WOI29" s="211"/>
      <c r="WOJ29" s="211"/>
      <c r="WOK29" s="211"/>
      <c r="WOL29" s="211"/>
      <c r="WOM29" s="211"/>
      <c r="WON29" s="211"/>
      <c r="WOO29" s="211"/>
      <c r="WOP29" s="211"/>
      <c r="WOQ29" s="211"/>
      <c r="WOR29" s="211"/>
      <c r="WOS29" s="211"/>
      <c r="WOT29" s="211"/>
      <c r="WOU29" s="211"/>
      <c r="WOV29" s="211"/>
      <c r="WOW29" s="211"/>
      <c r="WOX29" s="211"/>
      <c r="WOY29" s="211"/>
      <c r="WOZ29" s="211"/>
      <c r="WPA29" s="211"/>
      <c r="WPB29" s="211"/>
      <c r="WPC29" s="211"/>
      <c r="WPD29" s="211"/>
      <c r="WPE29" s="211"/>
      <c r="WPF29" s="211"/>
      <c r="WPG29" s="211"/>
      <c r="WPH29" s="211"/>
      <c r="WPI29" s="211"/>
      <c r="WPJ29" s="211"/>
      <c r="WPK29" s="211"/>
      <c r="WPL29" s="211"/>
      <c r="WPM29" s="211"/>
      <c r="WPN29" s="211"/>
      <c r="WPO29" s="211"/>
      <c r="WPP29" s="211"/>
      <c r="WPQ29" s="211"/>
      <c r="WPR29" s="211"/>
      <c r="WPS29" s="211"/>
      <c r="WPT29" s="211"/>
      <c r="WPU29" s="211"/>
      <c r="WPV29" s="211"/>
      <c r="WPW29" s="211"/>
      <c r="WPX29" s="211"/>
      <c r="WPY29" s="211"/>
      <c r="WPZ29" s="211"/>
      <c r="WQA29" s="211"/>
      <c r="WQB29" s="211"/>
      <c r="WQC29" s="211"/>
      <c r="WQD29" s="211"/>
      <c r="WQE29" s="211"/>
      <c r="WQF29" s="211"/>
      <c r="WQG29" s="211"/>
      <c r="WQH29" s="211"/>
      <c r="WQI29" s="211"/>
      <c r="WQJ29" s="211"/>
      <c r="WQK29" s="211"/>
      <c r="WQL29" s="211"/>
      <c r="WQM29" s="211"/>
      <c r="WQN29" s="211"/>
      <c r="WQO29" s="211"/>
      <c r="WQP29" s="211"/>
      <c r="WQQ29" s="211"/>
      <c r="WQR29" s="211"/>
      <c r="WQS29" s="211"/>
      <c r="WQT29" s="211"/>
      <c r="WQU29" s="211"/>
      <c r="WQV29" s="211"/>
      <c r="WQW29" s="211"/>
      <c r="WQX29" s="211"/>
      <c r="WQY29" s="211"/>
      <c r="WQZ29" s="211"/>
      <c r="WRA29" s="211"/>
      <c r="WRB29" s="211"/>
      <c r="WRC29" s="211"/>
      <c r="WRD29" s="211"/>
      <c r="WRE29" s="211"/>
      <c r="WRF29" s="211"/>
      <c r="WRG29" s="211"/>
      <c r="WRH29" s="211"/>
      <c r="WRI29" s="211"/>
      <c r="WRJ29" s="211"/>
      <c r="WRK29" s="211"/>
      <c r="WRL29" s="211"/>
      <c r="WRM29" s="211"/>
      <c r="WRN29" s="211"/>
      <c r="WRO29" s="211"/>
      <c r="WRP29" s="211"/>
      <c r="WRQ29" s="211"/>
      <c r="WRR29" s="211"/>
      <c r="WRS29" s="211"/>
      <c r="WRT29" s="211"/>
      <c r="WRU29" s="211"/>
      <c r="WRV29" s="211"/>
      <c r="WRW29" s="211"/>
      <c r="WRX29" s="211"/>
      <c r="WRY29" s="211"/>
      <c r="WRZ29" s="211"/>
      <c r="WSA29" s="211"/>
      <c r="WSB29" s="211"/>
      <c r="WSC29" s="211"/>
      <c r="WSD29" s="211"/>
      <c r="WSE29" s="211"/>
      <c r="WSF29" s="211"/>
      <c r="WSG29" s="211"/>
      <c r="WSH29" s="211"/>
      <c r="WSI29" s="211"/>
      <c r="WSJ29" s="211"/>
      <c r="WSK29" s="211"/>
      <c r="WSL29" s="211"/>
      <c r="WSM29" s="211"/>
      <c r="WSN29" s="211"/>
      <c r="WSO29" s="211"/>
      <c r="WSP29" s="211"/>
      <c r="WSQ29" s="211"/>
      <c r="WSR29" s="211"/>
      <c r="WSS29" s="211"/>
      <c r="WST29" s="211"/>
      <c r="WSU29" s="211"/>
      <c r="WSV29" s="211"/>
      <c r="WSW29" s="211"/>
      <c r="WSX29" s="211"/>
      <c r="WSY29" s="211"/>
      <c r="WSZ29" s="211"/>
      <c r="WTA29" s="211"/>
      <c r="WTB29" s="211"/>
      <c r="WTC29" s="211"/>
      <c r="WTD29" s="211"/>
      <c r="WTE29" s="211"/>
      <c r="WTF29" s="211"/>
      <c r="WTG29" s="211"/>
      <c r="WTH29" s="211"/>
      <c r="WTI29" s="211"/>
      <c r="WTJ29" s="211"/>
      <c r="WTK29" s="211"/>
      <c r="WTL29" s="211"/>
      <c r="WTM29" s="211"/>
      <c r="WTN29" s="211"/>
      <c r="WTO29" s="211"/>
      <c r="WTP29" s="211"/>
      <c r="WTQ29" s="211"/>
      <c r="WTR29" s="211"/>
      <c r="WTS29" s="211"/>
      <c r="WTT29" s="211"/>
      <c r="WTU29" s="211"/>
      <c r="WTV29" s="211"/>
      <c r="WTW29" s="211"/>
      <c r="WTX29" s="211"/>
      <c r="WTY29" s="211"/>
      <c r="WTZ29" s="211"/>
      <c r="WUA29" s="211"/>
      <c r="WUB29" s="211"/>
      <c r="WUC29" s="211"/>
      <c r="WUD29" s="211"/>
      <c r="WUE29" s="211"/>
      <c r="WUF29" s="211"/>
      <c r="WUG29" s="211"/>
      <c r="WUH29" s="211"/>
      <c r="WUI29" s="211"/>
      <c r="WUJ29" s="211"/>
      <c r="WUK29" s="211"/>
      <c r="WUL29" s="211"/>
      <c r="WUM29" s="211"/>
      <c r="WUN29" s="211"/>
      <c r="WUO29" s="211"/>
      <c r="WUP29" s="211"/>
      <c r="WUQ29" s="211"/>
      <c r="WUR29" s="211"/>
      <c r="WUS29" s="211"/>
      <c r="WUT29" s="211"/>
      <c r="WUU29" s="211"/>
      <c r="WUV29" s="211"/>
      <c r="WUW29" s="211"/>
      <c r="WUX29" s="211"/>
      <c r="WUY29" s="211"/>
      <c r="WUZ29" s="211"/>
      <c r="WVA29" s="211"/>
      <c r="WVB29" s="211"/>
      <c r="WVC29" s="211"/>
      <c r="WVD29" s="211"/>
      <c r="WVE29" s="211"/>
      <c r="WVF29" s="211"/>
      <c r="WVG29" s="211"/>
      <c r="WVH29" s="211"/>
      <c r="WVI29" s="211"/>
      <c r="WVJ29" s="211"/>
      <c r="WVK29" s="211"/>
      <c r="WVL29" s="211"/>
      <c r="WVM29" s="211"/>
      <c r="WVN29" s="211"/>
      <c r="WVO29" s="211"/>
      <c r="WVP29" s="211"/>
      <c r="WVQ29" s="211"/>
      <c r="WVR29" s="211"/>
      <c r="WVS29" s="211"/>
      <c r="WVT29" s="211"/>
      <c r="WVU29" s="211"/>
      <c r="WVV29" s="211"/>
      <c r="WVW29" s="211"/>
      <c r="WVX29" s="211"/>
      <c r="WVY29" s="211"/>
      <c r="WVZ29" s="211"/>
      <c r="WWA29" s="211"/>
      <c r="WWB29" s="211"/>
      <c r="WWC29" s="211"/>
      <c r="WWD29" s="211"/>
      <c r="WWE29" s="211"/>
      <c r="WWF29" s="211"/>
      <c r="WWG29" s="211"/>
      <c r="WWH29" s="211"/>
      <c r="WWI29" s="211"/>
      <c r="WWJ29" s="211"/>
      <c r="WWK29" s="211"/>
      <c r="WWL29" s="211"/>
      <c r="WWM29" s="211"/>
      <c r="WWN29" s="211"/>
      <c r="WWO29" s="211"/>
      <c r="WWP29" s="211"/>
      <c r="WWQ29" s="211"/>
      <c r="WWR29" s="211"/>
      <c r="WWS29" s="211"/>
      <c r="WWT29" s="211"/>
      <c r="WWU29" s="211"/>
      <c r="WWV29" s="211"/>
      <c r="WWW29" s="211"/>
      <c r="WWX29" s="211"/>
      <c r="WWY29" s="211"/>
      <c r="WWZ29" s="211"/>
      <c r="WXA29" s="211"/>
      <c r="WXB29" s="211"/>
      <c r="WXC29" s="211"/>
      <c r="WXD29" s="211"/>
      <c r="WXE29" s="211"/>
      <c r="WXF29" s="211"/>
      <c r="WXG29" s="211"/>
      <c r="WXH29" s="211"/>
      <c r="WXI29" s="211"/>
      <c r="WXJ29" s="211"/>
      <c r="WXK29" s="211"/>
      <c r="WXL29" s="211"/>
      <c r="WXM29" s="211"/>
      <c r="WXN29" s="211"/>
      <c r="WXO29" s="211"/>
      <c r="WXP29" s="211"/>
      <c r="WXQ29" s="211"/>
      <c r="WXR29" s="211"/>
      <c r="WXS29" s="211"/>
      <c r="WXT29" s="211"/>
      <c r="WXU29" s="211"/>
      <c r="WXV29" s="211"/>
      <c r="WXW29" s="211"/>
      <c r="WXX29" s="211"/>
      <c r="WXY29" s="211"/>
      <c r="WXZ29" s="211"/>
      <c r="WYA29" s="211"/>
      <c r="WYB29" s="211"/>
      <c r="WYC29" s="211"/>
      <c r="WYD29" s="211"/>
      <c r="WYE29" s="211"/>
      <c r="WYF29" s="211"/>
      <c r="WYG29" s="211"/>
      <c r="WYH29" s="211"/>
      <c r="WYI29" s="211"/>
      <c r="WYJ29" s="211"/>
      <c r="WYK29" s="211"/>
      <c r="WYL29" s="211"/>
      <c r="WYM29" s="211"/>
      <c r="WYN29" s="211"/>
      <c r="WYO29" s="211"/>
      <c r="WYP29" s="211"/>
      <c r="WYQ29" s="211"/>
      <c r="WYR29" s="211"/>
      <c r="WYS29" s="211"/>
      <c r="WYT29" s="211"/>
      <c r="WYU29" s="211"/>
      <c r="WYV29" s="211"/>
      <c r="WYW29" s="211"/>
      <c r="WYX29" s="211"/>
      <c r="WYY29" s="211"/>
      <c r="WYZ29" s="211"/>
      <c r="WZA29" s="211"/>
      <c r="WZB29" s="211"/>
      <c r="WZC29" s="211"/>
      <c r="WZD29" s="211"/>
      <c r="WZE29" s="211"/>
      <c r="WZF29" s="211"/>
      <c r="WZG29" s="211"/>
      <c r="WZH29" s="211"/>
      <c r="WZI29" s="211"/>
      <c r="WZJ29" s="211"/>
      <c r="WZK29" s="211"/>
      <c r="WZL29" s="211"/>
      <c r="WZM29" s="211"/>
      <c r="WZN29" s="211"/>
      <c r="WZO29" s="211"/>
      <c r="WZP29" s="211"/>
      <c r="WZQ29" s="211"/>
      <c r="WZR29" s="211"/>
      <c r="WZS29" s="211"/>
      <c r="WZT29" s="211"/>
      <c r="WZU29" s="211"/>
      <c r="WZV29" s="211"/>
      <c r="WZW29" s="211"/>
      <c r="WZX29" s="211"/>
      <c r="WZY29" s="211"/>
      <c r="WZZ29" s="211"/>
      <c r="XAA29" s="211"/>
      <c r="XAB29" s="211"/>
      <c r="XAC29" s="211"/>
      <c r="XAD29" s="211"/>
      <c r="XAE29" s="211"/>
      <c r="XAF29" s="211"/>
      <c r="XAG29" s="211"/>
      <c r="XAH29" s="211"/>
      <c r="XAI29" s="211"/>
      <c r="XAJ29" s="211"/>
      <c r="XAK29" s="211"/>
      <c r="XAL29" s="211"/>
      <c r="XAM29" s="211"/>
      <c r="XAN29" s="211"/>
      <c r="XAO29" s="211"/>
      <c r="XAP29" s="211"/>
      <c r="XAQ29" s="211"/>
      <c r="XAR29" s="211"/>
      <c r="XAS29" s="211"/>
      <c r="XAT29" s="211"/>
      <c r="XAU29" s="211"/>
      <c r="XAV29" s="211"/>
      <c r="XAW29" s="211"/>
      <c r="XAX29" s="211"/>
      <c r="XAY29" s="211"/>
      <c r="XAZ29" s="211"/>
      <c r="XBA29" s="211"/>
      <c r="XBB29" s="211"/>
      <c r="XBC29" s="211"/>
      <c r="XBD29" s="211"/>
      <c r="XBE29" s="211"/>
      <c r="XBF29" s="211"/>
      <c r="XBG29" s="211"/>
      <c r="XBH29" s="211"/>
      <c r="XBI29" s="211"/>
      <c r="XBJ29" s="211"/>
      <c r="XBK29" s="211"/>
      <c r="XBL29" s="211"/>
      <c r="XBM29" s="211"/>
      <c r="XBN29" s="211"/>
      <c r="XBO29" s="211"/>
      <c r="XBP29" s="211"/>
      <c r="XBQ29" s="211"/>
      <c r="XBR29" s="211"/>
      <c r="XBS29" s="211"/>
      <c r="XBT29" s="211"/>
      <c r="XBU29" s="211"/>
      <c r="XBV29" s="211"/>
      <c r="XBW29" s="211"/>
      <c r="XBX29" s="211"/>
      <c r="XBY29" s="211"/>
      <c r="XBZ29" s="211"/>
      <c r="XCA29" s="211"/>
      <c r="XCB29" s="211"/>
      <c r="XCC29" s="211"/>
      <c r="XCD29" s="211"/>
      <c r="XCE29" s="211"/>
      <c r="XCF29" s="211"/>
      <c r="XCG29" s="211"/>
      <c r="XCH29" s="211"/>
      <c r="XCI29" s="211"/>
      <c r="XCJ29" s="211"/>
      <c r="XCK29" s="211"/>
      <c r="XCL29" s="211"/>
      <c r="XCM29" s="211"/>
      <c r="XCN29" s="211"/>
      <c r="XCO29" s="211"/>
      <c r="XCP29" s="211"/>
      <c r="XCQ29" s="211"/>
      <c r="XCR29" s="211"/>
      <c r="XCS29" s="211"/>
      <c r="XCT29" s="211"/>
      <c r="XCU29" s="211"/>
      <c r="XCV29" s="211"/>
      <c r="XCW29" s="211"/>
      <c r="XCX29" s="211"/>
      <c r="XCY29" s="211"/>
      <c r="XCZ29" s="211"/>
      <c r="XDA29" s="211"/>
      <c r="XDB29" s="211"/>
      <c r="XDC29" s="211"/>
      <c r="XDD29" s="211"/>
      <c r="XDE29" s="211"/>
      <c r="XDF29" s="211"/>
      <c r="XDG29" s="211"/>
      <c r="XDH29" s="211"/>
      <c r="XDI29" s="211"/>
      <c r="XDJ29" s="211"/>
      <c r="XDK29" s="211"/>
      <c r="XDL29" s="211"/>
      <c r="XDM29" s="211"/>
      <c r="XDN29" s="211"/>
      <c r="XDO29" s="211"/>
      <c r="XDP29" s="211"/>
      <c r="XDQ29" s="211"/>
      <c r="XDR29" s="211"/>
      <c r="XDS29" s="211"/>
      <c r="XDT29" s="211"/>
      <c r="XDU29" s="211"/>
      <c r="XDV29" s="211"/>
      <c r="XDW29" s="211"/>
      <c r="XDX29" s="211"/>
      <c r="XDY29" s="211"/>
      <c r="XDZ29" s="211"/>
      <c r="XEA29" s="211"/>
      <c r="XEB29" s="211"/>
      <c r="XEC29" s="211"/>
      <c r="XED29" s="211"/>
      <c r="XEE29" s="211"/>
      <c r="XEF29" s="211"/>
      <c r="XEG29" s="211"/>
      <c r="XEH29" s="211"/>
      <c r="XEI29" s="211"/>
      <c r="XEJ29" s="211"/>
      <c r="XEK29" s="211"/>
      <c r="XEL29" s="211"/>
      <c r="XEM29" s="211"/>
      <c r="XEN29" s="211"/>
      <c r="XEO29" s="211"/>
      <c r="XEP29" s="211"/>
      <c r="XEQ29" s="211"/>
      <c r="XER29" s="211"/>
      <c r="XES29" s="211"/>
      <c r="XET29" s="211"/>
      <c r="XEU29" s="211"/>
      <c r="XEV29" s="211"/>
      <c r="XEW29" s="211"/>
      <c r="XEX29" s="211"/>
      <c r="XEY29" s="211"/>
      <c r="XEZ29" s="211"/>
      <c r="XFA29" s="211"/>
      <c r="XFB29" s="211"/>
      <c r="XFC29" s="211"/>
    </row>
    <row r="30" spans="1:16383" ht="6" customHeight="1" x14ac:dyDescent="0.25">
      <c r="A30" s="144"/>
      <c r="B30" s="144"/>
      <c r="C30" s="145"/>
      <c r="D30" s="144"/>
      <c r="E30" s="145"/>
      <c r="F30" s="144"/>
      <c r="G30" s="145"/>
      <c r="H30" s="144"/>
      <c r="I30" s="145"/>
      <c r="J30" s="144"/>
      <c r="K30" s="145"/>
      <c r="L30" s="144"/>
      <c r="M30" s="145"/>
      <c r="N30" s="144"/>
      <c r="O30" s="145"/>
      <c r="P30" s="144"/>
      <c r="Q30" s="144"/>
    </row>
    <row r="31" spans="1:16383" ht="15" customHeight="1" x14ac:dyDescent="0.25">
      <c r="A31" s="144"/>
      <c r="B31" s="217" t="s">
        <v>1617</v>
      </c>
      <c r="C31" s="217"/>
      <c r="D31" s="217"/>
      <c r="E31" s="217"/>
      <c r="F31" s="217"/>
      <c r="G31" s="217"/>
      <c r="H31" s="217"/>
      <c r="I31" s="217"/>
      <c r="J31" s="217"/>
      <c r="K31" s="217"/>
      <c r="L31" s="217"/>
      <c r="M31" s="145"/>
      <c r="N31" s="146" t="s">
        <v>1556</v>
      </c>
      <c r="O31" s="147"/>
      <c r="P31" s="148"/>
      <c r="Q31" s="144"/>
    </row>
    <row r="32" spans="1:16383" ht="15" customHeight="1" x14ac:dyDescent="0.25">
      <c r="A32" s="144"/>
      <c r="B32" s="149" t="s">
        <v>1636</v>
      </c>
      <c r="C32" s="149"/>
      <c r="D32" s="149" t="s">
        <v>9</v>
      </c>
      <c r="E32" s="149"/>
      <c r="F32" s="149" t="s">
        <v>10</v>
      </c>
      <c r="G32" s="149"/>
      <c r="H32" s="149" t="s">
        <v>1637</v>
      </c>
      <c r="I32" s="149"/>
      <c r="J32" s="149" t="s">
        <v>1638</v>
      </c>
      <c r="K32" s="149"/>
      <c r="L32" s="149" t="s">
        <v>1640</v>
      </c>
      <c r="M32" s="145"/>
      <c r="N32" s="147"/>
      <c r="O32" s="147"/>
      <c r="P32" s="148"/>
      <c r="Q32" s="144"/>
    </row>
    <row r="33" spans="1:17" ht="15" customHeight="1" x14ac:dyDescent="0.25">
      <c r="A33" s="144"/>
      <c r="B33" s="150" t="s">
        <v>1552</v>
      </c>
      <c r="C33" s="151" t="s">
        <v>1551</v>
      </c>
      <c r="D33" s="150" t="s">
        <v>1620</v>
      </c>
      <c r="E33" s="150" t="s">
        <v>1553</v>
      </c>
      <c r="F33" s="150" t="s">
        <v>1554</v>
      </c>
      <c r="G33" s="150" t="s">
        <v>1553</v>
      </c>
      <c r="H33" s="150" t="s">
        <v>1645</v>
      </c>
      <c r="I33" s="151" t="s">
        <v>1551</v>
      </c>
      <c r="J33" s="150" t="s">
        <v>1646</v>
      </c>
      <c r="K33" s="152"/>
      <c r="L33" s="153"/>
      <c r="M33" s="152"/>
      <c r="N33" s="154" t="s">
        <v>1557</v>
      </c>
      <c r="O33" s="147"/>
      <c r="P33" s="147" t="s">
        <v>1563</v>
      </c>
      <c r="Q33" s="144"/>
    </row>
    <row r="34" spans="1:17" ht="15" customHeight="1" x14ac:dyDescent="0.25">
      <c r="A34" s="155"/>
      <c r="B34" s="10">
        <f>IF('Fund 0001 Journal Entries'!$F$7="Proprietary - Enterprise Fund",ROUND('Fund 0001 Journal Entries'!$K$19,0),0)</f>
        <v>0</v>
      </c>
      <c r="C34" s="21" t="s">
        <v>1551</v>
      </c>
      <c r="D34" s="10">
        <f>IF('Fund 0001 Journal Entries'!$F$7="Proprietary - Enterprise Fund",ROUND('Fund 0001 Journal Entries'!$K$37,0),0)</f>
        <v>0</v>
      </c>
      <c r="E34" s="22" t="s">
        <v>1553</v>
      </c>
      <c r="F34" s="10">
        <f>IF('Fund 0001 Journal Entries'!$F$7="Proprietary - Enterprise Fund",ROUND('Fund 0001 Journal Entries'!$J$56,0),0)</f>
        <v>0</v>
      </c>
      <c r="G34" s="22" t="s">
        <v>1553</v>
      </c>
      <c r="H34" s="10">
        <f>IF('Fund 0001 Journal Entries'!$F$7="Proprietary - Enterprise Fund",ROUND('Fund 0001 Journal Entries'!$J$76,0),0)</f>
        <v>0</v>
      </c>
      <c r="I34" s="22" t="s">
        <v>1551</v>
      </c>
      <c r="J34" s="10">
        <f>IF('Fund 0001 Journal Entries'!$F$7="Proprietary - Enterprise Fund",ROUND('Fund 0001 Journal Entries'!$K$85,0),0)</f>
        <v>0</v>
      </c>
      <c r="K34" s="22" t="s">
        <v>1555</v>
      </c>
      <c r="L34" s="11">
        <f>+B34+D34-F34-H34+J34</f>
        <v>0</v>
      </c>
      <c r="M34" s="22"/>
      <c r="N34" s="12">
        <f>ROUND(SUM('Department Note Disclosure'!$B$78:$B$101),0)</f>
        <v>0</v>
      </c>
      <c r="O34" s="21"/>
      <c r="P34" s="13">
        <f>L34-N34</f>
        <v>0</v>
      </c>
      <c r="Q34" s="144"/>
    </row>
    <row r="35" spans="1:17" ht="15" customHeight="1" x14ac:dyDescent="0.25">
      <c r="A35" s="144"/>
      <c r="B35" s="158"/>
      <c r="C35" s="145"/>
      <c r="D35" s="157" t="str">
        <f>IF(OR(P34&gt;0.99, (P34&lt;(-0.99))), "Please review and correct the variance.","")</f>
        <v/>
      </c>
      <c r="E35" s="145"/>
      <c r="F35" s="158"/>
      <c r="G35" s="145"/>
      <c r="H35" s="158"/>
      <c r="I35" s="145"/>
      <c r="J35" s="158"/>
      <c r="K35" s="145"/>
      <c r="L35" s="158"/>
      <c r="M35" s="145"/>
      <c r="N35" s="158"/>
      <c r="O35" s="145"/>
      <c r="P35" s="158"/>
      <c r="Q35" s="144"/>
    </row>
    <row r="36" spans="1:17" ht="15" customHeight="1" x14ac:dyDescent="0.25">
      <c r="A36" s="144"/>
      <c r="B36" s="158"/>
      <c r="C36" s="145"/>
      <c r="D36" s="158"/>
      <c r="E36" s="145"/>
      <c r="F36" s="158"/>
      <c r="G36" s="145"/>
      <c r="H36" s="158"/>
      <c r="I36" s="145"/>
      <c r="J36" s="158"/>
      <c r="K36" s="145"/>
      <c r="L36" s="158"/>
      <c r="M36" s="145"/>
      <c r="N36" s="158"/>
      <c r="O36" s="145"/>
      <c r="P36" s="158"/>
      <c r="Q36" s="144"/>
    </row>
    <row r="37" spans="1:17" x14ac:dyDescent="0.25">
      <c r="A37" s="213" t="s">
        <v>1560</v>
      </c>
      <c r="B37" s="213"/>
      <c r="C37" s="213"/>
      <c r="D37" s="213"/>
      <c r="E37" s="213"/>
      <c r="F37" s="213"/>
      <c r="G37" s="213"/>
      <c r="H37" s="213"/>
      <c r="I37" s="213"/>
      <c r="J37" s="213"/>
      <c r="K37" s="213"/>
      <c r="L37" s="213"/>
      <c r="M37" s="213"/>
      <c r="N37" s="213"/>
      <c r="O37" s="213"/>
      <c r="P37" s="213"/>
      <c r="Q37" s="213"/>
    </row>
    <row r="38" spans="1:17" ht="15" customHeight="1" x14ac:dyDescent="0.25">
      <c r="A38" s="211" t="s">
        <v>1642</v>
      </c>
      <c r="B38" s="211"/>
      <c r="C38" s="211"/>
      <c r="D38" s="211"/>
      <c r="E38" s="211"/>
      <c r="F38" s="211"/>
      <c r="G38" s="211"/>
      <c r="H38" s="211"/>
      <c r="I38" s="211"/>
      <c r="J38" s="211"/>
      <c r="K38" s="211"/>
      <c r="L38" s="211"/>
      <c r="M38" s="211"/>
      <c r="N38" s="211"/>
      <c r="O38" s="211"/>
      <c r="P38" s="211"/>
      <c r="Q38" s="211"/>
    </row>
    <row r="39" spans="1:17" ht="6" customHeight="1" x14ac:dyDescent="0.25">
      <c r="A39" s="144"/>
      <c r="B39" s="144"/>
      <c r="C39" s="145"/>
      <c r="D39" s="144"/>
      <c r="E39" s="145"/>
      <c r="F39" s="144"/>
      <c r="G39" s="145"/>
      <c r="H39" s="144"/>
      <c r="I39" s="145"/>
      <c r="J39" s="144"/>
      <c r="K39" s="145"/>
      <c r="L39" s="144"/>
      <c r="M39" s="145"/>
      <c r="N39" s="144"/>
      <c r="O39" s="145"/>
      <c r="P39" s="144"/>
      <c r="Q39" s="144"/>
    </row>
    <row r="40" spans="1:17" ht="15" customHeight="1" x14ac:dyDescent="0.25">
      <c r="A40" s="144"/>
      <c r="B40" s="215" t="s">
        <v>1617</v>
      </c>
      <c r="C40" s="215"/>
      <c r="D40" s="215"/>
      <c r="E40" s="215"/>
      <c r="F40" s="215"/>
      <c r="G40" s="215"/>
      <c r="H40" s="144"/>
      <c r="I40" s="145"/>
      <c r="J40" s="144"/>
      <c r="K40" s="145"/>
      <c r="L40" s="144"/>
      <c r="M40" s="145"/>
      <c r="N40" s="146" t="s">
        <v>1556</v>
      </c>
      <c r="O40" s="147"/>
      <c r="P40" s="148"/>
      <c r="Q40" s="144"/>
    </row>
    <row r="41" spans="1:17" ht="15" customHeight="1" x14ac:dyDescent="0.25">
      <c r="A41" s="144"/>
      <c r="B41" s="150" t="s">
        <v>1558</v>
      </c>
      <c r="C41" s="219" t="s">
        <v>1639</v>
      </c>
      <c r="D41" s="219"/>
      <c r="E41" s="219"/>
      <c r="G41" s="145"/>
      <c r="H41" s="159"/>
      <c r="I41" s="149"/>
      <c r="J41" s="159"/>
      <c r="K41" s="145"/>
      <c r="L41" s="144"/>
      <c r="M41" s="152"/>
      <c r="N41" s="154" t="str">
        <f>'Department Note Disclosure'!$A$16&amp;" Principal Payments"</f>
        <v>2024–2025 Principal Payments</v>
      </c>
      <c r="O41" s="147"/>
      <c r="P41" s="147" t="s">
        <v>1563</v>
      </c>
      <c r="Q41" s="144"/>
    </row>
    <row r="42" spans="1:17" ht="15" customHeight="1" x14ac:dyDescent="0.25">
      <c r="A42" s="144"/>
      <c r="B42" s="10">
        <f>IF('Fund 0001 Journal Entries'!$F$7="Governmental Fund",ROUND('Fund 0001 Journal Entries'!$K$62,0),0)</f>
        <v>194084</v>
      </c>
      <c r="C42" s="160"/>
      <c r="D42" s="159"/>
      <c r="E42" s="159"/>
      <c r="F42" s="159"/>
      <c r="G42" s="145"/>
      <c r="H42" s="159"/>
      <c r="I42" s="149"/>
      <c r="J42" s="159"/>
      <c r="K42" s="145"/>
      <c r="L42" s="158"/>
      <c r="M42" s="23"/>
      <c r="N42" s="12">
        <f>ROUND('Department Note Disclosure'!$B$16,0)</f>
        <v>194084</v>
      </c>
      <c r="O42" s="24"/>
      <c r="P42" s="13">
        <f>B42-N42</f>
        <v>0</v>
      </c>
      <c r="Q42" s="144"/>
    </row>
    <row r="43" spans="1:17" ht="17.25" x14ac:dyDescent="0.25">
      <c r="A43" s="144"/>
      <c r="B43" s="157" t="str">
        <f>IF(OR(P42&gt;0.99, (P42&lt;(-0.99))), "Please review and correct the variance.","")</f>
        <v/>
      </c>
      <c r="C43" s="156"/>
      <c r="E43" s="156"/>
      <c r="F43" s="155"/>
      <c r="G43" s="156"/>
      <c r="H43" s="159"/>
      <c r="I43" s="149"/>
      <c r="J43" s="159"/>
      <c r="K43" s="156"/>
      <c r="L43" s="155"/>
      <c r="M43" s="156"/>
      <c r="N43" s="155"/>
      <c r="O43" s="156"/>
      <c r="P43" s="155"/>
      <c r="Q43" s="144"/>
    </row>
    <row r="44" spans="1:17" ht="6" customHeight="1" x14ac:dyDescent="0.25">
      <c r="A44" s="144"/>
      <c r="B44" s="155"/>
      <c r="C44" s="156"/>
      <c r="D44" s="157"/>
      <c r="E44" s="156"/>
      <c r="F44" s="155"/>
      <c r="G44" s="156"/>
      <c r="H44" s="155"/>
      <c r="I44" s="156"/>
      <c r="J44" s="155"/>
      <c r="K44" s="156"/>
      <c r="L44" s="155"/>
      <c r="M44" s="156"/>
      <c r="N44" s="155"/>
      <c r="O44" s="156"/>
      <c r="P44" s="155"/>
      <c r="Q44" s="144"/>
    </row>
    <row r="45" spans="1:17" x14ac:dyDescent="0.25">
      <c r="A45" s="211" t="s">
        <v>1643</v>
      </c>
      <c r="B45" s="211"/>
      <c r="C45" s="211"/>
      <c r="D45" s="211"/>
      <c r="E45" s="211"/>
      <c r="F45" s="211"/>
      <c r="G45" s="211"/>
      <c r="H45" s="211"/>
      <c r="I45" s="211"/>
      <c r="J45" s="211"/>
      <c r="K45" s="211"/>
      <c r="L45" s="211"/>
      <c r="M45" s="211"/>
      <c r="N45" s="211"/>
      <c r="O45" s="211"/>
      <c r="P45" s="211"/>
      <c r="Q45" s="211"/>
    </row>
    <row r="46" spans="1:17" ht="6" customHeight="1" x14ac:dyDescent="0.25">
      <c r="A46" s="144"/>
      <c r="B46" s="144"/>
      <c r="C46" s="145"/>
      <c r="D46" s="144"/>
      <c r="E46" s="145"/>
      <c r="F46" s="144"/>
      <c r="G46" s="145"/>
      <c r="H46" s="144"/>
      <c r="I46" s="145"/>
      <c r="J46" s="144"/>
      <c r="K46" s="145"/>
      <c r="L46" s="144"/>
      <c r="M46" s="145"/>
      <c r="N46" s="144"/>
      <c r="O46" s="145"/>
      <c r="P46" s="144"/>
      <c r="Q46" s="144"/>
    </row>
    <row r="47" spans="1:17" ht="15" customHeight="1" x14ac:dyDescent="0.25">
      <c r="A47" s="144"/>
      <c r="B47" s="215" t="s">
        <v>1617</v>
      </c>
      <c r="C47" s="215"/>
      <c r="D47" s="215"/>
      <c r="E47" s="215"/>
      <c r="F47" s="215"/>
      <c r="G47" s="215"/>
      <c r="H47" s="144"/>
      <c r="I47" s="145"/>
      <c r="J47" s="144"/>
      <c r="K47" s="145"/>
      <c r="L47" s="144"/>
      <c r="M47" s="145"/>
      <c r="N47" s="146" t="s">
        <v>1556</v>
      </c>
      <c r="O47" s="147"/>
      <c r="P47" s="148"/>
      <c r="Q47" s="144"/>
    </row>
    <row r="48" spans="1:17" ht="15" customHeight="1" x14ac:dyDescent="0.25">
      <c r="A48" s="144"/>
      <c r="B48" s="150" t="s">
        <v>1558</v>
      </c>
      <c r="C48" s="219" t="s">
        <v>1639</v>
      </c>
      <c r="D48" s="219"/>
      <c r="E48" s="219"/>
      <c r="G48" s="145"/>
      <c r="H48" s="159"/>
      <c r="I48" s="149"/>
      <c r="J48" s="159"/>
      <c r="K48" s="145"/>
      <c r="L48" s="144"/>
      <c r="M48" s="145"/>
      <c r="N48" s="147"/>
      <c r="O48" s="147"/>
      <c r="P48" s="148"/>
      <c r="Q48" s="144"/>
    </row>
    <row r="49" spans="1:16383" ht="15" customHeight="1" x14ac:dyDescent="0.25">
      <c r="A49" s="144"/>
      <c r="B49" s="10">
        <f>IF('Fund 0001 Journal Entries'!$F$7="Proprietary - Internal Service Fund",ROUND('Fund 0001 Journal Entries'!$K$62,0),0)</f>
        <v>0</v>
      </c>
      <c r="C49" s="145"/>
      <c r="E49" s="145"/>
      <c r="G49" s="145"/>
      <c r="H49" s="159"/>
      <c r="I49" s="149"/>
      <c r="J49" s="159"/>
      <c r="K49" s="145"/>
      <c r="L49" s="144"/>
      <c r="M49" s="152"/>
      <c r="N49" s="154" t="str">
        <f>'Department Note Disclosure'!$A$47&amp;" Principal Payments"</f>
        <v>2024–2025 Principal Payments</v>
      </c>
      <c r="O49" s="147"/>
      <c r="P49" s="147" t="s">
        <v>1563</v>
      </c>
      <c r="Q49" s="144"/>
    </row>
    <row r="50" spans="1:16383" ht="17.25" x14ac:dyDescent="0.25">
      <c r="A50" s="144"/>
      <c r="B50" s="157" t="str">
        <f>IF(OR(P50&gt;0.99, (P50&lt;(-0.99))), "Please review and correct the variance.","")</f>
        <v/>
      </c>
      <c r="C50" s="145"/>
      <c r="E50" s="145"/>
      <c r="G50" s="145"/>
      <c r="H50" s="159"/>
      <c r="I50" s="149"/>
      <c r="J50" s="159"/>
      <c r="K50" s="145"/>
      <c r="L50" s="158"/>
      <c r="M50" s="23"/>
      <c r="N50" s="12">
        <f>ROUND('Department Note Disclosure'!$B$47,0)</f>
        <v>0</v>
      </c>
      <c r="O50" s="24"/>
      <c r="P50" s="13">
        <f>B49-N50</f>
        <v>0</v>
      </c>
      <c r="Q50" s="144"/>
    </row>
    <row r="51" spans="1:16383" ht="6" customHeight="1" x14ac:dyDescent="0.25">
      <c r="A51" s="144"/>
      <c r="B51" s="144"/>
      <c r="C51" s="145"/>
      <c r="D51" s="157"/>
      <c r="E51" s="145"/>
      <c r="F51" s="144"/>
      <c r="G51" s="145"/>
      <c r="H51" s="144"/>
      <c r="I51" s="145"/>
      <c r="J51" s="144"/>
      <c r="K51" s="145"/>
      <c r="L51" s="144"/>
      <c r="M51" s="145"/>
      <c r="N51" s="144"/>
      <c r="O51" s="145"/>
      <c r="P51" s="144"/>
      <c r="Q51" s="144"/>
    </row>
    <row r="52" spans="1:16383" x14ac:dyDescent="0.25">
      <c r="A52" s="211" t="s">
        <v>1644</v>
      </c>
      <c r="B52" s="211"/>
      <c r="C52" s="211"/>
      <c r="D52" s="211"/>
      <c r="E52" s="211"/>
      <c r="F52" s="211"/>
      <c r="G52" s="211"/>
      <c r="H52" s="211"/>
      <c r="I52" s="211"/>
      <c r="J52" s="211"/>
      <c r="K52" s="211"/>
      <c r="L52" s="211"/>
      <c r="M52" s="211"/>
      <c r="N52" s="211"/>
      <c r="O52" s="211"/>
      <c r="P52" s="211"/>
      <c r="Q52" s="211"/>
      <c r="R52" s="211"/>
      <c r="S52" s="211"/>
      <c r="T52" s="211"/>
      <c r="U52" s="211"/>
      <c r="V52" s="211"/>
      <c r="W52" s="211"/>
      <c r="X52" s="211"/>
      <c r="Y52" s="211"/>
      <c r="Z52" s="211"/>
      <c r="AA52" s="211"/>
      <c r="AB52" s="211"/>
      <c r="AC52" s="211"/>
      <c r="AD52" s="211"/>
      <c r="AE52" s="211"/>
      <c r="AF52" s="211"/>
      <c r="AG52" s="211"/>
      <c r="AH52" s="211"/>
      <c r="AI52" s="211"/>
      <c r="AJ52" s="211"/>
      <c r="AK52" s="211"/>
      <c r="AL52" s="211"/>
      <c r="AM52" s="211"/>
      <c r="AN52" s="211"/>
      <c r="AO52" s="211"/>
      <c r="AP52" s="211"/>
      <c r="AQ52" s="211"/>
      <c r="AR52" s="211"/>
      <c r="AS52" s="211"/>
      <c r="AT52" s="211"/>
      <c r="AU52" s="211"/>
      <c r="AV52" s="211"/>
      <c r="AW52" s="211"/>
      <c r="AX52" s="211"/>
      <c r="AY52" s="211"/>
      <c r="AZ52" s="211"/>
      <c r="BA52" s="211"/>
      <c r="BB52" s="211"/>
      <c r="BC52" s="211"/>
      <c r="BD52" s="211"/>
      <c r="BE52" s="211"/>
      <c r="BF52" s="211"/>
      <c r="BG52" s="211"/>
      <c r="BH52" s="211"/>
      <c r="BI52" s="211"/>
      <c r="BJ52" s="211"/>
      <c r="BK52" s="211"/>
      <c r="BL52" s="211"/>
      <c r="BM52" s="211"/>
      <c r="BN52" s="211"/>
      <c r="BO52" s="211"/>
      <c r="BP52" s="211"/>
      <c r="BQ52" s="211"/>
      <c r="BR52" s="211"/>
      <c r="BS52" s="211"/>
      <c r="BT52" s="211"/>
      <c r="BU52" s="211"/>
      <c r="BV52" s="211"/>
      <c r="BW52" s="211"/>
      <c r="BX52" s="211"/>
      <c r="BY52" s="211"/>
      <c r="BZ52" s="211"/>
      <c r="CA52" s="211"/>
      <c r="CB52" s="211"/>
      <c r="CC52" s="211"/>
      <c r="CD52" s="211"/>
      <c r="CE52" s="211"/>
      <c r="CF52" s="211"/>
      <c r="CG52" s="211"/>
      <c r="CH52" s="211"/>
      <c r="CI52" s="211"/>
      <c r="CJ52" s="211"/>
      <c r="CK52" s="211"/>
      <c r="CL52" s="211"/>
      <c r="CM52" s="211"/>
      <c r="CN52" s="211"/>
      <c r="CO52" s="211"/>
      <c r="CP52" s="211"/>
      <c r="CQ52" s="211"/>
      <c r="CR52" s="211"/>
      <c r="CS52" s="211"/>
      <c r="CT52" s="211"/>
      <c r="CU52" s="211"/>
      <c r="CV52" s="211"/>
      <c r="CW52" s="211"/>
      <c r="CX52" s="211"/>
      <c r="CY52" s="211"/>
      <c r="CZ52" s="211"/>
      <c r="DA52" s="211"/>
      <c r="DB52" s="211"/>
      <c r="DC52" s="211"/>
      <c r="DD52" s="211"/>
      <c r="DE52" s="211"/>
      <c r="DF52" s="211"/>
      <c r="DG52" s="211"/>
      <c r="DH52" s="211"/>
      <c r="DI52" s="211"/>
      <c r="DJ52" s="211"/>
      <c r="DK52" s="211"/>
      <c r="DL52" s="211"/>
      <c r="DM52" s="211"/>
      <c r="DN52" s="211"/>
      <c r="DO52" s="211"/>
      <c r="DP52" s="211"/>
      <c r="DQ52" s="211"/>
      <c r="DR52" s="211"/>
      <c r="DS52" s="211"/>
      <c r="DT52" s="211"/>
      <c r="DU52" s="211"/>
      <c r="DV52" s="211"/>
      <c r="DW52" s="211"/>
      <c r="DX52" s="211"/>
      <c r="DY52" s="211"/>
      <c r="DZ52" s="211"/>
      <c r="EA52" s="211"/>
      <c r="EB52" s="211"/>
      <c r="EC52" s="211"/>
      <c r="ED52" s="211"/>
      <c r="EE52" s="211"/>
      <c r="EF52" s="211"/>
      <c r="EG52" s="211"/>
      <c r="EH52" s="211"/>
      <c r="EI52" s="211"/>
      <c r="EJ52" s="211"/>
      <c r="EK52" s="211"/>
      <c r="EL52" s="211"/>
      <c r="EM52" s="211"/>
      <c r="EN52" s="211"/>
      <c r="EO52" s="211"/>
      <c r="EP52" s="211"/>
      <c r="EQ52" s="211"/>
      <c r="ER52" s="211"/>
      <c r="ES52" s="211"/>
      <c r="ET52" s="211"/>
      <c r="EU52" s="211"/>
      <c r="EV52" s="211"/>
      <c r="EW52" s="211"/>
      <c r="EX52" s="211"/>
      <c r="EY52" s="211"/>
      <c r="EZ52" s="211"/>
      <c r="FA52" s="211"/>
      <c r="FB52" s="211"/>
      <c r="FC52" s="211"/>
      <c r="FD52" s="211"/>
      <c r="FE52" s="211"/>
      <c r="FF52" s="211"/>
      <c r="FG52" s="211"/>
      <c r="FH52" s="211"/>
      <c r="FI52" s="211"/>
      <c r="FJ52" s="211"/>
      <c r="FK52" s="211"/>
      <c r="FL52" s="211"/>
      <c r="FM52" s="211"/>
      <c r="FN52" s="211"/>
      <c r="FO52" s="211"/>
      <c r="FP52" s="211"/>
      <c r="FQ52" s="211"/>
      <c r="FR52" s="211"/>
      <c r="FS52" s="211"/>
      <c r="FT52" s="211"/>
      <c r="FU52" s="211"/>
      <c r="FV52" s="211"/>
      <c r="FW52" s="211"/>
      <c r="FX52" s="211"/>
      <c r="FY52" s="211"/>
      <c r="FZ52" s="211"/>
      <c r="GA52" s="211"/>
      <c r="GB52" s="211"/>
      <c r="GC52" s="211"/>
      <c r="GD52" s="211"/>
      <c r="GE52" s="211"/>
      <c r="GF52" s="211"/>
      <c r="GG52" s="211"/>
      <c r="GH52" s="211"/>
      <c r="GI52" s="211"/>
      <c r="GJ52" s="211"/>
      <c r="GK52" s="211"/>
      <c r="GL52" s="211"/>
      <c r="GM52" s="211"/>
      <c r="GN52" s="211"/>
      <c r="GO52" s="211"/>
      <c r="GP52" s="211"/>
      <c r="GQ52" s="211"/>
      <c r="GR52" s="211"/>
      <c r="GS52" s="211"/>
      <c r="GT52" s="211"/>
      <c r="GU52" s="211"/>
      <c r="GV52" s="211"/>
      <c r="GW52" s="211"/>
      <c r="GX52" s="211"/>
      <c r="GY52" s="211"/>
      <c r="GZ52" s="211"/>
      <c r="HA52" s="211"/>
      <c r="HB52" s="211"/>
      <c r="HC52" s="211"/>
      <c r="HD52" s="211"/>
      <c r="HE52" s="211"/>
      <c r="HF52" s="211"/>
      <c r="HG52" s="211"/>
      <c r="HH52" s="211"/>
      <c r="HI52" s="211"/>
      <c r="HJ52" s="211"/>
      <c r="HK52" s="211"/>
      <c r="HL52" s="211"/>
      <c r="HM52" s="211"/>
      <c r="HN52" s="211"/>
      <c r="HO52" s="211"/>
      <c r="HP52" s="211"/>
      <c r="HQ52" s="211"/>
      <c r="HR52" s="211"/>
      <c r="HS52" s="211"/>
      <c r="HT52" s="211"/>
      <c r="HU52" s="211"/>
      <c r="HV52" s="211"/>
      <c r="HW52" s="211"/>
      <c r="HX52" s="211"/>
      <c r="HY52" s="211"/>
      <c r="HZ52" s="211"/>
      <c r="IA52" s="211"/>
      <c r="IB52" s="211"/>
      <c r="IC52" s="211"/>
      <c r="ID52" s="211"/>
      <c r="IE52" s="211"/>
      <c r="IF52" s="211"/>
      <c r="IG52" s="211"/>
      <c r="IH52" s="211"/>
      <c r="II52" s="211"/>
      <c r="IJ52" s="211"/>
      <c r="IK52" s="211"/>
      <c r="IL52" s="211"/>
      <c r="IM52" s="211"/>
      <c r="IN52" s="211"/>
      <c r="IO52" s="211"/>
      <c r="IP52" s="211"/>
      <c r="IQ52" s="211"/>
      <c r="IR52" s="211"/>
      <c r="IS52" s="211"/>
      <c r="IT52" s="211"/>
      <c r="IU52" s="211"/>
      <c r="IV52" s="211"/>
      <c r="IW52" s="211"/>
      <c r="IX52" s="211"/>
      <c r="IY52" s="211"/>
      <c r="IZ52" s="211"/>
      <c r="JA52" s="211"/>
      <c r="JB52" s="211"/>
      <c r="JC52" s="211"/>
      <c r="JD52" s="211"/>
      <c r="JE52" s="211"/>
      <c r="JF52" s="211"/>
      <c r="JG52" s="211"/>
      <c r="JH52" s="211"/>
      <c r="JI52" s="211"/>
      <c r="JJ52" s="211"/>
      <c r="JK52" s="211"/>
      <c r="JL52" s="211"/>
      <c r="JM52" s="211"/>
      <c r="JN52" s="211"/>
      <c r="JO52" s="211"/>
      <c r="JP52" s="211"/>
      <c r="JQ52" s="211"/>
      <c r="JR52" s="211"/>
      <c r="JS52" s="211"/>
      <c r="JT52" s="211"/>
      <c r="JU52" s="211"/>
      <c r="JV52" s="211"/>
      <c r="JW52" s="211"/>
      <c r="JX52" s="211"/>
      <c r="JY52" s="211"/>
      <c r="JZ52" s="211"/>
      <c r="KA52" s="211"/>
      <c r="KB52" s="211"/>
      <c r="KC52" s="211"/>
      <c r="KD52" s="211"/>
      <c r="KE52" s="211"/>
      <c r="KF52" s="211"/>
      <c r="KG52" s="211"/>
      <c r="KH52" s="211"/>
      <c r="KI52" s="211"/>
      <c r="KJ52" s="211"/>
      <c r="KK52" s="211"/>
      <c r="KL52" s="211"/>
      <c r="KM52" s="211"/>
      <c r="KN52" s="211"/>
      <c r="KO52" s="211"/>
      <c r="KP52" s="211"/>
      <c r="KQ52" s="211"/>
      <c r="KR52" s="211"/>
      <c r="KS52" s="211"/>
      <c r="KT52" s="211"/>
      <c r="KU52" s="211"/>
      <c r="KV52" s="211"/>
      <c r="KW52" s="211"/>
      <c r="KX52" s="211"/>
      <c r="KY52" s="211"/>
      <c r="KZ52" s="211"/>
      <c r="LA52" s="211"/>
      <c r="LB52" s="211"/>
      <c r="LC52" s="211"/>
      <c r="LD52" s="211"/>
      <c r="LE52" s="211"/>
      <c r="LF52" s="211"/>
      <c r="LG52" s="211"/>
      <c r="LH52" s="211"/>
      <c r="LI52" s="211"/>
      <c r="LJ52" s="211"/>
      <c r="LK52" s="211"/>
      <c r="LL52" s="211"/>
      <c r="LM52" s="211"/>
      <c r="LN52" s="211"/>
      <c r="LO52" s="211"/>
      <c r="LP52" s="211"/>
      <c r="LQ52" s="211"/>
      <c r="LR52" s="211"/>
      <c r="LS52" s="211"/>
      <c r="LT52" s="211"/>
      <c r="LU52" s="211"/>
      <c r="LV52" s="211"/>
      <c r="LW52" s="211"/>
      <c r="LX52" s="211"/>
      <c r="LY52" s="211"/>
      <c r="LZ52" s="211"/>
      <c r="MA52" s="211"/>
      <c r="MB52" s="211"/>
      <c r="MC52" s="211"/>
      <c r="MD52" s="211"/>
      <c r="ME52" s="211"/>
      <c r="MF52" s="211"/>
      <c r="MG52" s="211"/>
      <c r="MH52" s="211"/>
      <c r="MI52" s="211"/>
      <c r="MJ52" s="211"/>
      <c r="MK52" s="211"/>
      <c r="ML52" s="211"/>
      <c r="MM52" s="211"/>
      <c r="MN52" s="211"/>
      <c r="MO52" s="211"/>
      <c r="MP52" s="211"/>
      <c r="MQ52" s="211"/>
      <c r="MR52" s="211"/>
      <c r="MS52" s="211"/>
      <c r="MT52" s="211"/>
      <c r="MU52" s="211"/>
      <c r="MV52" s="211"/>
      <c r="MW52" s="211"/>
      <c r="MX52" s="211"/>
      <c r="MY52" s="211"/>
      <c r="MZ52" s="211"/>
      <c r="NA52" s="211"/>
      <c r="NB52" s="211"/>
      <c r="NC52" s="211"/>
      <c r="ND52" s="211"/>
      <c r="NE52" s="211"/>
      <c r="NF52" s="211"/>
      <c r="NG52" s="211"/>
      <c r="NH52" s="211"/>
      <c r="NI52" s="211"/>
      <c r="NJ52" s="211"/>
      <c r="NK52" s="211"/>
      <c r="NL52" s="211"/>
      <c r="NM52" s="211"/>
      <c r="NN52" s="211"/>
      <c r="NO52" s="211"/>
      <c r="NP52" s="211"/>
      <c r="NQ52" s="211"/>
      <c r="NR52" s="211"/>
      <c r="NS52" s="211"/>
      <c r="NT52" s="211"/>
      <c r="NU52" s="211"/>
      <c r="NV52" s="211"/>
      <c r="NW52" s="211"/>
      <c r="NX52" s="211"/>
      <c r="NY52" s="211"/>
      <c r="NZ52" s="211"/>
      <c r="OA52" s="211"/>
      <c r="OB52" s="211"/>
      <c r="OC52" s="211"/>
      <c r="OD52" s="211"/>
      <c r="OE52" s="211"/>
      <c r="OF52" s="211"/>
      <c r="OG52" s="211"/>
      <c r="OH52" s="211"/>
      <c r="OI52" s="211"/>
      <c r="OJ52" s="211"/>
      <c r="OK52" s="211"/>
      <c r="OL52" s="211"/>
      <c r="OM52" s="211"/>
      <c r="ON52" s="211"/>
      <c r="OO52" s="211"/>
      <c r="OP52" s="211"/>
      <c r="OQ52" s="211"/>
      <c r="OR52" s="211"/>
      <c r="OS52" s="211"/>
      <c r="OT52" s="211"/>
      <c r="OU52" s="211"/>
      <c r="OV52" s="211"/>
      <c r="OW52" s="211"/>
      <c r="OX52" s="211"/>
      <c r="OY52" s="211"/>
      <c r="OZ52" s="211"/>
      <c r="PA52" s="211"/>
      <c r="PB52" s="211"/>
      <c r="PC52" s="211"/>
      <c r="PD52" s="211"/>
      <c r="PE52" s="211"/>
      <c r="PF52" s="211"/>
      <c r="PG52" s="211"/>
      <c r="PH52" s="211"/>
      <c r="PI52" s="211"/>
      <c r="PJ52" s="211"/>
      <c r="PK52" s="211"/>
      <c r="PL52" s="211"/>
      <c r="PM52" s="211"/>
      <c r="PN52" s="211"/>
      <c r="PO52" s="211"/>
      <c r="PP52" s="211"/>
      <c r="PQ52" s="211"/>
      <c r="PR52" s="211"/>
      <c r="PS52" s="211"/>
      <c r="PT52" s="211"/>
      <c r="PU52" s="211"/>
      <c r="PV52" s="211"/>
      <c r="PW52" s="211"/>
      <c r="PX52" s="211"/>
      <c r="PY52" s="211"/>
      <c r="PZ52" s="211"/>
      <c r="QA52" s="211"/>
      <c r="QB52" s="211"/>
      <c r="QC52" s="211"/>
      <c r="QD52" s="211"/>
      <c r="QE52" s="211"/>
      <c r="QF52" s="211"/>
      <c r="QG52" s="211"/>
      <c r="QH52" s="211"/>
      <c r="QI52" s="211"/>
      <c r="QJ52" s="211"/>
      <c r="QK52" s="211"/>
      <c r="QL52" s="211"/>
      <c r="QM52" s="211"/>
      <c r="QN52" s="211"/>
      <c r="QO52" s="211"/>
      <c r="QP52" s="211"/>
      <c r="QQ52" s="211"/>
      <c r="QR52" s="211"/>
      <c r="QS52" s="211"/>
      <c r="QT52" s="211"/>
      <c r="QU52" s="211"/>
      <c r="QV52" s="211"/>
      <c r="QW52" s="211"/>
      <c r="QX52" s="211"/>
      <c r="QY52" s="211"/>
      <c r="QZ52" s="211"/>
      <c r="RA52" s="211"/>
      <c r="RB52" s="211"/>
      <c r="RC52" s="211"/>
      <c r="RD52" s="211"/>
      <c r="RE52" s="211"/>
      <c r="RF52" s="211"/>
      <c r="RG52" s="211"/>
      <c r="RH52" s="211"/>
      <c r="RI52" s="211"/>
      <c r="RJ52" s="211"/>
      <c r="RK52" s="211"/>
      <c r="RL52" s="211"/>
      <c r="RM52" s="211"/>
      <c r="RN52" s="211"/>
      <c r="RO52" s="211"/>
      <c r="RP52" s="211"/>
      <c r="RQ52" s="211"/>
      <c r="RR52" s="211"/>
      <c r="RS52" s="211"/>
      <c r="RT52" s="211"/>
      <c r="RU52" s="211"/>
      <c r="RV52" s="211"/>
      <c r="RW52" s="211"/>
      <c r="RX52" s="211"/>
      <c r="RY52" s="211"/>
      <c r="RZ52" s="211"/>
      <c r="SA52" s="211"/>
      <c r="SB52" s="211"/>
      <c r="SC52" s="211"/>
      <c r="SD52" s="211"/>
      <c r="SE52" s="211"/>
      <c r="SF52" s="211"/>
      <c r="SG52" s="211"/>
      <c r="SH52" s="211"/>
      <c r="SI52" s="211"/>
      <c r="SJ52" s="211"/>
      <c r="SK52" s="211"/>
      <c r="SL52" s="211"/>
      <c r="SM52" s="211"/>
      <c r="SN52" s="211"/>
      <c r="SO52" s="211"/>
      <c r="SP52" s="211"/>
      <c r="SQ52" s="211"/>
      <c r="SR52" s="211"/>
      <c r="SS52" s="211"/>
      <c r="ST52" s="211"/>
      <c r="SU52" s="211"/>
      <c r="SV52" s="211"/>
      <c r="SW52" s="211"/>
      <c r="SX52" s="211"/>
      <c r="SY52" s="211"/>
      <c r="SZ52" s="211"/>
      <c r="TA52" s="211"/>
      <c r="TB52" s="211"/>
      <c r="TC52" s="211"/>
      <c r="TD52" s="211"/>
      <c r="TE52" s="211"/>
      <c r="TF52" s="211"/>
      <c r="TG52" s="211"/>
      <c r="TH52" s="211"/>
      <c r="TI52" s="211"/>
      <c r="TJ52" s="211"/>
      <c r="TK52" s="211"/>
      <c r="TL52" s="211"/>
      <c r="TM52" s="211"/>
      <c r="TN52" s="211"/>
      <c r="TO52" s="211"/>
      <c r="TP52" s="211"/>
      <c r="TQ52" s="211"/>
      <c r="TR52" s="211"/>
      <c r="TS52" s="211"/>
      <c r="TT52" s="211"/>
      <c r="TU52" s="211"/>
      <c r="TV52" s="211"/>
      <c r="TW52" s="211"/>
      <c r="TX52" s="211"/>
      <c r="TY52" s="211"/>
      <c r="TZ52" s="211"/>
      <c r="UA52" s="211"/>
      <c r="UB52" s="211"/>
      <c r="UC52" s="211"/>
      <c r="UD52" s="211"/>
      <c r="UE52" s="211"/>
      <c r="UF52" s="211"/>
      <c r="UG52" s="211"/>
      <c r="UH52" s="211"/>
      <c r="UI52" s="211"/>
      <c r="UJ52" s="211"/>
      <c r="UK52" s="211"/>
      <c r="UL52" s="211"/>
      <c r="UM52" s="211"/>
      <c r="UN52" s="211"/>
      <c r="UO52" s="211"/>
      <c r="UP52" s="211"/>
      <c r="UQ52" s="211"/>
      <c r="UR52" s="211"/>
      <c r="US52" s="211"/>
      <c r="UT52" s="211"/>
      <c r="UU52" s="211"/>
      <c r="UV52" s="211"/>
      <c r="UW52" s="211"/>
      <c r="UX52" s="211"/>
      <c r="UY52" s="211"/>
      <c r="UZ52" s="211"/>
      <c r="VA52" s="211"/>
      <c r="VB52" s="211"/>
      <c r="VC52" s="211"/>
      <c r="VD52" s="211"/>
      <c r="VE52" s="211"/>
      <c r="VF52" s="211"/>
      <c r="VG52" s="211"/>
      <c r="VH52" s="211"/>
      <c r="VI52" s="211"/>
      <c r="VJ52" s="211"/>
      <c r="VK52" s="211"/>
      <c r="VL52" s="211"/>
      <c r="VM52" s="211"/>
      <c r="VN52" s="211"/>
      <c r="VO52" s="211"/>
      <c r="VP52" s="211"/>
      <c r="VQ52" s="211"/>
      <c r="VR52" s="211"/>
      <c r="VS52" s="211"/>
      <c r="VT52" s="211"/>
      <c r="VU52" s="211"/>
      <c r="VV52" s="211"/>
      <c r="VW52" s="211"/>
      <c r="VX52" s="211"/>
      <c r="VY52" s="211"/>
      <c r="VZ52" s="211"/>
      <c r="WA52" s="211"/>
      <c r="WB52" s="211"/>
      <c r="WC52" s="211"/>
      <c r="WD52" s="211"/>
      <c r="WE52" s="211"/>
      <c r="WF52" s="211"/>
      <c r="WG52" s="211"/>
      <c r="WH52" s="211"/>
      <c r="WI52" s="211"/>
      <c r="WJ52" s="211"/>
      <c r="WK52" s="211"/>
      <c r="WL52" s="211"/>
      <c r="WM52" s="211"/>
      <c r="WN52" s="211"/>
      <c r="WO52" s="211"/>
      <c r="WP52" s="211"/>
      <c r="WQ52" s="211"/>
      <c r="WR52" s="211"/>
      <c r="WS52" s="211"/>
      <c r="WT52" s="211"/>
      <c r="WU52" s="211"/>
      <c r="WV52" s="211"/>
      <c r="WW52" s="211"/>
      <c r="WX52" s="211"/>
      <c r="WY52" s="211"/>
      <c r="WZ52" s="211"/>
      <c r="XA52" s="211"/>
      <c r="XB52" s="211"/>
      <c r="XC52" s="211"/>
      <c r="XD52" s="211"/>
      <c r="XE52" s="211"/>
      <c r="XF52" s="211"/>
      <c r="XG52" s="211"/>
      <c r="XH52" s="211"/>
      <c r="XI52" s="211"/>
      <c r="XJ52" s="211"/>
      <c r="XK52" s="211"/>
      <c r="XL52" s="211"/>
      <c r="XM52" s="211"/>
      <c r="XN52" s="211"/>
      <c r="XO52" s="211"/>
      <c r="XP52" s="211"/>
      <c r="XQ52" s="211"/>
      <c r="XR52" s="211"/>
      <c r="XS52" s="211"/>
      <c r="XT52" s="211"/>
      <c r="XU52" s="211"/>
      <c r="XV52" s="211"/>
      <c r="XW52" s="211"/>
      <c r="XX52" s="211"/>
      <c r="XY52" s="211"/>
      <c r="XZ52" s="211"/>
      <c r="YA52" s="211"/>
      <c r="YB52" s="211"/>
      <c r="YC52" s="211"/>
      <c r="YD52" s="211"/>
      <c r="YE52" s="211"/>
      <c r="YF52" s="211"/>
      <c r="YG52" s="211"/>
      <c r="YH52" s="211"/>
      <c r="YI52" s="211"/>
      <c r="YJ52" s="211"/>
      <c r="YK52" s="211"/>
      <c r="YL52" s="211"/>
      <c r="YM52" s="211"/>
      <c r="YN52" s="211"/>
      <c r="YO52" s="211"/>
      <c r="YP52" s="211"/>
      <c r="YQ52" s="211"/>
      <c r="YR52" s="211"/>
      <c r="YS52" s="211"/>
      <c r="YT52" s="211"/>
      <c r="YU52" s="211"/>
      <c r="YV52" s="211"/>
      <c r="YW52" s="211"/>
      <c r="YX52" s="211"/>
      <c r="YY52" s="211"/>
      <c r="YZ52" s="211"/>
      <c r="ZA52" s="211"/>
      <c r="ZB52" s="211"/>
      <c r="ZC52" s="211"/>
      <c r="ZD52" s="211"/>
      <c r="ZE52" s="211"/>
      <c r="ZF52" s="211"/>
      <c r="ZG52" s="211"/>
      <c r="ZH52" s="211"/>
      <c r="ZI52" s="211"/>
      <c r="ZJ52" s="211"/>
      <c r="ZK52" s="211"/>
      <c r="ZL52" s="211"/>
      <c r="ZM52" s="211"/>
      <c r="ZN52" s="211"/>
      <c r="ZO52" s="211"/>
      <c r="ZP52" s="211"/>
      <c r="ZQ52" s="211"/>
      <c r="ZR52" s="211"/>
      <c r="ZS52" s="211"/>
      <c r="ZT52" s="211"/>
      <c r="ZU52" s="211"/>
      <c r="ZV52" s="211"/>
      <c r="ZW52" s="211"/>
      <c r="ZX52" s="211"/>
      <c r="ZY52" s="211"/>
      <c r="ZZ52" s="211"/>
      <c r="AAA52" s="211"/>
      <c r="AAB52" s="211"/>
      <c r="AAC52" s="211"/>
      <c r="AAD52" s="211"/>
      <c r="AAE52" s="211"/>
      <c r="AAF52" s="211"/>
      <c r="AAG52" s="211"/>
      <c r="AAH52" s="211"/>
      <c r="AAI52" s="211"/>
      <c r="AAJ52" s="211"/>
      <c r="AAK52" s="211"/>
      <c r="AAL52" s="211"/>
      <c r="AAM52" s="211"/>
      <c r="AAN52" s="211"/>
      <c r="AAO52" s="211"/>
      <c r="AAP52" s="211"/>
      <c r="AAQ52" s="211"/>
      <c r="AAR52" s="211"/>
      <c r="AAS52" s="211"/>
      <c r="AAT52" s="211"/>
      <c r="AAU52" s="211"/>
      <c r="AAV52" s="211"/>
      <c r="AAW52" s="211"/>
      <c r="AAX52" s="211"/>
      <c r="AAY52" s="211"/>
      <c r="AAZ52" s="211"/>
      <c r="ABA52" s="211"/>
      <c r="ABB52" s="211"/>
      <c r="ABC52" s="211"/>
      <c r="ABD52" s="211"/>
      <c r="ABE52" s="211"/>
      <c r="ABF52" s="211"/>
      <c r="ABG52" s="211"/>
      <c r="ABH52" s="211"/>
      <c r="ABI52" s="211"/>
      <c r="ABJ52" s="211"/>
      <c r="ABK52" s="211"/>
      <c r="ABL52" s="211"/>
      <c r="ABM52" s="211"/>
      <c r="ABN52" s="211"/>
      <c r="ABO52" s="211"/>
      <c r="ABP52" s="211"/>
      <c r="ABQ52" s="211"/>
      <c r="ABR52" s="211"/>
      <c r="ABS52" s="211"/>
      <c r="ABT52" s="211"/>
      <c r="ABU52" s="211"/>
      <c r="ABV52" s="211"/>
      <c r="ABW52" s="211"/>
      <c r="ABX52" s="211"/>
      <c r="ABY52" s="211"/>
      <c r="ABZ52" s="211"/>
      <c r="ACA52" s="211"/>
      <c r="ACB52" s="211"/>
      <c r="ACC52" s="211"/>
      <c r="ACD52" s="211"/>
      <c r="ACE52" s="211"/>
      <c r="ACF52" s="211"/>
      <c r="ACG52" s="211"/>
      <c r="ACH52" s="211"/>
      <c r="ACI52" s="211"/>
      <c r="ACJ52" s="211"/>
      <c r="ACK52" s="211"/>
      <c r="ACL52" s="211"/>
      <c r="ACM52" s="211"/>
      <c r="ACN52" s="211"/>
      <c r="ACO52" s="211"/>
      <c r="ACP52" s="211"/>
      <c r="ACQ52" s="211"/>
      <c r="ACR52" s="211"/>
      <c r="ACS52" s="211"/>
      <c r="ACT52" s="211"/>
      <c r="ACU52" s="211"/>
      <c r="ACV52" s="211"/>
      <c r="ACW52" s="211"/>
      <c r="ACX52" s="211"/>
      <c r="ACY52" s="211"/>
      <c r="ACZ52" s="211"/>
      <c r="ADA52" s="211"/>
      <c r="ADB52" s="211"/>
      <c r="ADC52" s="211"/>
      <c r="ADD52" s="211"/>
      <c r="ADE52" s="211"/>
      <c r="ADF52" s="211"/>
      <c r="ADG52" s="211"/>
      <c r="ADH52" s="211"/>
      <c r="ADI52" s="211"/>
      <c r="ADJ52" s="211"/>
      <c r="ADK52" s="211"/>
      <c r="ADL52" s="211"/>
      <c r="ADM52" s="211"/>
      <c r="ADN52" s="211"/>
      <c r="ADO52" s="211"/>
      <c r="ADP52" s="211"/>
      <c r="ADQ52" s="211"/>
      <c r="ADR52" s="211"/>
      <c r="ADS52" s="211"/>
      <c r="ADT52" s="211"/>
      <c r="ADU52" s="211"/>
      <c r="ADV52" s="211"/>
      <c r="ADW52" s="211"/>
      <c r="ADX52" s="211"/>
      <c r="ADY52" s="211"/>
      <c r="ADZ52" s="211"/>
      <c r="AEA52" s="211"/>
      <c r="AEB52" s="211"/>
      <c r="AEC52" s="211"/>
      <c r="AED52" s="211"/>
      <c r="AEE52" s="211"/>
      <c r="AEF52" s="211"/>
      <c r="AEG52" s="211"/>
      <c r="AEH52" s="211"/>
      <c r="AEI52" s="211"/>
      <c r="AEJ52" s="211"/>
      <c r="AEK52" s="211"/>
      <c r="AEL52" s="211"/>
      <c r="AEM52" s="211"/>
      <c r="AEN52" s="211"/>
      <c r="AEO52" s="211"/>
      <c r="AEP52" s="211"/>
      <c r="AEQ52" s="211"/>
      <c r="AER52" s="211"/>
      <c r="AES52" s="211"/>
      <c r="AET52" s="211"/>
      <c r="AEU52" s="211"/>
      <c r="AEV52" s="211"/>
      <c r="AEW52" s="211"/>
      <c r="AEX52" s="211"/>
      <c r="AEY52" s="211"/>
      <c r="AEZ52" s="211"/>
      <c r="AFA52" s="211"/>
      <c r="AFB52" s="211"/>
      <c r="AFC52" s="211"/>
      <c r="AFD52" s="211"/>
      <c r="AFE52" s="211"/>
      <c r="AFF52" s="211"/>
      <c r="AFG52" s="211"/>
      <c r="AFH52" s="211"/>
      <c r="AFI52" s="211"/>
      <c r="AFJ52" s="211"/>
      <c r="AFK52" s="211"/>
      <c r="AFL52" s="211"/>
      <c r="AFM52" s="211"/>
      <c r="AFN52" s="211"/>
      <c r="AFO52" s="211"/>
      <c r="AFP52" s="211"/>
      <c r="AFQ52" s="211"/>
      <c r="AFR52" s="211"/>
      <c r="AFS52" s="211"/>
      <c r="AFT52" s="211"/>
      <c r="AFU52" s="211"/>
      <c r="AFV52" s="211"/>
      <c r="AFW52" s="211"/>
      <c r="AFX52" s="211"/>
      <c r="AFY52" s="211"/>
      <c r="AFZ52" s="211"/>
      <c r="AGA52" s="211"/>
      <c r="AGB52" s="211"/>
      <c r="AGC52" s="211"/>
      <c r="AGD52" s="211"/>
      <c r="AGE52" s="211"/>
      <c r="AGF52" s="211"/>
      <c r="AGG52" s="211"/>
      <c r="AGH52" s="211"/>
      <c r="AGI52" s="211"/>
      <c r="AGJ52" s="211"/>
      <c r="AGK52" s="211"/>
      <c r="AGL52" s="211"/>
      <c r="AGM52" s="211"/>
      <c r="AGN52" s="211"/>
      <c r="AGO52" s="211"/>
      <c r="AGP52" s="211"/>
      <c r="AGQ52" s="211"/>
      <c r="AGR52" s="211"/>
      <c r="AGS52" s="211"/>
      <c r="AGT52" s="211"/>
      <c r="AGU52" s="211"/>
      <c r="AGV52" s="211"/>
      <c r="AGW52" s="211"/>
      <c r="AGX52" s="211"/>
      <c r="AGY52" s="211"/>
      <c r="AGZ52" s="211"/>
      <c r="AHA52" s="211"/>
      <c r="AHB52" s="211"/>
      <c r="AHC52" s="211"/>
      <c r="AHD52" s="211"/>
      <c r="AHE52" s="211"/>
      <c r="AHF52" s="211"/>
      <c r="AHG52" s="211"/>
      <c r="AHH52" s="211"/>
      <c r="AHI52" s="211"/>
      <c r="AHJ52" s="211"/>
      <c r="AHK52" s="211"/>
      <c r="AHL52" s="211"/>
      <c r="AHM52" s="211"/>
      <c r="AHN52" s="211"/>
      <c r="AHO52" s="211"/>
      <c r="AHP52" s="211"/>
      <c r="AHQ52" s="211"/>
      <c r="AHR52" s="211"/>
      <c r="AHS52" s="211"/>
      <c r="AHT52" s="211"/>
      <c r="AHU52" s="211"/>
      <c r="AHV52" s="211"/>
      <c r="AHW52" s="211"/>
      <c r="AHX52" s="211"/>
      <c r="AHY52" s="211"/>
      <c r="AHZ52" s="211"/>
      <c r="AIA52" s="211"/>
      <c r="AIB52" s="211"/>
      <c r="AIC52" s="211"/>
      <c r="AID52" s="211"/>
      <c r="AIE52" s="211"/>
      <c r="AIF52" s="211"/>
      <c r="AIG52" s="211"/>
      <c r="AIH52" s="211"/>
      <c r="AII52" s="211"/>
      <c r="AIJ52" s="211"/>
      <c r="AIK52" s="211"/>
      <c r="AIL52" s="211"/>
      <c r="AIM52" s="211"/>
      <c r="AIN52" s="211"/>
      <c r="AIO52" s="211"/>
      <c r="AIP52" s="211"/>
      <c r="AIQ52" s="211"/>
      <c r="AIR52" s="211"/>
      <c r="AIS52" s="211"/>
      <c r="AIT52" s="211"/>
      <c r="AIU52" s="211"/>
      <c r="AIV52" s="211"/>
      <c r="AIW52" s="211"/>
      <c r="AIX52" s="211"/>
      <c r="AIY52" s="211"/>
      <c r="AIZ52" s="211"/>
      <c r="AJA52" s="211"/>
      <c r="AJB52" s="211"/>
      <c r="AJC52" s="211"/>
      <c r="AJD52" s="211"/>
      <c r="AJE52" s="211"/>
      <c r="AJF52" s="211"/>
      <c r="AJG52" s="211"/>
      <c r="AJH52" s="211"/>
      <c r="AJI52" s="211"/>
      <c r="AJJ52" s="211"/>
      <c r="AJK52" s="211"/>
      <c r="AJL52" s="211"/>
      <c r="AJM52" s="211"/>
      <c r="AJN52" s="211"/>
      <c r="AJO52" s="211"/>
      <c r="AJP52" s="211"/>
      <c r="AJQ52" s="211"/>
      <c r="AJR52" s="211"/>
      <c r="AJS52" s="211"/>
      <c r="AJT52" s="211"/>
      <c r="AJU52" s="211"/>
      <c r="AJV52" s="211"/>
      <c r="AJW52" s="211"/>
      <c r="AJX52" s="211"/>
      <c r="AJY52" s="211"/>
      <c r="AJZ52" s="211"/>
      <c r="AKA52" s="211"/>
      <c r="AKB52" s="211"/>
      <c r="AKC52" s="211"/>
      <c r="AKD52" s="211"/>
      <c r="AKE52" s="211"/>
      <c r="AKF52" s="211"/>
      <c r="AKG52" s="211"/>
      <c r="AKH52" s="211"/>
      <c r="AKI52" s="211"/>
      <c r="AKJ52" s="211"/>
      <c r="AKK52" s="211"/>
      <c r="AKL52" s="211"/>
      <c r="AKM52" s="211"/>
      <c r="AKN52" s="211"/>
      <c r="AKO52" s="211"/>
      <c r="AKP52" s="211"/>
      <c r="AKQ52" s="211"/>
      <c r="AKR52" s="211"/>
      <c r="AKS52" s="211"/>
      <c r="AKT52" s="211"/>
      <c r="AKU52" s="211"/>
      <c r="AKV52" s="211"/>
      <c r="AKW52" s="211"/>
      <c r="AKX52" s="211"/>
      <c r="AKY52" s="211"/>
      <c r="AKZ52" s="211"/>
      <c r="ALA52" s="211"/>
      <c r="ALB52" s="211"/>
      <c r="ALC52" s="211"/>
      <c r="ALD52" s="211"/>
      <c r="ALE52" s="211"/>
      <c r="ALF52" s="211"/>
      <c r="ALG52" s="211"/>
      <c r="ALH52" s="211"/>
      <c r="ALI52" s="211"/>
      <c r="ALJ52" s="211"/>
      <c r="ALK52" s="211"/>
      <c r="ALL52" s="211"/>
      <c r="ALM52" s="211"/>
      <c r="ALN52" s="211"/>
      <c r="ALO52" s="211"/>
      <c r="ALP52" s="211"/>
      <c r="ALQ52" s="211"/>
      <c r="ALR52" s="211"/>
      <c r="ALS52" s="211"/>
      <c r="ALT52" s="211"/>
      <c r="ALU52" s="211"/>
      <c r="ALV52" s="211"/>
      <c r="ALW52" s="211"/>
      <c r="ALX52" s="211"/>
      <c r="ALY52" s="211"/>
      <c r="ALZ52" s="211"/>
      <c r="AMA52" s="211"/>
      <c r="AMB52" s="211"/>
      <c r="AMC52" s="211"/>
      <c r="AMD52" s="211"/>
      <c r="AME52" s="211"/>
      <c r="AMF52" s="211"/>
      <c r="AMG52" s="211"/>
      <c r="AMH52" s="211"/>
      <c r="AMI52" s="211"/>
      <c r="AMJ52" s="211"/>
      <c r="AMK52" s="211"/>
      <c r="AML52" s="211"/>
      <c r="AMM52" s="211"/>
      <c r="AMN52" s="211"/>
      <c r="AMO52" s="211"/>
      <c r="AMP52" s="211"/>
      <c r="AMQ52" s="211"/>
      <c r="AMR52" s="211"/>
      <c r="AMS52" s="211"/>
      <c r="AMT52" s="211"/>
      <c r="AMU52" s="211"/>
      <c r="AMV52" s="211"/>
      <c r="AMW52" s="211"/>
      <c r="AMX52" s="211"/>
      <c r="AMY52" s="211"/>
      <c r="AMZ52" s="211"/>
      <c r="ANA52" s="211"/>
      <c r="ANB52" s="211"/>
      <c r="ANC52" s="211"/>
      <c r="AND52" s="211"/>
      <c r="ANE52" s="211"/>
      <c r="ANF52" s="211"/>
      <c r="ANG52" s="211"/>
      <c r="ANH52" s="211"/>
      <c r="ANI52" s="211"/>
      <c r="ANJ52" s="211"/>
      <c r="ANK52" s="211"/>
      <c r="ANL52" s="211"/>
      <c r="ANM52" s="211"/>
      <c r="ANN52" s="211"/>
      <c r="ANO52" s="211"/>
      <c r="ANP52" s="211"/>
      <c r="ANQ52" s="211"/>
      <c r="ANR52" s="211"/>
      <c r="ANS52" s="211"/>
      <c r="ANT52" s="211"/>
      <c r="ANU52" s="211"/>
      <c r="ANV52" s="211"/>
      <c r="ANW52" s="211"/>
      <c r="ANX52" s="211"/>
      <c r="ANY52" s="211"/>
      <c r="ANZ52" s="211"/>
      <c r="AOA52" s="211"/>
      <c r="AOB52" s="211"/>
      <c r="AOC52" s="211"/>
      <c r="AOD52" s="211"/>
      <c r="AOE52" s="211"/>
      <c r="AOF52" s="211"/>
      <c r="AOG52" s="211"/>
      <c r="AOH52" s="211"/>
      <c r="AOI52" s="211"/>
      <c r="AOJ52" s="211"/>
      <c r="AOK52" s="211"/>
      <c r="AOL52" s="211"/>
      <c r="AOM52" s="211"/>
      <c r="AON52" s="211"/>
      <c r="AOO52" s="211"/>
      <c r="AOP52" s="211"/>
      <c r="AOQ52" s="211"/>
      <c r="AOR52" s="211"/>
      <c r="AOS52" s="211"/>
      <c r="AOT52" s="211"/>
      <c r="AOU52" s="211"/>
      <c r="AOV52" s="211"/>
      <c r="AOW52" s="211"/>
      <c r="AOX52" s="211"/>
      <c r="AOY52" s="211"/>
      <c r="AOZ52" s="211"/>
      <c r="APA52" s="211"/>
      <c r="APB52" s="211"/>
      <c r="APC52" s="211"/>
      <c r="APD52" s="211"/>
      <c r="APE52" s="211"/>
      <c r="APF52" s="211"/>
      <c r="APG52" s="211"/>
      <c r="APH52" s="211"/>
      <c r="API52" s="211"/>
      <c r="APJ52" s="211"/>
      <c r="APK52" s="211"/>
      <c r="APL52" s="211"/>
      <c r="APM52" s="211"/>
      <c r="APN52" s="211"/>
      <c r="APO52" s="211"/>
      <c r="APP52" s="211"/>
      <c r="APQ52" s="211"/>
      <c r="APR52" s="211"/>
      <c r="APS52" s="211"/>
      <c r="APT52" s="211"/>
      <c r="APU52" s="211"/>
      <c r="APV52" s="211"/>
      <c r="APW52" s="211"/>
      <c r="APX52" s="211"/>
      <c r="APY52" s="211"/>
      <c r="APZ52" s="211"/>
      <c r="AQA52" s="211"/>
      <c r="AQB52" s="211"/>
      <c r="AQC52" s="211"/>
      <c r="AQD52" s="211"/>
      <c r="AQE52" s="211"/>
      <c r="AQF52" s="211"/>
      <c r="AQG52" s="211"/>
      <c r="AQH52" s="211"/>
      <c r="AQI52" s="211"/>
      <c r="AQJ52" s="211"/>
      <c r="AQK52" s="211"/>
      <c r="AQL52" s="211"/>
      <c r="AQM52" s="211"/>
      <c r="AQN52" s="211"/>
      <c r="AQO52" s="211"/>
      <c r="AQP52" s="211"/>
      <c r="AQQ52" s="211"/>
      <c r="AQR52" s="211"/>
      <c r="AQS52" s="211"/>
      <c r="AQT52" s="211"/>
      <c r="AQU52" s="211"/>
      <c r="AQV52" s="211"/>
      <c r="AQW52" s="211"/>
      <c r="AQX52" s="211"/>
      <c r="AQY52" s="211"/>
      <c r="AQZ52" s="211"/>
      <c r="ARA52" s="211"/>
      <c r="ARB52" s="211"/>
      <c r="ARC52" s="211"/>
      <c r="ARD52" s="211"/>
      <c r="ARE52" s="211"/>
      <c r="ARF52" s="211"/>
      <c r="ARG52" s="211"/>
      <c r="ARH52" s="211"/>
      <c r="ARI52" s="211"/>
      <c r="ARJ52" s="211"/>
      <c r="ARK52" s="211"/>
      <c r="ARL52" s="211"/>
      <c r="ARM52" s="211"/>
      <c r="ARN52" s="211"/>
      <c r="ARO52" s="211"/>
      <c r="ARP52" s="211"/>
      <c r="ARQ52" s="211"/>
      <c r="ARR52" s="211"/>
      <c r="ARS52" s="211"/>
      <c r="ART52" s="211"/>
      <c r="ARU52" s="211"/>
      <c r="ARV52" s="211"/>
      <c r="ARW52" s="211"/>
      <c r="ARX52" s="211"/>
      <c r="ARY52" s="211"/>
      <c r="ARZ52" s="211"/>
      <c r="ASA52" s="211"/>
      <c r="ASB52" s="211"/>
      <c r="ASC52" s="211"/>
      <c r="ASD52" s="211"/>
      <c r="ASE52" s="211"/>
      <c r="ASF52" s="211"/>
      <c r="ASG52" s="211"/>
      <c r="ASH52" s="211"/>
      <c r="ASI52" s="211"/>
      <c r="ASJ52" s="211"/>
      <c r="ASK52" s="211"/>
      <c r="ASL52" s="211"/>
      <c r="ASM52" s="211"/>
      <c r="ASN52" s="211"/>
      <c r="ASO52" s="211"/>
      <c r="ASP52" s="211"/>
      <c r="ASQ52" s="211"/>
      <c r="ASR52" s="211"/>
      <c r="ASS52" s="211"/>
      <c r="AST52" s="211"/>
      <c r="ASU52" s="211"/>
      <c r="ASV52" s="211"/>
      <c r="ASW52" s="211"/>
      <c r="ASX52" s="211"/>
      <c r="ASY52" s="211"/>
      <c r="ASZ52" s="211"/>
      <c r="ATA52" s="211"/>
      <c r="ATB52" s="211"/>
      <c r="ATC52" s="211"/>
      <c r="ATD52" s="211"/>
      <c r="ATE52" s="211"/>
      <c r="ATF52" s="211"/>
      <c r="ATG52" s="211"/>
      <c r="ATH52" s="211"/>
      <c r="ATI52" s="211"/>
      <c r="ATJ52" s="211"/>
      <c r="ATK52" s="211"/>
      <c r="ATL52" s="211"/>
      <c r="ATM52" s="211"/>
      <c r="ATN52" s="211"/>
      <c r="ATO52" s="211"/>
      <c r="ATP52" s="211"/>
      <c r="ATQ52" s="211"/>
      <c r="ATR52" s="211"/>
      <c r="ATS52" s="211"/>
      <c r="ATT52" s="211"/>
      <c r="ATU52" s="211"/>
      <c r="ATV52" s="211"/>
      <c r="ATW52" s="211"/>
      <c r="ATX52" s="211"/>
      <c r="ATY52" s="211"/>
      <c r="ATZ52" s="211"/>
      <c r="AUA52" s="211"/>
      <c r="AUB52" s="211"/>
      <c r="AUC52" s="211"/>
      <c r="AUD52" s="211"/>
      <c r="AUE52" s="211"/>
      <c r="AUF52" s="211"/>
      <c r="AUG52" s="211"/>
      <c r="AUH52" s="211"/>
      <c r="AUI52" s="211"/>
      <c r="AUJ52" s="211"/>
      <c r="AUK52" s="211"/>
      <c r="AUL52" s="211"/>
      <c r="AUM52" s="211"/>
      <c r="AUN52" s="211"/>
      <c r="AUO52" s="211"/>
      <c r="AUP52" s="211"/>
      <c r="AUQ52" s="211"/>
      <c r="AUR52" s="211"/>
      <c r="AUS52" s="211"/>
      <c r="AUT52" s="211"/>
      <c r="AUU52" s="211"/>
      <c r="AUV52" s="211"/>
      <c r="AUW52" s="211"/>
      <c r="AUX52" s="211"/>
      <c r="AUY52" s="211"/>
      <c r="AUZ52" s="211"/>
      <c r="AVA52" s="211"/>
      <c r="AVB52" s="211"/>
      <c r="AVC52" s="211"/>
      <c r="AVD52" s="211"/>
      <c r="AVE52" s="211"/>
      <c r="AVF52" s="211"/>
      <c r="AVG52" s="211"/>
      <c r="AVH52" s="211"/>
      <c r="AVI52" s="211"/>
      <c r="AVJ52" s="211"/>
      <c r="AVK52" s="211"/>
      <c r="AVL52" s="211"/>
      <c r="AVM52" s="211"/>
      <c r="AVN52" s="211"/>
      <c r="AVO52" s="211"/>
      <c r="AVP52" s="211"/>
      <c r="AVQ52" s="211"/>
      <c r="AVR52" s="211"/>
      <c r="AVS52" s="211"/>
      <c r="AVT52" s="211"/>
      <c r="AVU52" s="211"/>
      <c r="AVV52" s="211"/>
      <c r="AVW52" s="211"/>
      <c r="AVX52" s="211"/>
      <c r="AVY52" s="211"/>
      <c r="AVZ52" s="211"/>
      <c r="AWA52" s="211"/>
      <c r="AWB52" s="211"/>
      <c r="AWC52" s="211"/>
      <c r="AWD52" s="211"/>
      <c r="AWE52" s="211"/>
      <c r="AWF52" s="211"/>
      <c r="AWG52" s="211"/>
      <c r="AWH52" s="211"/>
      <c r="AWI52" s="211"/>
      <c r="AWJ52" s="211"/>
      <c r="AWK52" s="211"/>
      <c r="AWL52" s="211"/>
      <c r="AWM52" s="211"/>
      <c r="AWN52" s="211"/>
      <c r="AWO52" s="211"/>
      <c r="AWP52" s="211"/>
      <c r="AWQ52" s="211"/>
      <c r="AWR52" s="211"/>
      <c r="AWS52" s="211"/>
      <c r="AWT52" s="211"/>
      <c r="AWU52" s="211"/>
      <c r="AWV52" s="211"/>
      <c r="AWW52" s="211"/>
      <c r="AWX52" s="211"/>
      <c r="AWY52" s="211"/>
      <c r="AWZ52" s="211"/>
      <c r="AXA52" s="211"/>
      <c r="AXB52" s="211"/>
      <c r="AXC52" s="211"/>
      <c r="AXD52" s="211"/>
      <c r="AXE52" s="211"/>
      <c r="AXF52" s="211"/>
      <c r="AXG52" s="211"/>
      <c r="AXH52" s="211"/>
      <c r="AXI52" s="211"/>
      <c r="AXJ52" s="211"/>
      <c r="AXK52" s="211"/>
      <c r="AXL52" s="211"/>
      <c r="AXM52" s="211"/>
      <c r="AXN52" s="211"/>
      <c r="AXO52" s="211"/>
      <c r="AXP52" s="211"/>
      <c r="AXQ52" s="211"/>
      <c r="AXR52" s="211"/>
      <c r="AXS52" s="211"/>
      <c r="AXT52" s="211"/>
      <c r="AXU52" s="211"/>
      <c r="AXV52" s="211"/>
      <c r="AXW52" s="211"/>
      <c r="AXX52" s="211"/>
      <c r="AXY52" s="211"/>
      <c r="AXZ52" s="211"/>
      <c r="AYA52" s="211"/>
      <c r="AYB52" s="211"/>
      <c r="AYC52" s="211"/>
      <c r="AYD52" s="211"/>
      <c r="AYE52" s="211"/>
      <c r="AYF52" s="211"/>
      <c r="AYG52" s="211"/>
      <c r="AYH52" s="211"/>
      <c r="AYI52" s="211"/>
      <c r="AYJ52" s="211"/>
      <c r="AYK52" s="211"/>
      <c r="AYL52" s="211"/>
      <c r="AYM52" s="211"/>
      <c r="AYN52" s="211"/>
      <c r="AYO52" s="211"/>
      <c r="AYP52" s="211"/>
      <c r="AYQ52" s="211"/>
      <c r="AYR52" s="211"/>
      <c r="AYS52" s="211"/>
      <c r="AYT52" s="211"/>
      <c r="AYU52" s="211"/>
      <c r="AYV52" s="211"/>
      <c r="AYW52" s="211"/>
      <c r="AYX52" s="211"/>
      <c r="AYY52" s="211"/>
      <c r="AYZ52" s="211"/>
      <c r="AZA52" s="211"/>
      <c r="AZB52" s="211"/>
      <c r="AZC52" s="211"/>
      <c r="AZD52" s="211"/>
      <c r="AZE52" s="211"/>
      <c r="AZF52" s="211"/>
      <c r="AZG52" s="211"/>
      <c r="AZH52" s="211"/>
      <c r="AZI52" s="211"/>
      <c r="AZJ52" s="211"/>
      <c r="AZK52" s="211"/>
      <c r="AZL52" s="211"/>
      <c r="AZM52" s="211"/>
      <c r="AZN52" s="211"/>
      <c r="AZO52" s="211"/>
      <c r="AZP52" s="211"/>
      <c r="AZQ52" s="211"/>
      <c r="AZR52" s="211"/>
      <c r="AZS52" s="211"/>
      <c r="AZT52" s="211"/>
      <c r="AZU52" s="211"/>
      <c r="AZV52" s="211"/>
      <c r="AZW52" s="211"/>
      <c r="AZX52" s="211"/>
      <c r="AZY52" s="211"/>
      <c r="AZZ52" s="211"/>
      <c r="BAA52" s="211"/>
      <c r="BAB52" s="211"/>
      <c r="BAC52" s="211"/>
      <c r="BAD52" s="211"/>
      <c r="BAE52" s="211"/>
      <c r="BAF52" s="211"/>
      <c r="BAG52" s="211"/>
      <c r="BAH52" s="211"/>
      <c r="BAI52" s="211"/>
      <c r="BAJ52" s="211"/>
      <c r="BAK52" s="211"/>
      <c r="BAL52" s="211"/>
      <c r="BAM52" s="211"/>
      <c r="BAN52" s="211"/>
      <c r="BAO52" s="211"/>
      <c r="BAP52" s="211"/>
      <c r="BAQ52" s="211"/>
      <c r="BAR52" s="211"/>
      <c r="BAS52" s="211"/>
      <c r="BAT52" s="211"/>
      <c r="BAU52" s="211"/>
      <c r="BAV52" s="211"/>
      <c r="BAW52" s="211"/>
      <c r="BAX52" s="211"/>
      <c r="BAY52" s="211"/>
      <c r="BAZ52" s="211"/>
      <c r="BBA52" s="211"/>
      <c r="BBB52" s="211"/>
      <c r="BBC52" s="211"/>
      <c r="BBD52" s="211"/>
      <c r="BBE52" s="211"/>
      <c r="BBF52" s="211"/>
      <c r="BBG52" s="211"/>
      <c r="BBH52" s="211"/>
      <c r="BBI52" s="211"/>
      <c r="BBJ52" s="211"/>
      <c r="BBK52" s="211"/>
      <c r="BBL52" s="211"/>
      <c r="BBM52" s="211"/>
      <c r="BBN52" s="211"/>
      <c r="BBO52" s="211"/>
      <c r="BBP52" s="211"/>
      <c r="BBQ52" s="211"/>
      <c r="BBR52" s="211"/>
      <c r="BBS52" s="211"/>
      <c r="BBT52" s="211"/>
      <c r="BBU52" s="211"/>
      <c r="BBV52" s="211"/>
      <c r="BBW52" s="211"/>
      <c r="BBX52" s="211"/>
      <c r="BBY52" s="211"/>
      <c r="BBZ52" s="211"/>
      <c r="BCA52" s="211"/>
      <c r="BCB52" s="211"/>
      <c r="BCC52" s="211"/>
      <c r="BCD52" s="211"/>
      <c r="BCE52" s="211"/>
      <c r="BCF52" s="211"/>
      <c r="BCG52" s="211"/>
      <c r="BCH52" s="211"/>
      <c r="BCI52" s="211"/>
      <c r="BCJ52" s="211"/>
      <c r="BCK52" s="211"/>
      <c r="BCL52" s="211"/>
      <c r="BCM52" s="211"/>
      <c r="BCN52" s="211"/>
      <c r="BCO52" s="211"/>
      <c r="BCP52" s="211"/>
      <c r="BCQ52" s="211"/>
      <c r="BCR52" s="211"/>
      <c r="BCS52" s="211"/>
      <c r="BCT52" s="211"/>
      <c r="BCU52" s="211"/>
      <c r="BCV52" s="211"/>
      <c r="BCW52" s="211"/>
      <c r="BCX52" s="211"/>
      <c r="BCY52" s="211"/>
      <c r="BCZ52" s="211"/>
      <c r="BDA52" s="211"/>
      <c r="BDB52" s="211"/>
      <c r="BDC52" s="211"/>
      <c r="BDD52" s="211"/>
      <c r="BDE52" s="211"/>
      <c r="BDF52" s="211"/>
      <c r="BDG52" s="211"/>
      <c r="BDH52" s="211"/>
      <c r="BDI52" s="211"/>
      <c r="BDJ52" s="211"/>
      <c r="BDK52" s="211"/>
      <c r="BDL52" s="211"/>
      <c r="BDM52" s="211"/>
      <c r="BDN52" s="211"/>
      <c r="BDO52" s="211"/>
      <c r="BDP52" s="211"/>
      <c r="BDQ52" s="211"/>
      <c r="BDR52" s="211"/>
      <c r="BDS52" s="211"/>
      <c r="BDT52" s="211"/>
      <c r="BDU52" s="211"/>
      <c r="BDV52" s="211"/>
      <c r="BDW52" s="211"/>
      <c r="BDX52" s="211"/>
      <c r="BDY52" s="211"/>
      <c r="BDZ52" s="211"/>
      <c r="BEA52" s="211"/>
      <c r="BEB52" s="211"/>
      <c r="BEC52" s="211"/>
      <c r="BED52" s="211"/>
      <c r="BEE52" s="211"/>
      <c r="BEF52" s="211"/>
      <c r="BEG52" s="211"/>
      <c r="BEH52" s="211"/>
      <c r="BEI52" s="211"/>
      <c r="BEJ52" s="211"/>
      <c r="BEK52" s="211"/>
      <c r="BEL52" s="211"/>
      <c r="BEM52" s="211"/>
      <c r="BEN52" s="211"/>
      <c r="BEO52" s="211"/>
      <c r="BEP52" s="211"/>
      <c r="BEQ52" s="211"/>
      <c r="BER52" s="211"/>
      <c r="BES52" s="211"/>
      <c r="BET52" s="211"/>
      <c r="BEU52" s="211"/>
      <c r="BEV52" s="211"/>
      <c r="BEW52" s="211"/>
      <c r="BEX52" s="211"/>
      <c r="BEY52" s="211"/>
      <c r="BEZ52" s="211"/>
      <c r="BFA52" s="211"/>
      <c r="BFB52" s="211"/>
      <c r="BFC52" s="211"/>
      <c r="BFD52" s="211"/>
      <c r="BFE52" s="211"/>
      <c r="BFF52" s="211"/>
      <c r="BFG52" s="211"/>
      <c r="BFH52" s="211"/>
      <c r="BFI52" s="211"/>
      <c r="BFJ52" s="211"/>
      <c r="BFK52" s="211"/>
      <c r="BFL52" s="211"/>
      <c r="BFM52" s="211"/>
      <c r="BFN52" s="211"/>
      <c r="BFO52" s="211"/>
      <c r="BFP52" s="211"/>
      <c r="BFQ52" s="211"/>
      <c r="BFR52" s="211"/>
      <c r="BFS52" s="211"/>
      <c r="BFT52" s="211"/>
      <c r="BFU52" s="211"/>
      <c r="BFV52" s="211"/>
      <c r="BFW52" s="211"/>
      <c r="BFX52" s="211"/>
      <c r="BFY52" s="211"/>
      <c r="BFZ52" s="211"/>
      <c r="BGA52" s="211"/>
      <c r="BGB52" s="211"/>
      <c r="BGC52" s="211"/>
      <c r="BGD52" s="211"/>
      <c r="BGE52" s="211"/>
      <c r="BGF52" s="211"/>
      <c r="BGG52" s="211"/>
      <c r="BGH52" s="211"/>
      <c r="BGI52" s="211"/>
      <c r="BGJ52" s="211"/>
      <c r="BGK52" s="211"/>
      <c r="BGL52" s="211"/>
      <c r="BGM52" s="211"/>
      <c r="BGN52" s="211"/>
      <c r="BGO52" s="211"/>
      <c r="BGP52" s="211"/>
      <c r="BGQ52" s="211"/>
      <c r="BGR52" s="211"/>
      <c r="BGS52" s="211"/>
      <c r="BGT52" s="211"/>
      <c r="BGU52" s="211"/>
      <c r="BGV52" s="211"/>
      <c r="BGW52" s="211"/>
      <c r="BGX52" s="211"/>
      <c r="BGY52" s="211"/>
      <c r="BGZ52" s="211"/>
      <c r="BHA52" s="211"/>
      <c r="BHB52" s="211"/>
      <c r="BHC52" s="211"/>
      <c r="BHD52" s="211"/>
      <c r="BHE52" s="211"/>
      <c r="BHF52" s="211"/>
      <c r="BHG52" s="211"/>
      <c r="BHH52" s="211"/>
      <c r="BHI52" s="211"/>
      <c r="BHJ52" s="211"/>
      <c r="BHK52" s="211"/>
      <c r="BHL52" s="211"/>
      <c r="BHM52" s="211"/>
      <c r="BHN52" s="211"/>
      <c r="BHO52" s="211"/>
      <c r="BHP52" s="211"/>
      <c r="BHQ52" s="211"/>
      <c r="BHR52" s="211"/>
      <c r="BHS52" s="211"/>
      <c r="BHT52" s="211"/>
      <c r="BHU52" s="211"/>
      <c r="BHV52" s="211"/>
      <c r="BHW52" s="211"/>
      <c r="BHX52" s="211"/>
      <c r="BHY52" s="211"/>
      <c r="BHZ52" s="211"/>
      <c r="BIA52" s="211"/>
      <c r="BIB52" s="211"/>
      <c r="BIC52" s="211"/>
      <c r="BID52" s="211"/>
      <c r="BIE52" s="211"/>
      <c r="BIF52" s="211"/>
      <c r="BIG52" s="211"/>
      <c r="BIH52" s="211"/>
      <c r="BII52" s="211"/>
      <c r="BIJ52" s="211"/>
      <c r="BIK52" s="211"/>
      <c r="BIL52" s="211"/>
      <c r="BIM52" s="211"/>
      <c r="BIN52" s="211"/>
      <c r="BIO52" s="211"/>
      <c r="BIP52" s="211"/>
      <c r="BIQ52" s="211"/>
      <c r="BIR52" s="211"/>
      <c r="BIS52" s="211"/>
      <c r="BIT52" s="211"/>
      <c r="BIU52" s="211"/>
      <c r="BIV52" s="211"/>
      <c r="BIW52" s="211"/>
      <c r="BIX52" s="211"/>
      <c r="BIY52" s="211"/>
      <c r="BIZ52" s="211"/>
      <c r="BJA52" s="211"/>
      <c r="BJB52" s="211"/>
      <c r="BJC52" s="211"/>
      <c r="BJD52" s="211"/>
      <c r="BJE52" s="211"/>
      <c r="BJF52" s="211"/>
      <c r="BJG52" s="211"/>
      <c r="BJH52" s="211"/>
      <c r="BJI52" s="211"/>
      <c r="BJJ52" s="211"/>
      <c r="BJK52" s="211"/>
      <c r="BJL52" s="211"/>
      <c r="BJM52" s="211"/>
      <c r="BJN52" s="211"/>
      <c r="BJO52" s="211"/>
      <c r="BJP52" s="211"/>
      <c r="BJQ52" s="211"/>
      <c r="BJR52" s="211"/>
      <c r="BJS52" s="211"/>
      <c r="BJT52" s="211"/>
      <c r="BJU52" s="211"/>
      <c r="BJV52" s="211"/>
      <c r="BJW52" s="211"/>
      <c r="BJX52" s="211"/>
      <c r="BJY52" s="211"/>
      <c r="BJZ52" s="211"/>
      <c r="BKA52" s="211"/>
      <c r="BKB52" s="211"/>
      <c r="BKC52" s="211"/>
      <c r="BKD52" s="211"/>
      <c r="BKE52" s="211"/>
      <c r="BKF52" s="211"/>
      <c r="BKG52" s="211"/>
      <c r="BKH52" s="211"/>
      <c r="BKI52" s="211"/>
      <c r="BKJ52" s="211"/>
      <c r="BKK52" s="211"/>
      <c r="BKL52" s="211"/>
      <c r="BKM52" s="211"/>
      <c r="BKN52" s="211"/>
      <c r="BKO52" s="211"/>
      <c r="BKP52" s="211"/>
      <c r="BKQ52" s="211"/>
      <c r="BKR52" s="211"/>
      <c r="BKS52" s="211"/>
      <c r="BKT52" s="211"/>
      <c r="BKU52" s="211"/>
      <c r="BKV52" s="211"/>
      <c r="BKW52" s="211"/>
      <c r="BKX52" s="211"/>
      <c r="BKY52" s="211"/>
      <c r="BKZ52" s="211"/>
      <c r="BLA52" s="211"/>
      <c r="BLB52" s="211"/>
      <c r="BLC52" s="211"/>
      <c r="BLD52" s="211"/>
      <c r="BLE52" s="211"/>
      <c r="BLF52" s="211"/>
      <c r="BLG52" s="211"/>
      <c r="BLH52" s="211"/>
      <c r="BLI52" s="211"/>
      <c r="BLJ52" s="211"/>
      <c r="BLK52" s="211"/>
      <c r="BLL52" s="211"/>
      <c r="BLM52" s="211"/>
      <c r="BLN52" s="211"/>
      <c r="BLO52" s="211"/>
      <c r="BLP52" s="211"/>
      <c r="BLQ52" s="211"/>
      <c r="BLR52" s="211"/>
      <c r="BLS52" s="211"/>
      <c r="BLT52" s="211"/>
      <c r="BLU52" s="211"/>
      <c r="BLV52" s="211"/>
      <c r="BLW52" s="211"/>
      <c r="BLX52" s="211"/>
      <c r="BLY52" s="211"/>
      <c r="BLZ52" s="211"/>
      <c r="BMA52" s="211"/>
      <c r="BMB52" s="211"/>
      <c r="BMC52" s="211"/>
      <c r="BMD52" s="211"/>
      <c r="BME52" s="211"/>
      <c r="BMF52" s="211"/>
      <c r="BMG52" s="211"/>
      <c r="BMH52" s="211"/>
      <c r="BMI52" s="211"/>
      <c r="BMJ52" s="211"/>
      <c r="BMK52" s="211"/>
      <c r="BML52" s="211"/>
      <c r="BMM52" s="211"/>
      <c r="BMN52" s="211"/>
      <c r="BMO52" s="211"/>
      <c r="BMP52" s="211"/>
      <c r="BMQ52" s="211"/>
      <c r="BMR52" s="211"/>
      <c r="BMS52" s="211"/>
      <c r="BMT52" s="211"/>
      <c r="BMU52" s="211"/>
      <c r="BMV52" s="211"/>
      <c r="BMW52" s="211"/>
      <c r="BMX52" s="211"/>
      <c r="BMY52" s="211"/>
      <c r="BMZ52" s="211"/>
      <c r="BNA52" s="211"/>
      <c r="BNB52" s="211"/>
      <c r="BNC52" s="211"/>
      <c r="BND52" s="211"/>
      <c r="BNE52" s="211"/>
      <c r="BNF52" s="211"/>
      <c r="BNG52" s="211"/>
      <c r="BNH52" s="211"/>
      <c r="BNI52" s="211"/>
      <c r="BNJ52" s="211"/>
      <c r="BNK52" s="211"/>
      <c r="BNL52" s="211"/>
      <c r="BNM52" s="211"/>
      <c r="BNN52" s="211"/>
      <c r="BNO52" s="211"/>
      <c r="BNP52" s="211"/>
      <c r="BNQ52" s="211"/>
      <c r="BNR52" s="211"/>
      <c r="BNS52" s="211"/>
      <c r="BNT52" s="211"/>
      <c r="BNU52" s="211"/>
      <c r="BNV52" s="211"/>
      <c r="BNW52" s="211"/>
      <c r="BNX52" s="211"/>
      <c r="BNY52" s="211"/>
      <c r="BNZ52" s="211"/>
      <c r="BOA52" s="211"/>
      <c r="BOB52" s="211"/>
      <c r="BOC52" s="211"/>
      <c r="BOD52" s="211"/>
      <c r="BOE52" s="211"/>
      <c r="BOF52" s="211"/>
      <c r="BOG52" s="211"/>
      <c r="BOH52" s="211"/>
      <c r="BOI52" s="211"/>
      <c r="BOJ52" s="211"/>
      <c r="BOK52" s="211"/>
      <c r="BOL52" s="211"/>
      <c r="BOM52" s="211"/>
      <c r="BON52" s="211"/>
      <c r="BOO52" s="211"/>
      <c r="BOP52" s="211"/>
      <c r="BOQ52" s="211"/>
      <c r="BOR52" s="211"/>
      <c r="BOS52" s="211"/>
      <c r="BOT52" s="211"/>
      <c r="BOU52" s="211"/>
      <c r="BOV52" s="211"/>
      <c r="BOW52" s="211"/>
      <c r="BOX52" s="211"/>
      <c r="BOY52" s="211"/>
      <c r="BOZ52" s="211"/>
      <c r="BPA52" s="211"/>
      <c r="BPB52" s="211"/>
      <c r="BPC52" s="211"/>
      <c r="BPD52" s="211"/>
      <c r="BPE52" s="211"/>
      <c r="BPF52" s="211"/>
      <c r="BPG52" s="211"/>
      <c r="BPH52" s="211"/>
      <c r="BPI52" s="211"/>
      <c r="BPJ52" s="211"/>
      <c r="BPK52" s="211"/>
      <c r="BPL52" s="211"/>
      <c r="BPM52" s="211"/>
      <c r="BPN52" s="211"/>
      <c r="BPO52" s="211"/>
      <c r="BPP52" s="211"/>
      <c r="BPQ52" s="211"/>
      <c r="BPR52" s="211"/>
      <c r="BPS52" s="211"/>
      <c r="BPT52" s="211"/>
      <c r="BPU52" s="211"/>
      <c r="BPV52" s="211"/>
      <c r="BPW52" s="211"/>
      <c r="BPX52" s="211"/>
      <c r="BPY52" s="211"/>
      <c r="BPZ52" s="211"/>
      <c r="BQA52" s="211"/>
      <c r="BQB52" s="211"/>
      <c r="BQC52" s="211"/>
      <c r="BQD52" s="211"/>
      <c r="BQE52" s="211"/>
      <c r="BQF52" s="211"/>
      <c r="BQG52" s="211"/>
      <c r="BQH52" s="211"/>
      <c r="BQI52" s="211"/>
      <c r="BQJ52" s="211"/>
      <c r="BQK52" s="211"/>
      <c r="BQL52" s="211"/>
      <c r="BQM52" s="211"/>
      <c r="BQN52" s="211"/>
      <c r="BQO52" s="211"/>
      <c r="BQP52" s="211"/>
      <c r="BQQ52" s="211"/>
      <c r="BQR52" s="211"/>
      <c r="BQS52" s="211"/>
      <c r="BQT52" s="211"/>
      <c r="BQU52" s="211"/>
      <c r="BQV52" s="211"/>
      <c r="BQW52" s="211"/>
      <c r="BQX52" s="211"/>
      <c r="BQY52" s="211"/>
      <c r="BQZ52" s="211"/>
      <c r="BRA52" s="211"/>
      <c r="BRB52" s="211"/>
      <c r="BRC52" s="211"/>
      <c r="BRD52" s="211"/>
      <c r="BRE52" s="211"/>
      <c r="BRF52" s="211"/>
      <c r="BRG52" s="211"/>
      <c r="BRH52" s="211"/>
      <c r="BRI52" s="211"/>
      <c r="BRJ52" s="211"/>
      <c r="BRK52" s="211"/>
      <c r="BRL52" s="211"/>
      <c r="BRM52" s="211"/>
      <c r="BRN52" s="211"/>
      <c r="BRO52" s="211"/>
      <c r="BRP52" s="211"/>
      <c r="BRQ52" s="211"/>
      <c r="BRR52" s="211"/>
      <c r="BRS52" s="211"/>
      <c r="BRT52" s="211"/>
      <c r="BRU52" s="211"/>
      <c r="BRV52" s="211"/>
      <c r="BRW52" s="211"/>
      <c r="BRX52" s="211"/>
      <c r="BRY52" s="211"/>
      <c r="BRZ52" s="211"/>
      <c r="BSA52" s="211"/>
      <c r="BSB52" s="211"/>
      <c r="BSC52" s="211"/>
      <c r="BSD52" s="211"/>
      <c r="BSE52" s="211"/>
      <c r="BSF52" s="211"/>
      <c r="BSG52" s="211"/>
      <c r="BSH52" s="211"/>
      <c r="BSI52" s="211"/>
      <c r="BSJ52" s="211"/>
      <c r="BSK52" s="211"/>
      <c r="BSL52" s="211"/>
      <c r="BSM52" s="211"/>
      <c r="BSN52" s="211"/>
      <c r="BSO52" s="211"/>
      <c r="BSP52" s="211"/>
      <c r="BSQ52" s="211"/>
      <c r="BSR52" s="211"/>
      <c r="BSS52" s="211"/>
      <c r="BST52" s="211"/>
      <c r="BSU52" s="211"/>
      <c r="BSV52" s="211"/>
      <c r="BSW52" s="211"/>
      <c r="BSX52" s="211"/>
      <c r="BSY52" s="211"/>
      <c r="BSZ52" s="211"/>
      <c r="BTA52" s="211"/>
      <c r="BTB52" s="211"/>
      <c r="BTC52" s="211"/>
      <c r="BTD52" s="211"/>
      <c r="BTE52" s="211"/>
      <c r="BTF52" s="211"/>
      <c r="BTG52" s="211"/>
      <c r="BTH52" s="211"/>
      <c r="BTI52" s="211"/>
      <c r="BTJ52" s="211"/>
      <c r="BTK52" s="211"/>
      <c r="BTL52" s="211"/>
      <c r="BTM52" s="211"/>
      <c r="BTN52" s="211"/>
      <c r="BTO52" s="211"/>
      <c r="BTP52" s="211"/>
      <c r="BTQ52" s="211"/>
      <c r="BTR52" s="211"/>
      <c r="BTS52" s="211"/>
      <c r="BTT52" s="211"/>
      <c r="BTU52" s="211"/>
      <c r="BTV52" s="211"/>
      <c r="BTW52" s="211"/>
      <c r="BTX52" s="211"/>
      <c r="BTY52" s="211"/>
      <c r="BTZ52" s="211"/>
      <c r="BUA52" s="211"/>
      <c r="BUB52" s="211"/>
      <c r="BUC52" s="211"/>
      <c r="BUD52" s="211"/>
      <c r="BUE52" s="211"/>
      <c r="BUF52" s="211"/>
      <c r="BUG52" s="211"/>
      <c r="BUH52" s="211"/>
      <c r="BUI52" s="211"/>
      <c r="BUJ52" s="211"/>
      <c r="BUK52" s="211"/>
      <c r="BUL52" s="211"/>
      <c r="BUM52" s="211"/>
      <c r="BUN52" s="211"/>
      <c r="BUO52" s="211"/>
      <c r="BUP52" s="211"/>
      <c r="BUQ52" s="211"/>
      <c r="BUR52" s="211"/>
      <c r="BUS52" s="211"/>
      <c r="BUT52" s="211"/>
      <c r="BUU52" s="211"/>
      <c r="BUV52" s="211"/>
      <c r="BUW52" s="211"/>
      <c r="BUX52" s="211"/>
      <c r="BUY52" s="211"/>
      <c r="BUZ52" s="211"/>
      <c r="BVA52" s="211"/>
      <c r="BVB52" s="211"/>
      <c r="BVC52" s="211"/>
      <c r="BVD52" s="211"/>
      <c r="BVE52" s="211"/>
      <c r="BVF52" s="211"/>
      <c r="BVG52" s="211"/>
      <c r="BVH52" s="211"/>
      <c r="BVI52" s="211"/>
      <c r="BVJ52" s="211"/>
      <c r="BVK52" s="211"/>
      <c r="BVL52" s="211"/>
      <c r="BVM52" s="211"/>
      <c r="BVN52" s="211"/>
      <c r="BVO52" s="211"/>
      <c r="BVP52" s="211"/>
      <c r="BVQ52" s="211"/>
      <c r="BVR52" s="211"/>
      <c r="BVS52" s="211"/>
      <c r="BVT52" s="211"/>
      <c r="BVU52" s="211"/>
      <c r="BVV52" s="211"/>
      <c r="BVW52" s="211"/>
      <c r="BVX52" s="211"/>
      <c r="BVY52" s="211"/>
      <c r="BVZ52" s="211"/>
      <c r="BWA52" s="211"/>
      <c r="BWB52" s="211"/>
      <c r="BWC52" s="211"/>
      <c r="BWD52" s="211"/>
      <c r="BWE52" s="211"/>
      <c r="BWF52" s="211"/>
      <c r="BWG52" s="211"/>
      <c r="BWH52" s="211"/>
      <c r="BWI52" s="211"/>
      <c r="BWJ52" s="211"/>
      <c r="BWK52" s="211"/>
      <c r="BWL52" s="211"/>
      <c r="BWM52" s="211"/>
      <c r="BWN52" s="211"/>
      <c r="BWO52" s="211"/>
      <c r="BWP52" s="211"/>
      <c r="BWQ52" s="211"/>
      <c r="BWR52" s="211"/>
      <c r="BWS52" s="211"/>
      <c r="BWT52" s="211"/>
      <c r="BWU52" s="211"/>
      <c r="BWV52" s="211"/>
      <c r="BWW52" s="211"/>
      <c r="BWX52" s="211"/>
      <c r="BWY52" s="211"/>
      <c r="BWZ52" s="211"/>
      <c r="BXA52" s="211"/>
      <c r="BXB52" s="211"/>
      <c r="BXC52" s="211"/>
      <c r="BXD52" s="211"/>
      <c r="BXE52" s="211"/>
      <c r="BXF52" s="211"/>
      <c r="BXG52" s="211"/>
      <c r="BXH52" s="211"/>
      <c r="BXI52" s="211"/>
      <c r="BXJ52" s="211"/>
      <c r="BXK52" s="211"/>
      <c r="BXL52" s="211"/>
      <c r="BXM52" s="211"/>
      <c r="BXN52" s="211"/>
      <c r="BXO52" s="211"/>
      <c r="BXP52" s="211"/>
      <c r="BXQ52" s="211"/>
      <c r="BXR52" s="211"/>
      <c r="BXS52" s="211"/>
      <c r="BXT52" s="211"/>
      <c r="BXU52" s="211"/>
      <c r="BXV52" s="211"/>
      <c r="BXW52" s="211"/>
      <c r="BXX52" s="211"/>
      <c r="BXY52" s="211"/>
      <c r="BXZ52" s="211"/>
      <c r="BYA52" s="211"/>
      <c r="BYB52" s="211"/>
      <c r="BYC52" s="211"/>
      <c r="BYD52" s="211"/>
      <c r="BYE52" s="211"/>
      <c r="BYF52" s="211"/>
      <c r="BYG52" s="211"/>
      <c r="BYH52" s="211"/>
      <c r="BYI52" s="211"/>
      <c r="BYJ52" s="211"/>
      <c r="BYK52" s="211"/>
      <c r="BYL52" s="211"/>
      <c r="BYM52" s="211"/>
      <c r="BYN52" s="211"/>
      <c r="BYO52" s="211"/>
      <c r="BYP52" s="211"/>
      <c r="BYQ52" s="211"/>
      <c r="BYR52" s="211"/>
      <c r="BYS52" s="211"/>
      <c r="BYT52" s="211"/>
      <c r="BYU52" s="211"/>
      <c r="BYV52" s="211"/>
      <c r="BYW52" s="211"/>
      <c r="BYX52" s="211"/>
      <c r="BYY52" s="211"/>
      <c r="BYZ52" s="211"/>
      <c r="BZA52" s="211"/>
      <c r="BZB52" s="211"/>
      <c r="BZC52" s="211"/>
      <c r="BZD52" s="211"/>
      <c r="BZE52" s="211"/>
      <c r="BZF52" s="211"/>
      <c r="BZG52" s="211"/>
      <c r="BZH52" s="211"/>
      <c r="BZI52" s="211"/>
      <c r="BZJ52" s="211"/>
      <c r="BZK52" s="211"/>
      <c r="BZL52" s="211"/>
      <c r="BZM52" s="211"/>
      <c r="BZN52" s="211"/>
      <c r="BZO52" s="211"/>
      <c r="BZP52" s="211"/>
      <c r="BZQ52" s="211"/>
      <c r="BZR52" s="211"/>
      <c r="BZS52" s="211"/>
      <c r="BZT52" s="211"/>
      <c r="BZU52" s="211"/>
      <c r="BZV52" s="211"/>
      <c r="BZW52" s="211"/>
      <c r="BZX52" s="211"/>
      <c r="BZY52" s="211"/>
      <c r="BZZ52" s="211"/>
      <c r="CAA52" s="211"/>
      <c r="CAB52" s="211"/>
      <c r="CAC52" s="211"/>
      <c r="CAD52" s="211"/>
      <c r="CAE52" s="211"/>
      <c r="CAF52" s="211"/>
      <c r="CAG52" s="211"/>
      <c r="CAH52" s="211"/>
      <c r="CAI52" s="211"/>
      <c r="CAJ52" s="211"/>
      <c r="CAK52" s="211"/>
      <c r="CAL52" s="211"/>
      <c r="CAM52" s="211"/>
      <c r="CAN52" s="211"/>
      <c r="CAO52" s="211"/>
      <c r="CAP52" s="211"/>
      <c r="CAQ52" s="211"/>
      <c r="CAR52" s="211"/>
      <c r="CAS52" s="211"/>
      <c r="CAT52" s="211"/>
      <c r="CAU52" s="211"/>
      <c r="CAV52" s="211"/>
      <c r="CAW52" s="211"/>
      <c r="CAX52" s="211"/>
      <c r="CAY52" s="211"/>
      <c r="CAZ52" s="211"/>
      <c r="CBA52" s="211"/>
      <c r="CBB52" s="211"/>
      <c r="CBC52" s="211"/>
      <c r="CBD52" s="211"/>
      <c r="CBE52" s="211"/>
      <c r="CBF52" s="211"/>
      <c r="CBG52" s="211"/>
      <c r="CBH52" s="211"/>
      <c r="CBI52" s="211"/>
      <c r="CBJ52" s="211"/>
      <c r="CBK52" s="211"/>
      <c r="CBL52" s="211"/>
      <c r="CBM52" s="211"/>
      <c r="CBN52" s="211"/>
      <c r="CBO52" s="211"/>
      <c r="CBP52" s="211"/>
      <c r="CBQ52" s="211"/>
      <c r="CBR52" s="211"/>
      <c r="CBS52" s="211"/>
      <c r="CBT52" s="211"/>
      <c r="CBU52" s="211"/>
      <c r="CBV52" s="211"/>
      <c r="CBW52" s="211"/>
      <c r="CBX52" s="211"/>
      <c r="CBY52" s="211"/>
      <c r="CBZ52" s="211"/>
      <c r="CCA52" s="211"/>
      <c r="CCB52" s="211"/>
      <c r="CCC52" s="211"/>
      <c r="CCD52" s="211"/>
      <c r="CCE52" s="211"/>
      <c r="CCF52" s="211"/>
      <c r="CCG52" s="211"/>
      <c r="CCH52" s="211"/>
      <c r="CCI52" s="211"/>
      <c r="CCJ52" s="211"/>
      <c r="CCK52" s="211"/>
      <c r="CCL52" s="211"/>
      <c r="CCM52" s="211"/>
      <c r="CCN52" s="211"/>
      <c r="CCO52" s="211"/>
      <c r="CCP52" s="211"/>
      <c r="CCQ52" s="211"/>
      <c r="CCR52" s="211"/>
      <c r="CCS52" s="211"/>
      <c r="CCT52" s="211"/>
      <c r="CCU52" s="211"/>
      <c r="CCV52" s="211"/>
      <c r="CCW52" s="211"/>
      <c r="CCX52" s="211"/>
      <c r="CCY52" s="211"/>
      <c r="CCZ52" s="211"/>
      <c r="CDA52" s="211"/>
      <c r="CDB52" s="211"/>
      <c r="CDC52" s="211"/>
      <c r="CDD52" s="211"/>
      <c r="CDE52" s="211"/>
      <c r="CDF52" s="211"/>
      <c r="CDG52" s="211"/>
      <c r="CDH52" s="211"/>
      <c r="CDI52" s="211"/>
      <c r="CDJ52" s="211"/>
      <c r="CDK52" s="211"/>
      <c r="CDL52" s="211"/>
      <c r="CDM52" s="211"/>
      <c r="CDN52" s="211"/>
      <c r="CDO52" s="211"/>
      <c r="CDP52" s="211"/>
      <c r="CDQ52" s="211"/>
      <c r="CDR52" s="211"/>
      <c r="CDS52" s="211"/>
      <c r="CDT52" s="211"/>
      <c r="CDU52" s="211"/>
      <c r="CDV52" s="211"/>
      <c r="CDW52" s="211"/>
      <c r="CDX52" s="211"/>
      <c r="CDY52" s="211"/>
      <c r="CDZ52" s="211"/>
      <c r="CEA52" s="211"/>
      <c r="CEB52" s="211"/>
      <c r="CEC52" s="211"/>
      <c r="CED52" s="211"/>
      <c r="CEE52" s="211"/>
      <c r="CEF52" s="211"/>
      <c r="CEG52" s="211"/>
      <c r="CEH52" s="211"/>
      <c r="CEI52" s="211"/>
      <c r="CEJ52" s="211"/>
      <c r="CEK52" s="211"/>
      <c r="CEL52" s="211"/>
      <c r="CEM52" s="211"/>
      <c r="CEN52" s="211"/>
      <c r="CEO52" s="211"/>
      <c r="CEP52" s="211"/>
      <c r="CEQ52" s="211"/>
      <c r="CER52" s="211"/>
      <c r="CES52" s="211"/>
      <c r="CET52" s="211"/>
      <c r="CEU52" s="211"/>
      <c r="CEV52" s="211"/>
      <c r="CEW52" s="211"/>
      <c r="CEX52" s="211"/>
      <c r="CEY52" s="211"/>
      <c r="CEZ52" s="211"/>
      <c r="CFA52" s="211"/>
      <c r="CFB52" s="211"/>
      <c r="CFC52" s="211"/>
      <c r="CFD52" s="211"/>
      <c r="CFE52" s="211"/>
      <c r="CFF52" s="211"/>
      <c r="CFG52" s="211"/>
      <c r="CFH52" s="211"/>
      <c r="CFI52" s="211"/>
      <c r="CFJ52" s="211"/>
      <c r="CFK52" s="211"/>
      <c r="CFL52" s="211"/>
      <c r="CFM52" s="211"/>
      <c r="CFN52" s="211"/>
      <c r="CFO52" s="211"/>
      <c r="CFP52" s="211"/>
      <c r="CFQ52" s="211"/>
      <c r="CFR52" s="211"/>
      <c r="CFS52" s="211"/>
      <c r="CFT52" s="211"/>
      <c r="CFU52" s="211"/>
      <c r="CFV52" s="211"/>
      <c r="CFW52" s="211"/>
      <c r="CFX52" s="211"/>
      <c r="CFY52" s="211"/>
      <c r="CFZ52" s="211"/>
      <c r="CGA52" s="211"/>
      <c r="CGB52" s="211"/>
      <c r="CGC52" s="211"/>
      <c r="CGD52" s="211"/>
      <c r="CGE52" s="211"/>
      <c r="CGF52" s="211"/>
      <c r="CGG52" s="211"/>
      <c r="CGH52" s="211"/>
      <c r="CGI52" s="211"/>
      <c r="CGJ52" s="211"/>
      <c r="CGK52" s="211"/>
      <c r="CGL52" s="211"/>
      <c r="CGM52" s="211"/>
      <c r="CGN52" s="211"/>
      <c r="CGO52" s="211"/>
      <c r="CGP52" s="211"/>
      <c r="CGQ52" s="211"/>
      <c r="CGR52" s="211"/>
      <c r="CGS52" s="211"/>
      <c r="CGT52" s="211"/>
      <c r="CGU52" s="211"/>
      <c r="CGV52" s="211"/>
      <c r="CGW52" s="211"/>
      <c r="CGX52" s="211"/>
      <c r="CGY52" s="211"/>
      <c r="CGZ52" s="211"/>
      <c r="CHA52" s="211"/>
      <c r="CHB52" s="211"/>
      <c r="CHC52" s="211"/>
      <c r="CHD52" s="211"/>
      <c r="CHE52" s="211"/>
      <c r="CHF52" s="211"/>
      <c r="CHG52" s="211"/>
      <c r="CHH52" s="211"/>
      <c r="CHI52" s="211"/>
      <c r="CHJ52" s="211"/>
      <c r="CHK52" s="211"/>
      <c r="CHL52" s="211"/>
      <c r="CHM52" s="211"/>
      <c r="CHN52" s="211"/>
      <c r="CHO52" s="211"/>
      <c r="CHP52" s="211"/>
      <c r="CHQ52" s="211"/>
      <c r="CHR52" s="211"/>
      <c r="CHS52" s="211"/>
      <c r="CHT52" s="211"/>
      <c r="CHU52" s="211"/>
      <c r="CHV52" s="211"/>
      <c r="CHW52" s="211"/>
      <c r="CHX52" s="211"/>
      <c r="CHY52" s="211"/>
      <c r="CHZ52" s="211"/>
      <c r="CIA52" s="211"/>
      <c r="CIB52" s="211"/>
      <c r="CIC52" s="211"/>
      <c r="CID52" s="211"/>
      <c r="CIE52" s="211"/>
      <c r="CIF52" s="211"/>
      <c r="CIG52" s="211"/>
      <c r="CIH52" s="211"/>
      <c r="CII52" s="211"/>
      <c r="CIJ52" s="211"/>
      <c r="CIK52" s="211"/>
      <c r="CIL52" s="211"/>
      <c r="CIM52" s="211"/>
      <c r="CIN52" s="211"/>
      <c r="CIO52" s="211"/>
      <c r="CIP52" s="211"/>
      <c r="CIQ52" s="211"/>
      <c r="CIR52" s="211"/>
      <c r="CIS52" s="211"/>
      <c r="CIT52" s="211"/>
      <c r="CIU52" s="211"/>
      <c r="CIV52" s="211"/>
      <c r="CIW52" s="211"/>
      <c r="CIX52" s="211"/>
      <c r="CIY52" s="211"/>
      <c r="CIZ52" s="211"/>
      <c r="CJA52" s="211"/>
      <c r="CJB52" s="211"/>
      <c r="CJC52" s="211"/>
      <c r="CJD52" s="211"/>
      <c r="CJE52" s="211"/>
      <c r="CJF52" s="211"/>
      <c r="CJG52" s="211"/>
      <c r="CJH52" s="211"/>
      <c r="CJI52" s="211"/>
      <c r="CJJ52" s="211"/>
      <c r="CJK52" s="211"/>
      <c r="CJL52" s="211"/>
      <c r="CJM52" s="211"/>
      <c r="CJN52" s="211"/>
      <c r="CJO52" s="211"/>
      <c r="CJP52" s="211"/>
      <c r="CJQ52" s="211"/>
      <c r="CJR52" s="211"/>
      <c r="CJS52" s="211"/>
      <c r="CJT52" s="211"/>
      <c r="CJU52" s="211"/>
      <c r="CJV52" s="211"/>
      <c r="CJW52" s="211"/>
      <c r="CJX52" s="211"/>
      <c r="CJY52" s="211"/>
      <c r="CJZ52" s="211"/>
      <c r="CKA52" s="211"/>
      <c r="CKB52" s="211"/>
      <c r="CKC52" s="211"/>
      <c r="CKD52" s="211"/>
      <c r="CKE52" s="211"/>
      <c r="CKF52" s="211"/>
      <c r="CKG52" s="211"/>
      <c r="CKH52" s="211"/>
      <c r="CKI52" s="211"/>
      <c r="CKJ52" s="211"/>
      <c r="CKK52" s="211"/>
      <c r="CKL52" s="211"/>
      <c r="CKM52" s="211"/>
      <c r="CKN52" s="211"/>
      <c r="CKO52" s="211"/>
      <c r="CKP52" s="211"/>
      <c r="CKQ52" s="211"/>
      <c r="CKR52" s="211"/>
      <c r="CKS52" s="211"/>
      <c r="CKT52" s="211"/>
      <c r="CKU52" s="211"/>
      <c r="CKV52" s="211"/>
      <c r="CKW52" s="211"/>
      <c r="CKX52" s="211"/>
      <c r="CKY52" s="211"/>
      <c r="CKZ52" s="211"/>
      <c r="CLA52" s="211"/>
      <c r="CLB52" s="211"/>
      <c r="CLC52" s="211"/>
      <c r="CLD52" s="211"/>
      <c r="CLE52" s="211"/>
      <c r="CLF52" s="211"/>
      <c r="CLG52" s="211"/>
      <c r="CLH52" s="211"/>
      <c r="CLI52" s="211"/>
      <c r="CLJ52" s="211"/>
      <c r="CLK52" s="211"/>
      <c r="CLL52" s="211"/>
      <c r="CLM52" s="211"/>
      <c r="CLN52" s="211"/>
      <c r="CLO52" s="211"/>
      <c r="CLP52" s="211"/>
      <c r="CLQ52" s="211"/>
      <c r="CLR52" s="211"/>
      <c r="CLS52" s="211"/>
      <c r="CLT52" s="211"/>
      <c r="CLU52" s="211"/>
      <c r="CLV52" s="211"/>
      <c r="CLW52" s="211"/>
      <c r="CLX52" s="211"/>
      <c r="CLY52" s="211"/>
      <c r="CLZ52" s="211"/>
      <c r="CMA52" s="211"/>
      <c r="CMB52" s="211"/>
      <c r="CMC52" s="211"/>
      <c r="CMD52" s="211"/>
      <c r="CME52" s="211"/>
      <c r="CMF52" s="211"/>
      <c r="CMG52" s="211"/>
      <c r="CMH52" s="211"/>
      <c r="CMI52" s="211"/>
      <c r="CMJ52" s="211"/>
      <c r="CMK52" s="211"/>
      <c r="CML52" s="211"/>
      <c r="CMM52" s="211"/>
      <c r="CMN52" s="211"/>
      <c r="CMO52" s="211"/>
      <c r="CMP52" s="211"/>
      <c r="CMQ52" s="211"/>
      <c r="CMR52" s="211"/>
      <c r="CMS52" s="211"/>
      <c r="CMT52" s="211"/>
      <c r="CMU52" s="211"/>
      <c r="CMV52" s="211"/>
      <c r="CMW52" s="211"/>
      <c r="CMX52" s="211"/>
      <c r="CMY52" s="211"/>
      <c r="CMZ52" s="211"/>
      <c r="CNA52" s="211"/>
      <c r="CNB52" s="211"/>
      <c r="CNC52" s="211"/>
      <c r="CND52" s="211"/>
      <c r="CNE52" s="211"/>
      <c r="CNF52" s="211"/>
      <c r="CNG52" s="211"/>
      <c r="CNH52" s="211"/>
      <c r="CNI52" s="211"/>
      <c r="CNJ52" s="211"/>
      <c r="CNK52" s="211"/>
      <c r="CNL52" s="211"/>
      <c r="CNM52" s="211"/>
      <c r="CNN52" s="211"/>
      <c r="CNO52" s="211"/>
      <c r="CNP52" s="211"/>
      <c r="CNQ52" s="211"/>
      <c r="CNR52" s="211"/>
      <c r="CNS52" s="211"/>
      <c r="CNT52" s="211"/>
      <c r="CNU52" s="211"/>
      <c r="CNV52" s="211"/>
      <c r="CNW52" s="211"/>
      <c r="CNX52" s="211"/>
      <c r="CNY52" s="211"/>
      <c r="CNZ52" s="211"/>
      <c r="COA52" s="211"/>
      <c r="COB52" s="211"/>
      <c r="COC52" s="211"/>
      <c r="COD52" s="211"/>
      <c r="COE52" s="211"/>
      <c r="COF52" s="211"/>
      <c r="COG52" s="211"/>
      <c r="COH52" s="211"/>
      <c r="COI52" s="211"/>
      <c r="COJ52" s="211"/>
      <c r="COK52" s="211"/>
      <c r="COL52" s="211"/>
      <c r="COM52" s="211"/>
      <c r="CON52" s="211"/>
      <c r="COO52" s="211"/>
      <c r="COP52" s="211"/>
      <c r="COQ52" s="211"/>
      <c r="COR52" s="211"/>
      <c r="COS52" s="211"/>
      <c r="COT52" s="211"/>
      <c r="COU52" s="211"/>
      <c r="COV52" s="211"/>
      <c r="COW52" s="211"/>
      <c r="COX52" s="211"/>
      <c r="COY52" s="211"/>
      <c r="COZ52" s="211"/>
      <c r="CPA52" s="211"/>
      <c r="CPB52" s="211"/>
      <c r="CPC52" s="211"/>
      <c r="CPD52" s="211"/>
      <c r="CPE52" s="211"/>
      <c r="CPF52" s="211"/>
      <c r="CPG52" s="211"/>
      <c r="CPH52" s="211"/>
      <c r="CPI52" s="211"/>
      <c r="CPJ52" s="211"/>
      <c r="CPK52" s="211"/>
      <c r="CPL52" s="211"/>
      <c r="CPM52" s="211"/>
      <c r="CPN52" s="211"/>
      <c r="CPO52" s="211"/>
      <c r="CPP52" s="211"/>
      <c r="CPQ52" s="211"/>
      <c r="CPR52" s="211"/>
      <c r="CPS52" s="211"/>
      <c r="CPT52" s="211"/>
      <c r="CPU52" s="211"/>
      <c r="CPV52" s="211"/>
      <c r="CPW52" s="211"/>
      <c r="CPX52" s="211"/>
      <c r="CPY52" s="211"/>
      <c r="CPZ52" s="211"/>
      <c r="CQA52" s="211"/>
      <c r="CQB52" s="211"/>
      <c r="CQC52" s="211"/>
      <c r="CQD52" s="211"/>
      <c r="CQE52" s="211"/>
      <c r="CQF52" s="211"/>
      <c r="CQG52" s="211"/>
      <c r="CQH52" s="211"/>
      <c r="CQI52" s="211"/>
      <c r="CQJ52" s="211"/>
      <c r="CQK52" s="211"/>
      <c r="CQL52" s="211"/>
      <c r="CQM52" s="211"/>
      <c r="CQN52" s="211"/>
      <c r="CQO52" s="211"/>
      <c r="CQP52" s="211"/>
      <c r="CQQ52" s="211"/>
      <c r="CQR52" s="211"/>
      <c r="CQS52" s="211"/>
      <c r="CQT52" s="211"/>
      <c r="CQU52" s="211"/>
      <c r="CQV52" s="211"/>
      <c r="CQW52" s="211"/>
      <c r="CQX52" s="211"/>
      <c r="CQY52" s="211"/>
      <c r="CQZ52" s="211"/>
      <c r="CRA52" s="211"/>
      <c r="CRB52" s="211"/>
      <c r="CRC52" s="211"/>
      <c r="CRD52" s="211"/>
      <c r="CRE52" s="211"/>
      <c r="CRF52" s="211"/>
      <c r="CRG52" s="211"/>
      <c r="CRH52" s="211"/>
      <c r="CRI52" s="211"/>
      <c r="CRJ52" s="211"/>
      <c r="CRK52" s="211"/>
      <c r="CRL52" s="211"/>
      <c r="CRM52" s="211"/>
      <c r="CRN52" s="211"/>
      <c r="CRO52" s="211"/>
      <c r="CRP52" s="211"/>
      <c r="CRQ52" s="211"/>
      <c r="CRR52" s="211"/>
      <c r="CRS52" s="211"/>
      <c r="CRT52" s="211"/>
      <c r="CRU52" s="211"/>
      <c r="CRV52" s="211"/>
      <c r="CRW52" s="211"/>
      <c r="CRX52" s="211"/>
      <c r="CRY52" s="211"/>
      <c r="CRZ52" s="211"/>
      <c r="CSA52" s="211"/>
      <c r="CSB52" s="211"/>
      <c r="CSC52" s="211"/>
      <c r="CSD52" s="211"/>
      <c r="CSE52" s="211"/>
      <c r="CSF52" s="211"/>
      <c r="CSG52" s="211"/>
      <c r="CSH52" s="211"/>
      <c r="CSI52" s="211"/>
      <c r="CSJ52" s="211"/>
      <c r="CSK52" s="211"/>
      <c r="CSL52" s="211"/>
      <c r="CSM52" s="211"/>
      <c r="CSN52" s="211"/>
      <c r="CSO52" s="211"/>
      <c r="CSP52" s="211"/>
      <c r="CSQ52" s="211"/>
      <c r="CSR52" s="211"/>
      <c r="CSS52" s="211"/>
      <c r="CST52" s="211"/>
      <c r="CSU52" s="211"/>
      <c r="CSV52" s="211"/>
      <c r="CSW52" s="211"/>
      <c r="CSX52" s="211"/>
      <c r="CSY52" s="211"/>
      <c r="CSZ52" s="211"/>
      <c r="CTA52" s="211"/>
      <c r="CTB52" s="211"/>
      <c r="CTC52" s="211"/>
      <c r="CTD52" s="211"/>
      <c r="CTE52" s="211"/>
      <c r="CTF52" s="211"/>
      <c r="CTG52" s="211"/>
      <c r="CTH52" s="211"/>
      <c r="CTI52" s="211"/>
      <c r="CTJ52" s="211"/>
      <c r="CTK52" s="211"/>
      <c r="CTL52" s="211"/>
      <c r="CTM52" s="211"/>
      <c r="CTN52" s="211"/>
      <c r="CTO52" s="211"/>
      <c r="CTP52" s="211"/>
      <c r="CTQ52" s="211"/>
      <c r="CTR52" s="211"/>
      <c r="CTS52" s="211"/>
      <c r="CTT52" s="211"/>
      <c r="CTU52" s="211"/>
      <c r="CTV52" s="211"/>
      <c r="CTW52" s="211"/>
      <c r="CTX52" s="211"/>
      <c r="CTY52" s="211"/>
      <c r="CTZ52" s="211"/>
      <c r="CUA52" s="211"/>
      <c r="CUB52" s="211"/>
      <c r="CUC52" s="211"/>
      <c r="CUD52" s="211"/>
      <c r="CUE52" s="211"/>
      <c r="CUF52" s="211"/>
      <c r="CUG52" s="211"/>
      <c r="CUH52" s="211"/>
      <c r="CUI52" s="211"/>
      <c r="CUJ52" s="211"/>
      <c r="CUK52" s="211"/>
      <c r="CUL52" s="211"/>
      <c r="CUM52" s="211"/>
      <c r="CUN52" s="211"/>
      <c r="CUO52" s="211"/>
      <c r="CUP52" s="211"/>
      <c r="CUQ52" s="211"/>
      <c r="CUR52" s="211"/>
      <c r="CUS52" s="211"/>
      <c r="CUT52" s="211"/>
      <c r="CUU52" s="211"/>
      <c r="CUV52" s="211"/>
      <c r="CUW52" s="211"/>
      <c r="CUX52" s="211"/>
      <c r="CUY52" s="211"/>
      <c r="CUZ52" s="211"/>
      <c r="CVA52" s="211"/>
      <c r="CVB52" s="211"/>
      <c r="CVC52" s="211"/>
      <c r="CVD52" s="211"/>
      <c r="CVE52" s="211"/>
      <c r="CVF52" s="211"/>
      <c r="CVG52" s="211"/>
      <c r="CVH52" s="211"/>
      <c r="CVI52" s="211"/>
      <c r="CVJ52" s="211"/>
      <c r="CVK52" s="211"/>
      <c r="CVL52" s="211"/>
      <c r="CVM52" s="211"/>
      <c r="CVN52" s="211"/>
      <c r="CVO52" s="211"/>
      <c r="CVP52" s="211"/>
      <c r="CVQ52" s="211"/>
      <c r="CVR52" s="211"/>
      <c r="CVS52" s="211"/>
      <c r="CVT52" s="211"/>
      <c r="CVU52" s="211"/>
      <c r="CVV52" s="211"/>
      <c r="CVW52" s="211"/>
      <c r="CVX52" s="211"/>
      <c r="CVY52" s="211"/>
      <c r="CVZ52" s="211"/>
      <c r="CWA52" s="211"/>
      <c r="CWB52" s="211"/>
      <c r="CWC52" s="211"/>
      <c r="CWD52" s="211"/>
      <c r="CWE52" s="211"/>
      <c r="CWF52" s="211"/>
      <c r="CWG52" s="211"/>
      <c r="CWH52" s="211"/>
      <c r="CWI52" s="211"/>
      <c r="CWJ52" s="211"/>
      <c r="CWK52" s="211"/>
      <c r="CWL52" s="211"/>
      <c r="CWM52" s="211"/>
      <c r="CWN52" s="211"/>
      <c r="CWO52" s="211"/>
      <c r="CWP52" s="211"/>
      <c r="CWQ52" s="211"/>
      <c r="CWR52" s="211"/>
      <c r="CWS52" s="211"/>
      <c r="CWT52" s="211"/>
      <c r="CWU52" s="211"/>
      <c r="CWV52" s="211"/>
      <c r="CWW52" s="211"/>
      <c r="CWX52" s="211"/>
      <c r="CWY52" s="211"/>
      <c r="CWZ52" s="211"/>
      <c r="CXA52" s="211"/>
      <c r="CXB52" s="211"/>
      <c r="CXC52" s="211"/>
      <c r="CXD52" s="211"/>
      <c r="CXE52" s="211"/>
      <c r="CXF52" s="211"/>
      <c r="CXG52" s="211"/>
      <c r="CXH52" s="211"/>
      <c r="CXI52" s="211"/>
      <c r="CXJ52" s="211"/>
      <c r="CXK52" s="211"/>
      <c r="CXL52" s="211"/>
      <c r="CXM52" s="211"/>
      <c r="CXN52" s="211"/>
      <c r="CXO52" s="211"/>
      <c r="CXP52" s="211"/>
      <c r="CXQ52" s="211"/>
      <c r="CXR52" s="211"/>
      <c r="CXS52" s="211"/>
      <c r="CXT52" s="211"/>
      <c r="CXU52" s="211"/>
      <c r="CXV52" s="211"/>
      <c r="CXW52" s="211"/>
      <c r="CXX52" s="211"/>
      <c r="CXY52" s="211"/>
      <c r="CXZ52" s="211"/>
      <c r="CYA52" s="211"/>
      <c r="CYB52" s="211"/>
      <c r="CYC52" s="211"/>
      <c r="CYD52" s="211"/>
      <c r="CYE52" s="211"/>
      <c r="CYF52" s="211"/>
      <c r="CYG52" s="211"/>
      <c r="CYH52" s="211"/>
      <c r="CYI52" s="211"/>
      <c r="CYJ52" s="211"/>
      <c r="CYK52" s="211"/>
      <c r="CYL52" s="211"/>
      <c r="CYM52" s="211"/>
      <c r="CYN52" s="211"/>
      <c r="CYO52" s="211"/>
      <c r="CYP52" s="211"/>
      <c r="CYQ52" s="211"/>
      <c r="CYR52" s="211"/>
      <c r="CYS52" s="211"/>
      <c r="CYT52" s="211"/>
      <c r="CYU52" s="211"/>
      <c r="CYV52" s="211"/>
      <c r="CYW52" s="211"/>
      <c r="CYX52" s="211"/>
      <c r="CYY52" s="211"/>
      <c r="CYZ52" s="211"/>
      <c r="CZA52" s="211"/>
      <c r="CZB52" s="211"/>
      <c r="CZC52" s="211"/>
      <c r="CZD52" s="211"/>
      <c r="CZE52" s="211"/>
      <c r="CZF52" s="211"/>
      <c r="CZG52" s="211"/>
      <c r="CZH52" s="211"/>
      <c r="CZI52" s="211"/>
      <c r="CZJ52" s="211"/>
      <c r="CZK52" s="211"/>
      <c r="CZL52" s="211"/>
      <c r="CZM52" s="211"/>
      <c r="CZN52" s="211"/>
      <c r="CZO52" s="211"/>
      <c r="CZP52" s="211"/>
      <c r="CZQ52" s="211"/>
      <c r="CZR52" s="211"/>
      <c r="CZS52" s="211"/>
      <c r="CZT52" s="211"/>
      <c r="CZU52" s="211"/>
      <c r="CZV52" s="211"/>
      <c r="CZW52" s="211"/>
      <c r="CZX52" s="211"/>
      <c r="CZY52" s="211"/>
      <c r="CZZ52" s="211"/>
      <c r="DAA52" s="211"/>
      <c r="DAB52" s="211"/>
      <c r="DAC52" s="211"/>
      <c r="DAD52" s="211"/>
      <c r="DAE52" s="211"/>
      <c r="DAF52" s="211"/>
      <c r="DAG52" s="211"/>
      <c r="DAH52" s="211"/>
      <c r="DAI52" s="211"/>
      <c r="DAJ52" s="211"/>
      <c r="DAK52" s="211"/>
      <c r="DAL52" s="211"/>
      <c r="DAM52" s="211"/>
      <c r="DAN52" s="211"/>
      <c r="DAO52" s="211"/>
      <c r="DAP52" s="211"/>
      <c r="DAQ52" s="211"/>
      <c r="DAR52" s="211"/>
      <c r="DAS52" s="211"/>
      <c r="DAT52" s="211"/>
      <c r="DAU52" s="211"/>
      <c r="DAV52" s="211"/>
      <c r="DAW52" s="211"/>
      <c r="DAX52" s="211"/>
      <c r="DAY52" s="211"/>
      <c r="DAZ52" s="211"/>
      <c r="DBA52" s="211"/>
      <c r="DBB52" s="211"/>
      <c r="DBC52" s="211"/>
      <c r="DBD52" s="211"/>
      <c r="DBE52" s="211"/>
      <c r="DBF52" s="211"/>
      <c r="DBG52" s="211"/>
      <c r="DBH52" s="211"/>
      <c r="DBI52" s="211"/>
      <c r="DBJ52" s="211"/>
      <c r="DBK52" s="211"/>
      <c r="DBL52" s="211"/>
      <c r="DBM52" s="211"/>
      <c r="DBN52" s="211"/>
      <c r="DBO52" s="211"/>
      <c r="DBP52" s="211"/>
      <c r="DBQ52" s="211"/>
      <c r="DBR52" s="211"/>
      <c r="DBS52" s="211"/>
      <c r="DBT52" s="211"/>
      <c r="DBU52" s="211"/>
      <c r="DBV52" s="211"/>
      <c r="DBW52" s="211"/>
      <c r="DBX52" s="211"/>
      <c r="DBY52" s="211"/>
      <c r="DBZ52" s="211"/>
      <c r="DCA52" s="211"/>
      <c r="DCB52" s="211"/>
      <c r="DCC52" s="211"/>
      <c r="DCD52" s="211"/>
      <c r="DCE52" s="211"/>
      <c r="DCF52" s="211"/>
      <c r="DCG52" s="211"/>
      <c r="DCH52" s="211"/>
      <c r="DCI52" s="211"/>
      <c r="DCJ52" s="211"/>
      <c r="DCK52" s="211"/>
      <c r="DCL52" s="211"/>
      <c r="DCM52" s="211"/>
      <c r="DCN52" s="211"/>
      <c r="DCO52" s="211"/>
      <c r="DCP52" s="211"/>
      <c r="DCQ52" s="211"/>
      <c r="DCR52" s="211"/>
      <c r="DCS52" s="211"/>
      <c r="DCT52" s="211"/>
      <c r="DCU52" s="211"/>
      <c r="DCV52" s="211"/>
      <c r="DCW52" s="211"/>
      <c r="DCX52" s="211"/>
      <c r="DCY52" s="211"/>
      <c r="DCZ52" s="211"/>
      <c r="DDA52" s="211"/>
      <c r="DDB52" s="211"/>
      <c r="DDC52" s="211"/>
      <c r="DDD52" s="211"/>
      <c r="DDE52" s="211"/>
      <c r="DDF52" s="211"/>
      <c r="DDG52" s="211"/>
      <c r="DDH52" s="211"/>
      <c r="DDI52" s="211"/>
      <c r="DDJ52" s="211"/>
      <c r="DDK52" s="211"/>
      <c r="DDL52" s="211"/>
      <c r="DDM52" s="211"/>
      <c r="DDN52" s="211"/>
      <c r="DDO52" s="211"/>
      <c r="DDP52" s="211"/>
      <c r="DDQ52" s="211"/>
      <c r="DDR52" s="211"/>
      <c r="DDS52" s="211"/>
      <c r="DDT52" s="211"/>
      <c r="DDU52" s="211"/>
      <c r="DDV52" s="211"/>
      <c r="DDW52" s="211"/>
      <c r="DDX52" s="211"/>
      <c r="DDY52" s="211"/>
      <c r="DDZ52" s="211"/>
      <c r="DEA52" s="211"/>
      <c r="DEB52" s="211"/>
      <c r="DEC52" s="211"/>
      <c r="DED52" s="211"/>
      <c r="DEE52" s="211"/>
      <c r="DEF52" s="211"/>
      <c r="DEG52" s="211"/>
      <c r="DEH52" s="211"/>
      <c r="DEI52" s="211"/>
      <c r="DEJ52" s="211"/>
      <c r="DEK52" s="211"/>
      <c r="DEL52" s="211"/>
      <c r="DEM52" s="211"/>
      <c r="DEN52" s="211"/>
      <c r="DEO52" s="211"/>
      <c r="DEP52" s="211"/>
      <c r="DEQ52" s="211"/>
      <c r="DER52" s="211"/>
      <c r="DES52" s="211"/>
      <c r="DET52" s="211"/>
      <c r="DEU52" s="211"/>
      <c r="DEV52" s="211"/>
      <c r="DEW52" s="211"/>
      <c r="DEX52" s="211"/>
      <c r="DEY52" s="211"/>
      <c r="DEZ52" s="211"/>
      <c r="DFA52" s="211"/>
      <c r="DFB52" s="211"/>
      <c r="DFC52" s="211"/>
      <c r="DFD52" s="211"/>
      <c r="DFE52" s="211"/>
      <c r="DFF52" s="211"/>
      <c r="DFG52" s="211"/>
      <c r="DFH52" s="211"/>
      <c r="DFI52" s="211"/>
      <c r="DFJ52" s="211"/>
      <c r="DFK52" s="211"/>
      <c r="DFL52" s="211"/>
      <c r="DFM52" s="211"/>
      <c r="DFN52" s="211"/>
      <c r="DFO52" s="211"/>
      <c r="DFP52" s="211"/>
      <c r="DFQ52" s="211"/>
      <c r="DFR52" s="211"/>
      <c r="DFS52" s="211"/>
      <c r="DFT52" s="211"/>
      <c r="DFU52" s="211"/>
      <c r="DFV52" s="211"/>
      <c r="DFW52" s="211"/>
      <c r="DFX52" s="211"/>
      <c r="DFY52" s="211"/>
      <c r="DFZ52" s="211"/>
      <c r="DGA52" s="211"/>
      <c r="DGB52" s="211"/>
      <c r="DGC52" s="211"/>
      <c r="DGD52" s="211"/>
      <c r="DGE52" s="211"/>
      <c r="DGF52" s="211"/>
      <c r="DGG52" s="211"/>
      <c r="DGH52" s="211"/>
      <c r="DGI52" s="211"/>
      <c r="DGJ52" s="211"/>
      <c r="DGK52" s="211"/>
      <c r="DGL52" s="211"/>
      <c r="DGM52" s="211"/>
      <c r="DGN52" s="211"/>
      <c r="DGO52" s="211"/>
      <c r="DGP52" s="211"/>
      <c r="DGQ52" s="211"/>
      <c r="DGR52" s="211"/>
      <c r="DGS52" s="211"/>
      <c r="DGT52" s="211"/>
      <c r="DGU52" s="211"/>
      <c r="DGV52" s="211"/>
      <c r="DGW52" s="211"/>
      <c r="DGX52" s="211"/>
      <c r="DGY52" s="211"/>
      <c r="DGZ52" s="211"/>
      <c r="DHA52" s="211"/>
      <c r="DHB52" s="211"/>
      <c r="DHC52" s="211"/>
      <c r="DHD52" s="211"/>
      <c r="DHE52" s="211"/>
      <c r="DHF52" s="211"/>
      <c r="DHG52" s="211"/>
      <c r="DHH52" s="211"/>
      <c r="DHI52" s="211"/>
      <c r="DHJ52" s="211"/>
      <c r="DHK52" s="211"/>
      <c r="DHL52" s="211"/>
      <c r="DHM52" s="211"/>
      <c r="DHN52" s="211"/>
      <c r="DHO52" s="211"/>
      <c r="DHP52" s="211"/>
      <c r="DHQ52" s="211"/>
      <c r="DHR52" s="211"/>
      <c r="DHS52" s="211"/>
      <c r="DHT52" s="211"/>
      <c r="DHU52" s="211"/>
      <c r="DHV52" s="211"/>
      <c r="DHW52" s="211"/>
      <c r="DHX52" s="211"/>
      <c r="DHY52" s="211"/>
      <c r="DHZ52" s="211"/>
      <c r="DIA52" s="211"/>
      <c r="DIB52" s="211"/>
      <c r="DIC52" s="211"/>
      <c r="DID52" s="211"/>
      <c r="DIE52" s="211"/>
      <c r="DIF52" s="211"/>
      <c r="DIG52" s="211"/>
      <c r="DIH52" s="211"/>
      <c r="DII52" s="211"/>
      <c r="DIJ52" s="211"/>
      <c r="DIK52" s="211"/>
      <c r="DIL52" s="211"/>
      <c r="DIM52" s="211"/>
      <c r="DIN52" s="211"/>
      <c r="DIO52" s="211"/>
      <c r="DIP52" s="211"/>
      <c r="DIQ52" s="211"/>
      <c r="DIR52" s="211"/>
      <c r="DIS52" s="211"/>
      <c r="DIT52" s="211"/>
      <c r="DIU52" s="211"/>
      <c r="DIV52" s="211"/>
      <c r="DIW52" s="211"/>
      <c r="DIX52" s="211"/>
      <c r="DIY52" s="211"/>
      <c r="DIZ52" s="211"/>
      <c r="DJA52" s="211"/>
      <c r="DJB52" s="211"/>
      <c r="DJC52" s="211"/>
      <c r="DJD52" s="211"/>
      <c r="DJE52" s="211"/>
      <c r="DJF52" s="211"/>
      <c r="DJG52" s="211"/>
      <c r="DJH52" s="211"/>
      <c r="DJI52" s="211"/>
      <c r="DJJ52" s="211"/>
      <c r="DJK52" s="211"/>
      <c r="DJL52" s="211"/>
      <c r="DJM52" s="211"/>
      <c r="DJN52" s="211"/>
      <c r="DJO52" s="211"/>
      <c r="DJP52" s="211"/>
      <c r="DJQ52" s="211"/>
      <c r="DJR52" s="211"/>
      <c r="DJS52" s="211"/>
      <c r="DJT52" s="211"/>
      <c r="DJU52" s="211"/>
      <c r="DJV52" s="211"/>
      <c r="DJW52" s="211"/>
      <c r="DJX52" s="211"/>
      <c r="DJY52" s="211"/>
      <c r="DJZ52" s="211"/>
      <c r="DKA52" s="211"/>
      <c r="DKB52" s="211"/>
      <c r="DKC52" s="211"/>
      <c r="DKD52" s="211"/>
      <c r="DKE52" s="211"/>
      <c r="DKF52" s="211"/>
      <c r="DKG52" s="211"/>
      <c r="DKH52" s="211"/>
      <c r="DKI52" s="211"/>
      <c r="DKJ52" s="211"/>
      <c r="DKK52" s="211"/>
      <c r="DKL52" s="211"/>
      <c r="DKM52" s="211"/>
      <c r="DKN52" s="211"/>
      <c r="DKO52" s="211"/>
      <c r="DKP52" s="211"/>
      <c r="DKQ52" s="211"/>
      <c r="DKR52" s="211"/>
      <c r="DKS52" s="211"/>
      <c r="DKT52" s="211"/>
      <c r="DKU52" s="211"/>
      <c r="DKV52" s="211"/>
      <c r="DKW52" s="211"/>
      <c r="DKX52" s="211"/>
      <c r="DKY52" s="211"/>
      <c r="DKZ52" s="211"/>
      <c r="DLA52" s="211"/>
      <c r="DLB52" s="211"/>
      <c r="DLC52" s="211"/>
      <c r="DLD52" s="211"/>
      <c r="DLE52" s="211"/>
      <c r="DLF52" s="211"/>
      <c r="DLG52" s="211"/>
      <c r="DLH52" s="211"/>
      <c r="DLI52" s="211"/>
      <c r="DLJ52" s="211"/>
      <c r="DLK52" s="211"/>
      <c r="DLL52" s="211"/>
      <c r="DLM52" s="211"/>
      <c r="DLN52" s="211"/>
      <c r="DLO52" s="211"/>
      <c r="DLP52" s="211"/>
      <c r="DLQ52" s="211"/>
      <c r="DLR52" s="211"/>
      <c r="DLS52" s="211"/>
      <c r="DLT52" s="211"/>
      <c r="DLU52" s="211"/>
      <c r="DLV52" s="211"/>
      <c r="DLW52" s="211"/>
      <c r="DLX52" s="211"/>
      <c r="DLY52" s="211"/>
      <c r="DLZ52" s="211"/>
      <c r="DMA52" s="211"/>
      <c r="DMB52" s="211"/>
      <c r="DMC52" s="211"/>
      <c r="DMD52" s="211"/>
      <c r="DME52" s="211"/>
      <c r="DMF52" s="211"/>
      <c r="DMG52" s="211"/>
      <c r="DMH52" s="211"/>
      <c r="DMI52" s="211"/>
      <c r="DMJ52" s="211"/>
      <c r="DMK52" s="211"/>
      <c r="DML52" s="211"/>
      <c r="DMM52" s="211"/>
      <c r="DMN52" s="211"/>
      <c r="DMO52" s="211"/>
      <c r="DMP52" s="211"/>
      <c r="DMQ52" s="211"/>
      <c r="DMR52" s="211"/>
      <c r="DMS52" s="211"/>
      <c r="DMT52" s="211"/>
      <c r="DMU52" s="211"/>
      <c r="DMV52" s="211"/>
      <c r="DMW52" s="211"/>
      <c r="DMX52" s="211"/>
      <c r="DMY52" s="211"/>
      <c r="DMZ52" s="211"/>
      <c r="DNA52" s="211"/>
      <c r="DNB52" s="211"/>
      <c r="DNC52" s="211"/>
      <c r="DND52" s="211"/>
      <c r="DNE52" s="211"/>
      <c r="DNF52" s="211"/>
      <c r="DNG52" s="211"/>
      <c r="DNH52" s="211"/>
      <c r="DNI52" s="211"/>
      <c r="DNJ52" s="211"/>
      <c r="DNK52" s="211"/>
      <c r="DNL52" s="211"/>
      <c r="DNM52" s="211"/>
      <c r="DNN52" s="211"/>
      <c r="DNO52" s="211"/>
      <c r="DNP52" s="211"/>
      <c r="DNQ52" s="211"/>
      <c r="DNR52" s="211"/>
      <c r="DNS52" s="211"/>
      <c r="DNT52" s="211"/>
      <c r="DNU52" s="211"/>
      <c r="DNV52" s="211"/>
      <c r="DNW52" s="211"/>
      <c r="DNX52" s="211"/>
      <c r="DNY52" s="211"/>
      <c r="DNZ52" s="211"/>
      <c r="DOA52" s="211"/>
      <c r="DOB52" s="211"/>
      <c r="DOC52" s="211"/>
      <c r="DOD52" s="211"/>
      <c r="DOE52" s="211"/>
      <c r="DOF52" s="211"/>
      <c r="DOG52" s="211"/>
      <c r="DOH52" s="211"/>
      <c r="DOI52" s="211"/>
      <c r="DOJ52" s="211"/>
      <c r="DOK52" s="211"/>
      <c r="DOL52" s="211"/>
      <c r="DOM52" s="211"/>
      <c r="DON52" s="211"/>
      <c r="DOO52" s="211"/>
      <c r="DOP52" s="211"/>
      <c r="DOQ52" s="211"/>
      <c r="DOR52" s="211"/>
      <c r="DOS52" s="211"/>
      <c r="DOT52" s="211"/>
      <c r="DOU52" s="211"/>
      <c r="DOV52" s="211"/>
      <c r="DOW52" s="211"/>
      <c r="DOX52" s="211"/>
      <c r="DOY52" s="211"/>
      <c r="DOZ52" s="211"/>
      <c r="DPA52" s="211"/>
      <c r="DPB52" s="211"/>
      <c r="DPC52" s="211"/>
      <c r="DPD52" s="211"/>
      <c r="DPE52" s="211"/>
      <c r="DPF52" s="211"/>
      <c r="DPG52" s="211"/>
      <c r="DPH52" s="211"/>
      <c r="DPI52" s="211"/>
      <c r="DPJ52" s="211"/>
      <c r="DPK52" s="211"/>
      <c r="DPL52" s="211"/>
      <c r="DPM52" s="211"/>
      <c r="DPN52" s="211"/>
      <c r="DPO52" s="211"/>
      <c r="DPP52" s="211"/>
      <c r="DPQ52" s="211"/>
      <c r="DPR52" s="211"/>
      <c r="DPS52" s="211"/>
      <c r="DPT52" s="211"/>
      <c r="DPU52" s="211"/>
      <c r="DPV52" s="211"/>
      <c r="DPW52" s="211"/>
      <c r="DPX52" s="211"/>
      <c r="DPY52" s="211"/>
      <c r="DPZ52" s="211"/>
      <c r="DQA52" s="211"/>
      <c r="DQB52" s="211"/>
      <c r="DQC52" s="211"/>
      <c r="DQD52" s="211"/>
      <c r="DQE52" s="211"/>
      <c r="DQF52" s="211"/>
      <c r="DQG52" s="211"/>
      <c r="DQH52" s="211"/>
      <c r="DQI52" s="211"/>
      <c r="DQJ52" s="211"/>
      <c r="DQK52" s="211"/>
      <c r="DQL52" s="211"/>
      <c r="DQM52" s="211"/>
      <c r="DQN52" s="211"/>
      <c r="DQO52" s="211"/>
      <c r="DQP52" s="211"/>
      <c r="DQQ52" s="211"/>
      <c r="DQR52" s="211"/>
      <c r="DQS52" s="211"/>
      <c r="DQT52" s="211"/>
      <c r="DQU52" s="211"/>
      <c r="DQV52" s="211"/>
      <c r="DQW52" s="211"/>
      <c r="DQX52" s="211"/>
      <c r="DQY52" s="211"/>
      <c r="DQZ52" s="211"/>
      <c r="DRA52" s="211"/>
      <c r="DRB52" s="211"/>
      <c r="DRC52" s="211"/>
      <c r="DRD52" s="211"/>
      <c r="DRE52" s="211"/>
      <c r="DRF52" s="211"/>
      <c r="DRG52" s="211"/>
      <c r="DRH52" s="211"/>
      <c r="DRI52" s="211"/>
      <c r="DRJ52" s="211"/>
      <c r="DRK52" s="211"/>
      <c r="DRL52" s="211"/>
      <c r="DRM52" s="211"/>
      <c r="DRN52" s="211"/>
      <c r="DRO52" s="211"/>
      <c r="DRP52" s="211"/>
      <c r="DRQ52" s="211"/>
      <c r="DRR52" s="211"/>
      <c r="DRS52" s="211"/>
      <c r="DRT52" s="211"/>
      <c r="DRU52" s="211"/>
      <c r="DRV52" s="211"/>
      <c r="DRW52" s="211"/>
      <c r="DRX52" s="211"/>
      <c r="DRY52" s="211"/>
      <c r="DRZ52" s="211"/>
      <c r="DSA52" s="211"/>
      <c r="DSB52" s="211"/>
      <c r="DSC52" s="211"/>
      <c r="DSD52" s="211"/>
      <c r="DSE52" s="211"/>
      <c r="DSF52" s="211"/>
      <c r="DSG52" s="211"/>
      <c r="DSH52" s="211"/>
      <c r="DSI52" s="211"/>
      <c r="DSJ52" s="211"/>
      <c r="DSK52" s="211"/>
      <c r="DSL52" s="211"/>
      <c r="DSM52" s="211"/>
      <c r="DSN52" s="211"/>
      <c r="DSO52" s="211"/>
      <c r="DSP52" s="211"/>
      <c r="DSQ52" s="211"/>
      <c r="DSR52" s="211"/>
      <c r="DSS52" s="211"/>
      <c r="DST52" s="211"/>
      <c r="DSU52" s="211"/>
      <c r="DSV52" s="211"/>
      <c r="DSW52" s="211"/>
      <c r="DSX52" s="211"/>
      <c r="DSY52" s="211"/>
      <c r="DSZ52" s="211"/>
      <c r="DTA52" s="211"/>
      <c r="DTB52" s="211"/>
      <c r="DTC52" s="211"/>
      <c r="DTD52" s="211"/>
      <c r="DTE52" s="211"/>
      <c r="DTF52" s="211"/>
      <c r="DTG52" s="211"/>
      <c r="DTH52" s="211"/>
      <c r="DTI52" s="211"/>
      <c r="DTJ52" s="211"/>
      <c r="DTK52" s="211"/>
      <c r="DTL52" s="211"/>
      <c r="DTM52" s="211"/>
      <c r="DTN52" s="211"/>
      <c r="DTO52" s="211"/>
      <c r="DTP52" s="211"/>
      <c r="DTQ52" s="211"/>
      <c r="DTR52" s="211"/>
      <c r="DTS52" s="211"/>
      <c r="DTT52" s="211"/>
      <c r="DTU52" s="211"/>
      <c r="DTV52" s="211"/>
      <c r="DTW52" s="211"/>
      <c r="DTX52" s="211"/>
      <c r="DTY52" s="211"/>
      <c r="DTZ52" s="211"/>
      <c r="DUA52" s="211"/>
      <c r="DUB52" s="211"/>
      <c r="DUC52" s="211"/>
      <c r="DUD52" s="211"/>
      <c r="DUE52" s="211"/>
      <c r="DUF52" s="211"/>
      <c r="DUG52" s="211"/>
      <c r="DUH52" s="211"/>
      <c r="DUI52" s="211"/>
      <c r="DUJ52" s="211"/>
      <c r="DUK52" s="211"/>
      <c r="DUL52" s="211"/>
      <c r="DUM52" s="211"/>
      <c r="DUN52" s="211"/>
      <c r="DUO52" s="211"/>
      <c r="DUP52" s="211"/>
      <c r="DUQ52" s="211"/>
      <c r="DUR52" s="211"/>
      <c r="DUS52" s="211"/>
      <c r="DUT52" s="211"/>
      <c r="DUU52" s="211"/>
      <c r="DUV52" s="211"/>
      <c r="DUW52" s="211"/>
      <c r="DUX52" s="211"/>
      <c r="DUY52" s="211"/>
      <c r="DUZ52" s="211"/>
      <c r="DVA52" s="211"/>
      <c r="DVB52" s="211"/>
      <c r="DVC52" s="211"/>
      <c r="DVD52" s="211"/>
      <c r="DVE52" s="211"/>
      <c r="DVF52" s="211"/>
      <c r="DVG52" s="211"/>
      <c r="DVH52" s="211"/>
      <c r="DVI52" s="211"/>
      <c r="DVJ52" s="211"/>
      <c r="DVK52" s="211"/>
      <c r="DVL52" s="211"/>
      <c r="DVM52" s="211"/>
      <c r="DVN52" s="211"/>
      <c r="DVO52" s="211"/>
      <c r="DVP52" s="211"/>
      <c r="DVQ52" s="211"/>
      <c r="DVR52" s="211"/>
      <c r="DVS52" s="211"/>
      <c r="DVT52" s="211"/>
      <c r="DVU52" s="211"/>
      <c r="DVV52" s="211"/>
      <c r="DVW52" s="211"/>
      <c r="DVX52" s="211"/>
      <c r="DVY52" s="211"/>
      <c r="DVZ52" s="211"/>
      <c r="DWA52" s="211"/>
      <c r="DWB52" s="211"/>
      <c r="DWC52" s="211"/>
      <c r="DWD52" s="211"/>
      <c r="DWE52" s="211"/>
      <c r="DWF52" s="211"/>
      <c r="DWG52" s="211"/>
      <c r="DWH52" s="211"/>
      <c r="DWI52" s="211"/>
      <c r="DWJ52" s="211"/>
      <c r="DWK52" s="211"/>
      <c r="DWL52" s="211"/>
      <c r="DWM52" s="211"/>
      <c r="DWN52" s="211"/>
      <c r="DWO52" s="211"/>
      <c r="DWP52" s="211"/>
      <c r="DWQ52" s="211"/>
      <c r="DWR52" s="211"/>
      <c r="DWS52" s="211"/>
      <c r="DWT52" s="211"/>
      <c r="DWU52" s="211"/>
      <c r="DWV52" s="211"/>
      <c r="DWW52" s="211"/>
      <c r="DWX52" s="211"/>
      <c r="DWY52" s="211"/>
      <c r="DWZ52" s="211"/>
      <c r="DXA52" s="211"/>
      <c r="DXB52" s="211"/>
      <c r="DXC52" s="211"/>
      <c r="DXD52" s="211"/>
      <c r="DXE52" s="211"/>
      <c r="DXF52" s="211"/>
      <c r="DXG52" s="211"/>
      <c r="DXH52" s="211"/>
      <c r="DXI52" s="211"/>
      <c r="DXJ52" s="211"/>
      <c r="DXK52" s="211"/>
      <c r="DXL52" s="211"/>
      <c r="DXM52" s="211"/>
      <c r="DXN52" s="211"/>
      <c r="DXO52" s="211"/>
      <c r="DXP52" s="211"/>
      <c r="DXQ52" s="211"/>
      <c r="DXR52" s="211"/>
      <c r="DXS52" s="211"/>
      <c r="DXT52" s="211"/>
      <c r="DXU52" s="211"/>
      <c r="DXV52" s="211"/>
      <c r="DXW52" s="211"/>
      <c r="DXX52" s="211"/>
      <c r="DXY52" s="211"/>
      <c r="DXZ52" s="211"/>
      <c r="DYA52" s="211"/>
      <c r="DYB52" s="211"/>
      <c r="DYC52" s="211"/>
      <c r="DYD52" s="211"/>
      <c r="DYE52" s="211"/>
      <c r="DYF52" s="211"/>
      <c r="DYG52" s="211"/>
      <c r="DYH52" s="211"/>
      <c r="DYI52" s="211"/>
      <c r="DYJ52" s="211"/>
      <c r="DYK52" s="211"/>
      <c r="DYL52" s="211"/>
      <c r="DYM52" s="211"/>
      <c r="DYN52" s="211"/>
      <c r="DYO52" s="211"/>
      <c r="DYP52" s="211"/>
      <c r="DYQ52" s="211"/>
      <c r="DYR52" s="211"/>
      <c r="DYS52" s="211"/>
      <c r="DYT52" s="211"/>
      <c r="DYU52" s="211"/>
      <c r="DYV52" s="211"/>
      <c r="DYW52" s="211"/>
      <c r="DYX52" s="211"/>
      <c r="DYY52" s="211"/>
      <c r="DYZ52" s="211"/>
      <c r="DZA52" s="211"/>
      <c r="DZB52" s="211"/>
      <c r="DZC52" s="211"/>
      <c r="DZD52" s="211"/>
      <c r="DZE52" s="211"/>
      <c r="DZF52" s="211"/>
      <c r="DZG52" s="211"/>
      <c r="DZH52" s="211"/>
      <c r="DZI52" s="211"/>
      <c r="DZJ52" s="211"/>
      <c r="DZK52" s="211"/>
      <c r="DZL52" s="211"/>
      <c r="DZM52" s="211"/>
      <c r="DZN52" s="211"/>
      <c r="DZO52" s="211"/>
      <c r="DZP52" s="211"/>
      <c r="DZQ52" s="211"/>
      <c r="DZR52" s="211"/>
      <c r="DZS52" s="211"/>
      <c r="DZT52" s="211"/>
      <c r="DZU52" s="211"/>
      <c r="DZV52" s="211"/>
      <c r="DZW52" s="211"/>
      <c r="DZX52" s="211"/>
      <c r="DZY52" s="211"/>
      <c r="DZZ52" s="211"/>
      <c r="EAA52" s="211"/>
      <c r="EAB52" s="211"/>
      <c r="EAC52" s="211"/>
      <c r="EAD52" s="211"/>
      <c r="EAE52" s="211"/>
      <c r="EAF52" s="211"/>
      <c r="EAG52" s="211"/>
      <c r="EAH52" s="211"/>
      <c r="EAI52" s="211"/>
      <c r="EAJ52" s="211"/>
      <c r="EAK52" s="211"/>
      <c r="EAL52" s="211"/>
      <c r="EAM52" s="211"/>
      <c r="EAN52" s="211"/>
      <c r="EAO52" s="211"/>
      <c r="EAP52" s="211"/>
      <c r="EAQ52" s="211"/>
      <c r="EAR52" s="211"/>
      <c r="EAS52" s="211"/>
      <c r="EAT52" s="211"/>
      <c r="EAU52" s="211"/>
      <c r="EAV52" s="211"/>
      <c r="EAW52" s="211"/>
      <c r="EAX52" s="211"/>
      <c r="EAY52" s="211"/>
      <c r="EAZ52" s="211"/>
      <c r="EBA52" s="211"/>
      <c r="EBB52" s="211"/>
      <c r="EBC52" s="211"/>
      <c r="EBD52" s="211"/>
      <c r="EBE52" s="211"/>
      <c r="EBF52" s="211"/>
      <c r="EBG52" s="211"/>
      <c r="EBH52" s="211"/>
      <c r="EBI52" s="211"/>
      <c r="EBJ52" s="211"/>
      <c r="EBK52" s="211"/>
      <c r="EBL52" s="211"/>
      <c r="EBM52" s="211"/>
      <c r="EBN52" s="211"/>
      <c r="EBO52" s="211"/>
      <c r="EBP52" s="211"/>
      <c r="EBQ52" s="211"/>
      <c r="EBR52" s="211"/>
      <c r="EBS52" s="211"/>
      <c r="EBT52" s="211"/>
      <c r="EBU52" s="211"/>
      <c r="EBV52" s="211"/>
      <c r="EBW52" s="211"/>
      <c r="EBX52" s="211"/>
      <c r="EBY52" s="211"/>
      <c r="EBZ52" s="211"/>
      <c r="ECA52" s="211"/>
      <c r="ECB52" s="211"/>
      <c r="ECC52" s="211"/>
      <c r="ECD52" s="211"/>
      <c r="ECE52" s="211"/>
      <c r="ECF52" s="211"/>
      <c r="ECG52" s="211"/>
      <c r="ECH52" s="211"/>
      <c r="ECI52" s="211"/>
      <c r="ECJ52" s="211"/>
      <c r="ECK52" s="211"/>
      <c r="ECL52" s="211"/>
      <c r="ECM52" s="211"/>
      <c r="ECN52" s="211"/>
      <c r="ECO52" s="211"/>
      <c r="ECP52" s="211"/>
      <c r="ECQ52" s="211"/>
      <c r="ECR52" s="211"/>
      <c r="ECS52" s="211"/>
      <c r="ECT52" s="211"/>
      <c r="ECU52" s="211"/>
      <c r="ECV52" s="211"/>
      <c r="ECW52" s="211"/>
      <c r="ECX52" s="211"/>
      <c r="ECY52" s="211"/>
      <c r="ECZ52" s="211"/>
      <c r="EDA52" s="211"/>
      <c r="EDB52" s="211"/>
      <c r="EDC52" s="211"/>
      <c r="EDD52" s="211"/>
      <c r="EDE52" s="211"/>
      <c r="EDF52" s="211"/>
      <c r="EDG52" s="211"/>
      <c r="EDH52" s="211"/>
      <c r="EDI52" s="211"/>
      <c r="EDJ52" s="211"/>
      <c r="EDK52" s="211"/>
      <c r="EDL52" s="211"/>
      <c r="EDM52" s="211"/>
      <c r="EDN52" s="211"/>
      <c r="EDO52" s="211"/>
      <c r="EDP52" s="211"/>
      <c r="EDQ52" s="211"/>
      <c r="EDR52" s="211"/>
      <c r="EDS52" s="211"/>
      <c r="EDT52" s="211"/>
      <c r="EDU52" s="211"/>
      <c r="EDV52" s="211"/>
      <c r="EDW52" s="211"/>
      <c r="EDX52" s="211"/>
      <c r="EDY52" s="211"/>
      <c r="EDZ52" s="211"/>
      <c r="EEA52" s="211"/>
      <c r="EEB52" s="211"/>
      <c r="EEC52" s="211"/>
      <c r="EED52" s="211"/>
      <c r="EEE52" s="211"/>
      <c r="EEF52" s="211"/>
      <c r="EEG52" s="211"/>
      <c r="EEH52" s="211"/>
      <c r="EEI52" s="211"/>
      <c r="EEJ52" s="211"/>
      <c r="EEK52" s="211"/>
      <c r="EEL52" s="211"/>
      <c r="EEM52" s="211"/>
      <c r="EEN52" s="211"/>
      <c r="EEO52" s="211"/>
      <c r="EEP52" s="211"/>
      <c r="EEQ52" s="211"/>
      <c r="EER52" s="211"/>
      <c r="EES52" s="211"/>
      <c r="EET52" s="211"/>
      <c r="EEU52" s="211"/>
      <c r="EEV52" s="211"/>
      <c r="EEW52" s="211"/>
      <c r="EEX52" s="211"/>
      <c r="EEY52" s="211"/>
      <c r="EEZ52" s="211"/>
      <c r="EFA52" s="211"/>
      <c r="EFB52" s="211"/>
      <c r="EFC52" s="211"/>
      <c r="EFD52" s="211"/>
      <c r="EFE52" s="211"/>
      <c r="EFF52" s="211"/>
      <c r="EFG52" s="211"/>
      <c r="EFH52" s="211"/>
      <c r="EFI52" s="211"/>
      <c r="EFJ52" s="211"/>
      <c r="EFK52" s="211"/>
      <c r="EFL52" s="211"/>
      <c r="EFM52" s="211"/>
      <c r="EFN52" s="211"/>
      <c r="EFO52" s="211"/>
      <c r="EFP52" s="211"/>
      <c r="EFQ52" s="211"/>
      <c r="EFR52" s="211"/>
      <c r="EFS52" s="211"/>
      <c r="EFT52" s="211"/>
      <c r="EFU52" s="211"/>
      <c r="EFV52" s="211"/>
      <c r="EFW52" s="211"/>
      <c r="EFX52" s="211"/>
      <c r="EFY52" s="211"/>
      <c r="EFZ52" s="211"/>
      <c r="EGA52" s="211"/>
      <c r="EGB52" s="211"/>
      <c r="EGC52" s="211"/>
      <c r="EGD52" s="211"/>
      <c r="EGE52" s="211"/>
      <c r="EGF52" s="211"/>
      <c r="EGG52" s="211"/>
      <c r="EGH52" s="211"/>
      <c r="EGI52" s="211"/>
      <c r="EGJ52" s="211"/>
      <c r="EGK52" s="211"/>
      <c r="EGL52" s="211"/>
      <c r="EGM52" s="211"/>
      <c r="EGN52" s="211"/>
      <c r="EGO52" s="211"/>
      <c r="EGP52" s="211"/>
      <c r="EGQ52" s="211"/>
      <c r="EGR52" s="211"/>
      <c r="EGS52" s="211"/>
      <c r="EGT52" s="211"/>
      <c r="EGU52" s="211"/>
      <c r="EGV52" s="211"/>
      <c r="EGW52" s="211"/>
      <c r="EGX52" s="211"/>
      <c r="EGY52" s="211"/>
      <c r="EGZ52" s="211"/>
      <c r="EHA52" s="211"/>
      <c r="EHB52" s="211"/>
      <c r="EHC52" s="211"/>
      <c r="EHD52" s="211"/>
      <c r="EHE52" s="211"/>
      <c r="EHF52" s="211"/>
      <c r="EHG52" s="211"/>
      <c r="EHH52" s="211"/>
      <c r="EHI52" s="211"/>
      <c r="EHJ52" s="211"/>
      <c r="EHK52" s="211"/>
      <c r="EHL52" s="211"/>
      <c r="EHM52" s="211"/>
      <c r="EHN52" s="211"/>
      <c r="EHO52" s="211"/>
      <c r="EHP52" s="211"/>
      <c r="EHQ52" s="211"/>
      <c r="EHR52" s="211"/>
      <c r="EHS52" s="211"/>
      <c r="EHT52" s="211"/>
      <c r="EHU52" s="211"/>
      <c r="EHV52" s="211"/>
      <c r="EHW52" s="211"/>
      <c r="EHX52" s="211"/>
      <c r="EHY52" s="211"/>
      <c r="EHZ52" s="211"/>
      <c r="EIA52" s="211"/>
      <c r="EIB52" s="211"/>
      <c r="EIC52" s="211"/>
      <c r="EID52" s="211"/>
      <c r="EIE52" s="211"/>
      <c r="EIF52" s="211"/>
      <c r="EIG52" s="211"/>
      <c r="EIH52" s="211"/>
      <c r="EII52" s="211"/>
      <c r="EIJ52" s="211"/>
      <c r="EIK52" s="211"/>
      <c r="EIL52" s="211"/>
      <c r="EIM52" s="211"/>
      <c r="EIN52" s="211"/>
      <c r="EIO52" s="211"/>
      <c r="EIP52" s="211"/>
      <c r="EIQ52" s="211"/>
      <c r="EIR52" s="211"/>
      <c r="EIS52" s="211"/>
      <c r="EIT52" s="211"/>
      <c r="EIU52" s="211"/>
      <c r="EIV52" s="211"/>
      <c r="EIW52" s="211"/>
      <c r="EIX52" s="211"/>
      <c r="EIY52" s="211"/>
      <c r="EIZ52" s="211"/>
      <c r="EJA52" s="211"/>
      <c r="EJB52" s="211"/>
      <c r="EJC52" s="211"/>
      <c r="EJD52" s="211"/>
      <c r="EJE52" s="211"/>
      <c r="EJF52" s="211"/>
      <c r="EJG52" s="211"/>
      <c r="EJH52" s="211"/>
      <c r="EJI52" s="211"/>
      <c r="EJJ52" s="211"/>
      <c r="EJK52" s="211"/>
      <c r="EJL52" s="211"/>
      <c r="EJM52" s="211"/>
      <c r="EJN52" s="211"/>
      <c r="EJO52" s="211"/>
      <c r="EJP52" s="211"/>
      <c r="EJQ52" s="211"/>
      <c r="EJR52" s="211"/>
      <c r="EJS52" s="211"/>
      <c r="EJT52" s="211"/>
      <c r="EJU52" s="211"/>
      <c r="EJV52" s="211"/>
      <c r="EJW52" s="211"/>
      <c r="EJX52" s="211"/>
      <c r="EJY52" s="211"/>
      <c r="EJZ52" s="211"/>
      <c r="EKA52" s="211"/>
      <c r="EKB52" s="211"/>
      <c r="EKC52" s="211"/>
      <c r="EKD52" s="211"/>
      <c r="EKE52" s="211"/>
      <c r="EKF52" s="211"/>
      <c r="EKG52" s="211"/>
      <c r="EKH52" s="211"/>
      <c r="EKI52" s="211"/>
      <c r="EKJ52" s="211"/>
      <c r="EKK52" s="211"/>
      <c r="EKL52" s="211"/>
      <c r="EKM52" s="211"/>
      <c r="EKN52" s="211"/>
      <c r="EKO52" s="211"/>
      <c r="EKP52" s="211"/>
      <c r="EKQ52" s="211"/>
      <c r="EKR52" s="211"/>
      <c r="EKS52" s="211"/>
      <c r="EKT52" s="211"/>
      <c r="EKU52" s="211"/>
      <c r="EKV52" s="211"/>
      <c r="EKW52" s="211"/>
      <c r="EKX52" s="211"/>
      <c r="EKY52" s="211"/>
      <c r="EKZ52" s="211"/>
      <c r="ELA52" s="211"/>
      <c r="ELB52" s="211"/>
      <c r="ELC52" s="211"/>
      <c r="ELD52" s="211"/>
      <c r="ELE52" s="211"/>
      <c r="ELF52" s="211"/>
      <c r="ELG52" s="211"/>
      <c r="ELH52" s="211"/>
      <c r="ELI52" s="211"/>
      <c r="ELJ52" s="211"/>
      <c r="ELK52" s="211"/>
      <c r="ELL52" s="211"/>
      <c r="ELM52" s="211"/>
      <c r="ELN52" s="211"/>
      <c r="ELO52" s="211"/>
      <c r="ELP52" s="211"/>
      <c r="ELQ52" s="211"/>
      <c r="ELR52" s="211"/>
      <c r="ELS52" s="211"/>
      <c r="ELT52" s="211"/>
      <c r="ELU52" s="211"/>
      <c r="ELV52" s="211"/>
      <c r="ELW52" s="211"/>
      <c r="ELX52" s="211"/>
      <c r="ELY52" s="211"/>
      <c r="ELZ52" s="211"/>
      <c r="EMA52" s="211"/>
      <c r="EMB52" s="211"/>
      <c r="EMC52" s="211"/>
      <c r="EMD52" s="211"/>
      <c r="EME52" s="211"/>
      <c r="EMF52" s="211"/>
      <c r="EMG52" s="211"/>
      <c r="EMH52" s="211"/>
      <c r="EMI52" s="211"/>
      <c r="EMJ52" s="211"/>
      <c r="EMK52" s="211"/>
      <c r="EML52" s="211"/>
      <c r="EMM52" s="211"/>
      <c r="EMN52" s="211"/>
      <c r="EMO52" s="211"/>
      <c r="EMP52" s="211"/>
      <c r="EMQ52" s="211"/>
      <c r="EMR52" s="211"/>
      <c r="EMS52" s="211"/>
      <c r="EMT52" s="211"/>
      <c r="EMU52" s="211"/>
      <c r="EMV52" s="211"/>
      <c r="EMW52" s="211"/>
      <c r="EMX52" s="211"/>
      <c r="EMY52" s="211"/>
      <c r="EMZ52" s="211"/>
      <c r="ENA52" s="211"/>
      <c r="ENB52" s="211"/>
      <c r="ENC52" s="211"/>
      <c r="END52" s="211"/>
      <c r="ENE52" s="211"/>
      <c r="ENF52" s="211"/>
      <c r="ENG52" s="211"/>
      <c r="ENH52" s="211"/>
      <c r="ENI52" s="211"/>
      <c r="ENJ52" s="211"/>
      <c r="ENK52" s="211"/>
      <c r="ENL52" s="211"/>
      <c r="ENM52" s="211"/>
      <c r="ENN52" s="211"/>
      <c r="ENO52" s="211"/>
      <c r="ENP52" s="211"/>
      <c r="ENQ52" s="211"/>
      <c r="ENR52" s="211"/>
      <c r="ENS52" s="211"/>
      <c r="ENT52" s="211"/>
      <c r="ENU52" s="211"/>
      <c r="ENV52" s="211"/>
      <c r="ENW52" s="211"/>
      <c r="ENX52" s="211"/>
      <c r="ENY52" s="211"/>
      <c r="ENZ52" s="211"/>
      <c r="EOA52" s="211"/>
      <c r="EOB52" s="211"/>
      <c r="EOC52" s="211"/>
      <c r="EOD52" s="211"/>
      <c r="EOE52" s="211"/>
      <c r="EOF52" s="211"/>
      <c r="EOG52" s="211"/>
      <c r="EOH52" s="211"/>
      <c r="EOI52" s="211"/>
      <c r="EOJ52" s="211"/>
      <c r="EOK52" s="211"/>
      <c r="EOL52" s="211"/>
      <c r="EOM52" s="211"/>
      <c r="EON52" s="211"/>
      <c r="EOO52" s="211"/>
      <c r="EOP52" s="211"/>
      <c r="EOQ52" s="211"/>
      <c r="EOR52" s="211"/>
      <c r="EOS52" s="211"/>
      <c r="EOT52" s="211"/>
      <c r="EOU52" s="211"/>
      <c r="EOV52" s="211"/>
      <c r="EOW52" s="211"/>
      <c r="EOX52" s="211"/>
      <c r="EOY52" s="211"/>
      <c r="EOZ52" s="211"/>
      <c r="EPA52" s="211"/>
      <c r="EPB52" s="211"/>
      <c r="EPC52" s="211"/>
      <c r="EPD52" s="211"/>
      <c r="EPE52" s="211"/>
      <c r="EPF52" s="211"/>
      <c r="EPG52" s="211"/>
      <c r="EPH52" s="211"/>
      <c r="EPI52" s="211"/>
      <c r="EPJ52" s="211"/>
      <c r="EPK52" s="211"/>
      <c r="EPL52" s="211"/>
      <c r="EPM52" s="211"/>
      <c r="EPN52" s="211"/>
      <c r="EPO52" s="211"/>
      <c r="EPP52" s="211"/>
      <c r="EPQ52" s="211"/>
      <c r="EPR52" s="211"/>
      <c r="EPS52" s="211"/>
      <c r="EPT52" s="211"/>
      <c r="EPU52" s="211"/>
      <c r="EPV52" s="211"/>
      <c r="EPW52" s="211"/>
      <c r="EPX52" s="211"/>
      <c r="EPY52" s="211"/>
      <c r="EPZ52" s="211"/>
      <c r="EQA52" s="211"/>
      <c r="EQB52" s="211"/>
      <c r="EQC52" s="211"/>
      <c r="EQD52" s="211"/>
      <c r="EQE52" s="211"/>
      <c r="EQF52" s="211"/>
      <c r="EQG52" s="211"/>
      <c r="EQH52" s="211"/>
      <c r="EQI52" s="211"/>
      <c r="EQJ52" s="211"/>
      <c r="EQK52" s="211"/>
      <c r="EQL52" s="211"/>
      <c r="EQM52" s="211"/>
      <c r="EQN52" s="211"/>
      <c r="EQO52" s="211"/>
      <c r="EQP52" s="211"/>
      <c r="EQQ52" s="211"/>
      <c r="EQR52" s="211"/>
      <c r="EQS52" s="211"/>
      <c r="EQT52" s="211"/>
      <c r="EQU52" s="211"/>
      <c r="EQV52" s="211"/>
      <c r="EQW52" s="211"/>
      <c r="EQX52" s="211"/>
      <c r="EQY52" s="211"/>
      <c r="EQZ52" s="211"/>
      <c r="ERA52" s="211"/>
      <c r="ERB52" s="211"/>
      <c r="ERC52" s="211"/>
      <c r="ERD52" s="211"/>
      <c r="ERE52" s="211"/>
      <c r="ERF52" s="211"/>
      <c r="ERG52" s="211"/>
      <c r="ERH52" s="211"/>
      <c r="ERI52" s="211"/>
      <c r="ERJ52" s="211"/>
      <c r="ERK52" s="211"/>
      <c r="ERL52" s="211"/>
      <c r="ERM52" s="211"/>
      <c r="ERN52" s="211"/>
      <c r="ERO52" s="211"/>
      <c r="ERP52" s="211"/>
      <c r="ERQ52" s="211"/>
      <c r="ERR52" s="211"/>
      <c r="ERS52" s="211"/>
      <c r="ERT52" s="211"/>
      <c r="ERU52" s="211"/>
      <c r="ERV52" s="211"/>
      <c r="ERW52" s="211"/>
      <c r="ERX52" s="211"/>
      <c r="ERY52" s="211"/>
      <c r="ERZ52" s="211"/>
      <c r="ESA52" s="211"/>
      <c r="ESB52" s="211"/>
      <c r="ESC52" s="211"/>
      <c r="ESD52" s="211"/>
      <c r="ESE52" s="211"/>
      <c r="ESF52" s="211"/>
      <c r="ESG52" s="211"/>
      <c r="ESH52" s="211"/>
      <c r="ESI52" s="211"/>
      <c r="ESJ52" s="211"/>
      <c r="ESK52" s="211"/>
      <c r="ESL52" s="211"/>
      <c r="ESM52" s="211"/>
      <c r="ESN52" s="211"/>
      <c r="ESO52" s="211"/>
      <c r="ESP52" s="211"/>
      <c r="ESQ52" s="211"/>
      <c r="ESR52" s="211"/>
      <c r="ESS52" s="211"/>
      <c r="EST52" s="211"/>
      <c r="ESU52" s="211"/>
      <c r="ESV52" s="211"/>
      <c r="ESW52" s="211"/>
      <c r="ESX52" s="211"/>
      <c r="ESY52" s="211"/>
      <c r="ESZ52" s="211"/>
      <c r="ETA52" s="211"/>
      <c r="ETB52" s="211"/>
      <c r="ETC52" s="211"/>
      <c r="ETD52" s="211"/>
      <c r="ETE52" s="211"/>
      <c r="ETF52" s="211"/>
      <c r="ETG52" s="211"/>
      <c r="ETH52" s="211"/>
      <c r="ETI52" s="211"/>
      <c r="ETJ52" s="211"/>
      <c r="ETK52" s="211"/>
      <c r="ETL52" s="211"/>
      <c r="ETM52" s="211"/>
      <c r="ETN52" s="211"/>
      <c r="ETO52" s="211"/>
      <c r="ETP52" s="211"/>
      <c r="ETQ52" s="211"/>
      <c r="ETR52" s="211"/>
      <c r="ETS52" s="211"/>
      <c r="ETT52" s="211"/>
      <c r="ETU52" s="211"/>
      <c r="ETV52" s="211"/>
      <c r="ETW52" s="211"/>
      <c r="ETX52" s="211"/>
      <c r="ETY52" s="211"/>
      <c r="ETZ52" s="211"/>
      <c r="EUA52" s="211"/>
      <c r="EUB52" s="211"/>
      <c r="EUC52" s="211"/>
      <c r="EUD52" s="211"/>
      <c r="EUE52" s="211"/>
      <c r="EUF52" s="211"/>
      <c r="EUG52" s="211"/>
      <c r="EUH52" s="211"/>
      <c r="EUI52" s="211"/>
      <c r="EUJ52" s="211"/>
      <c r="EUK52" s="211"/>
      <c r="EUL52" s="211"/>
      <c r="EUM52" s="211"/>
      <c r="EUN52" s="211"/>
      <c r="EUO52" s="211"/>
      <c r="EUP52" s="211"/>
      <c r="EUQ52" s="211"/>
      <c r="EUR52" s="211"/>
      <c r="EUS52" s="211"/>
      <c r="EUT52" s="211"/>
      <c r="EUU52" s="211"/>
      <c r="EUV52" s="211"/>
      <c r="EUW52" s="211"/>
      <c r="EUX52" s="211"/>
      <c r="EUY52" s="211"/>
      <c r="EUZ52" s="211"/>
      <c r="EVA52" s="211"/>
      <c r="EVB52" s="211"/>
      <c r="EVC52" s="211"/>
      <c r="EVD52" s="211"/>
      <c r="EVE52" s="211"/>
      <c r="EVF52" s="211"/>
      <c r="EVG52" s="211"/>
      <c r="EVH52" s="211"/>
      <c r="EVI52" s="211"/>
      <c r="EVJ52" s="211"/>
      <c r="EVK52" s="211"/>
      <c r="EVL52" s="211"/>
      <c r="EVM52" s="211"/>
      <c r="EVN52" s="211"/>
      <c r="EVO52" s="211"/>
      <c r="EVP52" s="211"/>
      <c r="EVQ52" s="211"/>
      <c r="EVR52" s="211"/>
      <c r="EVS52" s="211"/>
      <c r="EVT52" s="211"/>
      <c r="EVU52" s="211"/>
      <c r="EVV52" s="211"/>
      <c r="EVW52" s="211"/>
      <c r="EVX52" s="211"/>
      <c r="EVY52" s="211"/>
      <c r="EVZ52" s="211"/>
      <c r="EWA52" s="211"/>
      <c r="EWB52" s="211"/>
      <c r="EWC52" s="211"/>
      <c r="EWD52" s="211"/>
      <c r="EWE52" s="211"/>
      <c r="EWF52" s="211"/>
      <c r="EWG52" s="211"/>
      <c r="EWH52" s="211"/>
      <c r="EWI52" s="211"/>
      <c r="EWJ52" s="211"/>
      <c r="EWK52" s="211"/>
      <c r="EWL52" s="211"/>
      <c r="EWM52" s="211"/>
      <c r="EWN52" s="211"/>
      <c r="EWO52" s="211"/>
      <c r="EWP52" s="211"/>
      <c r="EWQ52" s="211"/>
      <c r="EWR52" s="211"/>
      <c r="EWS52" s="211"/>
      <c r="EWT52" s="211"/>
      <c r="EWU52" s="211"/>
      <c r="EWV52" s="211"/>
      <c r="EWW52" s="211"/>
      <c r="EWX52" s="211"/>
      <c r="EWY52" s="211"/>
      <c r="EWZ52" s="211"/>
      <c r="EXA52" s="211"/>
      <c r="EXB52" s="211"/>
      <c r="EXC52" s="211"/>
      <c r="EXD52" s="211"/>
      <c r="EXE52" s="211"/>
      <c r="EXF52" s="211"/>
      <c r="EXG52" s="211"/>
      <c r="EXH52" s="211"/>
      <c r="EXI52" s="211"/>
      <c r="EXJ52" s="211"/>
      <c r="EXK52" s="211"/>
      <c r="EXL52" s="211"/>
      <c r="EXM52" s="211"/>
      <c r="EXN52" s="211"/>
      <c r="EXO52" s="211"/>
      <c r="EXP52" s="211"/>
      <c r="EXQ52" s="211"/>
      <c r="EXR52" s="211"/>
      <c r="EXS52" s="211"/>
      <c r="EXT52" s="211"/>
      <c r="EXU52" s="211"/>
      <c r="EXV52" s="211"/>
      <c r="EXW52" s="211"/>
      <c r="EXX52" s="211"/>
      <c r="EXY52" s="211"/>
      <c r="EXZ52" s="211"/>
      <c r="EYA52" s="211"/>
      <c r="EYB52" s="211"/>
      <c r="EYC52" s="211"/>
      <c r="EYD52" s="211"/>
      <c r="EYE52" s="211"/>
      <c r="EYF52" s="211"/>
      <c r="EYG52" s="211"/>
      <c r="EYH52" s="211"/>
      <c r="EYI52" s="211"/>
      <c r="EYJ52" s="211"/>
      <c r="EYK52" s="211"/>
      <c r="EYL52" s="211"/>
      <c r="EYM52" s="211"/>
      <c r="EYN52" s="211"/>
      <c r="EYO52" s="211"/>
      <c r="EYP52" s="211"/>
      <c r="EYQ52" s="211"/>
      <c r="EYR52" s="211"/>
      <c r="EYS52" s="211"/>
      <c r="EYT52" s="211"/>
      <c r="EYU52" s="211"/>
      <c r="EYV52" s="211"/>
      <c r="EYW52" s="211"/>
      <c r="EYX52" s="211"/>
      <c r="EYY52" s="211"/>
      <c r="EYZ52" s="211"/>
      <c r="EZA52" s="211"/>
      <c r="EZB52" s="211"/>
      <c r="EZC52" s="211"/>
      <c r="EZD52" s="211"/>
      <c r="EZE52" s="211"/>
      <c r="EZF52" s="211"/>
      <c r="EZG52" s="211"/>
      <c r="EZH52" s="211"/>
      <c r="EZI52" s="211"/>
      <c r="EZJ52" s="211"/>
      <c r="EZK52" s="211"/>
      <c r="EZL52" s="211"/>
      <c r="EZM52" s="211"/>
      <c r="EZN52" s="211"/>
      <c r="EZO52" s="211"/>
      <c r="EZP52" s="211"/>
      <c r="EZQ52" s="211"/>
      <c r="EZR52" s="211"/>
      <c r="EZS52" s="211"/>
      <c r="EZT52" s="211"/>
      <c r="EZU52" s="211"/>
      <c r="EZV52" s="211"/>
      <c r="EZW52" s="211"/>
      <c r="EZX52" s="211"/>
      <c r="EZY52" s="211"/>
      <c r="EZZ52" s="211"/>
      <c r="FAA52" s="211"/>
      <c r="FAB52" s="211"/>
      <c r="FAC52" s="211"/>
      <c r="FAD52" s="211"/>
      <c r="FAE52" s="211"/>
      <c r="FAF52" s="211"/>
      <c r="FAG52" s="211"/>
      <c r="FAH52" s="211"/>
      <c r="FAI52" s="211"/>
      <c r="FAJ52" s="211"/>
      <c r="FAK52" s="211"/>
      <c r="FAL52" s="211"/>
      <c r="FAM52" s="211"/>
      <c r="FAN52" s="211"/>
      <c r="FAO52" s="211"/>
      <c r="FAP52" s="211"/>
      <c r="FAQ52" s="211"/>
      <c r="FAR52" s="211"/>
      <c r="FAS52" s="211"/>
      <c r="FAT52" s="211"/>
      <c r="FAU52" s="211"/>
      <c r="FAV52" s="211"/>
      <c r="FAW52" s="211"/>
      <c r="FAX52" s="211"/>
      <c r="FAY52" s="211"/>
      <c r="FAZ52" s="211"/>
      <c r="FBA52" s="211"/>
      <c r="FBB52" s="211"/>
      <c r="FBC52" s="211"/>
      <c r="FBD52" s="211"/>
      <c r="FBE52" s="211"/>
      <c r="FBF52" s="211"/>
      <c r="FBG52" s="211"/>
      <c r="FBH52" s="211"/>
      <c r="FBI52" s="211"/>
      <c r="FBJ52" s="211"/>
      <c r="FBK52" s="211"/>
      <c r="FBL52" s="211"/>
      <c r="FBM52" s="211"/>
      <c r="FBN52" s="211"/>
      <c r="FBO52" s="211"/>
      <c r="FBP52" s="211"/>
      <c r="FBQ52" s="211"/>
      <c r="FBR52" s="211"/>
      <c r="FBS52" s="211"/>
      <c r="FBT52" s="211"/>
      <c r="FBU52" s="211"/>
      <c r="FBV52" s="211"/>
      <c r="FBW52" s="211"/>
      <c r="FBX52" s="211"/>
      <c r="FBY52" s="211"/>
      <c r="FBZ52" s="211"/>
      <c r="FCA52" s="211"/>
      <c r="FCB52" s="211"/>
      <c r="FCC52" s="211"/>
      <c r="FCD52" s="211"/>
      <c r="FCE52" s="211"/>
      <c r="FCF52" s="211"/>
      <c r="FCG52" s="211"/>
      <c r="FCH52" s="211"/>
      <c r="FCI52" s="211"/>
      <c r="FCJ52" s="211"/>
      <c r="FCK52" s="211"/>
      <c r="FCL52" s="211"/>
      <c r="FCM52" s="211"/>
      <c r="FCN52" s="211"/>
      <c r="FCO52" s="211"/>
      <c r="FCP52" s="211"/>
      <c r="FCQ52" s="211"/>
      <c r="FCR52" s="211"/>
      <c r="FCS52" s="211"/>
      <c r="FCT52" s="211"/>
      <c r="FCU52" s="211"/>
      <c r="FCV52" s="211"/>
      <c r="FCW52" s="211"/>
      <c r="FCX52" s="211"/>
      <c r="FCY52" s="211"/>
      <c r="FCZ52" s="211"/>
      <c r="FDA52" s="211"/>
      <c r="FDB52" s="211"/>
      <c r="FDC52" s="211"/>
      <c r="FDD52" s="211"/>
      <c r="FDE52" s="211"/>
      <c r="FDF52" s="211"/>
      <c r="FDG52" s="211"/>
      <c r="FDH52" s="211"/>
      <c r="FDI52" s="211"/>
      <c r="FDJ52" s="211"/>
      <c r="FDK52" s="211"/>
      <c r="FDL52" s="211"/>
      <c r="FDM52" s="211"/>
      <c r="FDN52" s="211"/>
      <c r="FDO52" s="211"/>
      <c r="FDP52" s="211"/>
      <c r="FDQ52" s="211"/>
      <c r="FDR52" s="211"/>
      <c r="FDS52" s="211"/>
      <c r="FDT52" s="211"/>
      <c r="FDU52" s="211"/>
      <c r="FDV52" s="211"/>
      <c r="FDW52" s="211"/>
      <c r="FDX52" s="211"/>
      <c r="FDY52" s="211"/>
      <c r="FDZ52" s="211"/>
      <c r="FEA52" s="211"/>
      <c r="FEB52" s="211"/>
      <c r="FEC52" s="211"/>
      <c r="FED52" s="211"/>
      <c r="FEE52" s="211"/>
      <c r="FEF52" s="211"/>
      <c r="FEG52" s="211"/>
      <c r="FEH52" s="211"/>
      <c r="FEI52" s="211"/>
      <c r="FEJ52" s="211"/>
      <c r="FEK52" s="211"/>
      <c r="FEL52" s="211"/>
      <c r="FEM52" s="211"/>
      <c r="FEN52" s="211"/>
      <c r="FEO52" s="211"/>
      <c r="FEP52" s="211"/>
      <c r="FEQ52" s="211"/>
      <c r="FER52" s="211"/>
      <c r="FES52" s="211"/>
      <c r="FET52" s="211"/>
      <c r="FEU52" s="211"/>
      <c r="FEV52" s="211"/>
      <c r="FEW52" s="211"/>
      <c r="FEX52" s="211"/>
      <c r="FEY52" s="211"/>
      <c r="FEZ52" s="211"/>
      <c r="FFA52" s="211"/>
      <c r="FFB52" s="211"/>
      <c r="FFC52" s="211"/>
      <c r="FFD52" s="211"/>
      <c r="FFE52" s="211"/>
      <c r="FFF52" s="211"/>
      <c r="FFG52" s="211"/>
      <c r="FFH52" s="211"/>
      <c r="FFI52" s="211"/>
      <c r="FFJ52" s="211"/>
      <c r="FFK52" s="211"/>
      <c r="FFL52" s="211"/>
      <c r="FFM52" s="211"/>
      <c r="FFN52" s="211"/>
      <c r="FFO52" s="211"/>
      <c r="FFP52" s="211"/>
      <c r="FFQ52" s="211"/>
      <c r="FFR52" s="211"/>
      <c r="FFS52" s="211"/>
      <c r="FFT52" s="211"/>
      <c r="FFU52" s="211"/>
      <c r="FFV52" s="211"/>
      <c r="FFW52" s="211"/>
      <c r="FFX52" s="211"/>
      <c r="FFY52" s="211"/>
      <c r="FFZ52" s="211"/>
      <c r="FGA52" s="211"/>
      <c r="FGB52" s="211"/>
      <c r="FGC52" s="211"/>
      <c r="FGD52" s="211"/>
      <c r="FGE52" s="211"/>
      <c r="FGF52" s="211"/>
      <c r="FGG52" s="211"/>
      <c r="FGH52" s="211"/>
      <c r="FGI52" s="211"/>
      <c r="FGJ52" s="211"/>
      <c r="FGK52" s="211"/>
      <c r="FGL52" s="211"/>
      <c r="FGM52" s="211"/>
      <c r="FGN52" s="211"/>
      <c r="FGO52" s="211"/>
      <c r="FGP52" s="211"/>
      <c r="FGQ52" s="211"/>
      <c r="FGR52" s="211"/>
      <c r="FGS52" s="211"/>
      <c r="FGT52" s="211"/>
      <c r="FGU52" s="211"/>
      <c r="FGV52" s="211"/>
      <c r="FGW52" s="211"/>
      <c r="FGX52" s="211"/>
      <c r="FGY52" s="211"/>
      <c r="FGZ52" s="211"/>
      <c r="FHA52" s="211"/>
      <c r="FHB52" s="211"/>
      <c r="FHC52" s="211"/>
      <c r="FHD52" s="211"/>
      <c r="FHE52" s="211"/>
      <c r="FHF52" s="211"/>
      <c r="FHG52" s="211"/>
      <c r="FHH52" s="211"/>
      <c r="FHI52" s="211"/>
      <c r="FHJ52" s="211"/>
      <c r="FHK52" s="211"/>
      <c r="FHL52" s="211"/>
      <c r="FHM52" s="211"/>
      <c r="FHN52" s="211"/>
      <c r="FHO52" s="211"/>
      <c r="FHP52" s="211"/>
      <c r="FHQ52" s="211"/>
      <c r="FHR52" s="211"/>
      <c r="FHS52" s="211"/>
      <c r="FHT52" s="211"/>
      <c r="FHU52" s="211"/>
      <c r="FHV52" s="211"/>
      <c r="FHW52" s="211"/>
      <c r="FHX52" s="211"/>
      <c r="FHY52" s="211"/>
      <c r="FHZ52" s="211"/>
      <c r="FIA52" s="211"/>
      <c r="FIB52" s="211"/>
      <c r="FIC52" s="211"/>
      <c r="FID52" s="211"/>
      <c r="FIE52" s="211"/>
      <c r="FIF52" s="211"/>
      <c r="FIG52" s="211"/>
      <c r="FIH52" s="211"/>
      <c r="FII52" s="211"/>
      <c r="FIJ52" s="211"/>
      <c r="FIK52" s="211"/>
      <c r="FIL52" s="211"/>
      <c r="FIM52" s="211"/>
      <c r="FIN52" s="211"/>
      <c r="FIO52" s="211"/>
      <c r="FIP52" s="211"/>
      <c r="FIQ52" s="211"/>
      <c r="FIR52" s="211"/>
      <c r="FIS52" s="211"/>
      <c r="FIT52" s="211"/>
      <c r="FIU52" s="211"/>
      <c r="FIV52" s="211"/>
      <c r="FIW52" s="211"/>
      <c r="FIX52" s="211"/>
      <c r="FIY52" s="211"/>
      <c r="FIZ52" s="211"/>
      <c r="FJA52" s="211"/>
      <c r="FJB52" s="211"/>
      <c r="FJC52" s="211"/>
      <c r="FJD52" s="211"/>
      <c r="FJE52" s="211"/>
      <c r="FJF52" s="211"/>
      <c r="FJG52" s="211"/>
      <c r="FJH52" s="211"/>
      <c r="FJI52" s="211"/>
      <c r="FJJ52" s="211"/>
      <c r="FJK52" s="211"/>
      <c r="FJL52" s="211"/>
      <c r="FJM52" s="211"/>
      <c r="FJN52" s="211"/>
      <c r="FJO52" s="211"/>
      <c r="FJP52" s="211"/>
      <c r="FJQ52" s="211"/>
      <c r="FJR52" s="211"/>
      <c r="FJS52" s="211"/>
      <c r="FJT52" s="211"/>
      <c r="FJU52" s="211"/>
      <c r="FJV52" s="211"/>
      <c r="FJW52" s="211"/>
      <c r="FJX52" s="211"/>
      <c r="FJY52" s="211"/>
      <c r="FJZ52" s="211"/>
      <c r="FKA52" s="211"/>
      <c r="FKB52" s="211"/>
      <c r="FKC52" s="211"/>
      <c r="FKD52" s="211"/>
      <c r="FKE52" s="211"/>
      <c r="FKF52" s="211"/>
      <c r="FKG52" s="211"/>
      <c r="FKH52" s="211"/>
      <c r="FKI52" s="211"/>
      <c r="FKJ52" s="211"/>
      <c r="FKK52" s="211"/>
      <c r="FKL52" s="211"/>
      <c r="FKM52" s="211"/>
      <c r="FKN52" s="211"/>
      <c r="FKO52" s="211"/>
      <c r="FKP52" s="211"/>
      <c r="FKQ52" s="211"/>
      <c r="FKR52" s="211"/>
      <c r="FKS52" s="211"/>
      <c r="FKT52" s="211"/>
      <c r="FKU52" s="211"/>
      <c r="FKV52" s="211"/>
      <c r="FKW52" s="211"/>
      <c r="FKX52" s="211"/>
      <c r="FKY52" s="211"/>
      <c r="FKZ52" s="211"/>
      <c r="FLA52" s="211"/>
      <c r="FLB52" s="211"/>
      <c r="FLC52" s="211"/>
      <c r="FLD52" s="211"/>
      <c r="FLE52" s="211"/>
      <c r="FLF52" s="211"/>
      <c r="FLG52" s="211"/>
      <c r="FLH52" s="211"/>
      <c r="FLI52" s="211"/>
      <c r="FLJ52" s="211"/>
      <c r="FLK52" s="211"/>
      <c r="FLL52" s="211"/>
      <c r="FLM52" s="211"/>
      <c r="FLN52" s="211"/>
      <c r="FLO52" s="211"/>
      <c r="FLP52" s="211"/>
      <c r="FLQ52" s="211"/>
      <c r="FLR52" s="211"/>
      <c r="FLS52" s="211"/>
      <c r="FLT52" s="211"/>
      <c r="FLU52" s="211"/>
      <c r="FLV52" s="211"/>
      <c r="FLW52" s="211"/>
      <c r="FLX52" s="211"/>
      <c r="FLY52" s="211"/>
      <c r="FLZ52" s="211"/>
      <c r="FMA52" s="211"/>
      <c r="FMB52" s="211"/>
      <c r="FMC52" s="211"/>
      <c r="FMD52" s="211"/>
      <c r="FME52" s="211"/>
      <c r="FMF52" s="211"/>
      <c r="FMG52" s="211"/>
      <c r="FMH52" s="211"/>
      <c r="FMI52" s="211"/>
      <c r="FMJ52" s="211"/>
      <c r="FMK52" s="211"/>
      <c r="FML52" s="211"/>
      <c r="FMM52" s="211"/>
      <c r="FMN52" s="211"/>
      <c r="FMO52" s="211"/>
      <c r="FMP52" s="211"/>
      <c r="FMQ52" s="211"/>
      <c r="FMR52" s="211"/>
      <c r="FMS52" s="211"/>
      <c r="FMT52" s="211"/>
      <c r="FMU52" s="211"/>
      <c r="FMV52" s="211"/>
      <c r="FMW52" s="211"/>
      <c r="FMX52" s="211"/>
      <c r="FMY52" s="211"/>
      <c r="FMZ52" s="211"/>
      <c r="FNA52" s="211"/>
      <c r="FNB52" s="211"/>
      <c r="FNC52" s="211"/>
      <c r="FND52" s="211"/>
      <c r="FNE52" s="211"/>
      <c r="FNF52" s="211"/>
      <c r="FNG52" s="211"/>
      <c r="FNH52" s="211"/>
      <c r="FNI52" s="211"/>
      <c r="FNJ52" s="211"/>
      <c r="FNK52" s="211"/>
      <c r="FNL52" s="211"/>
      <c r="FNM52" s="211"/>
      <c r="FNN52" s="211"/>
      <c r="FNO52" s="211"/>
      <c r="FNP52" s="211"/>
      <c r="FNQ52" s="211"/>
      <c r="FNR52" s="211"/>
      <c r="FNS52" s="211"/>
      <c r="FNT52" s="211"/>
      <c r="FNU52" s="211"/>
      <c r="FNV52" s="211"/>
      <c r="FNW52" s="211"/>
      <c r="FNX52" s="211"/>
      <c r="FNY52" s="211"/>
      <c r="FNZ52" s="211"/>
      <c r="FOA52" s="211"/>
      <c r="FOB52" s="211"/>
      <c r="FOC52" s="211"/>
      <c r="FOD52" s="211"/>
      <c r="FOE52" s="211"/>
      <c r="FOF52" s="211"/>
      <c r="FOG52" s="211"/>
      <c r="FOH52" s="211"/>
      <c r="FOI52" s="211"/>
      <c r="FOJ52" s="211"/>
      <c r="FOK52" s="211"/>
      <c r="FOL52" s="211"/>
      <c r="FOM52" s="211"/>
      <c r="FON52" s="211"/>
      <c r="FOO52" s="211"/>
      <c r="FOP52" s="211"/>
      <c r="FOQ52" s="211"/>
      <c r="FOR52" s="211"/>
      <c r="FOS52" s="211"/>
      <c r="FOT52" s="211"/>
      <c r="FOU52" s="211"/>
      <c r="FOV52" s="211"/>
      <c r="FOW52" s="211"/>
      <c r="FOX52" s="211"/>
      <c r="FOY52" s="211"/>
      <c r="FOZ52" s="211"/>
      <c r="FPA52" s="211"/>
      <c r="FPB52" s="211"/>
      <c r="FPC52" s="211"/>
      <c r="FPD52" s="211"/>
      <c r="FPE52" s="211"/>
      <c r="FPF52" s="211"/>
      <c r="FPG52" s="211"/>
      <c r="FPH52" s="211"/>
      <c r="FPI52" s="211"/>
      <c r="FPJ52" s="211"/>
      <c r="FPK52" s="211"/>
      <c r="FPL52" s="211"/>
      <c r="FPM52" s="211"/>
      <c r="FPN52" s="211"/>
      <c r="FPO52" s="211"/>
      <c r="FPP52" s="211"/>
      <c r="FPQ52" s="211"/>
      <c r="FPR52" s="211"/>
      <c r="FPS52" s="211"/>
      <c r="FPT52" s="211"/>
      <c r="FPU52" s="211"/>
      <c r="FPV52" s="211"/>
      <c r="FPW52" s="211"/>
      <c r="FPX52" s="211"/>
      <c r="FPY52" s="211"/>
      <c r="FPZ52" s="211"/>
      <c r="FQA52" s="211"/>
      <c r="FQB52" s="211"/>
      <c r="FQC52" s="211"/>
      <c r="FQD52" s="211"/>
      <c r="FQE52" s="211"/>
      <c r="FQF52" s="211"/>
      <c r="FQG52" s="211"/>
      <c r="FQH52" s="211"/>
      <c r="FQI52" s="211"/>
      <c r="FQJ52" s="211"/>
      <c r="FQK52" s="211"/>
      <c r="FQL52" s="211"/>
      <c r="FQM52" s="211"/>
      <c r="FQN52" s="211"/>
      <c r="FQO52" s="211"/>
      <c r="FQP52" s="211"/>
      <c r="FQQ52" s="211"/>
      <c r="FQR52" s="211"/>
      <c r="FQS52" s="211"/>
      <c r="FQT52" s="211"/>
      <c r="FQU52" s="211"/>
      <c r="FQV52" s="211"/>
      <c r="FQW52" s="211"/>
      <c r="FQX52" s="211"/>
      <c r="FQY52" s="211"/>
      <c r="FQZ52" s="211"/>
      <c r="FRA52" s="211"/>
      <c r="FRB52" s="211"/>
      <c r="FRC52" s="211"/>
      <c r="FRD52" s="211"/>
      <c r="FRE52" s="211"/>
      <c r="FRF52" s="211"/>
      <c r="FRG52" s="211"/>
      <c r="FRH52" s="211"/>
      <c r="FRI52" s="211"/>
      <c r="FRJ52" s="211"/>
      <c r="FRK52" s="211"/>
      <c r="FRL52" s="211"/>
      <c r="FRM52" s="211"/>
      <c r="FRN52" s="211"/>
      <c r="FRO52" s="211"/>
      <c r="FRP52" s="211"/>
      <c r="FRQ52" s="211"/>
      <c r="FRR52" s="211"/>
      <c r="FRS52" s="211"/>
      <c r="FRT52" s="211"/>
      <c r="FRU52" s="211"/>
      <c r="FRV52" s="211"/>
      <c r="FRW52" s="211"/>
      <c r="FRX52" s="211"/>
      <c r="FRY52" s="211"/>
      <c r="FRZ52" s="211"/>
      <c r="FSA52" s="211"/>
      <c r="FSB52" s="211"/>
      <c r="FSC52" s="211"/>
      <c r="FSD52" s="211"/>
      <c r="FSE52" s="211"/>
      <c r="FSF52" s="211"/>
      <c r="FSG52" s="211"/>
      <c r="FSH52" s="211"/>
      <c r="FSI52" s="211"/>
      <c r="FSJ52" s="211"/>
      <c r="FSK52" s="211"/>
      <c r="FSL52" s="211"/>
      <c r="FSM52" s="211"/>
      <c r="FSN52" s="211"/>
      <c r="FSO52" s="211"/>
      <c r="FSP52" s="211"/>
      <c r="FSQ52" s="211"/>
      <c r="FSR52" s="211"/>
      <c r="FSS52" s="211"/>
      <c r="FST52" s="211"/>
      <c r="FSU52" s="211"/>
      <c r="FSV52" s="211"/>
      <c r="FSW52" s="211"/>
      <c r="FSX52" s="211"/>
      <c r="FSY52" s="211"/>
      <c r="FSZ52" s="211"/>
      <c r="FTA52" s="211"/>
      <c r="FTB52" s="211"/>
      <c r="FTC52" s="211"/>
      <c r="FTD52" s="211"/>
      <c r="FTE52" s="211"/>
      <c r="FTF52" s="211"/>
      <c r="FTG52" s="211"/>
      <c r="FTH52" s="211"/>
      <c r="FTI52" s="211"/>
      <c r="FTJ52" s="211"/>
      <c r="FTK52" s="211"/>
      <c r="FTL52" s="211"/>
      <c r="FTM52" s="211"/>
      <c r="FTN52" s="211"/>
      <c r="FTO52" s="211"/>
      <c r="FTP52" s="211"/>
      <c r="FTQ52" s="211"/>
      <c r="FTR52" s="211"/>
      <c r="FTS52" s="211"/>
      <c r="FTT52" s="211"/>
      <c r="FTU52" s="211"/>
      <c r="FTV52" s="211"/>
      <c r="FTW52" s="211"/>
      <c r="FTX52" s="211"/>
      <c r="FTY52" s="211"/>
      <c r="FTZ52" s="211"/>
      <c r="FUA52" s="211"/>
      <c r="FUB52" s="211"/>
      <c r="FUC52" s="211"/>
      <c r="FUD52" s="211"/>
      <c r="FUE52" s="211"/>
      <c r="FUF52" s="211"/>
      <c r="FUG52" s="211"/>
      <c r="FUH52" s="211"/>
      <c r="FUI52" s="211"/>
      <c r="FUJ52" s="211"/>
      <c r="FUK52" s="211"/>
      <c r="FUL52" s="211"/>
      <c r="FUM52" s="211"/>
      <c r="FUN52" s="211"/>
      <c r="FUO52" s="211"/>
      <c r="FUP52" s="211"/>
      <c r="FUQ52" s="211"/>
      <c r="FUR52" s="211"/>
      <c r="FUS52" s="211"/>
      <c r="FUT52" s="211"/>
      <c r="FUU52" s="211"/>
      <c r="FUV52" s="211"/>
      <c r="FUW52" s="211"/>
      <c r="FUX52" s="211"/>
      <c r="FUY52" s="211"/>
      <c r="FUZ52" s="211"/>
      <c r="FVA52" s="211"/>
      <c r="FVB52" s="211"/>
      <c r="FVC52" s="211"/>
      <c r="FVD52" s="211"/>
      <c r="FVE52" s="211"/>
      <c r="FVF52" s="211"/>
      <c r="FVG52" s="211"/>
      <c r="FVH52" s="211"/>
      <c r="FVI52" s="211"/>
      <c r="FVJ52" s="211"/>
      <c r="FVK52" s="211"/>
      <c r="FVL52" s="211"/>
      <c r="FVM52" s="211"/>
      <c r="FVN52" s="211"/>
      <c r="FVO52" s="211"/>
      <c r="FVP52" s="211"/>
      <c r="FVQ52" s="211"/>
      <c r="FVR52" s="211"/>
      <c r="FVS52" s="211"/>
      <c r="FVT52" s="211"/>
      <c r="FVU52" s="211"/>
      <c r="FVV52" s="211"/>
      <c r="FVW52" s="211"/>
      <c r="FVX52" s="211"/>
      <c r="FVY52" s="211"/>
      <c r="FVZ52" s="211"/>
      <c r="FWA52" s="211"/>
      <c r="FWB52" s="211"/>
      <c r="FWC52" s="211"/>
      <c r="FWD52" s="211"/>
      <c r="FWE52" s="211"/>
      <c r="FWF52" s="211"/>
      <c r="FWG52" s="211"/>
      <c r="FWH52" s="211"/>
      <c r="FWI52" s="211"/>
      <c r="FWJ52" s="211"/>
      <c r="FWK52" s="211"/>
      <c r="FWL52" s="211"/>
      <c r="FWM52" s="211"/>
      <c r="FWN52" s="211"/>
      <c r="FWO52" s="211"/>
      <c r="FWP52" s="211"/>
      <c r="FWQ52" s="211"/>
      <c r="FWR52" s="211"/>
      <c r="FWS52" s="211"/>
      <c r="FWT52" s="211"/>
      <c r="FWU52" s="211"/>
      <c r="FWV52" s="211"/>
      <c r="FWW52" s="211"/>
      <c r="FWX52" s="211"/>
      <c r="FWY52" s="211"/>
      <c r="FWZ52" s="211"/>
      <c r="FXA52" s="211"/>
      <c r="FXB52" s="211"/>
      <c r="FXC52" s="211"/>
      <c r="FXD52" s="211"/>
      <c r="FXE52" s="211"/>
      <c r="FXF52" s="211"/>
      <c r="FXG52" s="211"/>
      <c r="FXH52" s="211"/>
      <c r="FXI52" s="211"/>
      <c r="FXJ52" s="211"/>
      <c r="FXK52" s="211"/>
      <c r="FXL52" s="211"/>
      <c r="FXM52" s="211"/>
      <c r="FXN52" s="211"/>
      <c r="FXO52" s="211"/>
      <c r="FXP52" s="211"/>
      <c r="FXQ52" s="211"/>
      <c r="FXR52" s="211"/>
      <c r="FXS52" s="211"/>
      <c r="FXT52" s="211"/>
      <c r="FXU52" s="211"/>
      <c r="FXV52" s="211"/>
      <c r="FXW52" s="211"/>
      <c r="FXX52" s="211"/>
      <c r="FXY52" s="211"/>
      <c r="FXZ52" s="211"/>
      <c r="FYA52" s="211"/>
      <c r="FYB52" s="211"/>
      <c r="FYC52" s="211"/>
      <c r="FYD52" s="211"/>
      <c r="FYE52" s="211"/>
      <c r="FYF52" s="211"/>
      <c r="FYG52" s="211"/>
      <c r="FYH52" s="211"/>
      <c r="FYI52" s="211"/>
      <c r="FYJ52" s="211"/>
      <c r="FYK52" s="211"/>
      <c r="FYL52" s="211"/>
      <c r="FYM52" s="211"/>
      <c r="FYN52" s="211"/>
      <c r="FYO52" s="211"/>
      <c r="FYP52" s="211"/>
      <c r="FYQ52" s="211"/>
      <c r="FYR52" s="211"/>
      <c r="FYS52" s="211"/>
      <c r="FYT52" s="211"/>
      <c r="FYU52" s="211"/>
      <c r="FYV52" s="211"/>
      <c r="FYW52" s="211"/>
      <c r="FYX52" s="211"/>
      <c r="FYY52" s="211"/>
      <c r="FYZ52" s="211"/>
      <c r="FZA52" s="211"/>
      <c r="FZB52" s="211"/>
      <c r="FZC52" s="211"/>
      <c r="FZD52" s="211"/>
      <c r="FZE52" s="211"/>
      <c r="FZF52" s="211"/>
      <c r="FZG52" s="211"/>
      <c r="FZH52" s="211"/>
      <c r="FZI52" s="211"/>
      <c r="FZJ52" s="211"/>
      <c r="FZK52" s="211"/>
      <c r="FZL52" s="211"/>
      <c r="FZM52" s="211"/>
      <c r="FZN52" s="211"/>
      <c r="FZO52" s="211"/>
      <c r="FZP52" s="211"/>
      <c r="FZQ52" s="211"/>
      <c r="FZR52" s="211"/>
      <c r="FZS52" s="211"/>
      <c r="FZT52" s="211"/>
      <c r="FZU52" s="211"/>
      <c r="FZV52" s="211"/>
      <c r="FZW52" s="211"/>
      <c r="FZX52" s="211"/>
      <c r="FZY52" s="211"/>
      <c r="FZZ52" s="211"/>
      <c r="GAA52" s="211"/>
      <c r="GAB52" s="211"/>
      <c r="GAC52" s="211"/>
      <c r="GAD52" s="211"/>
      <c r="GAE52" s="211"/>
      <c r="GAF52" s="211"/>
      <c r="GAG52" s="211"/>
      <c r="GAH52" s="211"/>
      <c r="GAI52" s="211"/>
      <c r="GAJ52" s="211"/>
      <c r="GAK52" s="211"/>
      <c r="GAL52" s="211"/>
      <c r="GAM52" s="211"/>
      <c r="GAN52" s="211"/>
      <c r="GAO52" s="211"/>
      <c r="GAP52" s="211"/>
      <c r="GAQ52" s="211"/>
      <c r="GAR52" s="211"/>
      <c r="GAS52" s="211"/>
      <c r="GAT52" s="211"/>
      <c r="GAU52" s="211"/>
      <c r="GAV52" s="211"/>
      <c r="GAW52" s="211"/>
      <c r="GAX52" s="211"/>
      <c r="GAY52" s="211"/>
      <c r="GAZ52" s="211"/>
      <c r="GBA52" s="211"/>
      <c r="GBB52" s="211"/>
      <c r="GBC52" s="211"/>
      <c r="GBD52" s="211"/>
      <c r="GBE52" s="211"/>
      <c r="GBF52" s="211"/>
      <c r="GBG52" s="211"/>
      <c r="GBH52" s="211"/>
      <c r="GBI52" s="211"/>
      <c r="GBJ52" s="211"/>
      <c r="GBK52" s="211"/>
      <c r="GBL52" s="211"/>
      <c r="GBM52" s="211"/>
      <c r="GBN52" s="211"/>
      <c r="GBO52" s="211"/>
      <c r="GBP52" s="211"/>
      <c r="GBQ52" s="211"/>
      <c r="GBR52" s="211"/>
      <c r="GBS52" s="211"/>
      <c r="GBT52" s="211"/>
      <c r="GBU52" s="211"/>
      <c r="GBV52" s="211"/>
      <c r="GBW52" s="211"/>
      <c r="GBX52" s="211"/>
      <c r="GBY52" s="211"/>
      <c r="GBZ52" s="211"/>
      <c r="GCA52" s="211"/>
      <c r="GCB52" s="211"/>
      <c r="GCC52" s="211"/>
      <c r="GCD52" s="211"/>
      <c r="GCE52" s="211"/>
      <c r="GCF52" s="211"/>
      <c r="GCG52" s="211"/>
      <c r="GCH52" s="211"/>
      <c r="GCI52" s="211"/>
      <c r="GCJ52" s="211"/>
      <c r="GCK52" s="211"/>
      <c r="GCL52" s="211"/>
      <c r="GCM52" s="211"/>
      <c r="GCN52" s="211"/>
      <c r="GCO52" s="211"/>
      <c r="GCP52" s="211"/>
      <c r="GCQ52" s="211"/>
      <c r="GCR52" s="211"/>
      <c r="GCS52" s="211"/>
      <c r="GCT52" s="211"/>
      <c r="GCU52" s="211"/>
      <c r="GCV52" s="211"/>
      <c r="GCW52" s="211"/>
      <c r="GCX52" s="211"/>
      <c r="GCY52" s="211"/>
      <c r="GCZ52" s="211"/>
      <c r="GDA52" s="211"/>
      <c r="GDB52" s="211"/>
      <c r="GDC52" s="211"/>
      <c r="GDD52" s="211"/>
      <c r="GDE52" s="211"/>
      <c r="GDF52" s="211"/>
      <c r="GDG52" s="211"/>
      <c r="GDH52" s="211"/>
      <c r="GDI52" s="211"/>
      <c r="GDJ52" s="211"/>
      <c r="GDK52" s="211"/>
      <c r="GDL52" s="211"/>
      <c r="GDM52" s="211"/>
      <c r="GDN52" s="211"/>
      <c r="GDO52" s="211"/>
      <c r="GDP52" s="211"/>
      <c r="GDQ52" s="211"/>
      <c r="GDR52" s="211"/>
      <c r="GDS52" s="211"/>
      <c r="GDT52" s="211"/>
      <c r="GDU52" s="211"/>
      <c r="GDV52" s="211"/>
      <c r="GDW52" s="211"/>
      <c r="GDX52" s="211"/>
      <c r="GDY52" s="211"/>
      <c r="GDZ52" s="211"/>
      <c r="GEA52" s="211"/>
      <c r="GEB52" s="211"/>
      <c r="GEC52" s="211"/>
      <c r="GED52" s="211"/>
      <c r="GEE52" s="211"/>
      <c r="GEF52" s="211"/>
      <c r="GEG52" s="211"/>
      <c r="GEH52" s="211"/>
      <c r="GEI52" s="211"/>
      <c r="GEJ52" s="211"/>
      <c r="GEK52" s="211"/>
      <c r="GEL52" s="211"/>
      <c r="GEM52" s="211"/>
      <c r="GEN52" s="211"/>
      <c r="GEO52" s="211"/>
      <c r="GEP52" s="211"/>
      <c r="GEQ52" s="211"/>
      <c r="GER52" s="211"/>
      <c r="GES52" s="211"/>
      <c r="GET52" s="211"/>
      <c r="GEU52" s="211"/>
      <c r="GEV52" s="211"/>
      <c r="GEW52" s="211"/>
      <c r="GEX52" s="211"/>
      <c r="GEY52" s="211"/>
      <c r="GEZ52" s="211"/>
      <c r="GFA52" s="211"/>
      <c r="GFB52" s="211"/>
      <c r="GFC52" s="211"/>
      <c r="GFD52" s="211"/>
      <c r="GFE52" s="211"/>
      <c r="GFF52" s="211"/>
      <c r="GFG52" s="211"/>
      <c r="GFH52" s="211"/>
      <c r="GFI52" s="211"/>
      <c r="GFJ52" s="211"/>
      <c r="GFK52" s="211"/>
      <c r="GFL52" s="211"/>
      <c r="GFM52" s="211"/>
      <c r="GFN52" s="211"/>
      <c r="GFO52" s="211"/>
      <c r="GFP52" s="211"/>
      <c r="GFQ52" s="211"/>
      <c r="GFR52" s="211"/>
      <c r="GFS52" s="211"/>
      <c r="GFT52" s="211"/>
      <c r="GFU52" s="211"/>
      <c r="GFV52" s="211"/>
      <c r="GFW52" s="211"/>
      <c r="GFX52" s="211"/>
      <c r="GFY52" s="211"/>
      <c r="GFZ52" s="211"/>
      <c r="GGA52" s="211"/>
      <c r="GGB52" s="211"/>
      <c r="GGC52" s="211"/>
      <c r="GGD52" s="211"/>
      <c r="GGE52" s="211"/>
      <c r="GGF52" s="211"/>
      <c r="GGG52" s="211"/>
      <c r="GGH52" s="211"/>
      <c r="GGI52" s="211"/>
      <c r="GGJ52" s="211"/>
      <c r="GGK52" s="211"/>
      <c r="GGL52" s="211"/>
      <c r="GGM52" s="211"/>
      <c r="GGN52" s="211"/>
      <c r="GGO52" s="211"/>
      <c r="GGP52" s="211"/>
      <c r="GGQ52" s="211"/>
      <c r="GGR52" s="211"/>
      <c r="GGS52" s="211"/>
      <c r="GGT52" s="211"/>
      <c r="GGU52" s="211"/>
      <c r="GGV52" s="211"/>
      <c r="GGW52" s="211"/>
      <c r="GGX52" s="211"/>
      <c r="GGY52" s="211"/>
      <c r="GGZ52" s="211"/>
      <c r="GHA52" s="211"/>
      <c r="GHB52" s="211"/>
      <c r="GHC52" s="211"/>
      <c r="GHD52" s="211"/>
      <c r="GHE52" s="211"/>
      <c r="GHF52" s="211"/>
      <c r="GHG52" s="211"/>
      <c r="GHH52" s="211"/>
      <c r="GHI52" s="211"/>
      <c r="GHJ52" s="211"/>
      <c r="GHK52" s="211"/>
      <c r="GHL52" s="211"/>
      <c r="GHM52" s="211"/>
      <c r="GHN52" s="211"/>
      <c r="GHO52" s="211"/>
      <c r="GHP52" s="211"/>
      <c r="GHQ52" s="211"/>
      <c r="GHR52" s="211"/>
      <c r="GHS52" s="211"/>
      <c r="GHT52" s="211"/>
      <c r="GHU52" s="211"/>
      <c r="GHV52" s="211"/>
      <c r="GHW52" s="211"/>
      <c r="GHX52" s="211"/>
      <c r="GHY52" s="211"/>
      <c r="GHZ52" s="211"/>
      <c r="GIA52" s="211"/>
      <c r="GIB52" s="211"/>
      <c r="GIC52" s="211"/>
      <c r="GID52" s="211"/>
      <c r="GIE52" s="211"/>
      <c r="GIF52" s="211"/>
      <c r="GIG52" s="211"/>
      <c r="GIH52" s="211"/>
      <c r="GII52" s="211"/>
      <c r="GIJ52" s="211"/>
      <c r="GIK52" s="211"/>
      <c r="GIL52" s="211"/>
      <c r="GIM52" s="211"/>
      <c r="GIN52" s="211"/>
      <c r="GIO52" s="211"/>
      <c r="GIP52" s="211"/>
      <c r="GIQ52" s="211"/>
      <c r="GIR52" s="211"/>
      <c r="GIS52" s="211"/>
      <c r="GIT52" s="211"/>
      <c r="GIU52" s="211"/>
      <c r="GIV52" s="211"/>
      <c r="GIW52" s="211"/>
      <c r="GIX52" s="211"/>
      <c r="GIY52" s="211"/>
      <c r="GIZ52" s="211"/>
      <c r="GJA52" s="211"/>
      <c r="GJB52" s="211"/>
      <c r="GJC52" s="211"/>
      <c r="GJD52" s="211"/>
      <c r="GJE52" s="211"/>
      <c r="GJF52" s="211"/>
      <c r="GJG52" s="211"/>
      <c r="GJH52" s="211"/>
      <c r="GJI52" s="211"/>
      <c r="GJJ52" s="211"/>
      <c r="GJK52" s="211"/>
      <c r="GJL52" s="211"/>
      <c r="GJM52" s="211"/>
      <c r="GJN52" s="211"/>
      <c r="GJO52" s="211"/>
      <c r="GJP52" s="211"/>
      <c r="GJQ52" s="211"/>
      <c r="GJR52" s="211"/>
      <c r="GJS52" s="211"/>
      <c r="GJT52" s="211"/>
      <c r="GJU52" s="211"/>
      <c r="GJV52" s="211"/>
      <c r="GJW52" s="211"/>
      <c r="GJX52" s="211"/>
      <c r="GJY52" s="211"/>
      <c r="GJZ52" s="211"/>
      <c r="GKA52" s="211"/>
      <c r="GKB52" s="211"/>
      <c r="GKC52" s="211"/>
      <c r="GKD52" s="211"/>
      <c r="GKE52" s="211"/>
      <c r="GKF52" s="211"/>
      <c r="GKG52" s="211"/>
      <c r="GKH52" s="211"/>
      <c r="GKI52" s="211"/>
      <c r="GKJ52" s="211"/>
      <c r="GKK52" s="211"/>
      <c r="GKL52" s="211"/>
      <c r="GKM52" s="211"/>
      <c r="GKN52" s="211"/>
      <c r="GKO52" s="211"/>
      <c r="GKP52" s="211"/>
      <c r="GKQ52" s="211"/>
      <c r="GKR52" s="211"/>
      <c r="GKS52" s="211"/>
      <c r="GKT52" s="211"/>
      <c r="GKU52" s="211"/>
      <c r="GKV52" s="211"/>
      <c r="GKW52" s="211"/>
      <c r="GKX52" s="211"/>
      <c r="GKY52" s="211"/>
      <c r="GKZ52" s="211"/>
      <c r="GLA52" s="211"/>
      <c r="GLB52" s="211"/>
      <c r="GLC52" s="211"/>
      <c r="GLD52" s="211"/>
      <c r="GLE52" s="211"/>
      <c r="GLF52" s="211"/>
      <c r="GLG52" s="211"/>
      <c r="GLH52" s="211"/>
      <c r="GLI52" s="211"/>
      <c r="GLJ52" s="211"/>
      <c r="GLK52" s="211"/>
      <c r="GLL52" s="211"/>
      <c r="GLM52" s="211"/>
      <c r="GLN52" s="211"/>
      <c r="GLO52" s="211"/>
      <c r="GLP52" s="211"/>
      <c r="GLQ52" s="211"/>
      <c r="GLR52" s="211"/>
      <c r="GLS52" s="211"/>
      <c r="GLT52" s="211"/>
      <c r="GLU52" s="211"/>
      <c r="GLV52" s="211"/>
      <c r="GLW52" s="211"/>
      <c r="GLX52" s="211"/>
      <c r="GLY52" s="211"/>
      <c r="GLZ52" s="211"/>
      <c r="GMA52" s="211"/>
      <c r="GMB52" s="211"/>
      <c r="GMC52" s="211"/>
      <c r="GMD52" s="211"/>
      <c r="GME52" s="211"/>
      <c r="GMF52" s="211"/>
      <c r="GMG52" s="211"/>
      <c r="GMH52" s="211"/>
      <c r="GMI52" s="211"/>
      <c r="GMJ52" s="211"/>
      <c r="GMK52" s="211"/>
      <c r="GML52" s="211"/>
      <c r="GMM52" s="211"/>
      <c r="GMN52" s="211"/>
      <c r="GMO52" s="211"/>
      <c r="GMP52" s="211"/>
      <c r="GMQ52" s="211"/>
      <c r="GMR52" s="211"/>
      <c r="GMS52" s="211"/>
      <c r="GMT52" s="211"/>
      <c r="GMU52" s="211"/>
      <c r="GMV52" s="211"/>
      <c r="GMW52" s="211"/>
      <c r="GMX52" s="211"/>
      <c r="GMY52" s="211"/>
      <c r="GMZ52" s="211"/>
      <c r="GNA52" s="211"/>
      <c r="GNB52" s="211"/>
      <c r="GNC52" s="211"/>
      <c r="GND52" s="211"/>
      <c r="GNE52" s="211"/>
      <c r="GNF52" s="211"/>
      <c r="GNG52" s="211"/>
      <c r="GNH52" s="211"/>
      <c r="GNI52" s="211"/>
      <c r="GNJ52" s="211"/>
      <c r="GNK52" s="211"/>
      <c r="GNL52" s="211"/>
      <c r="GNM52" s="211"/>
      <c r="GNN52" s="211"/>
      <c r="GNO52" s="211"/>
      <c r="GNP52" s="211"/>
      <c r="GNQ52" s="211"/>
      <c r="GNR52" s="211"/>
      <c r="GNS52" s="211"/>
      <c r="GNT52" s="211"/>
      <c r="GNU52" s="211"/>
      <c r="GNV52" s="211"/>
      <c r="GNW52" s="211"/>
      <c r="GNX52" s="211"/>
      <c r="GNY52" s="211"/>
      <c r="GNZ52" s="211"/>
      <c r="GOA52" s="211"/>
      <c r="GOB52" s="211"/>
      <c r="GOC52" s="211"/>
      <c r="GOD52" s="211"/>
      <c r="GOE52" s="211"/>
      <c r="GOF52" s="211"/>
      <c r="GOG52" s="211"/>
      <c r="GOH52" s="211"/>
      <c r="GOI52" s="211"/>
      <c r="GOJ52" s="211"/>
      <c r="GOK52" s="211"/>
      <c r="GOL52" s="211"/>
      <c r="GOM52" s="211"/>
      <c r="GON52" s="211"/>
      <c r="GOO52" s="211"/>
      <c r="GOP52" s="211"/>
      <c r="GOQ52" s="211"/>
      <c r="GOR52" s="211"/>
      <c r="GOS52" s="211"/>
      <c r="GOT52" s="211"/>
      <c r="GOU52" s="211"/>
      <c r="GOV52" s="211"/>
      <c r="GOW52" s="211"/>
      <c r="GOX52" s="211"/>
      <c r="GOY52" s="211"/>
      <c r="GOZ52" s="211"/>
      <c r="GPA52" s="211"/>
      <c r="GPB52" s="211"/>
      <c r="GPC52" s="211"/>
      <c r="GPD52" s="211"/>
      <c r="GPE52" s="211"/>
      <c r="GPF52" s="211"/>
      <c r="GPG52" s="211"/>
      <c r="GPH52" s="211"/>
      <c r="GPI52" s="211"/>
      <c r="GPJ52" s="211"/>
      <c r="GPK52" s="211"/>
      <c r="GPL52" s="211"/>
      <c r="GPM52" s="211"/>
      <c r="GPN52" s="211"/>
      <c r="GPO52" s="211"/>
      <c r="GPP52" s="211"/>
      <c r="GPQ52" s="211"/>
      <c r="GPR52" s="211"/>
      <c r="GPS52" s="211"/>
      <c r="GPT52" s="211"/>
      <c r="GPU52" s="211"/>
      <c r="GPV52" s="211"/>
      <c r="GPW52" s="211"/>
      <c r="GPX52" s="211"/>
      <c r="GPY52" s="211"/>
      <c r="GPZ52" s="211"/>
      <c r="GQA52" s="211"/>
      <c r="GQB52" s="211"/>
      <c r="GQC52" s="211"/>
      <c r="GQD52" s="211"/>
      <c r="GQE52" s="211"/>
      <c r="GQF52" s="211"/>
      <c r="GQG52" s="211"/>
      <c r="GQH52" s="211"/>
      <c r="GQI52" s="211"/>
      <c r="GQJ52" s="211"/>
      <c r="GQK52" s="211"/>
      <c r="GQL52" s="211"/>
      <c r="GQM52" s="211"/>
      <c r="GQN52" s="211"/>
      <c r="GQO52" s="211"/>
      <c r="GQP52" s="211"/>
      <c r="GQQ52" s="211"/>
      <c r="GQR52" s="211"/>
      <c r="GQS52" s="211"/>
      <c r="GQT52" s="211"/>
      <c r="GQU52" s="211"/>
      <c r="GQV52" s="211"/>
      <c r="GQW52" s="211"/>
      <c r="GQX52" s="211"/>
      <c r="GQY52" s="211"/>
      <c r="GQZ52" s="211"/>
      <c r="GRA52" s="211"/>
      <c r="GRB52" s="211"/>
      <c r="GRC52" s="211"/>
      <c r="GRD52" s="211"/>
      <c r="GRE52" s="211"/>
      <c r="GRF52" s="211"/>
      <c r="GRG52" s="211"/>
      <c r="GRH52" s="211"/>
      <c r="GRI52" s="211"/>
      <c r="GRJ52" s="211"/>
      <c r="GRK52" s="211"/>
      <c r="GRL52" s="211"/>
      <c r="GRM52" s="211"/>
      <c r="GRN52" s="211"/>
      <c r="GRO52" s="211"/>
      <c r="GRP52" s="211"/>
      <c r="GRQ52" s="211"/>
      <c r="GRR52" s="211"/>
      <c r="GRS52" s="211"/>
      <c r="GRT52" s="211"/>
      <c r="GRU52" s="211"/>
      <c r="GRV52" s="211"/>
      <c r="GRW52" s="211"/>
      <c r="GRX52" s="211"/>
      <c r="GRY52" s="211"/>
      <c r="GRZ52" s="211"/>
      <c r="GSA52" s="211"/>
      <c r="GSB52" s="211"/>
      <c r="GSC52" s="211"/>
      <c r="GSD52" s="211"/>
      <c r="GSE52" s="211"/>
      <c r="GSF52" s="211"/>
      <c r="GSG52" s="211"/>
      <c r="GSH52" s="211"/>
      <c r="GSI52" s="211"/>
      <c r="GSJ52" s="211"/>
      <c r="GSK52" s="211"/>
      <c r="GSL52" s="211"/>
      <c r="GSM52" s="211"/>
      <c r="GSN52" s="211"/>
      <c r="GSO52" s="211"/>
      <c r="GSP52" s="211"/>
      <c r="GSQ52" s="211"/>
      <c r="GSR52" s="211"/>
      <c r="GSS52" s="211"/>
      <c r="GST52" s="211"/>
      <c r="GSU52" s="211"/>
      <c r="GSV52" s="211"/>
      <c r="GSW52" s="211"/>
      <c r="GSX52" s="211"/>
      <c r="GSY52" s="211"/>
      <c r="GSZ52" s="211"/>
      <c r="GTA52" s="211"/>
      <c r="GTB52" s="211"/>
      <c r="GTC52" s="211"/>
      <c r="GTD52" s="211"/>
      <c r="GTE52" s="211"/>
      <c r="GTF52" s="211"/>
      <c r="GTG52" s="211"/>
      <c r="GTH52" s="211"/>
      <c r="GTI52" s="211"/>
      <c r="GTJ52" s="211"/>
      <c r="GTK52" s="211"/>
      <c r="GTL52" s="211"/>
      <c r="GTM52" s="211"/>
      <c r="GTN52" s="211"/>
      <c r="GTO52" s="211"/>
      <c r="GTP52" s="211"/>
      <c r="GTQ52" s="211"/>
      <c r="GTR52" s="211"/>
      <c r="GTS52" s="211"/>
      <c r="GTT52" s="211"/>
      <c r="GTU52" s="211"/>
      <c r="GTV52" s="211"/>
      <c r="GTW52" s="211"/>
      <c r="GTX52" s="211"/>
      <c r="GTY52" s="211"/>
      <c r="GTZ52" s="211"/>
      <c r="GUA52" s="211"/>
      <c r="GUB52" s="211"/>
      <c r="GUC52" s="211"/>
      <c r="GUD52" s="211"/>
      <c r="GUE52" s="211"/>
      <c r="GUF52" s="211"/>
      <c r="GUG52" s="211"/>
      <c r="GUH52" s="211"/>
      <c r="GUI52" s="211"/>
      <c r="GUJ52" s="211"/>
      <c r="GUK52" s="211"/>
      <c r="GUL52" s="211"/>
      <c r="GUM52" s="211"/>
      <c r="GUN52" s="211"/>
      <c r="GUO52" s="211"/>
      <c r="GUP52" s="211"/>
      <c r="GUQ52" s="211"/>
      <c r="GUR52" s="211"/>
      <c r="GUS52" s="211"/>
      <c r="GUT52" s="211"/>
      <c r="GUU52" s="211"/>
      <c r="GUV52" s="211"/>
      <c r="GUW52" s="211"/>
      <c r="GUX52" s="211"/>
      <c r="GUY52" s="211"/>
      <c r="GUZ52" s="211"/>
      <c r="GVA52" s="211"/>
      <c r="GVB52" s="211"/>
      <c r="GVC52" s="211"/>
      <c r="GVD52" s="211"/>
      <c r="GVE52" s="211"/>
      <c r="GVF52" s="211"/>
      <c r="GVG52" s="211"/>
      <c r="GVH52" s="211"/>
      <c r="GVI52" s="211"/>
      <c r="GVJ52" s="211"/>
      <c r="GVK52" s="211"/>
      <c r="GVL52" s="211"/>
      <c r="GVM52" s="211"/>
      <c r="GVN52" s="211"/>
      <c r="GVO52" s="211"/>
      <c r="GVP52" s="211"/>
      <c r="GVQ52" s="211"/>
      <c r="GVR52" s="211"/>
      <c r="GVS52" s="211"/>
      <c r="GVT52" s="211"/>
      <c r="GVU52" s="211"/>
      <c r="GVV52" s="211"/>
      <c r="GVW52" s="211"/>
      <c r="GVX52" s="211"/>
      <c r="GVY52" s="211"/>
      <c r="GVZ52" s="211"/>
      <c r="GWA52" s="211"/>
      <c r="GWB52" s="211"/>
      <c r="GWC52" s="211"/>
      <c r="GWD52" s="211"/>
      <c r="GWE52" s="211"/>
      <c r="GWF52" s="211"/>
      <c r="GWG52" s="211"/>
      <c r="GWH52" s="211"/>
      <c r="GWI52" s="211"/>
      <c r="GWJ52" s="211"/>
      <c r="GWK52" s="211"/>
      <c r="GWL52" s="211"/>
      <c r="GWM52" s="211"/>
      <c r="GWN52" s="211"/>
      <c r="GWO52" s="211"/>
      <c r="GWP52" s="211"/>
      <c r="GWQ52" s="211"/>
      <c r="GWR52" s="211"/>
      <c r="GWS52" s="211"/>
      <c r="GWT52" s="211"/>
      <c r="GWU52" s="211"/>
      <c r="GWV52" s="211"/>
      <c r="GWW52" s="211"/>
      <c r="GWX52" s="211"/>
      <c r="GWY52" s="211"/>
      <c r="GWZ52" s="211"/>
      <c r="GXA52" s="211"/>
      <c r="GXB52" s="211"/>
      <c r="GXC52" s="211"/>
      <c r="GXD52" s="211"/>
      <c r="GXE52" s="211"/>
      <c r="GXF52" s="211"/>
      <c r="GXG52" s="211"/>
      <c r="GXH52" s="211"/>
      <c r="GXI52" s="211"/>
      <c r="GXJ52" s="211"/>
      <c r="GXK52" s="211"/>
      <c r="GXL52" s="211"/>
      <c r="GXM52" s="211"/>
      <c r="GXN52" s="211"/>
      <c r="GXO52" s="211"/>
      <c r="GXP52" s="211"/>
      <c r="GXQ52" s="211"/>
      <c r="GXR52" s="211"/>
      <c r="GXS52" s="211"/>
      <c r="GXT52" s="211"/>
      <c r="GXU52" s="211"/>
      <c r="GXV52" s="211"/>
      <c r="GXW52" s="211"/>
      <c r="GXX52" s="211"/>
      <c r="GXY52" s="211"/>
      <c r="GXZ52" s="211"/>
      <c r="GYA52" s="211"/>
      <c r="GYB52" s="211"/>
      <c r="GYC52" s="211"/>
      <c r="GYD52" s="211"/>
      <c r="GYE52" s="211"/>
      <c r="GYF52" s="211"/>
      <c r="GYG52" s="211"/>
      <c r="GYH52" s="211"/>
      <c r="GYI52" s="211"/>
      <c r="GYJ52" s="211"/>
      <c r="GYK52" s="211"/>
      <c r="GYL52" s="211"/>
      <c r="GYM52" s="211"/>
      <c r="GYN52" s="211"/>
      <c r="GYO52" s="211"/>
      <c r="GYP52" s="211"/>
      <c r="GYQ52" s="211"/>
      <c r="GYR52" s="211"/>
      <c r="GYS52" s="211"/>
      <c r="GYT52" s="211"/>
      <c r="GYU52" s="211"/>
      <c r="GYV52" s="211"/>
      <c r="GYW52" s="211"/>
      <c r="GYX52" s="211"/>
      <c r="GYY52" s="211"/>
      <c r="GYZ52" s="211"/>
      <c r="GZA52" s="211"/>
      <c r="GZB52" s="211"/>
      <c r="GZC52" s="211"/>
      <c r="GZD52" s="211"/>
      <c r="GZE52" s="211"/>
      <c r="GZF52" s="211"/>
      <c r="GZG52" s="211"/>
      <c r="GZH52" s="211"/>
      <c r="GZI52" s="211"/>
      <c r="GZJ52" s="211"/>
      <c r="GZK52" s="211"/>
      <c r="GZL52" s="211"/>
      <c r="GZM52" s="211"/>
      <c r="GZN52" s="211"/>
      <c r="GZO52" s="211"/>
      <c r="GZP52" s="211"/>
      <c r="GZQ52" s="211"/>
      <c r="GZR52" s="211"/>
      <c r="GZS52" s="211"/>
      <c r="GZT52" s="211"/>
      <c r="GZU52" s="211"/>
      <c r="GZV52" s="211"/>
      <c r="GZW52" s="211"/>
      <c r="GZX52" s="211"/>
      <c r="GZY52" s="211"/>
      <c r="GZZ52" s="211"/>
      <c r="HAA52" s="211"/>
      <c r="HAB52" s="211"/>
      <c r="HAC52" s="211"/>
      <c r="HAD52" s="211"/>
      <c r="HAE52" s="211"/>
      <c r="HAF52" s="211"/>
      <c r="HAG52" s="211"/>
      <c r="HAH52" s="211"/>
      <c r="HAI52" s="211"/>
      <c r="HAJ52" s="211"/>
      <c r="HAK52" s="211"/>
      <c r="HAL52" s="211"/>
      <c r="HAM52" s="211"/>
      <c r="HAN52" s="211"/>
      <c r="HAO52" s="211"/>
      <c r="HAP52" s="211"/>
      <c r="HAQ52" s="211"/>
      <c r="HAR52" s="211"/>
      <c r="HAS52" s="211"/>
      <c r="HAT52" s="211"/>
      <c r="HAU52" s="211"/>
      <c r="HAV52" s="211"/>
      <c r="HAW52" s="211"/>
      <c r="HAX52" s="211"/>
      <c r="HAY52" s="211"/>
      <c r="HAZ52" s="211"/>
      <c r="HBA52" s="211"/>
      <c r="HBB52" s="211"/>
      <c r="HBC52" s="211"/>
      <c r="HBD52" s="211"/>
      <c r="HBE52" s="211"/>
      <c r="HBF52" s="211"/>
      <c r="HBG52" s="211"/>
      <c r="HBH52" s="211"/>
      <c r="HBI52" s="211"/>
      <c r="HBJ52" s="211"/>
      <c r="HBK52" s="211"/>
      <c r="HBL52" s="211"/>
      <c r="HBM52" s="211"/>
      <c r="HBN52" s="211"/>
      <c r="HBO52" s="211"/>
      <c r="HBP52" s="211"/>
      <c r="HBQ52" s="211"/>
      <c r="HBR52" s="211"/>
      <c r="HBS52" s="211"/>
      <c r="HBT52" s="211"/>
      <c r="HBU52" s="211"/>
      <c r="HBV52" s="211"/>
      <c r="HBW52" s="211"/>
      <c r="HBX52" s="211"/>
      <c r="HBY52" s="211"/>
      <c r="HBZ52" s="211"/>
      <c r="HCA52" s="211"/>
      <c r="HCB52" s="211"/>
      <c r="HCC52" s="211"/>
      <c r="HCD52" s="211"/>
      <c r="HCE52" s="211"/>
      <c r="HCF52" s="211"/>
      <c r="HCG52" s="211"/>
      <c r="HCH52" s="211"/>
      <c r="HCI52" s="211"/>
      <c r="HCJ52" s="211"/>
      <c r="HCK52" s="211"/>
      <c r="HCL52" s="211"/>
      <c r="HCM52" s="211"/>
      <c r="HCN52" s="211"/>
      <c r="HCO52" s="211"/>
      <c r="HCP52" s="211"/>
      <c r="HCQ52" s="211"/>
      <c r="HCR52" s="211"/>
      <c r="HCS52" s="211"/>
      <c r="HCT52" s="211"/>
      <c r="HCU52" s="211"/>
      <c r="HCV52" s="211"/>
      <c r="HCW52" s="211"/>
      <c r="HCX52" s="211"/>
      <c r="HCY52" s="211"/>
      <c r="HCZ52" s="211"/>
      <c r="HDA52" s="211"/>
      <c r="HDB52" s="211"/>
      <c r="HDC52" s="211"/>
      <c r="HDD52" s="211"/>
      <c r="HDE52" s="211"/>
      <c r="HDF52" s="211"/>
      <c r="HDG52" s="211"/>
      <c r="HDH52" s="211"/>
      <c r="HDI52" s="211"/>
      <c r="HDJ52" s="211"/>
      <c r="HDK52" s="211"/>
      <c r="HDL52" s="211"/>
      <c r="HDM52" s="211"/>
      <c r="HDN52" s="211"/>
      <c r="HDO52" s="211"/>
      <c r="HDP52" s="211"/>
      <c r="HDQ52" s="211"/>
      <c r="HDR52" s="211"/>
      <c r="HDS52" s="211"/>
      <c r="HDT52" s="211"/>
      <c r="HDU52" s="211"/>
      <c r="HDV52" s="211"/>
      <c r="HDW52" s="211"/>
      <c r="HDX52" s="211"/>
      <c r="HDY52" s="211"/>
      <c r="HDZ52" s="211"/>
      <c r="HEA52" s="211"/>
      <c r="HEB52" s="211"/>
      <c r="HEC52" s="211"/>
      <c r="HED52" s="211"/>
      <c r="HEE52" s="211"/>
      <c r="HEF52" s="211"/>
      <c r="HEG52" s="211"/>
      <c r="HEH52" s="211"/>
      <c r="HEI52" s="211"/>
      <c r="HEJ52" s="211"/>
      <c r="HEK52" s="211"/>
      <c r="HEL52" s="211"/>
      <c r="HEM52" s="211"/>
      <c r="HEN52" s="211"/>
      <c r="HEO52" s="211"/>
      <c r="HEP52" s="211"/>
      <c r="HEQ52" s="211"/>
      <c r="HER52" s="211"/>
      <c r="HES52" s="211"/>
      <c r="HET52" s="211"/>
      <c r="HEU52" s="211"/>
      <c r="HEV52" s="211"/>
      <c r="HEW52" s="211"/>
      <c r="HEX52" s="211"/>
      <c r="HEY52" s="211"/>
      <c r="HEZ52" s="211"/>
      <c r="HFA52" s="211"/>
      <c r="HFB52" s="211"/>
      <c r="HFC52" s="211"/>
      <c r="HFD52" s="211"/>
      <c r="HFE52" s="211"/>
      <c r="HFF52" s="211"/>
      <c r="HFG52" s="211"/>
      <c r="HFH52" s="211"/>
      <c r="HFI52" s="211"/>
      <c r="HFJ52" s="211"/>
      <c r="HFK52" s="211"/>
      <c r="HFL52" s="211"/>
      <c r="HFM52" s="211"/>
      <c r="HFN52" s="211"/>
      <c r="HFO52" s="211"/>
      <c r="HFP52" s="211"/>
      <c r="HFQ52" s="211"/>
      <c r="HFR52" s="211"/>
      <c r="HFS52" s="211"/>
      <c r="HFT52" s="211"/>
      <c r="HFU52" s="211"/>
      <c r="HFV52" s="211"/>
      <c r="HFW52" s="211"/>
      <c r="HFX52" s="211"/>
      <c r="HFY52" s="211"/>
      <c r="HFZ52" s="211"/>
      <c r="HGA52" s="211"/>
      <c r="HGB52" s="211"/>
      <c r="HGC52" s="211"/>
      <c r="HGD52" s="211"/>
      <c r="HGE52" s="211"/>
      <c r="HGF52" s="211"/>
      <c r="HGG52" s="211"/>
      <c r="HGH52" s="211"/>
      <c r="HGI52" s="211"/>
      <c r="HGJ52" s="211"/>
      <c r="HGK52" s="211"/>
      <c r="HGL52" s="211"/>
      <c r="HGM52" s="211"/>
      <c r="HGN52" s="211"/>
      <c r="HGO52" s="211"/>
      <c r="HGP52" s="211"/>
      <c r="HGQ52" s="211"/>
      <c r="HGR52" s="211"/>
      <c r="HGS52" s="211"/>
      <c r="HGT52" s="211"/>
      <c r="HGU52" s="211"/>
      <c r="HGV52" s="211"/>
      <c r="HGW52" s="211"/>
      <c r="HGX52" s="211"/>
      <c r="HGY52" s="211"/>
      <c r="HGZ52" s="211"/>
      <c r="HHA52" s="211"/>
      <c r="HHB52" s="211"/>
      <c r="HHC52" s="211"/>
      <c r="HHD52" s="211"/>
      <c r="HHE52" s="211"/>
      <c r="HHF52" s="211"/>
      <c r="HHG52" s="211"/>
      <c r="HHH52" s="211"/>
      <c r="HHI52" s="211"/>
      <c r="HHJ52" s="211"/>
      <c r="HHK52" s="211"/>
      <c r="HHL52" s="211"/>
      <c r="HHM52" s="211"/>
      <c r="HHN52" s="211"/>
      <c r="HHO52" s="211"/>
      <c r="HHP52" s="211"/>
      <c r="HHQ52" s="211"/>
      <c r="HHR52" s="211"/>
      <c r="HHS52" s="211"/>
      <c r="HHT52" s="211"/>
      <c r="HHU52" s="211"/>
      <c r="HHV52" s="211"/>
      <c r="HHW52" s="211"/>
      <c r="HHX52" s="211"/>
      <c r="HHY52" s="211"/>
      <c r="HHZ52" s="211"/>
      <c r="HIA52" s="211"/>
      <c r="HIB52" s="211"/>
      <c r="HIC52" s="211"/>
      <c r="HID52" s="211"/>
      <c r="HIE52" s="211"/>
      <c r="HIF52" s="211"/>
      <c r="HIG52" s="211"/>
      <c r="HIH52" s="211"/>
      <c r="HII52" s="211"/>
      <c r="HIJ52" s="211"/>
      <c r="HIK52" s="211"/>
      <c r="HIL52" s="211"/>
      <c r="HIM52" s="211"/>
      <c r="HIN52" s="211"/>
      <c r="HIO52" s="211"/>
      <c r="HIP52" s="211"/>
      <c r="HIQ52" s="211"/>
      <c r="HIR52" s="211"/>
      <c r="HIS52" s="211"/>
      <c r="HIT52" s="211"/>
      <c r="HIU52" s="211"/>
      <c r="HIV52" s="211"/>
      <c r="HIW52" s="211"/>
      <c r="HIX52" s="211"/>
      <c r="HIY52" s="211"/>
      <c r="HIZ52" s="211"/>
      <c r="HJA52" s="211"/>
      <c r="HJB52" s="211"/>
      <c r="HJC52" s="211"/>
      <c r="HJD52" s="211"/>
      <c r="HJE52" s="211"/>
      <c r="HJF52" s="211"/>
      <c r="HJG52" s="211"/>
      <c r="HJH52" s="211"/>
      <c r="HJI52" s="211"/>
      <c r="HJJ52" s="211"/>
      <c r="HJK52" s="211"/>
      <c r="HJL52" s="211"/>
      <c r="HJM52" s="211"/>
      <c r="HJN52" s="211"/>
      <c r="HJO52" s="211"/>
      <c r="HJP52" s="211"/>
      <c r="HJQ52" s="211"/>
      <c r="HJR52" s="211"/>
      <c r="HJS52" s="211"/>
      <c r="HJT52" s="211"/>
      <c r="HJU52" s="211"/>
      <c r="HJV52" s="211"/>
      <c r="HJW52" s="211"/>
      <c r="HJX52" s="211"/>
      <c r="HJY52" s="211"/>
      <c r="HJZ52" s="211"/>
      <c r="HKA52" s="211"/>
      <c r="HKB52" s="211"/>
      <c r="HKC52" s="211"/>
      <c r="HKD52" s="211"/>
      <c r="HKE52" s="211"/>
      <c r="HKF52" s="211"/>
      <c r="HKG52" s="211"/>
      <c r="HKH52" s="211"/>
      <c r="HKI52" s="211"/>
      <c r="HKJ52" s="211"/>
      <c r="HKK52" s="211"/>
      <c r="HKL52" s="211"/>
      <c r="HKM52" s="211"/>
      <c r="HKN52" s="211"/>
      <c r="HKO52" s="211"/>
      <c r="HKP52" s="211"/>
      <c r="HKQ52" s="211"/>
      <c r="HKR52" s="211"/>
      <c r="HKS52" s="211"/>
      <c r="HKT52" s="211"/>
      <c r="HKU52" s="211"/>
      <c r="HKV52" s="211"/>
      <c r="HKW52" s="211"/>
      <c r="HKX52" s="211"/>
      <c r="HKY52" s="211"/>
      <c r="HKZ52" s="211"/>
      <c r="HLA52" s="211"/>
      <c r="HLB52" s="211"/>
      <c r="HLC52" s="211"/>
      <c r="HLD52" s="211"/>
      <c r="HLE52" s="211"/>
      <c r="HLF52" s="211"/>
      <c r="HLG52" s="211"/>
      <c r="HLH52" s="211"/>
      <c r="HLI52" s="211"/>
      <c r="HLJ52" s="211"/>
      <c r="HLK52" s="211"/>
      <c r="HLL52" s="211"/>
      <c r="HLM52" s="211"/>
      <c r="HLN52" s="211"/>
      <c r="HLO52" s="211"/>
      <c r="HLP52" s="211"/>
      <c r="HLQ52" s="211"/>
      <c r="HLR52" s="211"/>
      <c r="HLS52" s="211"/>
      <c r="HLT52" s="211"/>
      <c r="HLU52" s="211"/>
      <c r="HLV52" s="211"/>
      <c r="HLW52" s="211"/>
      <c r="HLX52" s="211"/>
      <c r="HLY52" s="211"/>
      <c r="HLZ52" s="211"/>
      <c r="HMA52" s="211"/>
      <c r="HMB52" s="211"/>
      <c r="HMC52" s="211"/>
      <c r="HMD52" s="211"/>
      <c r="HME52" s="211"/>
      <c r="HMF52" s="211"/>
      <c r="HMG52" s="211"/>
      <c r="HMH52" s="211"/>
      <c r="HMI52" s="211"/>
      <c r="HMJ52" s="211"/>
      <c r="HMK52" s="211"/>
      <c r="HML52" s="211"/>
      <c r="HMM52" s="211"/>
      <c r="HMN52" s="211"/>
      <c r="HMO52" s="211"/>
      <c r="HMP52" s="211"/>
      <c r="HMQ52" s="211"/>
      <c r="HMR52" s="211"/>
      <c r="HMS52" s="211"/>
      <c r="HMT52" s="211"/>
      <c r="HMU52" s="211"/>
      <c r="HMV52" s="211"/>
      <c r="HMW52" s="211"/>
      <c r="HMX52" s="211"/>
      <c r="HMY52" s="211"/>
      <c r="HMZ52" s="211"/>
      <c r="HNA52" s="211"/>
      <c r="HNB52" s="211"/>
      <c r="HNC52" s="211"/>
      <c r="HND52" s="211"/>
      <c r="HNE52" s="211"/>
      <c r="HNF52" s="211"/>
      <c r="HNG52" s="211"/>
      <c r="HNH52" s="211"/>
      <c r="HNI52" s="211"/>
      <c r="HNJ52" s="211"/>
      <c r="HNK52" s="211"/>
      <c r="HNL52" s="211"/>
      <c r="HNM52" s="211"/>
      <c r="HNN52" s="211"/>
      <c r="HNO52" s="211"/>
      <c r="HNP52" s="211"/>
      <c r="HNQ52" s="211"/>
      <c r="HNR52" s="211"/>
      <c r="HNS52" s="211"/>
      <c r="HNT52" s="211"/>
      <c r="HNU52" s="211"/>
      <c r="HNV52" s="211"/>
      <c r="HNW52" s="211"/>
      <c r="HNX52" s="211"/>
      <c r="HNY52" s="211"/>
      <c r="HNZ52" s="211"/>
      <c r="HOA52" s="211"/>
      <c r="HOB52" s="211"/>
      <c r="HOC52" s="211"/>
      <c r="HOD52" s="211"/>
      <c r="HOE52" s="211"/>
      <c r="HOF52" s="211"/>
      <c r="HOG52" s="211"/>
      <c r="HOH52" s="211"/>
      <c r="HOI52" s="211"/>
      <c r="HOJ52" s="211"/>
      <c r="HOK52" s="211"/>
      <c r="HOL52" s="211"/>
      <c r="HOM52" s="211"/>
      <c r="HON52" s="211"/>
      <c r="HOO52" s="211"/>
      <c r="HOP52" s="211"/>
      <c r="HOQ52" s="211"/>
      <c r="HOR52" s="211"/>
      <c r="HOS52" s="211"/>
      <c r="HOT52" s="211"/>
      <c r="HOU52" s="211"/>
      <c r="HOV52" s="211"/>
      <c r="HOW52" s="211"/>
      <c r="HOX52" s="211"/>
      <c r="HOY52" s="211"/>
      <c r="HOZ52" s="211"/>
      <c r="HPA52" s="211"/>
      <c r="HPB52" s="211"/>
      <c r="HPC52" s="211"/>
      <c r="HPD52" s="211"/>
      <c r="HPE52" s="211"/>
      <c r="HPF52" s="211"/>
      <c r="HPG52" s="211"/>
      <c r="HPH52" s="211"/>
      <c r="HPI52" s="211"/>
      <c r="HPJ52" s="211"/>
      <c r="HPK52" s="211"/>
      <c r="HPL52" s="211"/>
      <c r="HPM52" s="211"/>
      <c r="HPN52" s="211"/>
      <c r="HPO52" s="211"/>
      <c r="HPP52" s="211"/>
      <c r="HPQ52" s="211"/>
      <c r="HPR52" s="211"/>
      <c r="HPS52" s="211"/>
      <c r="HPT52" s="211"/>
      <c r="HPU52" s="211"/>
      <c r="HPV52" s="211"/>
      <c r="HPW52" s="211"/>
      <c r="HPX52" s="211"/>
      <c r="HPY52" s="211"/>
      <c r="HPZ52" s="211"/>
      <c r="HQA52" s="211"/>
      <c r="HQB52" s="211"/>
      <c r="HQC52" s="211"/>
      <c r="HQD52" s="211"/>
      <c r="HQE52" s="211"/>
      <c r="HQF52" s="211"/>
      <c r="HQG52" s="211"/>
      <c r="HQH52" s="211"/>
      <c r="HQI52" s="211"/>
      <c r="HQJ52" s="211"/>
      <c r="HQK52" s="211"/>
      <c r="HQL52" s="211"/>
      <c r="HQM52" s="211"/>
      <c r="HQN52" s="211"/>
      <c r="HQO52" s="211"/>
      <c r="HQP52" s="211"/>
      <c r="HQQ52" s="211"/>
      <c r="HQR52" s="211"/>
      <c r="HQS52" s="211"/>
      <c r="HQT52" s="211"/>
      <c r="HQU52" s="211"/>
      <c r="HQV52" s="211"/>
      <c r="HQW52" s="211"/>
      <c r="HQX52" s="211"/>
      <c r="HQY52" s="211"/>
      <c r="HQZ52" s="211"/>
      <c r="HRA52" s="211"/>
      <c r="HRB52" s="211"/>
      <c r="HRC52" s="211"/>
      <c r="HRD52" s="211"/>
      <c r="HRE52" s="211"/>
      <c r="HRF52" s="211"/>
      <c r="HRG52" s="211"/>
      <c r="HRH52" s="211"/>
      <c r="HRI52" s="211"/>
      <c r="HRJ52" s="211"/>
      <c r="HRK52" s="211"/>
      <c r="HRL52" s="211"/>
      <c r="HRM52" s="211"/>
      <c r="HRN52" s="211"/>
      <c r="HRO52" s="211"/>
      <c r="HRP52" s="211"/>
      <c r="HRQ52" s="211"/>
      <c r="HRR52" s="211"/>
      <c r="HRS52" s="211"/>
      <c r="HRT52" s="211"/>
      <c r="HRU52" s="211"/>
      <c r="HRV52" s="211"/>
      <c r="HRW52" s="211"/>
      <c r="HRX52" s="211"/>
      <c r="HRY52" s="211"/>
      <c r="HRZ52" s="211"/>
      <c r="HSA52" s="211"/>
      <c r="HSB52" s="211"/>
      <c r="HSC52" s="211"/>
      <c r="HSD52" s="211"/>
      <c r="HSE52" s="211"/>
      <c r="HSF52" s="211"/>
      <c r="HSG52" s="211"/>
      <c r="HSH52" s="211"/>
      <c r="HSI52" s="211"/>
      <c r="HSJ52" s="211"/>
      <c r="HSK52" s="211"/>
      <c r="HSL52" s="211"/>
      <c r="HSM52" s="211"/>
      <c r="HSN52" s="211"/>
      <c r="HSO52" s="211"/>
      <c r="HSP52" s="211"/>
      <c r="HSQ52" s="211"/>
      <c r="HSR52" s="211"/>
      <c r="HSS52" s="211"/>
      <c r="HST52" s="211"/>
      <c r="HSU52" s="211"/>
      <c r="HSV52" s="211"/>
      <c r="HSW52" s="211"/>
      <c r="HSX52" s="211"/>
      <c r="HSY52" s="211"/>
      <c r="HSZ52" s="211"/>
      <c r="HTA52" s="211"/>
      <c r="HTB52" s="211"/>
      <c r="HTC52" s="211"/>
      <c r="HTD52" s="211"/>
      <c r="HTE52" s="211"/>
      <c r="HTF52" s="211"/>
      <c r="HTG52" s="211"/>
      <c r="HTH52" s="211"/>
      <c r="HTI52" s="211"/>
      <c r="HTJ52" s="211"/>
      <c r="HTK52" s="211"/>
      <c r="HTL52" s="211"/>
      <c r="HTM52" s="211"/>
      <c r="HTN52" s="211"/>
      <c r="HTO52" s="211"/>
      <c r="HTP52" s="211"/>
      <c r="HTQ52" s="211"/>
      <c r="HTR52" s="211"/>
      <c r="HTS52" s="211"/>
      <c r="HTT52" s="211"/>
      <c r="HTU52" s="211"/>
      <c r="HTV52" s="211"/>
      <c r="HTW52" s="211"/>
      <c r="HTX52" s="211"/>
      <c r="HTY52" s="211"/>
      <c r="HTZ52" s="211"/>
      <c r="HUA52" s="211"/>
      <c r="HUB52" s="211"/>
      <c r="HUC52" s="211"/>
      <c r="HUD52" s="211"/>
      <c r="HUE52" s="211"/>
      <c r="HUF52" s="211"/>
      <c r="HUG52" s="211"/>
      <c r="HUH52" s="211"/>
      <c r="HUI52" s="211"/>
      <c r="HUJ52" s="211"/>
      <c r="HUK52" s="211"/>
      <c r="HUL52" s="211"/>
      <c r="HUM52" s="211"/>
      <c r="HUN52" s="211"/>
      <c r="HUO52" s="211"/>
      <c r="HUP52" s="211"/>
      <c r="HUQ52" s="211"/>
      <c r="HUR52" s="211"/>
      <c r="HUS52" s="211"/>
      <c r="HUT52" s="211"/>
      <c r="HUU52" s="211"/>
      <c r="HUV52" s="211"/>
      <c r="HUW52" s="211"/>
      <c r="HUX52" s="211"/>
      <c r="HUY52" s="211"/>
      <c r="HUZ52" s="211"/>
      <c r="HVA52" s="211"/>
      <c r="HVB52" s="211"/>
      <c r="HVC52" s="211"/>
      <c r="HVD52" s="211"/>
      <c r="HVE52" s="211"/>
      <c r="HVF52" s="211"/>
      <c r="HVG52" s="211"/>
      <c r="HVH52" s="211"/>
      <c r="HVI52" s="211"/>
      <c r="HVJ52" s="211"/>
      <c r="HVK52" s="211"/>
      <c r="HVL52" s="211"/>
      <c r="HVM52" s="211"/>
      <c r="HVN52" s="211"/>
      <c r="HVO52" s="211"/>
      <c r="HVP52" s="211"/>
      <c r="HVQ52" s="211"/>
      <c r="HVR52" s="211"/>
      <c r="HVS52" s="211"/>
      <c r="HVT52" s="211"/>
      <c r="HVU52" s="211"/>
      <c r="HVV52" s="211"/>
      <c r="HVW52" s="211"/>
      <c r="HVX52" s="211"/>
      <c r="HVY52" s="211"/>
      <c r="HVZ52" s="211"/>
      <c r="HWA52" s="211"/>
      <c r="HWB52" s="211"/>
      <c r="HWC52" s="211"/>
      <c r="HWD52" s="211"/>
      <c r="HWE52" s="211"/>
      <c r="HWF52" s="211"/>
      <c r="HWG52" s="211"/>
      <c r="HWH52" s="211"/>
      <c r="HWI52" s="211"/>
      <c r="HWJ52" s="211"/>
      <c r="HWK52" s="211"/>
      <c r="HWL52" s="211"/>
      <c r="HWM52" s="211"/>
      <c r="HWN52" s="211"/>
      <c r="HWO52" s="211"/>
      <c r="HWP52" s="211"/>
      <c r="HWQ52" s="211"/>
      <c r="HWR52" s="211"/>
      <c r="HWS52" s="211"/>
      <c r="HWT52" s="211"/>
      <c r="HWU52" s="211"/>
      <c r="HWV52" s="211"/>
      <c r="HWW52" s="211"/>
      <c r="HWX52" s="211"/>
      <c r="HWY52" s="211"/>
      <c r="HWZ52" s="211"/>
      <c r="HXA52" s="211"/>
      <c r="HXB52" s="211"/>
      <c r="HXC52" s="211"/>
      <c r="HXD52" s="211"/>
      <c r="HXE52" s="211"/>
      <c r="HXF52" s="211"/>
      <c r="HXG52" s="211"/>
      <c r="HXH52" s="211"/>
      <c r="HXI52" s="211"/>
      <c r="HXJ52" s="211"/>
      <c r="HXK52" s="211"/>
      <c r="HXL52" s="211"/>
      <c r="HXM52" s="211"/>
      <c r="HXN52" s="211"/>
      <c r="HXO52" s="211"/>
      <c r="HXP52" s="211"/>
      <c r="HXQ52" s="211"/>
      <c r="HXR52" s="211"/>
      <c r="HXS52" s="211"/>
      <c r="HXT52" s="211"/>
      <c r="HXU52" s="211"/>
      <c r="HXV52" s="211"/>
      <c r="HXW52" s="211"/>
      <c r="HXX52" s="211"/>
      <c r="HXY52" s="211"/>
      <c r="HXZ52" s="211"/>
      <c r="HYA52" s="211"/>
      <c r="HYB52" s="211"/>
      <c r="HYC52" s="211"/>
      <c r="HYD52" s="211"/>
      <c r="HYE52" s="211"/>
      <c r="HYF52" s="211"/>
      <c r="HYG52" s="211"/>
      <c r="HYH52" s="211"/>
      <c r="HYI52" s="211"/>
      <c r="HYJ52" s="211"/>
      <c r="HYK52" s="211"/>
      <c r="HYL52" s="211"/>
      <c r="HYM52" s="211"/>
      <c r="HYN52" s="211"/>
      <c r="HYO52" s="211"/>
      <c r="HYP52" s="211"/>
      <c r="HYQ52" s="211"/>
      <c r="HYR52" s="211"/>
      <c r="HYS52" s="211"/>
      <c r="HYT52" s="211"/>
      <c r="HYU52" s="211"/>
      <c r="HYV52" s="211"/>
      <c r="HYW52" s="211"/>
      <c r="HYX52" s="211"/>
      <c r="HYY52" s="211"/>
      <c r="HYZ52" s="211"/>
      <c r="HZA52" s="211"/>
      <c r="HZB52" s="211"/>
      <c r="HZC52" s="211"/>
      <c r="HZD52" s="211"/>
      <c r="HZE52" s="211"/>
      <c r="HZF52" s="211"/>
      <c r="HZG52" s="211"/>
      <c r="HZH52" s="211"/>
      <c r="HZI52" s="211"/>
      <c r="HZJ52" s="211"/>
      <c r="HZK52" s="211"/>
      <c r="HZL52" s="211"/>
      <c r="HZM52" s="211"/>
      <c r="HZN52" s="211"/>
      <c r="HZO52" s="211"/>
      <c r="HZP52" s="211"/>
      <c r="HZQ52" s="211"/>
      <c r="HZR52" s="211"/>
      <c r="HZS52" s="211"/>
      <c r="HZT52" s="211"/>
      <c r="HZU52" s="211"/>
      <c r="HZV52" s="211"/>
      <c r="HZW52" s="211"/>
      <c r="HZX52" s="211"/>
      <c r="HZY52" s="211"/>
      <c r="HZZ52" s="211"/>
      <c r="IAA52" s="211"/>
      <c r="IAB52" s="211"/>
      <c r="IAC52" s="211"/>
      <c r="IAD52" s="211"/>
      <c r="IAE52" s="211"/>
      <c r="IAF52" s="211"/>
      <c r="IAG52" s="211"/>
      <c r="IAH52" s="211"/>
      <c r="IAI52" s="211"/>
      <c r="IAJ52" s="211"/>
      <c r="IAK52" s="211"/>
      <c r="IAL52" s="211"/>
      <c r="IAM52" s="211"/>
      <c r="IAN52" s="211"/>
      <c r="IAO52" s="211"/>
      <c r="IAP52" s="211"/>
      <c r="IAQ52" s="211"/>
      <c r="IAR52" s="211"/>
      <c r="IAS52" s="211"/>
      <c r="IAT52" s="211"/>
      <c r="IAU52" s="211"/>
      <c r="IAV52" s="211"/>
      <c r="IAW52" s="211"/>
      <c r="IAX52" s="211"/>
      <c r="IAY52" s="211"/>
      <c r="IAZ52" s="211"/>
      <c r="IBA52" s="211"/>
      <c r="IBB52" s="211"/>
      <c r="IBC52" s="211"/>
      <c r="IBD52" s="211"/>
      <c r="IBE52" s="211"/>
      <c r="IBF52" s="211"/>
      <c r="IBG52" s="211"/>
      <c r="IBH52" s="211"/>
      <c r="IBI52" s="211"/>
      <c r="IBJ52" s="211"/>
      <c r="IBK52" s="211"/>
      <c r="IBL52" s="211"/>
      <c r="IBM52" s="211"/>
      <c r="IBN52" s="211"/>
      <c r="IBO52" s="211"/>
      <c r="IBP52" s="211"/>
      <c r="IBQ52" s="211"/>
      <c r="IBR52" s="211"/>
      <c r="IBS52" s="211"/>
      <c r="IBT52" s="211"/>
      <c r="IBU52" s="211"/>
      <c r="IBV52" s="211"/>
      <c r="IBW52" s="211"/>
      <c r="IBX52" s="211"/>
      <c r="IBY52" s="211"/>
      <c r="IBZ52" s="211"/>
      <c r="ICA52" s="211"/>
      <c r="ICB52" s="211"/>
      <c r="ICC52" s="211"/>
      <c r="ICD52" s="211"/>
      <c r="ICE52" s="211"/>
      <c r="ICF52" s="211"/>
      <c r="ICG52" s="211"/>
      <c r="ICH52" s="211"/>
      <c r="ICI52" s="211"/>
      <c r="ICJ52" s="211"/>
      <c r="ICK52" s="211"/>
      <c r="ICL52" s="211"/>
      <c r="ICM52" s="211"/>
      <c r="ICN52" s="211"/>
      <c r="ICO52" s="211"/>
      <c r="ICP52" s="211"/>
      <c r="ICQ52" s="211"/>
      <c r="ICR52" s="211"/>
      <c r="ICS52" s="211"/>
      <c r="ICT52" s="211"/>
      <c r="ICU52" s="211"/>
      <c r="ICV52" s="211"/>
      <c r="ICW52" s="211"/>
      <c r="ICX52" s="211"/>
      <c r="ICY52" s="211"/>
      <c r="ICZ52" s="211"/>
      <c r="IDA52" s="211"/>
      <c r="IDB52" s="211"/>
      <c r="IDC52" s="211"/>
      <c r="IDD52" s="211"/>
      <c r="IDE52" s="211"/>
      <c r="IDF52" s="211"/>
      <c r="IDG52" s="211"/>
      <c r="IDH52" s="211"/>
      <c r="IDI52" s="211"/>
      <c r="IDJ52" s="211"/>
      <c r="IDK52" s="211"/>
      <c r="IDL52" s="211"/>
      <c r="IDM52" s="211"/>
      <c r="IDN52" s="211"/>
      <c r="IDO52" s="211"/>
      <c r="IDP52" s="211"/>
      <c r="IDQ52" s="211"/>
      <c r="IDR52" s="211"/>
      <c r="IDS52" s="211"/>
      <c r="IDT52" s="211"/>
      <c r="IDU52" s="211"/>
      <c r="IDV52" s="211"/>
      <c r="IDW52" s="211"/>
      <c r="IDX52" s="211"/>
      <c r="IDY52" s="211"/>
      <c r="IDZ52" s="211"/>
      <c r="IEA52" s="211"/>
      <c r="IEB52" s="211"/>
      <c r="IEC52" s="211"/>
      <c r="IED52" s="211"/>
      <c r="IEE52" s="211"/>
      <c r="IEF52" s="211"/>
      <c r="IEG52" s="211"/>
      <c r="IEH52" s="211"/>
      <c r="IEI52" s="211"/>
      <c r="IEJ52" s="211"/>
      <c r="IEK52" s="211"/>
      <c r="IEL52" s="211"/>
      <c r="IEM52" s="211"/>
      <c r="IEN52" s="211"/>
      <c r="IEO52" s="211"/>
      <c r="IEP52" s="211"/>
      <c r="IEQ52" s="211"/>
      <c r="IER52" s="211"/>
      <c r="IES52" s="211"/>
      <c r="IET52" s="211"/>
      <c r="IEU52" s="211"/>
      <c r="IEV52" s="211"/>
      <c r="IEW52" s="211"/>
      <c r="IEX52" s="211"/>
      <c r="IEY52" s="211"/>
      <c r="IEZ52" s="211"/>
      <c r="IFA52" s="211"/>
      <c r="IFB52" s="211"/>
      <c r="IFC52" s="211"/>
      <c r="IFD52" s="211"/>
      <c r="IFE52" s="211"/>
      <c r="IFF52" s="211"/>
      <c r="IFG52" s="211"/>
      <c r="IFH52" s="211"/>
      <c r="IFI52" s="211"/>
      <c r="IFJ52" s="211"/>
      <c r="IFK52" s="211"/>
      <c r="IFL52" s="211"/>
      <c r="IFM52" s="211"/>
      <c r="IFN52" s="211"/>
      <c r="IFO52" s="211"/>
      <c r="IFP52" s="211"/>
      <c r="IFQ52" s="211"/>
      <c r="IFR52" s="211"/>
      <c r="IFS52" s="211"/>
      <c r="IFT52" s="211"/>
      <c r="IFU52" s="211"/>
      <c r="IFV52" s="211"/>
      <c r="IFW52" s="211"/>
      <c r="IFX52" s="211"/>
      <c r="IFY52" s="211"/>
      <c r="IFZ52" s="211"/>
      <c r="IGA52" s="211"/>
      <c r="IGB52" s="211"/>
      <c r="IGC52" s="211"/>
      <c r="IGD52" s="211"/>
      <c r="IGE52" s="211"/>
      <c r="IGF52" s="211"/>
      <c r="IGG52" s="211"/>
      <c r="IGH52" s="211"/>
      <c r="IGI52" s="211"/>
      <c r="IGJ52" s="211"/>
      <c r="IGK52" s="211"/>
      <c r="IGL52" s="211"/>
      <c r="IGM52" s="211"/>
      <c r="IGN52" s="211"/>
      <c r="IGO52" s="211"/>
      <c r="IGP52" s="211"/>
      <c r="IGQ52" s="211"/>
      <c r="IGR52" s="211"/>
      <c r="IGS52" s="211"/>
      <c r="IGT52" s="211"/>
      <c r="IGU52" s="211"/>
      <c r="IGV52" s="211"/>
      <c r="IGW52" s="211"/>
      <c r="IGX52" s="211"/>
      <c r="IGY52" s="211"/>
      <c r="IGZ52" s="211"/>
      <c r="IHA52" s="211"/>
      <c r="IHB52" s="211"/>
      <c r="IHC52" s="211"/>
      <c r="IHD52" s="211"/>
      <c r="IHE52" s="211"/>
      <c r="IHF52" s="211"/>
      <c r="IHG52" s="211"/>
      <c r="IHH52" s="211"/>
      <c r="IHI52" s="211"/>
      <c r="IHJ52" s="211"/>
      <c r="IHK52" s="211"/>
      <c r="IHL52" s="211"/>
      <c r="IHM52" s="211"/>
      <c r="IHN52" s="211"/>
      <c r="IHO52" s="211"/>
      <c r="IHP52" s="211"/>
      <c r="IHQ52" s="211"/>
      <c r="IHR52" s="211"/>
      <c r="IHS52" s="211"/>
      <c r="IHT52" s="211"/>
      <c r="IHU52" s="211"/>
      <c r="IHV52" s="211"/>
      <c r="IHW52" s="211"/>
      <c r="IHX52" s="211"/>
      <c r="IHY52" s="211"/>
      <c r="IHZ52" s="211"/>
      <c r="IIA52" s="211"/>
      <c r="IIB52" s="211"/>
      <c r="IIC52" s="211"/>
      <c r="IID52" s="211"/>
      <c r="IIE52" s="211"/>
      <c r="IIF52" s="211"/>
      <c r="IIG52" s="211"/>
      <c r="IIH52" s="211"/>
      <c r="III52" s="211"/>
      <c r="IIJ52" s="211"/>
      <c r="IIK52" s="211"/>
      <c r="IIL52" s="211"/>
      <c r="IIM52" s="211"/>
      <c r="IIN52" s="211"/>
      <c r="IIO52" s="211"/>
      <c r="IIP52" s="211"/>
      <c r="IIQ52" s="211"/>
      <c r="IIR52" s="211"/>
      <c r="IIS52" s="211"/>
      <c r="IIT52" s="211"/>
      <c r="IIU52" s="211"/>
      <c r="IIV52" s="211"/>
      <c r="IIW52" s="211"/>
      <c r="IIX52" s="211"/>
      <c r="IIY52" s="211"/>
      <c r="IIZ52" s="211"/>
      <c r="IJA52" s="211"/>
      <c r="IJB52" s="211"/>
      <c r="IJC52" s="211"/>
      <c r="IJD52" s="211"/>
      <c r="IJE52" s="211"/>
      <c r="IJF52" s="211"/>
      <c r="IJG52" s="211"/>
      <c r="IJH52" s="211"/>
      <c r="IJI52" s="211"/>
      <c r="IJJ52" s="211"/>
      <c r="IJK52" s="211"/>
      <c r="IJL52" s="211"/>
      <c r="IJM52" s="211"/>
      <c r="IJN52" s="211"/>
      <c r="IJO52" s="211"/>
      <c r="IJP52" s="211"/>
      <c r="IJQ52" s="211"/>
      <c r="IJR52" s="211"/>
      <c r="IJS52" s="211"/>
      <c r="IJT52" s="211"/>
      <c r="IJU52" s="211"/>
      <c r="IJV52" s="211"/>
      <c r="IJW52" s="211"/>
      <c r="IJX52" s="211"/>
      <c r="IJY52" s="211"/>
      <c r="IJZ52" s="211"/>
      <c r="IKA52" s="211"/>
      <c r="IKB52" s="211"/>
      <c r="IKC52" s="211"/>
      <c r="IKD52" s="211"/>
      <c r="IKE52" s="211"/>
      <c r="IKF52" s="211"/>
      <c r="IKG52" s="211"/>
      <c r="IKH52" s="211"/>
      <c r="IKI52" s="211"/>
      <c r="IKJ52" s="211"/>
      <c r="IKK52" s="211"/>
      <c r="IKL52" s="211"/>
      <c r="IKM52" s="211"/>
      <c r="IKN52" s="211"/>
      <c r="IKO52" s="211"/>
      <c r="IKP52" s="211"/>
      <c r="IKQ52" s="211"/>
      <c r="IKR52" s="211"/>
      <c r="IKS52" s="211"/>
      <c r="IKT52" s="211"/>
      <c r="IKU52" s="211"/>
      <c r="IKV52" s="211"/>
      <c r="IKW52" s="211"/>
      <c r="IKX52" s="211"/>
      <c r="IKY52" s="211"/>
      <c r="IKZ52" s="211"/>
      <c r="ILA52" s="211"/>
      <c r="ILB52" s="211"/>
      <c r="ILC52" s="211"/>
      <c r="ILD52" s="211"/>
      <c r="ILE52" s="211"/>
      <c r="ILF52" s="211"/>
      <c r="ILG52" s="211"/>
      <c r="ILH52" s="211"/>
      <c r="ILI52" s="211"/>
      <c r="ILJ52" s="211"/>
      <c r="ILK52" s="211"/>
      <c r="ILL52" s="211"/>
      <c r="ILM52" s="211"/>
      <c r="ILN52" s="211"/>
      <c r="ILO52" s="211"/>
      <c r="ILP52" s="211"/>
      <c r="ILQ52" s="211"/>
      <c r="ILR52" s="211"/>
      <c r="ILS52" s="211"/>
      <c r="ILT52" s="211"/>
      <c r="ILU52" s="211"/>
      <c r="ILV52" s="211"/>
      <c r="ILW52" s="211"/>
      <c r="ILX52" s="211"/>
      <c r="ILY52" s="211"/>
      <c r="ILZ52" s="211"/>
      <c r="IMA52" s="211"/>
      <c r="IMB52" s="211"/>
      <c r="IMC52" s="211"/>
      <c r="IMD52" s="211"/>
      <c r="IME52" s="211"/>
      <c r="IMF52" s="211"/>
      <c r="IMG52" s="211"/>
      <c r="IMH52" s="211"/>
      <c r="IMI52" s="211"/>
      <c r="IMJ52" s="211"/>
      <c r="IMK52" s="211"/>
      <c r="IML52" s="211"/>
      <c r="IMM52" s="211"/>
      <c r="IMN52" s="211"/>
      <c r="IMO52" s="211"/>
      <c r="IMP52" s="211"/>
      <c r="IMQ52" s="211"/>
      <c r="IMR52" s="211"/>
      <c r="IMS52" s="211"/>
      <c r="IMT52" s="211"/>
      <c r="IMU52" s="211"/>
      <c r="IMV52" s="211"/>
      <c r="IMW52" s="211"/>
      <c r="IMX52" s="211"/>
      <c r="IMY52" s="211"/>
      <c r="IMZ52" s="211"/>
      <c r="INA52" s="211"/>
      <c r="INB52" s="211"/>
      <c r="INC52" s="211"/>
      <c r="IND52" s="211"/>
      <c r="INE52" s="211"/>
      <c r="INF52" s="211"/>
      <c r="ING52" s="211"/>
      <c r="INH52" s="211"/>
      <c r="INI52" s="211"/>
      <c r="INJ52" s="211"/>
      <c r="INK52" s="211"/>
      <c r="INL52" s="211"/>
      <c r="INM52" s="211"/>
      <c r="INN52" s="211"/>
      <c r="INO52" s="211"/>
      <c r="INP52" s="211"/>
      <c r="INQ52" s="211"/>
      <c r="INR52" s="211"/>
      <c r="INS52" s="211"/>
      <c r="INT52" s="211"/>
      <c r="INU52" s="211"/>
      <c r="INV52" s="211"/>
      <c r="INW52" s="211"/>
      <c r="INX52" s="211"/>
      <c r="INY52" s="211"/>
      <c r="INZ52" s="211"/>
      <c r="IOA52" s="211"/>
      <c r="IOB52" s="211"/>
      <c r="IOC52" s="211"/>
      <c r="IOD52" s="211"/>
      <c r="IOE52" s="211"/>
      <c r="IOF52" s="211"/>
      <c r="IOG52" s="211"/>
      <c r="IOH52" s="211"/>
      <c r="IOI52" s="211"/>
      <c r="IOJ52" s="211"/>
      <c r="IOK52" s="211"/>
      <c r="IOL52" s="211"/>
      <c r="IOM52" s="211"/>
      <c r="ION52" s="211"/>
      <c r="IOO52" s="211"/>
      <c r="IOP52" s="211"/>
      <c r="IOQ52" s="211"/>
      <c r="IOR52" s="211"/>
      <c r="IOS52" s="211"/>
      <c r="IOT52" s="211"/>
      <c r="IOU52" s="211"/>
      <c r="IOV52" s="211"/>
      <c r="IOW52" s="211"/>
      <c r="IOX52" s="211"/>
      <c r="IOY52" s="211"/>
      <c r="IOZ52" s="211"/>
      <c r="IPA52" s="211"/>
      <c r="IPB52" s="211"/>
      <c r="IPC52" s="211"/>
      <c r="IPD52" s="211"/>
      <c r="IPE52" s="211"/>
      <c r="IPF52" s="211"/>
      <c r="IPG52" s="211"/>
      <c r="IPH52" s="211"/>
      <c r="IPI52" s="211"/>
      <c r="IPJ52" s="211"/>
      <c r="IPK52" s="211"/>
      <c r="IPL52" s="211"/>
      <c r="IPM52" s="211"/>
      <c r="IPN52" s="211"/>
      <c r="IPO52" s="211"/>
      <c r="IPP52" s="211"/>
      <c r="IPQ52" s="211"/>
      <c r="IPR52" s="211"/>
      <c r="IPS52" s="211"/>
      <c r="IPT52" s="211"/>
      <c r="IPU52" s="211"/>
      <c r="IPV52" s="211"/>
      <c r="IPW52" s="211"/>
      <c r="IPX52" s="211"/>
      <c r="IPY52" s="211"/>
      <c r="IPZ52" s="211"/>
      <c r="IQA52" s="211"/>
      <c r="IQB52" s="211"/>
      <c r="IQC52" s="211"/>
      <c r="IQD52" s="211"/>
      <c r="IQE52" s="211"/>
      <c r="IQF52" s="211"/>
      <c r="IQG52" s="211"/>
      <c r="IQH52" s="211"/>
      <c r="IQI52" s="211"/>
      <c r="IQJ52" s="211"/>
      <c r="IQK52" s="211"/>
      <c r="IQL52" s="211"/>
      <c r="IQM52" s="211"/>
      <c r="IQN52" s="211"/>
      <c r="IQO52" s="211"/>
      <c r="IQP52" s="211"/>
      <c r="IQQ52" s="211"/>
      <c r="IQR52" s="211"/>
      <c r="IQS52" s="211"/>
      <c r="IQT52" s="211"/>
      <c r="IQU52" s="211"/>
      <c r="IQV52" s="211"/>
      <c r="IQW52" s="211"/>
      <c r="IQX52" s="211"/>
      <c r="IQY52" s="211"/>
      <c r="IQZ52" s="211"/>
      <c r="IRA52" s="211"/>
      <c r="IRB52" s="211"/>
      <c r="IRC52" s="211"/>
      <c r="IRD52" s="211"/>
      <c r="IRE52" s="211"/>
      <c r="IRF52" s="211"/>
      <c r="IRG52" s="211"/>
      <c r="IRH52" s="211"/>
      <c r="IRI52" s="211"/>
      <c r="IRJ52" s="211"/>
      <c r="IRK52" s="211"/>
      <c r="IRL52" s="211"/>
      <c r="IRM52" s="211"/>
      <c r="IRN52" s="211"/>
      <c r="IRO52" s="211"/>
      <c r="IRP52" s="211"/>
      <c r="IRQ52" s="211"/>
      <c r="IRR52" s="211"/>
      <c r="IRS52" s="211"/>
      <c r="IRT52" s="211"/>
      <c r="IRU52" s="211"/>
      <c r="IRV52" s="211"/>
      <c r="IRW52" s="211"/>
      <c r="IRX52" s="211"/>
      <c r="IRY52" s="211"/>
      <c r="IRZ52" s="211"/>
      <c r="ISA52" s="211"/>
      <c r="ISB52" s="211"/>
      <c r="ISC52" s="211"/>
      <c r="ISD52" s="211"/>
      <c r="ISE52" s="211"/>
      <c r="ISF52" s="211"/>
      <c r="ISG52" s="211"/>
      <c r="ISH52" s="211"/>
      <c r="ISI52" s="211"/>
      <c r="ISJ52" s="211"/>
      <c r="ISK52" s="211"/>
      <c r="ISL52" s="211"/>
      <c r="ISM52" s="211"/>
      <c r="ISN52" s="211"/>
      <c r="ISO52" s="211"/>
      <c r="ISP52" s="211"/>
      <c r="ISQ52" s="211"/>
      <c r="ISR52" s="211"/>
      <c r="ISS52" s="211"/>
      <c r="IST52" s="211"/>
      <c r="ISU52" s="211"/>
      <c r="ISV52" s="211"/>
      <c r="ISW52" s="211"/>
      <c r="ISX52" s="211"/>
      <c r="ISY52" s="211"/>
      <c r="ISZ52" s="211"/>
      <c r="ITA52" s="211"/>
      <c r="ITB52" s="211"/>
      <c r="ITC52" s="211"/>
      <c r="ITD52" s="211"/>
      <c r="ITE52" s="211"/>
      <c r="ITF52" s="211"/>
      <c r="ITG52" s="211"/>
      <c r="ITH52" s="211"/>
      <c r="ITI52" s="211"/>
      <c r="ITJ52" s="211"/>
      <c r="ITK52" s="211"/>
      <c r="ITL52" s="211"/>
      <c r="ITM52" s="211"/>
      <c r="ITN52" s="211"/>
      <c r="ITO52" s="211"/>
      <c r="ITP52" s="211"/>
      <c r="ITQ52" s="211"/>
      <c r="ITR52" s="211"/>
      <c r="ITS52" s="211"/>
      <c r="ITT52" s="211"/>
      <c r="ITU52" s="211"/>
      <c r="ITV52" s="211"/>
      <c r="ITW52" s="211"/>
      <c r="ITX52" s="211"/>
      <c r="ITY52" s="211"/>
      <c r="ITZ52" s="211"/>
      <c r="IUA52" s="211"/>
      <c r="IUB52" s="211"/>
      <c r="IUC52" s="211"/>
      <c r="IUD52" s="211"/>
      <c r="IUE52" s="211"/>
      <c r="IUF52" s="211"/>
      <c r="IUG52" s="211"/>
      <c r="IUH52" s="211"/>
      <c r="IUI52" s="211"/>
      <c r="IUJ52" s="211"/>
      <c r="IUK52" s="211"/>
      <c r="IUL52" s="211"/>
      <c r="IUM52" s="211"/>
      <c r="IUN52" s="211"/>
      <c r="IUO52" s="211"/>
      <c r="IUP52" s="211"/>
      <c r="IUQ52" s="211"/>
      <c r="IUR52" s="211"/>
      <c r="IUS52" s="211"/>
      <c r="IUT52" s="211"/>
      <c r="IUU52" s="211"/>
      <c r="IUV52" s="211"/>
      <c r="IUW52" s="211"/>
      <c r="IUX52" s="211"/>
      <c r="IUY52" s="211"/>
      <c r="IUZ52" s="211"/>
      <c r="IVA52" s="211"/>
      <c r="IVB52" s="211"/>
      <c r="IVC52" s="211"/>
      <c r="IVD52" s="211"/>
      <c r="IVE52" s="211"/>
      <c r="IVF52" s="211"/>
      <c r="IVG52" s="211"/>
      <c r="IVH52" s="211"/>
      <c r="IVI52" s="211"/>
      <c r="IVJ52" s="211"/>
      <c r="IVK52" s="211"/>
      <c r="IVL52" s="211"/>
      <c r="IVM52" s="211"/>
      <c r="IVN52" s="211"/>
      <c r="IVO52" s="211"/>
      <c r="IVP52" s="211"/>
      <c r="IVQ52" s="211"/>
      <c r="IVR52" s="211"/>
      <c r="IVS52" s="211"/>
      <c r="IVT52" s="211"/>
      <c r="IVU52" s="211"/>
      <c r="IVV52" s="211"/>
      <c r="IVW52" s="211"/>
      <c r="IVX52" s="211"/>
      <c r="IVY52" s="211"/>
      <c r="IVZ52" s="211"/>
      <c r="IWA52" s="211"/>
      <c r="IWB52" s="211"/>
      <c r="IWC52" s="211"/>
      <c r="IWD52" s="211"/>
      <c r="IWE52" s="211"/>
      <c r="IWF52" s="211"/>
      <c r="IWG52" s="211"/>
      <c r="IWH52" s="211"/>
      <c r="IWI52" s="211"/>
      <c r="IWJ52" s="211"/>
      <c r="IWK52" s="211"/>
      <c r="IWL52" s="211"/>
      <c r="IWM52" s="211"/>
      <c r="IWN52" s="211"/>
      <c r="IWO52" s="211"/>
      <c r="IWP52" s="211"/>
      <c r="IWQ52" s="211"/>
      <c r="IWR52" s="211"/>
      <c r="IWS52" s="211"/>
      <c r="IWT52" s="211"/>
      <c r="IWU52" s="211"/>
      <c r="IWV52" s="211"/>
      <c r="IWW52" s="211"/>
      <c r="IWX52" s="211"/>
      <c r="IWY52" s="211"/>
      <c r="IWZ52" s="211"/>
      <c r="IXA52" s="211"/>
      <c r="IXB52" s="211"/>
      <c r="IXC52" s="211"/>
      <c r="IXD52" s="211"/>
      <c r="IXE52" s="211"/>
      <c r="IXF52" s="211"/>
      <c r="IXG52" s="211"/>
      <c r="IXH52" s="211"/>
      <c r="IXI52" s="211"/>
      <c r="IXJ52" s="211"/>
      <c r="IXK52" s="211"/>
      <c r="IXL52" s="211"/>
      <c r="IXM52" s="211"/>
      <c r="IXN52" s="211"/>
      <c r="IXO52" s="211"/>
      <c r="IXP52" s="211"/>
      <c r="IXQ52" s="211"/>
      <c r="IXR52" s="211"/>
      <c r="IXS52" s="211"/>
      <c r="IXT52" s="211"/>
      <c r="IXU52" s="211"/>
      <c r="IXV52" s="211"/>
      <c r="IXW52" s="211"/>
      <c r="IXX52" s="211"/>
      <c r="IXY52" s="211"/>
      <c r="IXZ52" s="211"/>
      <c r="IYA52" s="211"/>
      <c r="IYB52" s="211"/>
      <c r="IYC52" s="211"/>
      <c r="IYD52" s="211"/>
      <c r="IYE52" s="211"/>
      <c r="IYF52" s="211"/>
      <c r="IYG52" s="211"/>
      <c r="IYH52" s="211"/>
      <c r="IYI52" s="211"/>
      <c r="IYJ52" s="211"/>
      <c r="IYK52" s="211"/>
      <c r="IYL52" s="211"/>
      <c r="IYM52" s="211"/>
      <c r="IYN52" s="211"/>
      <c r="IYO52" s="211"/>
      <c r="IYP52" s="211"/>
      <c r="IYQ52" s="211"/>
      <c r="IYR52" s="211"/>
      <c r="IYS52" s="211"/>
      <c r="IYT52" s="211"/>
      <c r="IYU52" s="211"/>
      <c r="IYV52" s="211"/>
      <c r="IYW52" s="211"/>
      <c r="IYX52" s="211"/>
      <c r="IYY52" s="211"/>
      <c r="IYZ52" s="211"/>
      <c r="IZA52" s="211"/>
      <c r="IZB52" s="211"/>
      <c r="IZC52" s="211"/>
      <c r="IZD52" s="211"/>
      <c r="IZE52" s="211"/>
      <c r="IZF52" s="211"/>
      <c r="IZG52" s="211"/>
      <c r="IZH52" s="211"/>
      <c r="IZI52" s="211"/>
      <c r="IZJ52" s="211"/>
      <c r="IZK52" s="211"/>
      <c r="IZL52" s="211"/>
      <c r="IZM52" s="211"/>
      <c r="IZN52" s="211"/>
      <c r="IZO52" s="211"/>
      <c r="IZP52" s="211"/>
      <c r="IZQ52" s="211"/>
      <c r="IZR52" s="211"/>
      <c r="IZS52" s="211"/>
      <c r="IZT52" s="211"/>
      <c r="IZU52" s="211"/>
      <c r="IZV52" s="211"/>
      <c r="IZW52" s="211"/>
      <c r="IZX52" s="211"/>
      <c r="IZY52" s="211"/>
      <c r="IZZ52" s="211"/>
      <c r="JAA52" s="211"/>
      <c r="JAB52" s="211"/>
      <c r="JAC52" s="211"/>
      <c r="JAD52" s="211"/>
      <c r="JAE52" s="211"/>
      <c r="JAF52" s="211"/>
      <c r="JAG52" s="211"/>
      <c r="JAH52" s="211"/>
      <c r="JAI52" s="211"/>
      <c r="JAJ52" s="211"/>
      <c r="JAK52" s="211"/>
      <c r="JAL52" s="211"/>
      <c r="JAM52" s="211"/>
      <c r="JAN52" s="211"/>
      <c r="JAO52" s="211"/>
      <c r="JAP52" s="211"/>
      <c r="JAQ52" s="211"/>
      <c r="JAR52" s="211"/>
      <c r="JAS52" s="211"/>
      <c r="JAT52" s="211"/>
      <c r="JAU52" s="211"/>
      <c r="JAV52" s="211"/>
      <c r="JAW52" s="211"/>
      <c r="JAX52" s="211"/>
      <c r="JAY52" s="211"/>
      <c r="JAZ52" s="211"/>
      <c r="JBA52" s="211"/>
      <c r="JBB52" s="211"/>
      <c r="JBC52" s="211"/>
      <c r="JBD52" s="211"/>
      <c r="JBE52" s="211"/>
      <c r="JBF52" s="211"/>
      <c r="JBG52" s="211"/>
      <c r="JBH52" s="211"/>
      <c r="JBI52" s="211"/>
      <c r="JBJ52" s="211"/>
      <c r="JBK52" s="211"/>
      <c r="JBL52" s="211"/>
      <c r="JBM52" s="211"/>
      <c r="JBN52" s="211"/>
      <c r="JBO52" s="211"/>
      <c r="JBP52" s="211"/>
      <c r="JBQ52" s="211"/>
      <c r="JBR52" s="211"/>
      <c r="JBS52" s="211"/>
      <c r="JBT52" s="211"/>
      <c r="JBU52" s="211"/>
      <c r="JBV52" s="211"/>
      <c r="JBW52" s="211"/>
      <c r="JBX52" s="211"/>
      <c r="JBY52" s="211"/>
      <c r="JBZ52" s="211"/>
      <c r="JCA52" s="211"/>
      <c r="JCB52" s="211"/>
      <c r="JCC52" s="211"/>
      <c r="JCD52" s="211"/>
      <c r="JCE52" s="211"/>
      <c r="JCF52" s="211"/>
      <c r="JCG52" s="211"/>
      <c r="JCH52" s="211"/>
      <c r="JCI52" s="211"/>
      <c r="JCJ52" s="211"/>
      <c r="JCK52" s="211"/>
      <c r="JCL52" s="211"/>
      <c r="JCM52" s="211"/>
      <c r="JCN52" s="211"/>
      <c r="JCO52" s="211"/>
      <c r="JCP52" s="211"/>
      <c r="JCQ52" s="211"/>
      <c r="JCR52" s="211"/>
      <c r="JCS52" s="211"/>
      <c r="JCT52" s="211"/>
      <c r="JCU52" s="211"/>
      <c r="JCV52" s="211"/>
      <c r="JCW52" s="211"/>
      <c r="JCX52" s="211"/>
      <c r="JCY52" s="211"/>
      <c r="JCZ52" s="211"/>
      <c r="JDA52" s="211"/>
      <c r="JDB52" s="211"/>
      <c r="JDC52" s="211"/>
      <c r="JDD52" s="211"/>
      <c r="JDE52" s="211"/>
      <c r="JDF52" s="211"/>
      <c r="JDG52" s="211"/>
      <c r="JDH52" s="211"/>
      <c r="JDI52" s="211"/>
      <c r="JDJ52" s="211"/>
      <c r="JDK52" s="211"/>
      <c r="JDL52" s="211"/>
      <c r="JDM52" s="211"/>
      <c r="JDN52" s="211"/>
      <c r="JDO52" s="211"/>
      <c r="JDP52" s="211"/>
      <c r="JDQ52" s="211"/>
      <c r="JDR52" s="211"/>
      <c r="JDS52" s="211"/>
      <c r="JDT52" s="211"/>
      <c r="JDU52" s="211"/>
      <c r="JDV52" s="211"/>
      <c r="JDW52" s="211"/>
      <c r="JDX52" s="211"/>
      <c r="JDY52" s="211"/>
      <c r="JDZ52" s="211"/>
      <c r="JEA52" s="211"/>
      <c r="JEB52" s="211"/>
      <c r="JEC52" s="211"/>
      <c r="JED52" s="211"/>
      <c r="JEE52" s="211"/>
      <c r="JEF52" s="211"/>
      <c r="JEG52" s="211"/>
      <c r="JEH52" s="211"/>
      <c r="JEI52" s="211"/>
      <c r="JEJ52" s="211"/>
      <c r="JEK52" s="211"/>
      <c r="JEL52" s="211"/>
      <c r="JEM52" s="211"/>
      <c r="JEN52" s="211"/>
      <c r="JEO52" s="211"/>
      <c r="JEP52" s="211"/>
      <c r="JEQ52" s="211"/>
      <c r="JER52" s="211"/>
      <c r="JES52" s="211"/>
      <c r="JET52" s="211"/>
      <c r="JEU52" s="211"/>
      <c r="JEV52" s="211"/>
      <c r="JEW52" s="211"/>
      <c r="JEX52" s="211"/>
      <c r="JEY52" s="211"/>
      <c r="JEZ52" s="211"/>
      <c r="JFA52" s="211"/>
      <c r="JFB52" s="211"/>
      <c r="JFC52" s="211"/>
      <c r="JFD52" s="211"/>
      <c r="JFE52" s="211"/>
      <c r="JFF52" s="211"/>
      <c r="JFG52" s="211"/>
      <c r="JFH52" s="211"/>
      <c r="JFI52" s="211"/>
      <c r="JFJ52" s="211"/>
      <c r="JFK52" s="211"/>
      <c r="JFL52" s="211"/>
      <c r="JFM52" s="211"/>
      <c r="JFN52" s="211"/>
      <c r="JFO52" s="211"/>
      <c r="JFP52" s="211"/>
      <c r="JFQ52" s="211"/>
      <c r="JFR52" s="211"/>
      <c r="JFS52" s="211"/>
      <c r="JFT52" s="211"/>
      <c r="JFU52" s="211"/>
      <c r="JFV52" s="211"/>
      <c r="JFW52" s="211"/>
      <c r="JFX52" s="211"/>
      <c r="JFY52" s="211"/>
      <c r="JFZ52" s="211"/>
      <c r="JGA52" s="211"/>
      <c r="JGB52" s="211"/>
      <c r="JGC52" s="211"/>
      <c r="JGD52" s="211"/>
      <c r="JGE52" s="211"/>
      <c r="JGF52" s="211"/>
      <c r="JGG52" s="211"/>
      <c r="JGH52" s="211"/>
      <c r="JGI52" s="211"/>
      <c r="JGJ52" s="211"/>
      <c r="JGK52" s="211"/>
      <c r="JGL52" s="211"/>
      <c r="JGM52" s="211"/>
      <c r="JGN52" s="211"/>
      <c r="JGO52" s="211"/>
      <c r="JGP52" s="211"/>
      <c r="JGQ52" s="211"/>
      <c r="JGR52" s="211"/>
      <c r="JGS52" s="211"/>
      <c r="JGT52" s="211"/>
      <c r="JGU52" s="211"/>
      <c r="JGV52" s="211"/>
      <c r="JGW52" s="211"/>
      <c r="JGX52" s="211"/>
      <c r="JGY52" s="211"/>
      <c r="JGZ52" s="211"/>
      <c r="JHA52" s="211"/>
      <c r="JHB52" s="211"/>
      <c r="JHC52" s="211"/>
      <c r="JHD52" s="211"/>
      <c r="JHE52" s="211"/>
      <c r="JHF52" s="211"/>
      <c r="JHG52" s="211"/>
      <c r="JHH52" s="211"/>
      <c r="JHI52" s="211"/>
      <c r="JHJ52" s="211"/>
      <c r="JHK52" s="211"/>
      <c r="JHL52" s="211"/>
      <c r="JHM52" s="211"/>
      <c r="JHN52" s="211"/>
      <c r="JHO52" s="211"/>
      <c r="JHP52" s="211"/>
      <c r="JHQ52" s="211"/>
      <c r="JHR52" s="211"/>
      <c r="JHS52" s="211"/>
      <c r="JHT52" s="211"/>
      <c r="JHU52" s="211"/>
      <c r="JHV52" s="211"/>
      <c r="JHW52" s="211"/>
      <c r="JHX52" s="211"/>
      <c r="JHY52" s="211"/>
      <c r="JHZ52" s="211"/>
      <c r="JIA52" s="211"/>
      <c r="JIB52" s="211"/>
      <c r="JIC52" s="211"/>
      <c r="JID52" s="211"/>
      <c r="JIE52" s="211"/>
      <c r="JIF52" s="211"/>
      <c r="JIG52" s="211"/>
      <c r="JIH52" s="211"/>
      <c r="JII52" s="211"/>
      <c r="JIJ52" s="211"/>
      <c r="JIK52" s="211"/>
      <c r="JIL52" s="211"/>
      <c r="JIM52" s="211"/>
      <c r="JIN52" s="211"/>
      <c r="JIO52" s="211"/>
      <c r="JIP52" s="211"/>
      <c r="JIQ52" s="211"/>
      <c r="JIR52" s="211"/>
      <c r="JIS52" s="211"/>
      <c r="JIT52" s="211"/>
      <c r="JIU52" s="211"/>
      <c r="JIV52" s="211"/>
      <c r="JIW52" s="211"/>
      <c r="JIX52" s="211"/>
      <c r="JIY52" s="211"/>
      <c r="JIZ52" s="211"/>
      <c r="JJA52" s="211"/>
      <c r="JJB52" s="211"/>
      <c r="JJC52" s="211"/>
      <c r="JJD52" s="211"/>
      <c r="JJE52" s="211"/>
      <c r="JJF52" s="211"/>
      <c r="JJG52" s="211"/>
      <c r="JJH52" s="211"/>
      <c r="JJI52" s="211"/>
      <c r="JJJ52" s="211"/>
      <c r="JJK52" s="211"/>
      <c r="JJL52" s="211"/>
      <c r="JJM52" s="211"/>
      <c r="JJN52" s="211"/>
      <c r="JJO52" s="211"/>
      <c r="JJP52" s="211"/>
      <c r="JJQ52" s="211"/>
      <c r="JJR52" s="211"/>
      <c r="JJS52" s="211"/>
      <c r="JJT52" s="211"/>
      <c r="JJU52" s="211"/>
      <c r="JJV52" s="211"/>
      <c r="JJW52" s="211"/>
      <c r="JJX52" s="211"/>
      <c r="JJY52" s="211"/>
      <c r="JJZ52" s="211"/>
      <c r="JKA52" s="211"/>
      <c r="JKB52" s="211"/>
      <c r="JKC52" s="211"/>
      <c r="JKD52" s="211"/>
      <c r="JKE52" s="211"/>
      <c r="JKF52" s="211"/>
      <c r="JKG52" s="211"/>
      <c r="JKH52" s="211"/>
      <c r="JKI52" s="211"/>
      <c r="JKJ52" s="211"/>
      <c r="JKK52" s="211"/>
      <c r="JKL52" s="211"/>
      <c r="JKM52" s="211"/>
      <c r="JKN52" s="211"/>
      <c r="JKO52" s="211"/>
      <c r="JKP52" s="211"/>
      <c r="JKQ52" s="211"/>
      <c r="JKR52" s="211"/>
      <c r="JKS52" s="211"/>
      <c r="JKT52" s="211"/>
      <c r="JKU52" s="211"/>
      <c r="JKV52" s="211"/>
      <c r="JKW52" s="211"/>
      <c r="JKX52" s="211"/>
      <c r="JKY52" s="211"/>
      <c r="JKZ52" s="211"/>
      <c r="JLA52" s="211"/>
      <c r="JLB52" s="211"/>
      <c r="JLC52" s="211"/>
      <c r="JLD52" s="211"/>
      <c r="JLE52" s="211"/>
      <c r="JLF52" s="211"/>
      <c r="JLG52" s="211"/>
      <c r="JLH52" s="211"/>
      <c r="JLI52" s="211"/>
      <c r="JLJ52" s="211"/>
      <c r="JLK52" s="211"/>
      <c r="JLL52" s="211"/>
      <c r="JLM52" s="211"/>
      <c r="JLN52" s="211"/>
      <c r="JLO52" s="211"/>
      <c r="JLP52" s="211"/>
      <c r="JLQ52" s="211"/>
      <c r="JLR52" s="211"/>
      <c r="JLS52" s="211"/>
      <c r="JLT52" s="211"/>
      <c r="JLU52" s="211"/>
      <c r="JLV52" s="211"/>
      <c r="JLW52" s="211"/>
      <c r="JLX52" s="211"/>
      <c r="JLY52" s="211"/>
      <c r="JLZ52" s="211"/>
      <c r="JMA52" s="211"/>
      <c r="JMB52" s="211"/>
      <c r="JMC52" s="211"/>
      <c r="JMD52" s="211"/>
      <c r="JME52" s="211"/>
      <c r="JMF52" s="211"/>
      <c r="JMG52" s="211"/>
      <c r="JMH52" s="211"/>
      <c r="JMI52" s="211"/>
      <c r="JMJ52" s="211"/>
      <c r="JMK52" s="211"/>
      <c r="JML52" s="211"/>
      <c r="JMM52" s="211"/>
      <c r="JMN52" s="211"/>
      <c r="JMO52" s="211"/>
      <c r="JMP52" s="211"/>
      <c r="JMQ52" s="211"/>
      <c r="JMR52" s="211"/>
      <c r="JMS52" s="211"/>
      <c r="JMT52" s="211"/>
      <c r="JMU52" s="211"/>
      <c r="JMV52" s="211"/>
      <c r="JMW52" s="211"/>
      <c r="JMX52" s="211"/>
      <c r="JMY52" s="211"/>
      <c r="JMZ52" s="211"/>
      <c r="JNA52" s="211"/>
      <c r="JNB52" s="211"/>
      <c r="JNC52" s="211"/>
      <c r="JND52" s="211"/>
      <c r="JNE52" s="211"/>
      <c r="JNF52" s="211"/>
      <c r="JNG52" s="211"/>
      <c r="JNH52" s="211"/>
      <c r="JNI52" s="211"/>
      <c r="JNJ52" s="211"/>
      <c r="JNK52" s="211"/>
      <c r="JNL52" s="211"/>
      <c r="JNM52" s="211"/>
      <c r="JNN52" s="211"/>
      <c r="JNO52" s="211"/>
      <c r="JNP52" s="211"/>
      <c r="JNQ52" s="211"/>
      <c r="JNR52" s="211"/>
      <c r="JNS52" s="211"/>
      <c r="JNT52" s="211"/>
      <c r="JNU52" s="211"/>
      <c r="JNV52" s="211"/>
      <c r="JNW52" s="211"/>
      <c r="JNX52" s="211"/>
      <c r="JNY52" s="211"/>
      <c r="JNZ52" s="211"/>
      <c r="JOA52" s="211"/>
      <c r="JOB52" s="211"/>
      <c r="JOC52" s="211"/>
      <c r="JOD52" s="211"/>
      <c r="JOE52" s="211"/>
      <c r="JOF52" s="211"/>
      <c r="JOG52" s="211"/>
      <c r="JOH52" s="211"/>
      <c r="JOI52" s="211"/>
      <c r="JOJ52" s="211"/>
      <c r="JOK52" s="211"/>
      <c r="JOL52" s="211"/>
      <c r="JOM52" s="211"/>
      <c r="JON52" s="211"/>
      <c r="JOO52" s="211"/>
      <c r="JOP52" s="211"/>
      <c r="JOQ52" s="211"/>
      <c r="JOR52" s="211"/>
      <c r="JOS52" s="211"/>
      <c r="JOT52" s="211"/>
      <c r="JOU52" s="211"/>
      <c r="JOV52" s="211"/>
      <c r="JOW52" s="211"/>
      <c r="JOX52" s="211"/>
      <c r="JOY52" s="211"/>
      <c r="JOZ52" s="211"/>
      <c r="JPA52" s="211"/>
      <c r="JPB52" s="211"/>
      <c r="JPC52" s="211"/>
      <c r="JPD52" s="211"/>
      <c r="JPE52" s="211"/>
      <c r="JPF52" s="211"/>
      <c r="JPG52" s="211"/>
      <c r="JPH52" s="211"/>
      <c r="JPI52" s="211"/>
      <c r="JPJ52" s="211"/>
      <c r="JPK52" s="211"/>
      <c r="JPL52" s="211"/>
      <c r="JPM52" s="211"/>
      <c r="JPN52" s="211"/>
      <c r="JPO52" s="211"/>
      <c r="JPP52" s="211"/>
      <c r="JPQ52" s="211"/>
      <c r="JPR52" s="211"/>
      <c r="JPS52" s="211"/>
      <c r="JPT52" s="211"/>
      <c r="JPU52" s="211"/>
      <c r="JPV52" s="211"/>
      <c r="JPW52" s="211"/>
      <c r="JPX52" s="211"/>
      <c r="JPY52" s="211"/>
      <c r="JPZ52" s="211"/>
      <c r="JQA52" s="211"/>
      <c r="JQB52" s="211"/>
      <c r="JQC52" s="211"/>
      <c r="JQD52" s="211"/>
      <c r="JQE52" s="211"/>
      <c r="JQF52" s="211"/>
      <c r="JQG52" s="211"/>
      <c r="JQH52" s="211"/>
      <c r="JQI52" s="211"/>
      <c r="JQJ52" s="211"/>
      <c r="JQK52" s="211"/>
      <c r="JQL52" s="211"/>
      <c r="JQM52" s="211"/>
      <c r="JQN52" s="211"/>
      <c r="JQO52" s="211"/>
      <c r="JQP52" s="211"/>
      <c r="JQQ52" s="211"/>
      <c r="JQR52" s="211"/>
      <c r="JQS52" s="211"/>
      <c r="JQT52" s="211"/>
      <c r="JQU52" s="211"/>
      <c r="JQV52" s="211"/>
      <c r="JQW52" s="211"/>
      <c r="JQX52" s="211"/>
      <c r="JQY52" s="211"/>
      <c r="JQZ52" s="211"/>
      <c r="JRA52" s="211"/>
      <c r="JRB52" s="211"/>
      <c r="JRC52" s="211"/>
      <c r="JRD52" s="211"/>
      <c r="JRE52" s="211"/>
      <c r="JRF52" s="211"/>
      <c r="JRG52" s="211"/>
      <c r="JRH52" s="211"/>
      <c r="JRI52" s="211"/>
      <c r="JRJ52" s="211"/>
      <c r="JRK52" s="211"/>
      <c r="JRL52" s="211"/>
      <c r="JRM52" s="211"/>
      <c r="JRN52" s="211"/>
      <c r="JRO52" s="211"/>
      <c r="JRP52" s="211"/>
      <c r="JRQ52" s="211"/>
      <c r="JRR52" s="211"/>
      <c r="JRS52" s="211"/>
      <c r="JRT52" s="211"/>
      <c r="JRU52" s="211"/>
      <c r="JRV52" s="211"/>
      <c r="JRW52" s="211"/>
      <c r="JRX52" s="211"/>
      <c r="JRY52" s="211"/>
      <c r="JRZ52" s="211"/>
      <c r="JSA52" s="211"/>
      <c r="JSB52" s="211"/>
      <c r="JSC52" s="211"/>
      <c r="JSD52" s="211"/>
      <c r="JSE52" s="211"/>
      <c r="JSF52" s="211"/>
      <c r="JSG52" s="211"/>
      <c r="JSH52" s="211"/>
      <c r="JSI52" s="211"/>
      <c r="JSJ52" s="211"/>
      <c r="JSK52" s="211"/>
      <c r="JSL52" s="211"/>
      <c r="JSM52" s="211"/>
      <c r="JSN52" s="211"/>
      <c r="JSO52" s="211"/>
      <c r="JSP52" s="211"/>
      <c r="JSQ52" s="211"/>
      <c r="JSR52" s="211"/>
      <c r="JSS52" s="211"/>
      <c r="JST52" s="211"/>
      <c r="JSU52" s="211"/>
      <c r="JSV52" s="211"/>
      <c r="JSW52" s="211"/>
      <c r="JSX52" s="211"/>
      <c r="JSY52" s="211"/>
      <c r="JSZ52" s="211"/>
      <c r="JTA52" s="211"/>
      <c r="JTB52" s="211"/>
      <c r="JTC52" s="211"/>
      <c r="JTD52" s="211"/>
      <c r="JTE52" s="211"/>
      <c r="JTF52" s="211"/>
      <c r="JTG52" s="211"/>
      <c r="JTH52" s="211"/>
      <c r="JTI52" s="211"/>
      <c r="JTJ52" s="211"/>
      <c r="JTK52" s="211"/>
      <c r="JTL52" s="211"/>
      <c r="JTM52" s="211"/>
      <c r="JTN52" s="211"/>
      <c r="JTO52" s="211"/>
      <c r="JTP52" s="211"/>
      <c r="JTQ52" s="211"/>
      <c r="JTR52" s="211"/>
      <c r="JTS52" s="211"/>
      <c r="JTT52" s="211"/>
      <c r="JTU52" s="211"/>
      <c r="JTV52" s="211"/>
      <c r="JTW52" s="211"/>
      <c r="JTX52" s="211"/>
      <c r="JTY52" s="211"/>
      <c r="JTZ52" s="211"/>
      <c r="JUA52" s="211"/>
      <c r="JUB52" s="211"/>
      <c r="JUC52" s="211"/>
      <c r="JUD52" s="211"/>
      <c r="JUE52" s="211"/>
      <c r="JUF52" s="211"/>
      <c r="JUG52" s="211"/>
      <c r="JUH52" s="211"/>
      <c r="JUI52" s="211"/>
      <c r="JUJ52" s="211"/>
      <c r="JUK52" s="211"/>
      <c r="JUL52" s="211"/>
      <c r="JUM52" s="211"/>
      <c r="JUN52" s="211"/>
      <c r="JUO52" s="211"/>
      <c r="JUP52" s="211"/>
      <c r="JUQ52" s="211"/>
      <c r="JUR52" s="211"/>
      <c r="JUS52" s="211"/>
      <c r="JUT52" s="211"/>
      <c r="JUU52" s="211"/>
      <c r="JUV52" s="211"/>
      <c r="JUW52" s="211"/>
      <c r="JUX52" s="211"/>
      <c r="JUY52" s="211"/>
      <c r="JUZ52" s="211"/>
      <c r="JVA52" s="211"/>
      <c r="JVB52" s="211"/>
      <c r="JVC52" s="211"/>
      <c r="JVD52" s="211"/>
      <c r="JVE52" s="211"/>
      <c r="JVF52" s="211"/>
      <c r="JVG52" s="211"/>
      <c r="JVH52" s="211"/>
      <c r="JVI52" s="211"/>
      <c r="JVJ52" s="211"/>
      <c r="JVK52" s="211"/>
      <c r="JVL52" s="211"/>
      <c r="JVM52" s="211"/>
      <c r="JVN52" s="211"/>
      <c r="JVO52" s="211"/>
      <c r="JVP52" s="211"/>
      <c r="JVQ52" s="211"/>
      <c r="JVR52" s="211"/>
      <c r="JVS52" s="211"/>
      <c r="JVT52" s="211"/>
      <c r="JVU52" s="211"/>
      <c r="JVV52" s="211"/>
      <c r="JVW52" s="211"/>
      <c r="JVX52" s="211"/>
      <c r="JVY52" s="211"/>
      <c r="JVZ52" s="211"/>
      <c r="JWA52" s="211"/>
      <c r="JWB52" s="211"/>
      <c r="JWC52" s="211"/>
      <c r="JWD52" s="211"/>
      <c r="JWE52" s="211"/>
      <c r="JWF52" s="211"/>
      <c r="JWG52" s="211"/>
      <c r="JWH52" s="211"/>
      <c r="JWI52" s="211"/>
      <c r="JWJ52" s="211"/>
      <c r="JWK52" s="211"/>
      <c r="JWL52" s="211"/>
      <c r="JWM52" s="211"/>
      <c r="JWN52" s="211"/>
      <c r="JWO52" s="211"/>
      <c r="JWP52" s="211"/>
      <c r="JWQ52" s="211"/>
      <c r="JWR52" s="211"/>
      <c r="JWS52" s="211"/>
      <c r="JWT52" s="211"/>
      <c r="JWU52" s="211"/>
      <c r="JWV52" s="211"/>
      <c r="JWW52" s="211"/>
      <c r="JWX52" s="211"/>
      <c r="JWY52" s="211"/>
      <c r="JWZ52" s="211"/>
      <c r="JXA52" s="211"/>
      <c r="JXB52" s="211"/>
      <c r="JXC52" s="211"/>
      <c r="JXD52" s="211"/>
      <c r="JXE52" s="211"/>
      <c r="JXF52" s="211"/>
      <c r="JXG52" s="211"/>
      <c r="JXH52" s="211"/>
      <c r="JXI52" s="211"/>
      <c r="JXJ52" s="211"/>
      <c r="JXK52" s="211"/>
      <c r="JXL52" s="211"/>
      <c r="JXM52" s="211"/>
      <c r="JXN52" s="211"/>
      <c r="JXO52" s="211"/>
      <c r="JXP52" s="211"/>
      <c r="JXQ52" s="211"/>
      <c r="JXR52" s="211"/>
      <c r="JXS52" s="211"/>
      <c r="JXT52" s="211"/>
      <c r="JXU52" s="211"/>
      <c r="JXV52" s="211"/>
      <c r="JXW52" s="211"/>
      <c r="JXX52" s="211"/>
      <c r="JXY52" s="211"/>
      <c r="JXZ52" s="211"/>
      <c r="JYA52" s="211"/>
      <c r="JYB52" s="211"/>
      <c r="JYC52" s="211"/>
      <c r="JYD52" s="211"/>
      <c r="JYE52" s="211"/>
      <c r="JYF52" s="211"/>
      <c r="JYG52" s="211"/>
      <c r="JYH52" s="211"/>
      <c r="JYI52" s="211"/>
      <c r="JYJ52" s="211"/>
      <c r="JYK52" s="211"/>
      <c r="JYL52" s="211"/>
      <c r="JYM52" s="211"/>
      <c r="JYN52" s="211"/>
      <c r="JYO52" s="211"/>
      <c r="JYP52" s="211"/>
      <c r="JYQ52" s="211"/>
      <c r="JYR52" s="211"/>
      <c r="JYS52" s="211"/>
      <c r="JYT52" s="211"/>
      <c r="JYU52" s="211"/>
      <c r="JYV52" s="211"/>
      <c r="JYW52" s="211"/>
      <c r="JYX52" s="211"/>
      <c r="JYY52" s="211"/>
      <c r="JYZ52" s="211"/>
      <c r="JZA52" s="211"/>
      <c r="JZB52" s="211"/>
      <c r="JZC52" s="211"/>
      <c r="JZD52" s="211"/>
      <c r="JZE52" s="211"/>
      <c r="JZF52" s="211"/>
      <c r="JZG52" s="211"/>
      <c r="JZH52" s="211"/>
      <c r="JZI52" s="211"/>
      <c r="JZJ52" s="211"/>
      <c r="JZK52" s="211"/>
      <c r="JZL52" s="211"/>
      <c r="JZM52" s="211"/>
      <c r="JZN52" s="211"/>
      <c r="JZO52" s="211"/>
      <c r="JZP52" s="211"/>
      <c r="JZQ52" s="211"/>
      <c r="JZR52" s="211"/>
      <c r="JZS52" s="211"/>
      <c r="JZT52" s="211"/>
      <c r="JZU52" s="211"/>
      <c r="JZV52" s="211"/>
      <c r="JZW52" s="211"/>
      <c r="JZX52" s="211"/>
      <c r="JZY52" s="211"/>
      <c r="JZZ52" s="211"/>
      <c r="KAA52" s="211"/>
      <c r="KAB52" s="211"/>
      <c r="KAC52" s="211"/>
      <c r="KAD52" s="211"/>
      <c r="KAE52" s="211"/>
      <c r="KAF52" s="211"/>
      <c r="KAG52" s="211"/>
      <c r="KAH52" s="211"/>
      <c r="KAI52" s="211"/>
      <c r="KAJ52" s="211"/>
      <c r="KAK52" s="211"/>
      <c r="KAL52" s="211"/>
      <c r="KAM52" s="211"/>
      <c r="KAN52" s="211"/>
      <c r="KAO52" s="211"/>
      <c r="KAP52" s="211"/>
      <c r="KAQ52" s="211"/>
      <c r="KAR52" s="211"/>
      <c r="KAS52" s="211"/>
      <c r="KAT52" s="211"/>
      <c r="KAU52" s="211"/>
      <c r="KAV52" s="211"/>
      <c r="KAW52" s="211"/>
      <c r="KAX52" s="211"/>
      <c r="KAY52" s="211"/>
      <c r="KAZ52" s="211"/>
      <c r="KBA52" s="211"/>
      <c r="KBB52" s="211"/>
      <c r="KBC52" s="211"/>
      <c r="KBD52" s="211"/>
      <c r="KBE52" s="211"/>
      <c r="KBF52" s="211"/>
      <c r="KBG52" s="211"/>
      <c r="KBH52" s="211"/>
      <c r="KBI52" s="211"/>
      <c r="KBJ52" s="211"/>
      <c r="KBK52" s="211"/>
      <c r="KBL52" s="211"/>
      <c r="KBM52" s="211"/>
      <c r="KBN52" s="211"/>
      <c r="KBO52" s="211"/>
      <c r="KBP52" s="211"/>
      <c r="KBQ52" s="211"/>
      <c r="KBR52" s="211"/>
      <c r="KBS52" s="211"/>
      <c r="KBT52" s="211"/>
      <c r="KBU52" s="211"/>
      <c r="KBV52" s="211"/>
      <c r="KBW52" s="211"/>
      <c r="KBX52" s="211"/>
      <c r="KBY52" s="211"/>
      <c r="KBZ52" s="211"/>
      <c r="KCA52" s="211"/>
      <c r="KCB52" s="211"/>
      <c r="KCC52" s="211"/>
      <c r="KCD52" s="211"/>
      <c r="KCE52" s="211"/>
      <c r="KCF52" s="211"/>
      <c r="KCG52" s="211"/>
      <c r="KCH52" s="211"/>
      <c r="KCI52" s="211"/>
      <c r="KCJ52" s="211"/>
      <c r="KCK52" s="211"/>
      <c r="KCL52" s="211"/>
      <c r="KCM52" s="211"/>
      <c r="KCN52" s="211"/>
      <c r="KCO52" s="211"/>
      <c r="KCP52" s="211"/>
      <c r="KCQ52" s="211"/>
      <c r="KCR52" s="211"/>
      <c r="KCS52" s="211"/>
      <c r="KCT52" s="211"/>
      <c r="KCU52" s="211"/>
      <c r="KCV52" s="211"/>
      <c r="KCW52" s="211"/>
      <c r="KCX52" s="211"/>
      <c r="KCY52" s="211"/>
      <c r="KCZ52" s="211"/>
      <c r="KDA52" s="211"/>
      <c r="KDB52" s="211"/>
      <c r="KDC52" s="211"/>
      <c r="KDD52" s="211"/>
      <c r="KDE52" s="211"/>
      <c r="KDF52" s="211"/>
      <c r="KDG52" s="211"/>
      <c r="KDH52" s="211"/>
      <c r="KDI52" s="211"/>
      <c r="KDJ52" s="211"/>
      <c r="KDK52" s="211"/>
      <c r="KDL52" s="211"/>
      <c r="KDM52" s="211"/>
      <c r="KDN52" s="211"/>
      <c r="KDO52" s="211"/>
      <c r="KDP52" s="211"/>
      <c r="KDQ52" s="211"/>
      <c r="KDR52" s="211"/>
      <c r="KDS52" s="211"/>
      <c r="KDT52" s="211"/>
      <c r="KDU52" s="211"/>
      <c r="KDV52" s="211"/>
      <c r="KDW52" s="211"/>
      <c r="KDX52" s="211"/>
      <c r="KDY52" s="211"/>
      <c r="KDZ52" s="211"/>
      <c r="KEA52" s="211"/>
      <c r="KEB52" s="211"/>
      <c r="KEC52" s="211"/>
      <c r="KED52" s="211"/>
      <c r="KEE52" s="211"/>
      <c r="KEF52" s="211"/>
      <c r="KEG52" s="211"/>
      <c r="KEH52" s="211"/>
      <c r="KEI52" s="211"/>
      <c r="KEJ52" s="211"/>
      <c r="KEK52" s="211"/>
      <c r="KEL52" s="211"/>
      <c r="KEM52" s="211"/>
      <c r="KEN52" s="211"/>
      <c r="KEO52" s="211"/>
      <c r="KEP52" s="211"/>
      <c r="KEQ52" s="211"/>
      <c r="KER52" s="211"/>
      <c r="KES52" s="211"/>
      <c r="KET52" s="211"/>
      <c r="KEU52" s="211"/>
      <c r="KEV52" s="211"/>
      <c r="KEW52" s="211"/>
      <c r="KEX52" s="211"/>
      <c r="KEY52" s="211"/>
      <c r="KEZ52" s="211"/>
      <c r="KFA52" s="211"/>
      <c r="KFB52" s="211"/>
      <c r="KFC52" s="211"/>
      <c r="KFD52" s="211"/>
      <c r="KFE52" s="211"/>
      <c r="KFF52" s="211"/>
      <c r="KFG52" s="211"/>
      <c r="KFH52" s="211"/>
      <c r="KFI52" s="211"/>
      <c r="KFJ52" s="211"/>
      <c r="KFK52" s="211"/>
      <c r="KFL52" s="211"/>
      <c r="KFM52" s="211"/>
      <c r="KFN52" s="211"/>
      <c r="KFO52" s="211"/>
      <c r="KFP52" s="211"/>
      <c r="KFQ52" s="211"/>
      <c r="KFR52" s="211"/>
      <c r="KFS52" s="211"/>
      <c r="KFT52" s="211"/>
      <c r="KFU52" s="211"/>
      <c r="KFV52" s="211"/>
      <c r="KFW52" s="211"/>
      <c r="KFX52" s="211"/>
      <c r="KFY52" s="211"/>
      <c r="KFZ52" s="211"/>
      <c r="KGA52" s="211"/>
      <c r="KGB52" s="211"/>
      <c r="KGC52" s="211"/>
      <c r="KGD52" s="211"/>
      <c r="KGE52" s="211"/>
      <c r="KGF52" s="211"/>
      <c r="KGG52" s="211"/>
      <c r="KGH52" s="211"/>
      <c r="KGI52" s="211"/>
      <c r="KGJ52" s="211"/>
      <c r="KGK52" s="211"/>
      <c r="KGL52" s="211"/>
      <c r="KGM52" s="211"/>
      <c r="KGN52" s="211"/>
      <c r="KGO52" s="211"/>
      <c r="KGP52" s="211"/>
      <c r="KGQ52" s="211"/>
      <c r="KGR52" s="211"/>
      <c r="KGS52" s="211"/>
      <c r="KGT52" s="211"/>
      <c r="KGU52" s="211"/>
      <c r="KGV52" s="211"/>
      <c r="KGW52" s="211"/>
      <c r="KGX52" s="211"/>
      <c r="KGY52" s="211"/>
      <c r="KGZ52" s="211"/>
      <c r="KHA52" s="211"/>
      <c r="KHB52" s="211"/>
      <c r="KHC52" s="211"/>
      <c r="KHD52" s="211"/>
      <c r="KHE52" s="211"/>
      <c r="KHF52" s="211"/>
      <c r="KHG52" s="211"/>
      <c r="KHH52" s="211"/>
      <c r="KHI52" s="211"/>
      <c r="KHJ52" s="211"/>
      <c r="KHK52" s="211"/>
      <c r="KHL52" s="211"/>
      <c r="KHM52" s="211"/>
      <c r="KHN52" s="211"/>
      <c r="KHO52" s="211"/>
      <c r="KHP52" s="211"/>
      <c r="KHQ52" s="211"/>
      <c r="KHR52" s="211"/>
      <c r="KHS52" s="211"/>
      <c r="KHT52" s="211"/>
      <c r="KHU52" s="211"/>
      <c r="KHV52" s="211"/>
      <c r="KHW52" s="211"/>
      <c r="KHX52" s="211"/>
      <c r="KHY52" s="211"/>
      <c r="KHZ52" s="211"/>
      <c r="KIA52" s="211"/>
      <c r="KIB52" s="211"/>
      <c r="KIC52" s="211"/>
      <c r="KID52" s="211"/>
      <c r="KIE52" s="211"/>
      <c r="KIF52" s="211"/>
      <c r="KIG52" s="211"/>
      <c r="KIH52" s="211"/>
      <c r="KII52" s="211"/>
      <c r="KIJ52" s="211"/>
      <c r="KIK52" s="211"/>
      <c r="KIL52" s="211"/>
      <c r="KIM52" s="211"/>
      <c r="KIN52" s="211"/>
      <c r="KIO52" s="211"/>
      <c r="KIP52" s="211"/>
      <c r="KIQ52" s="211"/>
      <c r="KIR52" s="211"/>
      <c r="KIS52" s="211"/>
      <c r="KIT52" s="211"/>
      <c r="KIU52" s="211"/>
      <c r="KIV52" s="211"/>
      <c r="KIW52" s="211"/>
      <c r="KIX52" s="211"/>
      <c r="KIY52" s="211"/>
      <c r="KIZ52" s="211"/>
      <c r="KJA52" s="211"/>
      <c r="KJB52" s="211"/>
      <c r="KJC52" s="211"/>
      <c r="KJD52" s="211"/>
      <c r="KJE52" s="211"/>
      <c r="KJF52" s="211"/>
      <c r="KJG52" s="211"/>
      <c r="KJH52" s="211"/>
      <c r="KJI52" s="211"/>
      <c r="KJJ52" s="211"/>
      <c r="KJK52" s="211"/>
      <c r="KJL52" s="211"/>
      <c r="KJM52" s="211"/>
      <c r="KJN52" s="211"/>
      <c r="KJO52" s="211"/>
      <c r="KJP52" s="211"/>
      <c r="KJQ52" s="211"/>
      <c r="KJR52" s="211"/>
      <c r="KJS52" s="211"/>
      <c r="KJT52" s="211"/>
      <c r="KJU52" s="211"/>
      <c r="KJV52" s="211"/>
      <c r="KJW52" s="211"/>
      <c r="KJX52" s="211"/>
      <c r="KJY52" s="211"/>
      <c r="KJZ52" s="211"/>
      <c r="KKA52" s="211"/>
      <c r="KKB52" s="211"/>
      <c r="KKC52" s="211"/>
      <c r="KKD52" s="211"/>
      <c r="KKE52" s="211"/>
      <c r="KKF52" s="211"/>
      <c r="KKG52" s="211"/>
      <c r="KKH52" s="211"/>
      <c r="KKI52" s="211"/>
      <c r="KKJ52" s="211"/>
      <c r="KKK52" s="211"/>
      <c r="KKL52" s="211"/>
      <c r="KKM52" s="211"/>
      <c r="KKN52" s="211"/>
      <c r="KKO52" s="211"/>
      <c r="KKP52" s="211"/>
      <c r="KKQ52" s="211"/>
      <c r="KKR52" s="211"/>
      <c r="KKS52" s="211"/>
      <c r="KKT52" s="211"/>
      <c r="KKU52" s="211"/>
      <c r="KKV52" s="211"/>
      <c r="KKW52" s="211"/>
      <c r="KKX52" s="211"/>
      <c r="KKY52" s="211"/>
      <c r="KKZ52" s="211"/>
      <c r="KLA52" s="211"/>
      <c r="KLB52" s="211"/>
      <c r="KLC52" s="211"/>
      <c r="KLD52" s="211"/>
      <c r="KLE52" s="211"/>
      <c r="KLF52" s="211"/>
      <c r="KLG52" s="211"/>
      <c r="KLH52" s="211"/>
      <c r="KLI52" s="211"/>
      <c r="KLJ52" s="211"/>
      <c r="KLK52" s="211"/>
      <c r="KLL52" s="211"/>
      <c r="KLM52" s="211"/>
      <c r="KLN52" s="211"/>
      <c r="KLO52" s="211"/>
      <c r="KLP52" s="211"/>
      <c r="KLQ52" s="211"/>
      <c r="KLR52" s="211"/>
      <c r="KLS52" s="211"/>
      <c r="KLT52" s="211"/>
      <c r="KLU52" s="211"/>
      <c r="KLV52" s="211"/>
      <c r="KLW52" s="211"/>
      <c r="KLX52" s="211"/>
      <c r="KLY52" s="211"/>
      <c r="KLZ52" s="211"/>
      <c r="KMA52" s="211"/>
      <c r="KMB52" s="211"/>
      <c r="KMC52" s="211"/>
      <c r="KMD52" s="211"/>
      <c r="KME52" s="211"/>
      <c r="KMF52" s="211"/>
      <c r="KMG52" s="211"/>
      <c r="KMH52" s="211"/>
      <c r="KMI52" s="211"/>
      <c r="KMJ52" s="211"/>
      <c r="KMK52" s="211"/>
      <c r="KML52" s="211"/>
      <c r="KMM52" s="211"/>
      <c r="KMN52" s="211"/>
      <c r="KMO52" s="211"/>
      <c r="KMP52" s="211"/>
      <c r="KMQ52" s="211"/>
      <c r="KMR52" s="211"/>
      <c r="KMS52" s="211"/>
      <c r="KMT52" s="211"/>
      <c r="KMU52" s="211"/>
      <c r="KMV52" s="211"/>
      <c r="KMW52" s="211"/>
      <c r="KMX52" s="211"/>
      <c r="KMY52" s="211"/>
      <c r="KMZ52" s="211"/>
      <c r="KNA52" s="211"/>
      <c r="KNB52" s="211"/>
      <c r="KNC52" s="211"/>
      <c r="KND52" s="211"/>
      <c r="KNE52" s="211"/>
      <c r="KNF52" s="211"/>
      <c r="KNG52" s="211"/>
      <c r="KNH52" s="211"/>
      <c r="KNI52" s="211"/>
      <c r="KNJ52" s="211"/>
      <c r="KNK52" s="211"/>
      <c r="KNL52" s="211"/>
      <c r="KNM52" s="211"/>
      <c r="KNN52" s="211"/>
      <c r="KNO52" s="211"/>
      <c r="KNP52" s="211"/>
      <c r="KNQ52" s="211"/>
      <c r="KNR52" s="211"/>
      <c r="KNS52" s="211"/>
      <c r="KNT52" s="211"/>
      <c r="KNU52" s="211"/>
      <c r="KNV52" s="211"/>
      <c r="KNW52" s="211"/>
      <c r="KNX52" s="211"/>
      <c r="KNY52" s="211"/>
      <c r="KNZ52" s="211"/>
      <c r="KOA52" s="211"/>
      <c r="KOB52" s="211"/>
      <c r="KOC52" s="211"/>
      <c r="KOD52" s="211"/>
      <c r="KOE52" s="211"/>
      <c r="KOF52" s="211"/>
      <c r="KOG52" s="211"/>
      <c r="KOH52" s="211"/>
      <c r="KOI52" s="211"/>
      <c r="KOJ52" s="211"/>
      <c r="KOK52" s="211"/>
      <c r="KOL52" s="211"/>
      <c r="KOM52" s="211"/>
      <c r="KON52" s="211"/>
      <c r="KOO52" s="211"/>
      <c r="KOP52" s="211"/>
      <c r="KOQ52" s="211"/>
      <c r="KOR52" s="211"/>
      <c r="KOS52" s="211"/>
      <c r="KOT52" s="211"/>
      <c r="KOU52" s="211"/>
      <c r="KOV52" s="211"/>
      <c r="KOW52" s="211"/>
      <c r="KOX52" s="211"/>
      <c r="KOY52" s="211"/>
      <c r="KOZ52" s="211"/>
      <c r="KPA52" s="211"/>
      <c r="KPB52" s="211"/>
      <c r="KPC52" s="211"/>
      <c r="KPD52" s="211"/>
      <c r="KPE52" s="211"/>
      <c r="KPF52" s="211"/>
      <c r="KPG52" s="211"/>
      <c r="KPH52" s="211"/>
      <c r="KPI52" s="211"/>
      <c r="KPJ52" s="211"/>
      <c r="KPK52" s="211"/>
      <c r="KPL52" s="211"/>
      <c r="KPM52" s="211"/>
      <c r="KPN52" s="211"/>
      <c r="KPO52" s="211"/>
      <c r="KPP52" s="211"/>
      <c r="KPQ52" s="211"/>
      <c r="KPR52" s="211"/>
      <c r="KPS52" s="211"/>
      <c r="KPT52" s="211"/>
      <c r="KPU52" s="211"/>
      <c r="KPV52" s="211"/>
      <c r="KPW52" s="211"/>
      <c r="KPX52" s="211"/>
      <c r="KPY52" s="211"/>
      <c r="KPZ52" s="211"/>
      <c r="KQA52" s="211"/>
      <c r="KQB52" s="211"/>
      <c r="KQC52" s="211"/>
      <c r="KQD52" s="211"/>
      <c r="KQE52" s="211"/>
      <c r="KQF52" s="211"/>
      <c r="KQG52" s="211"/>
      <c r="KQH52" s="211"/>
      <c r="KQI52" s="211"/>
      <c r="KQJ52" s="211"/>
      <c r="KQK52" s="211"/>
      <c r="KQL52" s="211"/>
      <c r="KQM52" s="211"/>
      <c r="KQN52" s="211"/>
      <c r="KQO52" s="211"/>
      <c r="KQP52" s="211"/>
      <c r="KQQ52" s="211"/>
      <c r="KQR52" s="211"/>
      <c r="KQS52" s="211"/>
      <c r="KQT52" s="211"/>
      <c r="KQU52" s="211"/>
      <c r="KQV52" s="211"/>
      <c r="KQW52" s="211"/>
      <c r="KQX52" s="211"/>
      <c r="KQY52" s="211"/>
      <c r="KQZ52" s="211"/>
      <c r="KRA52" s="211"/>
      <c r="KRB52" s="211"/>
      <c r="KRC52" s="211"/>
      <c r="KRD52" s="211"/>
      <c r="KRE52" s="211"/>
      <c r="KRF52" s="211"/>
      <c r="KRG52" s="211"/>
      <c r="KRH52" s="211"/>
      <c r="KRI52" s="211"/>
      <c r="KRJ52" s="211"/>
      <c r="KRK52" s="211"/>
      <c r="KRL52" s="211"/>
      <c r="KRM52" s="211"/>
      <c r="KRN52" s="211"/>
      <c r="KRO52" s="211"/>
      <c r="KRP52" s="211"/>
      <c r="KRQ52" s="211"/>
      <c r="KRR52" s="211"/>
      <c r="KRS52" s="211"/>
      <c r="KRT52" s="211"/>
      <c r="KRU52" s="211"/>
      <c r="KRV52" s="211"/>
      <c r="KRW52" s="211"/>
      <c r="KRX52" s="211"/>
      <c r="KRY52" s="211"/>
      <c r="KRZ52" s="211"/>
      <c r="KSA52" s="211"/>
      <c r="KSB52" s="211"/>
      <c r="KSC52" s="211"/>
      <c r="KSD52" s="211"/>
      <c r="KSE52" s="211"/>
      <c r="KSF52" s="211"/>
      <c r="KSG52" s="211"/>
      <c r="KSH52" s="211"/>
      <c r="KSI52" s="211"/>
      <c r="KSJ52" s="211"/>
      <c r="KSK52" s="211"/>
      <c r="KSL52" s="211"/>
      <c r="KSM52" s="211"/>
      <c r="KSN52" s="211"/>
      <c r="KSO52" s="211"/>
      <c r="KSP52" s="211"/>
      <c r="KSQ52" s="211"/>
      <c r="KSR52" s="211"/>
      <c r="KSS52" s="211"/>
      <c r="KST52" s="211"/>
      <c r="KSU52" s="211"/>
      <c r="KSV52" s="211"/>
      <c r="KSW52" s="211"/>
      <c r="KSX52" s="211"/>
      <c r="KSY52" s="211"/>
      <c r="KSZ52" s="211"/>
      <c r="KTA52" s="211"/>
      <c r="KTB52" s="211"/>
      <c r="KTC52" s="211"/>
      <c r="KTD52" s="211"/>
      <c r="KTE52" s="211"/>
      <c r="KTF52" s="211"/>
      <c r="KTG52" s="211"/>
      <c r="KTH52" s="211"/>
      <c r="KTI52" s="211"/>
      <c r="KTJ52" s="211"/>
      <c r="KTK52" s="211"/>
      <c r="KTL52" s="211"/>
      <c r="KTM52" s="211"/>
      <c r="KTN52" s="211"/>
      <c r="KTO52" s="211"/>
      <c r="KTP52" s="211"/>
      <c r="KTQ52" s="211"/>
      <c r="KTR52" s="211"/>
      <c r="KTS52" s="211"/>
      <c r="KTT52" s="211"/>
      <c r="KTU52" s="211"/>
      <c r="KTV52" s="211"/>
      <c r="KTW52" s="211"/>
      <c r="KTX52" s="211"/>
      <c r="KTY52" s="211"/>
      <c r="KTZ52" s="211"/>
      <c r="KUA52" s="211"/>
      <c r="KUB52" s="211"/>
      <c r="KUC52" s="211"/>
      <c r="KUD52" s="211"/>
      <c r="KUE52" s="211"/>
      <c r="KUF52" s="211"/>
      <c r="KUG52" s="211"/>
      <c r="KUH52" s="211"/>
      <c r="KUI52" s="211"/>
      <c r="KUJ52" s="211"/>
      <c r="KUK52" s="211"/>
      <c r="KUL52" s="211"/>
      <c r="KUM52" s="211"/>
      <c r="KUN52" s="211"/>
      <c r="KUO52" s="211"/>
      <c r="KUP52" s="211"/>
      <c r="KUQ52" s="211"/>
      <c r="KUR52" s="211"/>
      <c r="KUS52" s="211"/>
      <c r="KUT52" s="211"/>
      <c r="KUU52" s="211"/>
      <c r="KUV52" s="211"/>
      <c r="KUW52" s="211"/>
      <c r="KUX52" s="211"/>
      <c r="KUY52" s="211"/>
      <c r="KUZ52" s="211"/>
      <c r="KVA52" s="211"/>
      <c r="KVB52" s="211"/>
      <c r="KVC52" s="211"/>
      <c r="KVD52" s="211"/>
      <c r="KVE52" s="211"/>
      <c r="KVF52" s="211"/>
      <c r="KVG52" s="211"/>
      <c r="KVH52" s="211"/>
      <c r="KVI52" s="211"/>
      <c r="KVJ52" s="211"/>
      <c r="KVK52" s="211"/>
      <c r="KVL52" s="211"/>
      <c r="KVM52" s="211"/>
      <c r="KVN52" s="211"/>
      <c r="KVO52" s="211"/>
      <c r="KVP52" s="211"/>
      <c r="KVQ52" s="211"/>
      <c r="KVR52" s="211"/>
      <c r="KVS52" s="211"/>
      <c r="KVT52" s="211"/>
      <c r="KVU52" s="211"/>
      <c r="KVV52" s="211"/>
      <c r="KVW52" s="211"/>
      <c r="KVX52" s="211"/>
      <c r="KVY52" s="211"/>
      <c r="KVZ52" s="211"/>
      <c r="KWA52" s="211"/>
      <c r="KWB52" s="211"/>
      <c r="KWC52" s="211"/>
      <c r="KWD52" s="211"/>
      <c r="KWE52" s="211"/>
      <c r="KWF52" s="211"/>
      <c r="KWG52" s="211"/>
      <c r="KWH52" s="211"/>
      <c r="KWI52" s="211"/>
      <c r="KWJ52" s="211"/>
      <c r="KWK52" s="211"/>
      <c r="KWL52" s="211"/>
      <c r="KWM52" s="211"/>
      <c r="KWN52" s="211"/>
      <c r="KWO52" s="211"/>
      <c r="KWP52" s="211"/>
      <c r="KWQ52" s="211"/>
      <c r="KWR52" s="211"/>
      <c r="KWS52" s="211"/>
      <c r="KWT52" s="211"/>
      <c r="KWU52" s="211"/>
      <c r="KWV52" s="211"/>
      <c r="KWW52" s="211"/>
      <c r="KWX52" s="211"/>
      <c r="KWY52" s="211"/>
      <c r="KWZ52" s="211"/>
      <c r="KXA52" s="211"/>
      <c r="KXB52" s="211"/>
      <c r="KXC52" s="211"/>
      <c r="KXD52" s="211"/>
      <c r="KXE52" s="211"/>
      <c r="KXF52" s="211"/>
      <c r="KXG52" s="211"/>
      <c r="KXH52" s="211"/>
      <c r="KXI52" s="211"/>
      <c r="KXJ52" s="211"/>
      <c r="KXK52" s="211"/>
      <c r="KXL52" s="211"/>
      <c r="KXM52" s="211"/>
      <c r="KXN52" s="211"/>
      <c r="KXO52" s="211"/>
      <c r="KXP52" s="211"/>
      <c r="KXQ52" s="211"/>
      <c r="KXR52" s="211"/>
      <c r="KXS52" s="211"/>
      <c r="KXT52" s="211"/>
      <c r="KXU52" s="211"/>
      <c r="KXV52" s="211"/>
      <c r="KXW52" s="211"/>
      <c r="KXX52" s="211"/>
      <c r="KXY52" s="211"/>
      <c r="KXZ52" s="211"/>
      <c r="KYA52" s="211"/>
      <c r="KYB52" s="211"/>
      <c r="KYC52" s="211"/>
      <c r="KYD52" s="211"/>
      <c r="KYE52" s="211"/>
      <c r="KYF52" s="211"/>
      <c r="KYG52" s="211"/>
      <c r="KYH52" s="211"/>
      <c r="KYI52" s="211"/>
      <c r="KYJ52" s="211"/>
      <c r="KYK52" s="211"/>
      <c r="KYL52" s="211"/>
      <c r="KYM52" s="211"/>
      <c r="KYN52" s="211"/>
      <c r="KYO52" s="211"/>
      <c r="KYP52" s="211"/>
      <c r="KYQ52" s="211"/>
      <c r="KYR52" s="211"/>
      <c r="KYS52" s="211"/>
      <c r="KYT52" s="211"/>
      <c r="KYU52" s="211"/>
      <c r="KYV52" s="211"/>
      <c r="KYW52" s="211"/>
      <c r="KYX52" s="211"/>
      <c r="KYY52" s="211"/>
      <c r="KYZ52" s="211"/>
      <c r="KZA52" s="211"/>
      <c r="KZB52" s="211"/>
      <c r="KZC52" s="211"/>
      <c r="KZD52" s="211"/>
      <c r="KZE52" s="211"/>
      <c r="KZF52" s="211"/>
      <c r="KZG52" s="211"/>
      <c r="KZH52" s="211"/>
      <c r="KZI52" s="211"/>
      <c r="KZJ52" s="211"/>
      <c r="KZK52" s="211"/>
      <c r="KZL52" s="211"/>
      <c r="KZM52" s="211"/>
      <c r="KZN52" s="211"/>
      <c r="KZO52" s="211"/>
      <c r="KZP52" s="211"/>
      <c r="KZQ52" s="211"/>
      <c r="KZR52" s="211"/>
      <c r="KZS52" s="211"/>
      <c r="KZT52" s="211"/>
      <c r="KZU52" s="211"/>
      <c r="KZV52" s="211"/>
      <c r="KZW52" s="211"/>
      <c r="KZX52" s="211"/>
      <c r="KZY52" s="211"/>
      <c r="KZZ52" s="211"/>
      <c r="LAA52" s="211"/>
      <c r="LAB52" s="211"/>
      <c r="LAC52" s="211"/>
      <c r="LAD52" s="211"/>
      <c r="LAE52" s="211"/>
      <c r="LAF52" s="211"/>
      <c r="LAG52" s="211"/>
      <c r="LAH52" s="211"/>
      <c r="LAI52" s="211"/>
      <c r="LAJ52" s="211"/>
      <c r="LAK52" s="211"/>
      <c r="LAL52" s="211"/>
      <c r="LAM52" s="211"/>
      <c r="LAN52" s="211"/>
      <c r="LAO52" s="211"/>
      <c r="LAP52" s="211"/>
      <c r="LAQ52" s="211"/>
      <c r="LAR52" s="211"/>
      <c r="LAS52" s="211"/>
      <c r="LAT52" s="211"/>
      <c r="LAU52" s="211"/>
      <c r="LAV52" s="211"/>
      <c r="LAW52" s="211"/>
      <c r="LAX52" s="211"/>
      <c r="LAY52" s="211"/>
      <c r="LAZ52" s="211"/>
      <c r="LBA52" s="211"/>
      <c r="LBB52" s="211"/>
      <c r="LBC52" s="211"/>
      <c r="LBD52" s="211"/>
      <c r="LBE52" s="211"/>
      <c r="LBF52" s="211"/>
      <c r="LBG52" s="211"/>
      <c r="LBH52" s="211"/>
      <c r="LBI52" s="211"/>
      <c r="LBJ52" s="211"/>
      <c r="LBK52" s="211"/>
      <c r="LBL52" s="211"/>
      <c r="LBM52" s="211"/>
      <c r="LBN52" s="211"/>
      <c r="LBO52" s="211"/>
      <c r="LBP52" s="211"/>
      <c r="LBQ52" s="211"/>
      <c r="LBR52" s="211"/>
      <c r="LBS52" s="211"/>
      <c r="LBT52" s="211"/>
      <c r="LBU52" s="211"/>
      <c r="LBV52" s="211"/>
      <c r="LBW52" s="211"/>
      <c r="LBX52" s="211"/>
      <c r="LBY52" s="211"/>
      <c r="LBZ52" s="211"/>
      <c r="LCA52" s="211"/>
      <c r="LCB52" s="211"/>
      <c r="LCC52" s="211"/>
      <c r="LCD52" s="211"/>
      <c r="LCE52" s="211"/>
      <c r="LCF52" s="211"/>
      <c r="LCG52" s="211"/>
      <c r="LCH52" s="211"/>
      <c r="LCI52" s="211"/>
      <c r="LCJ52" s="211"/>
      <c r="LCK52" s="211"/>
      <c r="LCL52" s="211"/>
      <c r="LCM52" s="211"/>
      <c r="LCN52" s="211"/>
      <c r="LCO52" s="211"/>
      <c r="LCP52" s="211"/>
      <c r="LCQ52" s="211"/>
      <c r="LCR52" s="211"/>
      <c r="LCS52" s="211"/>
      <c r="LCT52" s="211"/>
      <c r="LCU52" s="211"/>
      <c r="LCV52" s="211"/>
      <c r="LCW52" s="211"/>
      <c r="LCX52" s="211"/>
      <c r="LCY52" s="211"/>
      <c r="LCZ52" s="211"/>
      <c r="LDA52" s="211"/>
      <c r="LDB52" s="211"/>
      <c r="LDC52" s="211"/>
      <c r="LDD52" s="211"/>
      <c r="LDE52" s="211"/>
      <c r="LDF52" s="211"/>
      <c r="LDG52" s="211"/>
      <c r="LDH52" s="211"/>
      <c r="LDI52" s="211"/>
      <c r="LDJ52" s="211"/>
      <c r="LDK52" s="211"/>
      <c r="LDL52" s="211"/>
      <c r="LDM52" s="211"/>
      <c r="LDN52" s="211"/>
      <c r="LDO52" s="211"/>
      <c r="LDP52" s="211"/>
      <c r="LDQ52" s="211"/>
      <c r="LDR52" s="211"/>
      <c r="LDS52" s="211"/>
      <c r="LDT52" s="211"/>
      <c r="LDU52" s="211"/>
      <c r="LDV52" s="211"/>
      <c r="LDW52" s="211"/>
      <c r="LDX52" s="211"/>
      <c r="LDY52" s="211"/>
      <c r="LDZ52" s="211"/>
      <c r="LEA52" s="211"/>
      <c r="LEB52" s="211"/>
      <c r="LEC52" s="211"/>
      <c r="LED52" s="211"/>
      <c r="LEE52" s="211"/>
      <c r="LEF52" s="211"/>
      <c r="LEG52" s="211"/>
      <c r="LEH52" s="211"/>
      <c r="LEI52" s="211"/>
      <c r="LEJ52" s="211"/>
      <c r="LEK52" s="211"/>
      <c r="LEL52" s="211"/>
      <c r="LEM52" s="211"/>
      <c r="LEN52" s="211"/>
      <c r="LEO52" s="211"/>
      <c r="LEP52" s="211"/>
      <c r="LEQ52" s="211"/>
      <c r="LER52" s="211"/>
      <c r="LES52" s="211"/>
      <c r="LET52" s="211"/>
      <c r="LEU52" s="211"/>
      <c r="LEV52" s="211"/>
      <c r="LEW52" s="211"/>
      <c r="LEX52" s="211"/>
      <c r="LEY52" s="211"/>
      <c r="LEZ52" s="211"/>
      <c r="LFA52" s="211"/>
      <c r="LFB52" s="211"/>
      <c r="LFC52" s="211"/>
      <c r="LFD52" s="211"/>
      <c r="LFE52" s="211"/>
      <c r="LFF52" s="211"/>
      <c r="LFG52" s="211"/>
      <c r="LFH52" s="211"/>
      <c r="LFI52" s="211"/>
      <c r="LFJ52" s="211"/>
      <c r="LFK52" s="211"/>
      <c r="LFL52" s="211"/>
      <c r="LFM52" s="211"/>
      <c r="LFN52" s="211"/>
      <c r="LFO52" s="211"/>
      <c r="LFP52" s="211"/>
      <c r="LFQ52" s="211"/>
      <c r="LFR52" s="211"/>
      <c r="LFS52" s="211"/>
      <c r="LFT52" s="211"/>
      <c r="LFU52" s="211"/>
      <c r="LFV52" s="211"/>
      <c r="LFW52" s="211"/>
      <c r="LFX52" s="211"/>
      <c r="LFY52" s="211"/>
      <c r="LFZ52" s="211"/>
      <c r="LGA52" s="211"/>
      <c r="LGB52" s="211"/>
      <c r="LGC52" s="211"/>
      <c r="LGD52" s="211"/>
      <c r="LGE52" s="211"/>
      <c r="LGF52" s="211"/>
      <c r="LGG52" s="211"/>
      <c r="LGH52" s="211"/>
      <c r="LGI52" s="211"/>
      <c r="LGJ52" s="211"/>
      <c r="LGK52" s="211"/>
      <c r="LGL52" s="211"/>
      <c r="LGM52" s="211"/>
      <c r="LGN52" s="211"/>
      <c r="LGO52" s="211"/>
      <c r="LGP52" s="211"/>
      <c r="LGQ52" s="211"/>
      <c r="LGR52" s="211"/>
      <c r="LGS52" s="211"/>
      <c r="LGT52" s="211"/>
      <c r="LGU52" s="211"/>
      <c r="LGV52" s="211"/>
      <c r="LGW52" s="211"/>
      <c r="LGX52" s="211"/>
      <c r="LGY52" s="211"/>
      <c r="LGZ52" s="211"/>
      <c r="LHA52" s="211"/>
      <c r="LHB52" s="211"/>
      <c r="LHC52" s="211"/>
      <c r="LHD52" s="211"/>
      <c r="LHE52" s="211"/>
      <c r="LHF52" s="211"/>
      <c r="LHG52" s="211"/>
      <c r="LHH52" s="211"/>
      <c r="LHI52" s="211"/>
      <c r="LHJ52" s="211"/>
      <c r="LHK52" s="211"/>
      <c r="LHL52" s="211"/>
      <c r="LHM52" s="211"/>
      <c r="LHN52" s="211"/>
      <c r="LHO52" s="211"/>
      <c r="LHP52" s="211"/>
      <c r="LHQ52" s="211"/>
      <c r="LHR52" s="211"/>
      <c r="LHS52" s="211"/>
      <c r="LHT52" s="211"/>
      <c r="LHU52" s="211"/>
      <c r="LHV52" s="211"/>
      <c r="LHW52" s="211"/>
      <c r="LHX52" s="211"/>
      <c r="LHY52" s="211"/>
      <c r="LHZ52" s="211"/>
      <c r="LIA52" s="211"/>
      <c r="LIB52" s="211"/>
      <c r="LIC52" s="211"/>
      <c r="LID52" s="211"/>
      <c r="LIE52" s="211"/>
      <c r="LIF52" s="211"/>
      <c r="LIG52" s="211"/>
      <c r="LIH52" s="211"/>
      <c r="LII52" s="211"/>
      <c r="LIJ52" s="211"/>
      <c r="LIK52" s="211"/>
      <c r="LIL52" s="211"/>
      <c r="LIM52" s="211"/>
      <c r="LIN52" s="211"/>
      <c r="LIO52" s="211"/>
      <c r="LIP52" s="211"/>
      <c r="LIQ52" s="211"/>
      <c r="LIR52" s="211"/>
      <c r="LIS52" s="211"/>
      <c r="LIT52" s="211"/>
      <c r="LIU52" s="211"/>
      <c r="LIV52" s="211"/>
      <c r="LIW52" s="211"/>
      <c r="LIX52" s="211"/>
      <c r="LIY52" s="211"/>
      <c r="LIZ52" s="211"/>
      <c r="LJA52" s="211"/>
      <c r="LJB52" s="211"/>
      <c r="LJC52" s="211"/>
      <c r="LJD52" s="211"/>
      <c r="LJE52" s="211"/>
      <c r="LJF52" s="211"/>
      <c r="LJG52" s="211"/>
      <c r="LJH52" s="211"/>
      <c r="LJI52" s="211"/>
      <c r="LJJ52" s="211"/>
      <c r="LJK52" s="211"/>
      <c r="LJL52" s="211"/>
      <c r="LJM52" s="211"/>
      <c r="LJN52" s="211"/>
      <c r="LJO52" s="211"/>
      <c r="LJP52" s="211"/>
      <c r="LJQ52" s="211"/>
      <c r="LJR52" s="211"/>
      <c r="LJS52" s="211"/>
      <c r="LJT52" s="211"/>
      <c r="LJU52" s="211"/>
      <c r="LJV52" s="211"/>
      <c r="LJW52" s="211"/>
      <c r="LJX52" s="211"/>
      <c r="LJY52" s="211"/>
      <c r="LJZ52" s="211"/>
      <c r="LKA52" s="211"/>
      <c r="LKB52" s="211"/>
      <c r="LKC52" s="211"/>
      <c r="LKD52" s="211"/>
      <c r="LKE52" s="211"/>
      <c r="LKF52" s="211"/>
      <c r="LKG52" s="211"/>
      <c r="LKH52" s="211"/>
      <c r="LKI52" s="211"/>
      <c r="LKJ52" s="211"/>
      <c r="LKK52" s="211"/>
      <c r="LKL52" s="211"/>
      <c r="LKM52" s="211"/>
      <c r="LKN52" s="211"/>
      <c r="LKO52" s="211"/>
      <c r="LKP52" s="211"/>
      <c r="LKQ52" s="211"/>
      <c r="LKR52" s="211"/>
      <c r="LKS52" s="211"/>
      <c r="LKT52" s="211"/>
      <c r="LKU52" s="211"/>
      <c r="LKV52" s="211"/>
      <c r="LKW52" s="211"/>
      <c r="LKX52" s="211"/>
      <c r="LKY52" s="211"/>
      <c r="LKZ52" s="211"/>
      <c r="LLA52" s="211"/>
      <c r="LLB52" s="211"/>
      <c r="LLC52" s="211"/>
      <c r="LLD52" s="211"/>
      <c r="LLE52" s="211"/>
      <c r="LLF52" s="211"/>
      <c r="LLG52" s="211"/>
      <c r="LLH52" s="211"/>
      <c r="LLI52" s="211"/>
      <c r="LLJ52" s="211"/>
      <c r="LLK52" s="211"/>
      <c r="LLL52" s="211"/>
      <c r="LLM52" s="211"/>
      <c r="LLN52" s="211"/>
      <c r="LLO52" s="211"/>
      <c r="LLP52" s="211"/>
      <c r="LLQ52" s="211"/>
      <c r="LLR52" s="211"/>
      <c r="LLS52" s="211"/>
      <c r="LLT52" s="211"/>
      <c r="LLU52" s="211"/>
      <c r="LLV52" s="211"/>
      <c r="LLW52" s="211"/>
      <c r="LLX52" s="211"/>
      <c r="LLY52" s="211"/>
      <c r="LLZ52" s="211"/>
      <c r="LMA52" s="211"/>
      <c r="LMB52" s="211"/>
      <c r="LMC52" s="211"/>
      <c r="LMD52" s="211"/>
      <c r="LME52" s="211"/>
      <c r="LMF52" s="211"/>
      <c r="LMG52" s="211"/>
      <c r="LMH52" s="211"/>
      <c r="LMI52" s="211"/>
      <c r="LMJ52" s="211"/>
      <c r="LMK52" s="211"/>
      <c r="LML52" s="211"/>
      <c r="LMM52" s="211"/>
      <c r="LMN52" s="211"/>
      <c r="LMO52" s="211"/>
      <c r="LMP52" s="211"/>
      <c r="LMQ52" s="211"/>
      <c r="LMR52" s="211"/>
      <c r="LMS52" s="211"/>
      <c r="LMT52" s="211"/>
      <c r="LMU52" s="211"/>
      <c r="LMV52" s="211"/>
      <c r="LMW52" s="211"/>
      <c r="LMX52" s="211"/>
      <c r="LMY52" s="211"/>
      <c r="LMZ52" s="211"/>
      <c r="LNA52" s="211"/>
      <c r="LNB52" s="211"/>
      <c r="LNC52" s="211"/>
      <c r="LND52" s="211"/>
      <c r="LNE52" s="211"/>
      <c r="LNF52" s="211"/>
      <c r="LNG52" s="211"/>
      <c r="LNH52" s="211"/>
      <c r="LNI52" s="211"/>
      <c r="LNJ52" s="211"/>
      <c r="LNK52" s="211"/>
      <c r="LNL52" s="211"/>
      <c r="LNM52" s="211"/>
      <c r="LNN52" s="211"/>
      <c r="LNO52" s="211"/>
      <c r="LNP52" s="211"/>
      <c r="LNQ52" s="211"/>
      <c r="LNR52" s="211"/>
      <c r="LNS52" s="211"/>
      <c r="LNT52" s="211"/>
      <c r="LNU52" s="211"/>
      <c r="LNV52" s="211"/>
      <c r="LNW52" s="211"/>
      <c r="LNX52" s="211"/>
      <c r="LNY52" s="211"/>
      <c r="LNZ52" s="211"/>
      <c r="LOA52" s="211"/>
      <c r="LOB52" s="211"/>
      <c r="LOC52" s="211"/>
      <c r="LOD52" s="211"/>
      <c r="LOE52" s="211"/>
      <c r="LOF52" s="211"/>
      <c r="LOG52" s="211"/>
      <c r="LOH52" s="211"/>
      <c r="LOI52" s="211"/>
      <c r="LOJ52" s="211"/>
      <c r="LOK52" s="211"/>
      <c r="LOL52" s="211"/>
      <c r="LOM52" s="211"/>
      <c r="LON52" s="211"/>
      <c r="LOO52" s="211"/>
      <c r="LOP52" s="211"/>
      <c r="LOQ52" s="211"/>
      <c r="LOR52" s="211"/>
      <c r="LOS52" s="211"/>
      <c r="LOT52" s="211"/>
      <c r="LOU52" s="211"/>
      <c r="LOV52" s="211"/>
      <c r="LOW52" s="211"/>
      <c r="LOX52" s="211"/>
      <c r="LOY52" s="211"/>
      <c r="LOZ52" s="211"/>
      <c r="LPA52" s="211"/>
      <c r="LPB52" s="211"/>
      <c r="LPC52" s="211"/>
      <c r="LPD52" s="211"/>
      <c r="LPE52" s="211"/>
      <c r="LPF52" s="211"/>
      <c r="LPG52" s="211"/>
      <c r="LPH52" s="211"/>
      <c r="LPI52" s="211"/>
      <c r="LPJ52" s="211"/>
      <c r="LPK52" s="211"/>
      <c r="LPL52" s="211"/>
      <c r="LPM52" s="211"/>
      <c r="LPN52" s="211"/>
      <c r="LPO52" s="211"/>
      <c r="LPP52" s="211"/>
      <c r="LPQ52" s="211"/>
      <c r="LPR52" s="211"/>
      <c r="LPS52" s="211"/>
      <c r="LPT52" s="211"/>
      <c r="LPU52" s="211"/>
      <c r="LPV52" s="211"/>
      <c r="LPW52" s="211"/>
      <c r="LPX52" s="211"/>
      <c r="LPY52" s="211"/>
      <c r="LPZ52" s="211"/>
      <c r="LQA52" s="211"/>
      <c r="LQB52" s="211"/>
      <c r="LQC52" s="211"/>
      <c r="LQD52" s="211"/>
      <c r="LQE52" s="211"/>
      <c r="LQF52" s="211"/>
      <c r="LQG52" s="211"/>
      <c r="LQH52" s="211"/>
      <c r="LQI52" s="211"/>
      <c r="LQJ52" s="211"/>
      <c r="LQK52" s="211"/>
      <c r="LQL52" s="211"/>
      <c r="LQM52" s="211"/>
      <c r="LQN52" s="211"/>
      <c r="LQO52" s="211"/>
      <c r="LQP52" s="211"/>
      <c r="LQQ52" s="211"/>
      <c r="LQR52" s="211"/>
      <c r="LQS52" s="211"/>
      <c r="LQT52" s="211"/>
      <c r="LQU52" s="211"/>
      <c r="LQV52" s="211"/>
      <c r="LQW52" s="211"/>
      <c r="LQX52" s="211"/>
      <c r="LQY52" s="211"/>
      <c r="LQZ52" s="211"/>
      <c r="LRA52" s="211"/>
      <c r="LRB52" s="211"/>
      <c r="LRC52" s="211"/>
      <c r="LRD52" s="211"/>
      <c r="LRE52" s="211"/>
      <c r="LRF52" s="211"/>
      <c r="LRG52" s="211"/>
      <c r="LRH52" s="211"/>
      <c r="LRI52" s="211"/>
      <c r="LRJ52" s="211"/>
      <c r="LRK52" s="211"/>
      <c r="LRL52" s="211"/>
      <c r="LRM52" s="211"/>
      <c r="LRN52" s="211"/>
      <c r="LRO52" s="211"/>
      <c r="LRP52" s="211"/>
      <c r="LRQ52" s="211"/>
      <c r="LRR52" s="211"/>
      <c r="LRS52" s="211"/>
      <c r="LRT52" s="211"/>
      <c r="LRU52" s="211"/>
      <c r="LRV52" s="211"/>
      <c r="LRW52" s="211"/>
      <c r="LRX52" s="211"/>
      <c r="LRY52" s="211"/>
      <c r="LRZ52" s="211"/>
      <c r="LSA52" s="211"/>
      <c r="LSB52" s="211"/>
      <c r="LSC52" s="211"/>
      <c r="LSD52" s="211"/>
      <c r="LSE52" s="211"/>
      <c r="LSF52" s="211"/>
      <c r="LSG52" s="211"/>
      <c r="LSH52" s="211"/>
      <c r="LSI52" s="211"/>
      <c r="LSJ52" s="211"/>
      <c r="LSK52" s="211"/>
      <c r="LSL52" s="211"/>
      <c r="LSM52" s="211"/>
      <c r="LSN52" s="211"/>
      <c r="LSO52" s="211"/>
      <c r="LSP52" s="211"/>
      <c r="LSQ52" s="211"/>
      <c r="LSR52" s="211"/>
      <c r="LSS52" s="211"/>
      <c r="LST52" s="211"/>
      <c r="LSU52" s="211"/>
      <c r="LSV52" s="211"/>
      <c r="LSW52" s="211"/>
      <c r="LSX52" s="211"/>
      <c r="LSY52" s="211"/>
      <c r="LSZ52" s="211"/>
      <c r="LTA52" s="211"/>
      <c r="LTB52" s="211"/>
      <c r="LTC52" s="211"/>
      <c r="LTD52" s="211"/>
      <c r="LTE52" s="211"/>
      <c r="LTF52" s="211"/>
      <c r="LTG52" s="211"/>
      <c r="LTH52" s="211"/>
      <c r="LTI52" s="211"/>
      <c r="LTJ52" s="211"/>
      <c r="LTK52" s="211"/>
      <c r="LTL52" s="211"/>
      <c r="LTM52" s="211"/>
      <c r="LTN52" s="211"/>
      <c r="LTO52" s="211"/>
      <c r="LTP52" s="211"/>
      <c r="LTQ52" s="211"/>
      <c r="LTR52" s="211"/>
      <c r="LTS52" s="211"/>
      <c r="LTT52" s="211"/>
      <c r="LTU52" s="211"/>
      <c r="LTV52" s="211"/>
      <c r="LTW52" s="211"/>
      <c r="LTX52" s="211"/>
      <c r="LTY52" s="211"/>
      <c r="LTZ52" s="211"/>
      <c r="LUA52" s="211"/>
      <c r="LUB52" s="211"/>
      <c r="LUC52" s="211"/>
      <c r="LUD52" s="211"/>
      <c r="LUE52" s="211"/>
      <c r="LUF52" s="211"/>
      <c r="LUG52" s="211"/>
      <c r="LUH52" s="211"/>
      <c r="LUI52" s="211"/>
      <c r="LUJ52" s="211"/>
      <c r="LUK52" s="211"/>
      <c r="LUL52" s="211"/>
      <c r="LUM52" s="211"/>
      <c r="LUN52" s="211"/>
      <c r="LUO52" s="211"/>
      <c r="LUP52" s="211"/>
      <c r="LUQ52" s="211"/>
      <c r="LUR52" s="211"/>
      <c r="LUS52" s="211"/>
      <c r="LUT52" s="211"/>
      <c r="LUU52" s="211"/>
      <c r="LUV52" s="211"/>
      <c r="LUW52" s="211"/>
      <c r="LUX52" s="211"/>
      <c r="LUY52" s="211"/>
      <c r="LUZ52" s="211"/>
      <c r="LVA52" s="211"/>
      <c r="LVB52" s="211"/>
      <c r="LVC52" s="211"/>
      <c r="LVD52" s="211"/>
      <c r="LVE52" s="211"/>
      <c r="LVF52" s="211"/>
      <c r="LVG52" s="211"/>
      <c r="LVH52" s="211"/>
      <c r="LVI52" s="211"/>
      <c r="LVJ52" s="211"/>
      <c r="LVK52" s="211"/>
      <c r="LVL52" s="211"/>
      <c r="LVM52" s="211"/>
      <c r="LVN52" s="211"/>
      <c r="LVO52" s="211"/>
      <c r="LVP52" s="211"/>
      <c r="LVQ52" s="211"/>
      <c r="LVR52" s="211"/>
      <c r="LVS52" s="211"/>
      <c r="LVT52" s="211"/>
      <c r="LVU52" s="211"/>
      <c r="LVV52" s="211"/>
      <c r="LVW52" s="211"/>
      <c r="LVX52" s="211"/>
      <c r="LVY52" s="211"/>
      <c r="LVZ52" s="211"/>
      <c r="LWA52" s="211"/>
      <c r="LWB52" s="211"/>
      <c r="LWC52" s="211"/>
      <c r="LWD52" s="211"/>
      <c r="LWE52" s="211"/>
      <c r="LWF52" s="211"/>
      <c r="LWG52" s="211"/>
      <c r="LWH52" s="211"/>
      <c r="LWI52" s="211"/>
      <c r="LWJ52" s="211"/>
      <c r="LWK52" s="211"/>
      <c r="LWL52" s="211"/>
      <c r="LWM52" s="211"/>
      <c r="LWN52" s="211"/>
      <c r="LWO52" s="211"/>
      <c r="LWP52" s="211"/>
      <c r="LWQ52" s="211"/>
      <c r="LWR52" s="211"/>
      <c r="LWS52" s="211"/>
      <c r="LWT52" s="211"/>
      <c r="LWU52" s="211"/>
      <c r="LWV52" s="211"/>
      <c r="LWW52" s="211"/>
      <c r="LWX52" s="211"/>
      <c r="LWY52" s="211"/>
      <c r="LWZ52" s="211"/>
      <c r="LXA52" s="211"/>
      <c r="LXB52" s="211"/>
      <c r="LXC52" s="211"/>
      <c r="LXD52" s="211"/>
      <c r="LXE52" s="211"/>
      <c r="LXF52" s="211"/>
      <c r="LXG52" s="211"/>
      <c r="LXH52" s="211"/>
      <c r="LXI52" s="211"/>
      <c r="LXJ52" s="211"/>
      <c r="LXK52" s="211"/>
      <c r="LXL52" s="211"/>
      <c r="LXM52" s="211"/>
      <c r="LXN52" s="211"/>
      <c r="LXO52" s="211"/>
      <c r="LXP52" s="211"/>
      <c r="LXQ52" s="211"/>
      <c r="LXR52" s="211"/>
      <c r="LXS52" s="211"/>
      <c r="LXT52" s="211"/>
      <c r="LXU52" s="211"/>
      <c r="LXV52" s="211"/>
      <c r="LXW52" s="211"/>
      <c r="LXX52" s="211"/>
      <c r="LXY52" s="211"/>
      <c r="LXZ52" s="211"/>
      <c r="LYA52" s="211"/>
      <c r="LYB52" s="211"/>
      <c r="LYC52" s="211"/>
      <c r="LYD52" s="211"/>
      <c r="LYE52" s="211"/>
      <c r="LYF52" s="211"/>
      <c r="LYG52" s="211"/>
      <c r="LYH52" s="211"/>
      <c r="LYI52" s="211"/>
      <c r="LYJ52" s="211"/>
      <c r="LYK52" s="211"/>
      <c r="LYL52" s="211"/>
      <c r="LYM52" s="211"/>
      <c r="LYN52" s="211"/>
      <c r="LYO52" s="211"/>
      <c r="LYP52" s="211"/>
      <c r="LYQ52" s="211"/>
      <c r="LYR52" s="211"/>
      <c r="LYS52" s="211"/>
      <c r="LYT52" s="211"/>
      <c r="LYU52" s="211"/>
      <c r="LYV52" s="211"/>
      <c r="LYW52" s="211"/>
      <c r="LYX52" s="211"/>
      <c r="LYY52" s="211"/>
      <c r="LYZ52" s="211"/>
      <c r="LZA52" s="211"/>
      <c r="LZB52" s="211"/>
      <c r="LZC52" s="211"/>
      <c r="LZD52" s="211"/>
      <c r="LZE52" s="211"/>
      <c r="LZF52" s="211"/>
      <c r="LZG52" s="211"/>
      <c r="LZH52" s="211"/>
      <c r="LZI52" s="211"/>
      <c r="LZJ52" s="211"/>
      <c r="LZK52" s="211"/>
      <c r="LZL52" s="211"/>
      <c r="LZM52" s="211"/>
      <c r="LZN52" s="211"/>
      <c r="LZO52" s="211"/>
      <c r="LZP52" s="211"/>
      <c r="LZQ52" s="211"/>
      <c r="LZR52" s="211"/>
      <c r="LZS52" s="211"/>
      <c r="LZT52" s="211"/>
      <c r="LZU52" s="211"/>
      <c r="LZV52" s="211"/>
      <c r="LZW52" s="211"/>
      <c r="LZX52" s="211"/>
      <c r="LZY52" s="211"/>
      <c r="LZZ52" s="211"/>
      <c r="MAA52" s="211"/>
      <c r="MAB52" s="211"/>
      <c r="MAC52" s="211"/>
      <c r="MAD52" s="211"/>
      <c r="MAE52" s="211"/>
      <c r="MAF52" s="211"/>
      <c r="MAG52" s="211"/>
      <c r="MAH52" s="211"/>
      <c r="MAI52" s="211"/>
      <c r="MAJ52" s="211"/>
      <c r="MAK52" s="211"/>
      <c r="MAL52" s="211"/>
      <c r="MAM52" s="211"/>
      <c r="MAN52" s="211"/>
      <c r="MAO52" s="211"/>
      <c r="MAP52" s="211"/>
      <c r="MAQ52" s="211"/>
      <c r="MAR52" s="211"/>
      <c r="MAS52" s="211"/>
      <c r="MAT52" s="211"/>
      <c r="MAU52" s="211"/>
      <c r="MAV52" s="211"/>
      <c r="MAW52" s="211"/>
      <c r="MAX52" s="211"/>
      <c r="MAY52" s="211"/>
      <c r="MAZ52" s="211"/>
      <c r="MBA52" s="211"/>
      <c r="MBB52" s="211"/>
      <c r="MBC52" s="211"/>
      <c r="MBD52" s="211"/>
      <c r="MBE52" s="211"/>
      <c r="MBF52" s="211"/>
      <c r="MBG52" s="211"/>
      <c r="MBH52" s="211"/>
      <c r="MBI52" s="211"/>
      <c r="MBJ52" s="211"/>
      <c r="MBK52" s="211"/>
      <c r="MBL52" s="211"/>
      <c r="MBM52" s="211"/>
      <c r="MBN52" s="211"/>
      <c r="MBO52" s="211"/>
      <c r="MBP52" s="211"/>
      <c r="MBQ52" s="211"/>
      <c r="MBR52" s="211"/>
      <c r="MBS52" s="211"/>
      <c r="MBT52" s="211"/>
      <c r="MBU52" s="211"/>
      <c r="MBV52" s="211"/>
      <c r="MBW52" s="211"/>
      <c r="MBX52" s="211"/>
      <c r="MBY52" s="211"/>
      <c r="MBZ52" s="211"/>
      <c r="MCA52" s="211"/>
      <c r="MCB52" s="211"/>
      <c r="MCC52" s="211"/>
      <c r="MCD52" s="211"/>
      <c r="MCE52" s="211"/>
      <c r="MCF52" s="211"/>
      <c r="MCG52" s="211"/>
      <c r="MCH52" s="211"/>
      <c r="MCI52" s="211"/>
      <c r="MCJ52" s="211"/>
      <c r="MCK52" s="211"/>
      <c r="MCL52" s="211"/>
      <c r="MCM52" s="211"/>
      <c r="MCN52" s="211"/>
      <c r="MCO52" s="211"/>
      <c r="MCP52" s="211"/>
      <c r="MCQ52" s="211"/>
      <c r="MCR52" s="211"/>
      <c r="MCS52" s="211"/>
      <c r="MCT52" s="211"/>
      <c r="MCU52" s="211"/>
      <c r="MCV52" s="211"/>
      <c r="MCW52" s="211"/>
      <c r="MCX52" s="211"/>
      <c r="MCY52" s="211"/>
      <c r="MCZ52" s="211"/>
      <c r="MDA52" s="211"/>
      <c r="MDB52" s="211"/>
      <c r="MDC52" s="211"/>
      <c r="MDD52" s="211"/>
      <c r="MDE52" s="211"/>
      <c r="MDF52" s="211"/>
      <c r="MDG52" s="211"/>
      <c r="MDH52" s="211"/>
      <c r="MDI52" s="211"/>
      <c r="MDJ52" s="211"/>
      <c r="MDK52" s="211"/>
      <c r="MDL52" s="211"/>
      <c r="MDM52" s="211"/>
      <c r="MDN52" s="211"/>
      <c r="MDO52" s="211"/>
      <c r="MDP52" s="211"/>
      <c r="MDQ52" s="211"/>
      <c r="MDR52" s="211"/>
      <c r="MDS52" s="211"/>
      <c r="MDT52" s="211"/>
      <c r="MDU52" s="211"/>
      <c r="MDV52" s="211"/>
      <c r="MDW52" s="211"/>
      <c r="MDX52" s="211"/>
      <c r="MDY52" s="211"/>
      <c r="MDZ52" s="211"/>
      <c r="MEA52" s="211"/>
      <c r="MEB52" s="211"/>
      <c r="MEC52" s="211"/>
      <c r="MED52" s="211"/>
      <c r="MEE52" s="211"/>
      <c r="MEF52" s="211"/>
      <c r="MEG52" s="211"/>
      <c r="MEH52" s="211"/>
      <c r="MEI52" s="211"/>
      <c r="MEJ52" s="211"/>
      <c r="MEK52" s="211"/>
      <c r="MEL52" s="211"/>
      <c r="MEM52" s="211"/>
      <c r="MEN52" s="211"/>
      <c r="MEO52" s="211"/>
      <c r="MEP52" s="211"/>
      <c r="MEQ52" s="211"/>
      <c r="MER52" s="211"/>
      <c r="MES52" s="211"/>
      <c r="MET52" s="211"/>
      <c r="MEU52" s="211"/>
      <c r="MEV52" s="211"/>
      <c r="MEW52" s="211"/>
      <c r="MEX52" s="211"/>
      <c r="MEY52" s="211"/>
      <c r="MEZ52" s="211"/>
      <c r="MFA52" s="211"/>
      <c r="MFB52" s="211"/>
      <c r="MFC52" s="211"/>
      <c r="MFD52" s="211"/>
      <c r="MFE52" s="211"/>
      <c r="MFF52" s="211"/>
      <c r="MFG52" s="211"/>
      <c r="MFH52" s="211"/>
      <c r="MFI52" s="211"/>
      <c r="MFJ52" s="211"/>
      <c r="MFK52" s="211"/>
      <c r="MFL52" s="211"/>
      <c r="MFM52" s="211"/>
      <c r="MFN52" s="211"/>
      <c r="MFO52" s="211"/>
      <c r="MFP52" s="211"/>
      <c r="MFQ52" s="211"/>
      <c r="MFR52" s="211"/>
      <c r="MFS52" s="211"/>
      <c r="MFT52" s="211"/>
      <c r="MFU52" s="211"/>
      <c r="MFV52" s="211"/>
      <c r="MFW52" s="211"/>
      <c r="MFX52" s="211"/>
      <c r="MFY52" s="211"/>
      <c r="MFZ52" s="211"/>
      <c r="MGA52" s="211"/>
      <c r="MGB52" s="211"/>
      <c r="MGC52" s="211"/>
      <c r="MGD52" s="211"/>
      <c r="MGE52" s="211"/>
      <c r="MGF52" s="211"/>
      <c r="MGG52" s="211"/>
      <c r="MGH52" s="211"/>
      <c r="MGI52" s="211"/>
      <c r="MGJ52" s="211"/>
      <c r="MGK52" s="211"/>
      <c r="MGL52" s="211"/>
      <c r="MGM52" s="211"/>
      <c r="MGN52" s="211"/>
      <c r="MGO52" s="211"/>
      <c r="MGP52" s="211"/>
      <c r="MGQ52" s="211"/>
      <c r="MGR52" s="211"/>
      <c r="MGS52" s="211"/>
      <c r="MGT52" s="211"/>
      <c r="MGU52" s="211"/>
      <c r="MGV52" s="211"/>
      <c r="MGW52" s="211"/>
      <c r="MGX52" s="211"/>
      <c r="MGY52" s="211"/>
      <c r="MGZ52" s="211"/>
      <c r="MHA52" s="211"/>
      <c r="MHB52" s="211"/>
      <c r="MHC52" s="211"/>
      <c r="MHD52" s="211"/>
      <c r="MHE52" s="211"/>
      <c r="MHF52" s="211"/>
      <c r="MHG52" s="211"/>
      <c r="MHH52" s="211"/>
      <c r="MHI52" s="211"/>
      <c r="MHJ52" s="211"/>
      <c r="MHK52" s="211"/>
      <c r="MHL52" s="211"/>
      <c r="MHM52" s="211"/>
      <c r="MHN52" s="211"/>
      <c r="MHO52" s="211"/>
      <c r="MHP52" s="211"/>
      <c r="MHQ52" s="211"/>
      <c r="MHR52" s="211"/>
      <c r="MHS52" s="211"/>
      <c r="MHT52" s="211"/>
      <c r="MHU52" s="211"/>
      <c r="MHV52" s="211"/>
      <c r="MHW52" s="211"/>
      <c r="MHX52" s="211"/>
      <c r="MHY52" s="211"/>
      <c r="MHZ52" s="211"/>
      <c r="MIA52" s="211"/>
      <c r="MIB52" s="211"/>
      <c r="MIC52" s="211"/>
      <c r="MID52" s="211"/>
      <c r="MIE52" s="211"/>
      <c r="MIF52" s="211"/>
      <c r="MIG52" s="211"/>
      <c r="MIH52" s="211"/>
      <c r="MII52" s="211"/>
      <c r="MIJ52" s="211"/>
      <c r="MIK52" s="211"/>
      <c r="MIL52" s="211"/>
      <c r="MIM52" s="211"/>
      <c r="MIN52" s="211"/>
      <c r="MIO52" s="211"/>
      <c r="MIP52" s="211"/>
      <c r="MIQ52" s="211"/>
      <c r="MIR52" s="211"/>
      <c r="MIS52" s="211"/>
      <c r="MIT52" s="211"/>
      <c r="MIU52" s="211"/>
      <c r="MIV52" s="211"/>
      <c r="MIW52" s="211"/>
      <c r="MIX52" s="211"/>
      <c r="MIY52" s="211"/>
      <c r="MIZ52" s="211"/>
      <c r="MJA52" s="211"/>
      <c r="MJB52" s="211"/>
      <c r="MJC52" s="211"/>
      <c r="MJD52" s="211"/>
      <c r="MJE52" s="211"/>
      <c r="MJF52" s="211"/>
      <c r="MJG52" s="211"/>
      <c r="MJH52" s="211"/>
      <c r="MJI52" s="211"/>
      <c r="MJJ52" s="211"/>
      <c r="MJK52" s="211"/>
      <c r="MJL52" s="211"/>
      <c r="MJM52" s="211"/>
      <c r="MJN52" s="211"/>
      <c r="MJO52" s="211"/>
      <c r="MJP52" s="211"/>
      <c r="MJQ52" s="211"/>
      <c r="MJR52" s="211"/>
      <c r="MJS52" s="211"/>
      <c r="MJT52" s="211"/>
      <c r="MJU52" s="211"/>
      <c r="MJV52" s="211"/>
      <c r="MJW52" s="211"/>
      <c r="MJX52" s="211"/>
      <c r="MJY52" s="211"/>
      <c r="MJZ52" s="211"/>
      <c r="MKA52" s="211"/>
      <c r="MKB52" s="211"/>
      <c r="MKC52" s="211"/>
      <c r="MKD52" s="211"/>
      <c r="MKE52" s="211"/>
      <c r="MKF52" s="211"/>
      <c r="MKG52" s="211"/>
      <c r="MKH52" s="211"/>
      <c r="MKI52" s="211"/>
      <c r="MKJ52" s="211"/>
      <c r="MKK52" s="211"/>
      <c r="MKL52" s="211"/>
      <c r="MKM52" s="211"/>
      <c r="MKN52" s="211"/>
      <c r="MKO52" s="211"/>
      <c r="MKP52" s="211"/>
      <c r="MKQ52" s="211"/>
      <c r="MKR52" s="211"/>
      <c r="MKS52" s="211"/>
      <c r="MKT52" s="211"/>
      <c r="MKU52" s="211"/>
      <c r="MKV52" s="211"/>
      <c r="MKW52" s="211"/>
      <c r="MKX52" s="211"/>
      <c r="MKY52" s="211"/>
      <c r="MKZ52" s="211"/>
      <c r="MLA52" s="211"/>
      <c r="MLB52" s="211"/>
      <c r="MLC52" s="211"/>
      <c r="MLD52" s="211"/>
      <c r="MLE52" s="211"/>
      <c r="MLF52" s="211"/>
      <c r="MLG52" s="211"/>
      <c r="MLH52" s="211"/>
      <c r="MLI52" s="211"/>
      <c r="MLJ52" s="211"/>
      <c r="MLK52" s="211"/>
      <c r="MLL52" s="211"/>
      <c r="MLM52" s="211"/>
      <c r="MLN52" s="211"/>
      <c r="MLO52" s="211"/>
      <c r="MLP52" s="211"/>
      <c r="MLQ52" s="211"/>
      <c r="MLR52" s="211"/>
      <c r="MLS52" s="211"/>
      <c r="MLT52" s="211"/>
      <c r="MLU52" s="211"/>
      <c r="MLV52" s="211"/>
      <c r="MLW52" s="211"/>
      <c r="MLX52" s="211"/>
      <c r="MLY52" s="211"/>
      <c r="MLZ52" s="211"/>
      <c r="MMA52" s="211"/>
      <c r="MMB52" s="211"/>
      <c r="MMC52" s="211"/>
      <c r="MMD52" s="211"/>
      <c r="MME52" s="211"/>
      <c r="MMF52" s="211"/>
      <c r="MMG52" s="211"/>
      <c r="MMH52" s="211"/>
      <c r="MMI52" s="211"/>
      <c r="MMJ52" s="211"/>
      <c r="MMK52" s="211"/>
      <c r="MML52" s="211"/>
      <c r="MMM52" s="211"/>
      <c r="MMN52" s="211"/>
      <c r="MMO52" s="211"/>
      <c r="MMP52" s="211"/>
      <c r="MMQ52" s="211"/>
      <c r="MMR52" s="211"/>
      <c r="MMS52" s="211"/>
      <c r="MMT52" s="211"/>
      <c r="MMU52" s="211"/>
      <c r="MMV52" s="211"/>
      <c r="MMW52" s="211"/>
      <c r="MMX52" s="211"/>
      <c r="MMY52" s="211"/>
      <c r="MMZ52" s="211"/>
      <c r="MNA52" s="211"/>
      <c r="MNB52" s="211"/>
      <c r="MNC52" s="211"/>
      <c r="MND52" s="211"/>
      <c r="MNE52" s="211"/>
      <c r="MNF52" s="211"/>
      <c r="MNG52" s="211"/>
      <c r="MNH52" s="211"/>
      <c r="MNI52" s="211"/>
      <c r="MNJ52" s="211"/>
      <c r="MNK52" s="211"/>
      <c r="MNL52" s="211"/>
      <c r="MNM52" s="211"/>
      <c r="MNN52" s="211"/>
      <c r="MNO52" s="211"/>
      <c r="MNP52" s="211"/>
      <c r="MNQ52" s="211"/>
      <c r="MNR52" s="211"/>
      <c r="MNS52" s="211"/>
      <c r="MNT52" s="211"/>
      <c r="MNU52" s="211"/>
      <c r="MNV52" s="211"/>
      <c r="MNW52" s="211"/>
      <c r="MNX52" s="211"/>
      <c r="MNY52" s="211"/>
      <c r="MNZ52" s="211"/>
      <c r="MOA52" s="211"/>
      <c r="MOB52" s="211"/>
      <c r="MOC52" s="211"/>
      <c r="MOD52" s="211"/>
      <c r="MOE52" s="211"/>
      <c r="MOF52" s="211"/>
      <c r="MOG52" s="211"/>
      <c r="MOH52" s="211"/>
      <c r="MOI52" s="211"/>
      <c r="MOJ52" s="211"/>
      <c r="MOK52" s="211"/>
      <c r="MOL52" s="211"/>
      <c r="MOM52" s="211"/>
      <c r="MON52" s="211"/>
      <c r="MOO52" s="211"/>
      <c r="MOP52" s="211"/>
      <c r="MOQ52" s="211"/>
      <c r="MOR52" s="211"/>
      <c r="MOS52" s="211"/>
      <c r="MOT52" s="211"/>
      <c r="MOU52" s="211"/>
      <c r="MOV52" s="211"/>
      <c r="MOW52" s="211"/>
      <c r="MOX52" s="211"/>
      <c r="MOY52" s="211"/>
      <c r="MOZ52" s="211"/>
      <c r="MPA52" s="211"/>
      <c r="MPB52" s="211"/>
      <c r="MPC52" s="211"/>
      <c r="MPD52" s="211"/>
      <c r="MPE52" s="211"/>
      <c r="MPF52" s="211"/>
      <c r="MPG52" s="211"/>
      <c r="MPH52" s="211"/>
      <c r="MPI52" s="211"/>
      <c r="MPJ52" s="211"/>
      <c r="MPK52" s="211"/>
      <c r="MPL52" s="211"/>
      <c r="MPM52" s="211"/>
      <c r="MPN52" s="211"/>
      <c r="MPO52" s="211"/>
      <c r="MPP52" s="211"/>
      <c r="MPQ52" s="211"/>
      <c r="MPR52" s="211"/>
      <c r="MPS52" s="211"/>
      <c r="MPT52" s="211"/>
      <c r="MPU52" s="211"/>
      <c r="MPV52" s="211"/>
      <c r="MPW52" s="211"/>
      <c r="MPX52" s="211"/>
      <c r="MPY52" s="211"/>
      <c r="MPZ52" s="211"/>
      <c r="MQA52" s="211"/>
      <c r="MQB52" s="211"/>
      <c r="MQC52" s="211"/>
      <c r="MQD52" s="211"/>
      <c r="MQE52" s="211"/>
      <c r="MQF52" s="211"/>
      <c r="MQG52" s="211"/>
      <c r="MQH52" s="211"/>
      <c r="MQI52" s="211"/>
      <c r="MQJ52" s="211"/>
      <c r="MQK52" s="211"/>
      <c r="MQL52" s="211"/>
      <c r="MQM52" s="211"/>
      <c r="MQN52" s="211"/>
      <c r="MQO52" s="211"/>
      <c r="MQP52" s="211"/>
      <c r="MQQ52" s="211"/>
      <c r="MQR52" s="211"/>
      <c r="MQS52" s="211"/>
      <c r="MQT52" s="211"/>
      <c r="MQU52" s="211"/>
      <c r="MQV52" s="211"/>
      <c r="MQW52" s="211"/>
      <c r="MQX52" s="211"/>
      <c r="MQY52" s="211"/>
      <c r="MQZ52" s="211"/>
      <c r="MRA52" s="211"/>
      <c r="MRB52" s="211"/>
      <c r="MRC52" s="211"/>
      <c r="MRD52" s="211"/>
      <c r="MRE52" s="211"/>
      <c r="MRF52" s="211"/>
      <c r="MRG52" s="211"/>
      <c r="MRH52" s="211"/>
      <c r="MRI52" s="211"/>
      <c r="MRJ52" s="211"/>
      <c r="MRK52" s="211"/>
      <c r="MRL52" s="211"/>
      <c r="MRM52" s="211"/>
      <c r="MRN52" s="211"/>
      <c r="MRO52" s="211"/>
      <c r="MRP52" s="211"/>
      <c r="MRQ52" s="211"/>
      <c r="MRR52" s="211"/>
      <c r="MRS52" s="211"/>
      <c r="MRT52" s="211"/>
      <c r="MRU52" s="211"/>
      <c r="MRV52" s="211"/>
      <c r="MRW52" s="211"/>
      <c r="MRX52" s="211"/>
      <c r="MRY52" s="211"/>
      <c r="MRZ52" s="211"/>
      <c r="MSA52" s="211"/>
      <c r="MSB52" s="211"/>
      <c r="MSC52" s="211"/>
      <c r="MSD52" s="211"/>
      <c r="MSE52" s="211"/>
      <c r="MSF52" s="211"/>
      <c r="MSG52" s="211"/>
      <c r="MSH52" s="211"/>
      <c r="MSI52" s="211"/>
      <c r="MSJ52" s="211"/>
      <c r="MSK52" s="211"/>
      <c r="MSL52" s="211"/>
      <c r="MSM52" s="211"/>
      <c r="MSN52" s="211"/>
      <c r="MSO52" s="211"/>
      <c r="MSP52" s="211"/>
      <c r="MSQ52" s="211"/>
      <c r="MSR52" s="211"/>
      <c r="MSS52" s="211"/>
      <c r="MST52" s="211"/>
      <c r="MSU52" s="211"/>
      <c r="MSV52" s="211"/>
      <c r="MSW52" s="211"/>
      <c r="MSX52" s="211"/>
      <c r="MSY52" s="211"/>
      <c r="MSZ52" s="211"/>
      <c r="MTA52" s="211"/>
      <c r="MTB52" s="211"/>
      <c r="MTC52" s="211"/>
      <c r="MTD52" s="211"/>
      <c r="MTE52" s="211"/>
      <c r="MTF52" s="211"/>
      <c r="MTG52" s="211"/>
      <c r="MTH52" s="211"/>
      <c r="MTI52" s="211"/>
      <c r="MTJ52" s="211"/>
      <c r="MTK52" s="211"/>
      <c r="MTL52" s="211"/>
      <c r="MTM52" s="211"/>
      <c r="MTN52" s="211"/>
      <c r="MTO52" s="211"/>
      <c r="MTP52" s="211"/>
      <c r="MTQ52" s="211"/>
      <c r="MTR52" s="211"/>
      <c r="MTS52" s="211"/>
      <c r="MTT52" s="211"/>
      <c r="MTU52" s="211"/>
      <c r="MTV52" s="211"/>
      <c r="MTW52" s="211"/>
      <c r="MTX52" s="211"/>
      <c r="MTY52" s="211"/>
      <c r="MTZ52" s="211"/>
      <c r="MUA52" s="211"/>
      <c r="MUB52" s="211"/>
      <c r="MUC52" s="211"/>
      <c r="MUD52" s="211"/>
      <c r="MUE52" s="211"/>
      <c r="MUF52" s="211"/>
      <c r="MUG52" s="211"/>
      <c r="MUH52" s="211"/>
      <c r="MUI52" s="211"/>
      <c r="MUJ52" s="211"/>
      <c r="MUK52" s="211"/>
      <c r="MUL52" s="211"/>
      <c r="MUM52" s="211"/>
      <c r="MUN52" s="211"/>
      <c r="MUO52" s="211"/>
      <c r="MUP52" s="211"/>
      <c r="MUQ52" s="211"/>
      <c r="MUR52" s="211"/>
      <c r="MUS52" s="211"/>
      <c r="MUT52" s="211"/>
      <c r="MUU52" s="211"/>
      <c r="MUV52" s="211"/>
      <c r="MUW52" s="211"/>
      <c r="MUX52" s="211"/>
      <c r="MUY52" s="211"/>
      <c r="MUZ52" s="211"/>
      <c r="MVA52" s="211"/>
      <c r="MVB52" s="211"/>
      <c r="MVC52" s="211"/>
      <c r="MVD52" s="211"/>
      <c r="MVE52" s="211"/>
      <c r="MVF52" s="211"/>
      <c r="MVG52" s="211"/>
      <c r="MVH52" s="211"/>
      <c r="MVI52" s="211"/>
      <c r="MVJ52" s="211"/>
      <c r="MVK52" s="211"/>
      <c r="MVL52" s="211"/>
      <c r="MVM52" s="211"/>
      <c r="MVN52" s="211"/>
      <c r="MVO52" s="211"/>
      <c r="MVP52" s="211"/>
      <c r="MVQ52" s="211"/>
      <c r="MVR52" s="211"/>
      <c r="MVS52" s="211"/>
      <c r="MVT52" s="211"/>
      <c r="MVU52" s="211"/>
      <c r="MVV52" s="211"/>
      <c r="MVW52" s="211"/>
      <c r="MVX52" s="211"/>
      <c r="MVY52" s="211"/>
      <c r="MVZ52" s="211"/>
      <c r="MWA52" s="211"/>
      <c r="MWB52" s="211"/>
      <c r="MWC52" s="211"/>
      <c r="MWD52" s="211"/>
      <c r="MWE52" s="211"/>
      <c r="MWF52" s="211"/>
      <c r="MWG52" s="211"/>
      <c r="MWH52" s="211"/>
      <c r="MWI52" s="211"/>
      <c r="MWJ52" s="211"/>
      <c r="MWK52" s="211"/>
      <c r="MWL52" s="211"/>
      <c r="MWM52" s="211"/>
      <c r="MWN52" s="211"/>
      <c r="MWO52" s="211"/>
      <c r="MWP52" s="211"/>
      <c r="MWQ52" s="211"/>
      <c r="MWR52" s="211"/>
      <c r="MWS52" s="211"/>
      <c r="MWT52" s="211"/>
      <c r="MWU52" s="211"/>
      <c r="MWV52" s="211"/>
      <c r="MWW52" s="211"/>
      <c r="MWX52" s="211"/>
      <c r="MWY52" s="211"/>
      <c r="MWZ52" s="211"/>
      <c r="MXA52" s="211"/>
      <c r="MXB52" s="211"/>
      <c r="MXC52" s="211"/>
      <c r="MXD52" s="211"/>
      <c r="MXE52" s="211"/>
      <c r="MXF52" s="211"/>
      <c r="MXG52" s="211"/>
      <c r="MXH52" s="211"/>
      <c r="MXI52" s="211"/>
      <c r="MXJ52" s="211"/>
      <c r="MXK52" s="211"/>
      <c r="MXL52" s="211"/>
      <c r="MXM52" s="211"/>
      <c r="MXN52" s="211"/>
      <c r="MXO52" s="211"/>
      <c r="MXP52" s="211"/>
      <c r="MXQ52" s="211"/>
      <c r="MXR52" s="211"/>
      <c r="MXS52" s="211"/>
      <c r="MXT52" s="211"/>
      <c r="MXU52" s="211"/>
      <c r="MXV52" s="211"/>
      <c r="MXW52" s="211"/>
      <c r="MXX52" s="211"/>
      <c r="MXY52" s="211"/>
      <c r="MXZ52" s="211"/>
      <c r="MYA52" s="211"/>
      <c r="MYB52" s="211"/>
      <c r="MYC52" s="211"/>
      <c r="MYD52" s="211"/>
      <c r="MYE52" s="211"/>
      <c r="MYF52" s="211"/>
      <c r="MYG52" s="211"/>
      <c r="MYH52" s="211"/>
      <c r="MYI52" s="211"/>
      <c r="MYJ52" s="211"/>
      <c r="MYK52" s="211"/>
      <c r="MYL52" s="211"/>
      <c r="MYM52" s="211"/>
      <c r="MYN52" s="211"/>
      <c r="MYO52" s="211"/>
      <c r="MYP52" s="211"/>
      <c r="MYQ52" s="211"/>
      <c r="MYR52" s="211"/>
      <c r="MYS52" s="211"/>
      <c r="MYT52" s="211"/>
      <c r="MYU52" s="211"/>
      <c r="MYV52" s="211"/>
      <c r="MYW52" s="211"/>
      <c r="MYX52" s="211"/>
      <c r="MYY52" s="211"/>
      <c r="MYZ52" s="211"/>
      <c r="MZA52" s="211"/>
      <c r="MZB52" s="211"/>
      <c r="MZC52" s="211"/>
      <c r="MZD52" s="211"/>
      <c r="MZE52" s="211"/>
      <c r="MZF52" s="211"/>
      <c r="MZG52" s="211"/>
      <c r="MZH52" s="211"/>
      <c r="MZI52" s="211"/>
      <c r="MZJ52" s="211"/>
      <c r="MZK52" s="211"/>
      <c r="MZL52" s="211"/>
      <c r="MZM52" s="211"/>
      <c r="MZN52" s="211"/>
      <c r="MZO52" s="211"/>
      <c r="MZP52" s="211"/>
      <c r="MZQ52" s="211"/>
      <c r="MZR52" s="211"/>
      <c r="MZS52" s="211"/>
      <c r="MZT52" s="211"/>
      <c r="MZU52" s="211"/>
      <c r="MZV52" s="211"/>
      <c r="MZW52" s="211"/>
      <c r="MZX52" s="211"/>
      <c r="MZY52" s="211"/>
      <c r="MZZ52" s="211"/>
      <c r="NAA52" s="211"/>
      <c r="NAB52" s="211"/>
      <c r="NAC52" s="211"/>
      <c r="NAD52" s="211"/>
      <c r="NAE52" s="211"/>
      <c r="NAF52" s="211"/>
      <c r="NAG52" s="211"/>
      <c r="NAH52" s="211"/>
      <c r="NAI52" s="211"/>
      <c r="NAJ52" s="211"/>
      <c r="NAK52" s="211"/>
      <c r="NAL52" s="211"/>
      <c r="NAM52" s="211"/>
      <c r="NAN52" s="211"/>
      <c r="NAO52" s="211"/>
      <c r="NAP52" s="211"/>
      <c r="NAQ52" s="211"/>
      <c r="NAR52" s="211"/>
      <c r="NAS52" s="211"/>
      <c r="NAT52" s="211"/>
      <c r="NAU52" s="211"/>
      <c r="NAV52" s="211"/>
      <c r="NAW52" s="211"/>
      <c r="NAX52" s="211"/>
      <c r="NAY52" s="211"/>
      <c r="NAZ52" s="211"/>
      <c r="NBA52" s="211"/>
      <c r="NBB52" s="211"/>
      <c r="NBC52" s="211"/>
      <c r="NBD52" s="211"/>
      <c r="NBE52" s="211"/>
      <c r="NBF52" s="211"/>
      <c r="NBG52" s="211"/>
      <c r="NBH52" s="211"/>
      <c r="NBI52" s="211"/>
      <c r="NBJ52" s="211"/>
      <c r="NBK52" s="211"/>
      <c r="NBL52" s="211"/>
      <c r="NBM52" s="211"/>
      <c r="NBN52" s="211"/>
      <c r="NBO52" s="211"/>
      <c r="NBP52" s="211"/>
      <c r="NBQ52" s="211"/>
      <c r="NBR52" s="211"/>
      <c r="NBS52" s="211"/>
      <c r="NBT52" s="211"/>
      <c r="NBU52" s="211"/>
      <c r="NBV52" s="211"/>
      <c r="NBW52" s="211"/>
      <c r="NBX52" s="211"/>
      <c r="NBY52" s="211"/>
      <c r="NBZ52" s="211"/>
      <c r="NCA52" s="211"/>
      <c r="NCB52" s="211"/>
      <c r="NCC52" s="211"/>
      <c r="NCD52" s="211"/>
      <c r="NCE52" s="211"/>
      <c r="NCF52" s="211"/>
      <c r="NCG52" s="211"/>
      <c r="NCH52" s="211"/>
      <c r="NCI52" s="211"/>
      <c r="NCJ52" s="211"/>
      <c r="NCK52" s="211"/>
      <c r="NCL52" s="211"/>
      <c r="NCM52" s="211"/>
      <c r="NCN52" s="211"/>
      <c r="NCO52" s="211"/>
      <c r="NCP52" s="211"/>
      <c r="NCQ52" s="211"/>
      <c r="NCR52" s="211"/>
      <c r="NCS52" s="211"/>
      <c r="NCT52" s="211"/>
      <c r="NCU52" s="211"/>
      <c r="NCV52" s="211"/>
      <c r="NCW52" s="211"/>
      <c r="NCX52" s="211"/>
      <c r="NCY52" s="211"/>
      <c r="NCZ52" s="211"/>
      <c r="NDA52" s="211"/>
      <c r="NDB52" s="211"/>
      <c r="NDC52" s="211"/>
      <c r="NDD52" s="211"/>
      <c r="NDE52" s="211"/>
      <c r="NDF52" s="211"/>
      <c r="NDG52" s="211"/>
      <c r="NDH52" s="211"/>
      <c r="NDI52" s="211"/>
      <c r="NDJ52" s="211"/>
      <c r="NDK52" s="211"/>
      <c r="NDL52" s="211"/>
      <c r="NDM52" s="211"/>
      <c r="NDN52" s="211"/>
      <c r="NDO52" s="211"/>
      <c r="NDP52" s="211"/>
      <c r="NDQ52" s="211"/>
      <c r="NDR52" s="211"/>
      <c r="NDS52" s="211"/>
      <c r="NDT52" s="211"/>
      <c r="NDU52" s="211"/>
      <c r="NDV52" s="211"/>
      <c r="NDW52" s="211"/>
      <c r="NDX52" s="211"/>
      <c r="NDY52" s="211"/>
      <c r="NDZ52" s="211"/>
      <c r="NEA52" s="211"/>
      <c r="NEB52" s="211"/>
      <c r="NEC52" s="211"/>
      <c r="NED52" s="211"/>
      <c r="NEE52" s="211"/>
      <c r="NEF52" s="211"/>
      <c r="NEG52" s="211"/>
      <c r="NEH52" s="211"/>
      <c r="NEI52" s="211"/>
      <c r="NEJ52" s="211"/>
      <c r="NEK52" s="211"/>
      <c r="NEL52" s="211"/>
      <c r="NEM52" s="211"/>
      <c r="NEN52" s="211"/>
      <c r="NEO52" s="211"/>
      <c r="NEP52" s="211"/>
      <c r="NEQ52" s="211"/>
      <c r="NER52" s="211"/>
      <c r="NES52" s="211"/>
      <c r="NET52" s="211"/>
      <c r="NEU52" s="211"/>
      <c r="NEV52" s="211"/>
      <c r="NEW52" s="211"/>
      <c r="NEX52" s="211"/>
      <c r="NEY52" s="211"/>
      <c r="NEZ52" s="211"/>
      <c r="NFA52" s="211"/>
      <c r="NFB52" s="211"/>
      <c r="NFC52" s="211"/>
      <c r="NFD52" s="211"/>
      <c r="NFE52" s="211"/>
      <c r="NFF52" s="211"/>
      <c r="NFG52" s="211"/>
      <c r="NFH52" s="211"/>
      <c r="NFI52" s="211"/>
      <c r="NFJ52" s="211"/>
      <c r="NFK52" s="211"/>
      <c r="NFL52" s="211"/>
      <c r="NFM52" s="211"/>
      <c r="NFN52" s="211"/>
      <c r="NFO52" s="211"/>
      <c r="NFP52" s="211"/>
      <c r="NFQ52" s="211"/>
      <c r="NFR52" s="211"/>
      <c r="NFS52" s="211"/>
      <c r="NFT52" s="211"/>
      <c r="NFU52" s="211"/>
      <c r="NFV52" s="211"/>
      <c r="NFW52" s="211"/>
      <c r="NFX52" s="211"/>
      <c r="NFY52" s="211"/>
      <c r="NFZ52" s="211"/>
      <c r="NGA52" s="211"/>
      <c r="NGB52" s="211"/>
      <c r="NGC52" s="211"/>
      <c r="NGD52" s="211"/>
      <c r="NGE52" s="211"/>
      <c r="NGF52" s="211"/>
      <c r="NGG52" s="211"/>
      <c r="NGH52" s="211"/>
      <c r="NGI52" s="211"/>
      <c r="NGJ52" s="211"/>
      <c r="NGK52" s="211"/>
      <c r="NGL52" s="211"/>
      <c r="NGM52" s="211"/>
      <c r="NGN52" s="211"/>
      <c r="NGO52" s="211"/>
      <c r="NGP52" s="211"/>
      <c r="NGQ52" s="211"/>
      <c r="NGR52" s="211"/>
      <c r="NGS52" s="211"/>
      <c r="NGT52" s="211"/>
      <c r="NGU52" s="211"/>
      <c r="NGV52" s="211"/>
      <c r="NGW52" s="211"/>
      <c r="NGX52" s="211"/>
      <c r="NGY52" s="211"/>
      <c r="NGZ52" s="211"/>
      <c r="NHA52" s="211"/>
      <c r="NHB52" s="211"/>
      <c r="NHC52" s="211"/>
      <c r="NHD52" s="211"/>
      <c r="NHE52" s="211"/>
      <c r="NHF52" s="211"/>
      <c r="NHG52" s="211"/>
      <c r="NHH52" s="211"/>
      <c r="NHI52" s="211"/>
      <c r="NHJ52" s="211"/>
      <c r="NHK52" s="211"/>
      <c r="NHL52" s="211"/>
      <c r="NHM52" s="211"/>
      <c r="NHN52" s="211"/>
      <c r="NHO52" s="211"/>
      <c r="NHP52" s="211"/>
      <c r="NHQ52" s="211"/>
      <c r="NHR52" s="211"/>
      <c r="NHS52" s="211"/>
      <c r="NHT52" s="211"/>
      <c r="NHU52" s="211"/>
      <c r="NHV52" s="211"/>
      <c r="NHW52" s="211"/>
      <c r="NHX52" s="211"/>
      <c r="NHY52" s="211"/>
      <c r="NHZ52" s="211"/>
      <c r="NIA52" s="211"/>
      <c r="NIB52" s="211"/>
      <c r="NIC52" s="211"/>
      <c r="NID52" s="211"/>
      <c r="NIE52" s="211"/>
      <c r="NIF52" s="211"/>
      <c r="NIG52" s="211"/>
      <c r="NIH52" s="211"/>
      <c r="NII52" s="211"/>
      <c r="NIJ52" s="211"/>
      <c r="NIK52" s="211"/>
      <c r="NIL52" s="211"/>
      <c r="NIM52" s="211"/>
      <c r="NIN52" s="211"/>
      <c r="NIO52" s="211"/>
      <c r="NIP52" s="211"/>
      <c r="NIQ52" s="211"/>
      <c r="NIR52" s="211"/>
      <c r="NIS52" s="211"/>
      <c r="NIT52" s="211"/>
      <c r="NIU52" s="211"/>
      <c r="NIV52" s="211"/>
      <c r="NIW52" s="211"/>
      <c r="NIX52" s="211"/>
      <c r="NIY52" s="211"/>
      <c r="NIZ52" s="211"/>
      <c r="NJA52" s="211"/>
      <c r="NJB52" s="211"/>
      <c r="NJC52" s="211"/>
      <c r="NJD52" s="211"/>
      <c r="NJE52" s="211"/>
      <c r="NJF52" s="211"/>
      <c r="NJG52" s="211"/>
      <c r="NJH52" s="211"/>
      <c r="NJI52" s="211"/>
      <c r="NJJ52" s="211"/>
      <c r="NJK52" s="211"/>
      <c r="NJL52" s="211"/>
      <c r="NJM52" s="211"/>
      <c r="NJN52" s="211"/>
      <c r="NJO52" s="211"/>
      <c r="NJP52" s="211"/>
      <c r="NJQ52" s="211"/>
      <c r="NJR52" s="211"/>
      <c r="NJS52" s="211"/>
      <c r="NJT52" s="211"/>
      <c r="NJU52" s="211"/>
      <c r="NJV52" s="211"/>
      <c r="NJW52" s="211"/>
      <c r="NJX52" s="211"/>
      <c r="NJY52" s="211"/>
      <c r="NJZ52" s="211"/>
      <c r="NKA52" s="211"/>
      <c r="NKB52" s="211"/>
      <c r="NKC52" s="211"/>
      <c r="NKD52" s="211"/>
      <c r="NKE52" s="211"/>
      <c r="NKF52" s="211"/>
      <c r="NKG52" s="211"/>
      <c r="NKH52" s="211"/>
      <c r="NKI52" s="211"/>
      <c r="NKJ52" s="211"/>
      <c r="NKK52" s="211"/>
      <c r="NKL52" s="211"/>
      <c r="NKM52" s="211"/>
      <c r="NKN52" s="211"/>
      <c r="NKO52" s="211"/>
      <c r="NKP52" s="211"/>
      <c r="NKQ52" s="211"/>
      <c r="NKR52" s="211"/>
      <c r="NKS52" s="211"/>
      <c r="NKT52" s="211"/>
      <c r="NKU52" s="211"/>
      <c r="NKV52" s="211"/>
      <c r="NKW52" s="211"/>
      <c r="NKX52" s="211"/>
      <c r="NKY52" s="211"/>
      <c r="NKZ52" s="211"/>
      <c r="NLA52" s="211"/>
      <c r="NLB52" s="211"/>
      <c r="NLC52" s="211"/>
      <c r="NLD52" s="211"/>
      <c r="NLE52" s="211"/>
      <c r="NLF52" s="211"/>
      <c r="NLG52" s="211"/>
      <c r="NLH52" s="211"/>
      <c r="NLI52" s="211"/>
      <c r="NLJ52" s="211"/>
      <c r="NLK52" s="211"/>
      <c r="NLL52" s="211"/>
      <c r="NLM52" s="211"/>
      <c r="NLN52" s="211"/>
      <c r="NLO52" s="211"/>
      <c r="NLP52" s="211"/>
      <c r="NLQ52" s="211"/>
      <c r="NLR52" s="211"/>
      <c r="NLS52" s="211"/>
      <c r="NLT52" s="211"/>
      <c r="NLU52" s="211"/>
      <c r="NLV52" s="211"/>
      <c r="NLW52" s="211"/>
      <c r="NLX52" s="211"/>
      <c r="NLY52" s="211"/>
      <c r="NLZ52" s="211"/>
      <c r="NMA52" s="211"/>
      <c r="NMB52" s="211"/>
      <c r="NMC52" s="211"/>
      <c r="NMD52" s="211"/>
      <c r="NME52" s="211"/>
      <c r="NMF52" s="211"/>
      <c r="NMG52" s="211"/>
      <c r="NMH52" s="211"/>
      <c r="NMI52" s="211"/>
      <c r="NMJ52" s="211"/>
      <c r="NMK52" s="211"/>
      <c r="NML52" s="211"/>
      <c r="NMM52" s="211"/>
      <c r="NMN52" s="211"/>
      <c r="NMO52" s="211"/>
      <c r="NMP52" s="211"/>
      <c r="NMQ52" s="211"/>
      <c r="NMR52" s="211"/>
      <c r="NMS52" s="211"/>
      <c r="NMT52" s="211"/>
      <c r="NMU52" s="211"/>
      <c r="NMV52" s="211"/>
      <c r="NMW52" s="211"/>
      <c r="NMX52" s="211"/>
      <c r="NMY52" s="211"/>
      <c r="NMZ52" s="211"/>
      <c r="NNA52" s="211"/>
      <c r="NNB52" s="211"/>
      <c r="NNC52" s="211"/>
      <c r="NND52" s="211"/>
      <c r="NNE52" s="211"/>
      <c r="NNF52" s="211"/>
      <c r="NNG52" s="211"/>
      <c r="NNH52" s="211"/>
      <c r="NNI52" s="211"/>
      <c r="NNJ52" s="211"/>
      <c r="NNK52" s="211"/>
      <c r="NNL52" s="211"/>
      <c r="NNM52" s="211"/>
      <c r="NNN52" s="211"/>
      <c r="NNO52" s="211"/>
      <c r="NNP52" s="211"/>
      <c r="NNQ52" s="211"/>
      <c r="NNR52" s="211"/>
      <c r="NNS52" s="211"/>
      <c r="NNT52" s="211"/>
      <c r="NNU52" s="211"/>
      <c r="NNV52" s="211"/>
      <c r="NNW52" s="211"/>
      <c r="NNX52" s="211"/>
      <c r="NNY52" s="211"/>
      <c r="NNZ52" s="211"/>
      <c r="NOA52" s="211"/>
      <c r="NOB52" s="211"/>
      <c r="NOC52" s="211"/>
      <c r="NOD52" s="211"/>
      <c r="NOE52" s="211"/>
      <c r="NOF52" s="211"/>
      <c r="NOG52" s="211"/>
      <c r="NOH52" s="211"/>
      <c r="NOI52" s="211"/>
      <c r="NOJ52" s="211"/>
      <c r="NOK52" s="211"/>
      <c r="NOL52" s="211"/>
      <c r="NOM52" s="211"/>
      <c r="NON52" s="211"/>
      <c r="NOO52" s="211"/>
      <c r="NOP52" s="211"/>
      <c r="NOQ52" s="211"/>
      <c r="NOR52" s="211"/>
      <c r="NOS52" s="211"/>
      <c r="NOT52" s="211"/>
      <c r="NOU52" s="211"/>
      <c r="NOV52" s="211"/>
      <c r="NOW52" s="211"/>
      <c r="NOX52" s="211"/>
      <c r="NOY52" s="211"/>
      <c r="NOZ52" s="211"/>
      <c r="NPA52" s="211"/>
      <c r="NPB52" s="211"/>
      <c r="NPC52" s="211"/>
      <c r="NPD52" s="211"/>
      <c r="NPE52" s="211"/>
      <c r="NPF52" s="211"/>
      <c r="NPG52" s="211"/>
      <c r="NPH52" s="211"/>
      <c r="NPI52" s="211"/>
      <c r="NPJ52" s="211"/>
      <c r="NPK52" s="211"/>
      <c r="NPL52" s="211"/>
      <c r="NPM52" s="211"/>
      <c r="NPN52" s="211"/>
      <c r="NPO52" s="211"/>
      <c r="NPP52" s="211"/>
      <c r="NPQ52" s="211"/>
      <c r="NPR52" s="211"/>
      <c r="NPS52" s="211"/>
      <c r="NPT52" s="211"/>
      <c r="NPU52" s="211"/>
      <c r="NPV52" s="211"/>
      <c r="NPW52" s="211"/>
      <c r="NPX52" s="211"/>
      <c r="NPY52" s="211"/>
      <c r="NPZ52" s="211"/>
      <c r="NQA52" s="211"/>
      <c r="NQB52" s="211"/>
      <c r="NQC52" s="211"/>
      <c r="NQD52" s="211"/>
      <c r="NQE52" s="211"/>
      <c r="NQF52" s="211"/>
      <c r="NQG52" s="211"/>
      <c r="NQH52" s="211"/>
      <c r="NQI52" s="211"/>
      <c r="NQJ52" s="211"/>
      <c r="NQK52" s="211"/>
      <c r="NQL52" s="211"/>
      <c r="NQM52" s="211"/>
      <c r="NQN52" s="211"/>
      <c r="NQO52" s="211"/>
      <c r="NQP52" s="211"/>
      <c r="NQQ52" s="211"/>
      <c r="NQR52" s="211"/>
      <c r="NQS52" s="211"/>
      <c r="NQT52" s="211"/>
      <c r="NQU52" s="211"/>
      <c r="NQV52" s="211"/>
      <c r="NQW52" s="211"/>
      <c r="NQX52" s="211"/>
      <c r="NQY52" s="211"/>
      <c r="NQZ52" s="211"/>
      <c r="NRA52" s="211"/>
      <c r="NRB52" s="211"/>
      <c r="NRC52" s="211"/>
      <c r="NRD52" s="211"/>
      <c r="NRE52" s="211"/>
      <c r="NRF52" s="211"/>
      <c r="NRG52" s="211"/>
      <c r="NRH52" s="211"/>
      <c r="NRI52" s="211"/>
      <c r="NRJ52" s="211"/>
      <c r="NRK52" s="211"/>
      <c r="NRL52" s="211"/>
      <c r="NRM52" s="211"/>
      <c r="NRN52" s="211"/>
      <c r="NRO52" s="211"/>
      <c r="NRP52" s="211"/>
      <c r="NRQ52" s="211"/>
      <c r="NRR52" s="211"/>
      <c r="NRS52" s="211"/>
      <c r="NRT52" s="211"/>
      <c r="NRU52" s="211"/>
      <c r="NRV52" s="211"/>
      <c r="NRW52" s="211"/>
      <c r="NRX52" s="211"/>
      <c r="NRY52" s="211"/>
      <c r="NRZ52" s="211"/>
      <c r="NSA52" s="211"/>
      <c r="NSB52" s="211"/>
      <c r="NSC52" s="211"/>
      <c r="NSD52" s="211"/>
      <c r="NSE52" s="211"/>
      <c r="NSF52" s="211"/>
      <c r="NSG52" s="211"/>
      <c r="NSH52" s="211"/>
      <c r="NSI52" s="211"/>
      <c r="NSJ52" s="211"/>
      <c r="NSK52" s="211"/>
      <c r="NSL52" s="211"/>
      <c r="NSM52" s="211"/>
      <c r="NSN52" s="211"/>
      <c r="NSO52" s="211"/>
      <c r="NSP52" s="211"/>
      <c r="NSQ52" s="211"/>
      <c r="NSR52" s="211"/>
      <c r="NSS52" s="211"/>
      <c r="NST52" s="211"/>
      <c r="NSU52" s="211"/>
      <c r="NSV52" s="211"/>
      <c r="NSW52" s="211"/>
      <c r="NSX52" s="211"/>
      <c r="NSY52" s="211"/>
      <c r="NSZ52" s="211"/>
      <c r="NTA52" s="211"/>
      <c r="NTB52" s="211"/>
      <c r="NTC52" s="211"/>
      <c r="NTD52" s="211"/>
      <c r="NTE52" s="211"/>
      <c r="NTF52" s="211"/>
      <c r="NTG52" s="211"/>
      <c r="NTH52" s="211"/>
      <c r="NTI52" s="211"/>
      <c r="NTJ52" s="211"/>
      <c r="NTK52" s="211"/>
      <c r="NTL52" s="211"/>
      <c r="NTM52" s="211"/>
      <c r="NTN52" s="211"/>
      <c r="NTO52" s="211"/>
      <c r="NTP52" s="211"/>
      <c r="NTQ52" s="211"/>
      <c r="NTR52" s="211"/>
      <c r="NTS52" s="211"/>
      <c r="NTT52" s="211"/>
      <c r="NTU52" s="211"/>
      <c r="NTV52" s="211"/>
      <c r="NTW52" s="211"/>
      <c r="NTX52" s="211"/>
      <c r="NTY52" s="211"/>
      <c r="NTZ52" s="211"/>
      <c r="NUA52" s="211"/>
      <c r="NUB52" s="211"/>
      <c r="NUC52" s="211"/>
      <c r="NUD52" s="211"/>
      <c r="NUE52" s="211"/>
      <c r="NUF52" s="211"/>
      <c r="NUG52" s="211"/>
      <c r="NUH52" s="211"/>
      <c r="NUI52" s="211"/>
      <c r="NUJ52" s="211"/>
      <c r="NUK52" s="211"/>
      <c r="NUL52" s="211"/>
      <c r="NUM52" s="211"/>
      <c r="NUN52" s="211"/>
      <c r="NUO52" s="211"/>
      <c r="NUP52" s="211"/>
      <c r="NUQ52" s="211"/>
      <c r="NUR52" s="211"/>
      <c r="NUS52" s="211"/>
      <c r="NUT52" s="211"/>
      <c r="NUU52" s="211"/>
      <c r="NUV52" s="211"/>
      <c r="NUW52" s="211"/>
      <c r="NUX52" s="211"/>
      <c r="NUY52" s="211"/>
      <c r="NUZ52" s="211"/>
      <c r="NVA52" s="211"/>
      <c r="NVB52" s="211"/>
      <c r="NVC52" s="211"/>
      <c r="NVD52" s="211"/>
      <c r="NVE52" s="211"/>
      <c r="NVF52" s="211"/>
      <c r="NVG52" s="211"/>
      <c r="NVH52" s="211"/>
      <c r="NVI52" s="211"/>
      <c r="NVJ52" s="211"/>
      <c r="NVK52" s="211"/>
      <c r="NVL52" s="211"/>
      <c r="NVM52" s="211"/>
      <c r="NVN52" s="211"/>
      <c r="NVO52" s="211"/>
      <c r="NVP52" s="211"/>
      <c r="NVQ52" s="211"/>
      <c r="NVR52" s="211"/>
      <c r="NVS52" s="211"/>
      <c r="NVT52" s="211"/>
      <c r="NVU52" s="211"/>
      <c r="NVV52" s="211"/>
      <c r="NVW52" s="211"/>
      <c r="NVX52" s="211"/>
      <c r="NVY52" s="211"/>
      <c r="NVZ52" s="211"/>
      <c r="NWA52" s="211"/>
      <c r="NWB52" s="211"/>
      <c r="NWC52" s="211"/>
      <c r="NWD52" s="211"/>
      <c r="NWE52" s="211"/>
      <c r="NWF52" s="211"/>
      <c r="NWG52" s="211"/>
      <c r="NWH52" s="211"/>
      <c r="NWI52" s="211"/>
      <c r="NWJ52" s="211"/>
      <c r="NWK52" s="211"/>
      <c r="NWL52" s="211"/>
      <c r="NWM52" s="211"/>
      <c r="NWN52" s="211"/>
      <c r="NWO52" s="211"/>
      <c r="NWP52" s="211"/>
      <c r="NWQ52" s="211"/>
      <c r="NWR52" s="211"/>
      <c r="NWS52" s="211"/>
      <c r="NWT52" s="211"/>
      <c r="NWU52" s="211"/>
      <c r="NWV52" s="211"/>
      <c r="NWW52" s="211"/>
      <c r="NWX52" s="211"/>
      <c r="NWY52" s="211"/>
      <c r="NWZ52" s="211"/>
      <c r="NXA52" s="211"/>
      <c r="NXB52" s="211"/>
      <c r="NXC52" s="211"/>
      <c r="NXD52" s="211"/>
      <c r="NXE52" s="211"/>
      <c r="NXF52" s="211"/>
      <c r="NXG52" s="211"/>
      <c r="NXH52" s="211"/>
      <c r="NXI52" s="211"/>
      <c r="NXJ52" s="211"/>
      <c r="NXK52" s="211"/>
      <c r="NXL52" s="211"/>
      <c r="NXM52" s="211"/>
      <c r="NXN52" s="211"/>
      <c r="NXO52" s="211"/>
      <c r="NXP52" s="211"/>
      <c r="NXQ52" s="211"/>
      <c r="NXR52" s="211"/>
      <c r="NXS52" s="211"/>
      <c r="NXT52" s="211"/>
      <c r="NXU52" s="211"/>
      <c r="NXV52" s="211"/>
      <c r="NXW52" s="211"/>
      <c r="NXX52" s="211"/>
      <c r="NXY52" s="211"/>
      <c r="NXZ52" s="211"/>
      <c r="NYA52" s="211"/>
      <c r="NYB52" s="211"/>
      <c r="NYC52" s="211"/>
      <c r="NYD52" s="211"/>
      <c r="NYE52" s="211"/>
      <c r="NYF52" s="211"/>
      <c r="NYG52" s="211"/>
      <c r="NYH52" s="211"/>
      <c r="NYI52" s="211"/>
      <c r="NYJ52" s="211"/>
      <c r="NYK52" s="211"/>
      <c r="NYL52" s="211"/>
      <c r="NYM52" s="211"/>
      <c r="NYN52" s="211"/>
      <c r="NYO52" s="211"/>
      <c r="NYP52" s="211"/>
      <c r="NYQ52" s="211"/>
      <c r="NYR52" s="211"/>
      <c r="NYS52" s="211"/>
      <c r="NYT52" s="211"/>
      <c r="NYU52" s="211"/>
      <c r="NYV52" s="211"/>
      <c r="NYW52" s="211"/>
      <c r="NYX52" s="211"/>
      <c r="NYY52" s="211"/>
      <c r="NYZ52" s="211"/>
      <c r="NZA52" s="211"/>
      <c r="NZB52" s="211"/>
      <c r="NZC52" s="211"/>
      <c r="NZD52" s="211"/>
      <c r="NZE52" s="211"/>
      <c r="NZF52" s="211"/>
      <c r="NZG52" s="211"/>
      <c r="NZH52" s="211"/>
      <c r="NZI52" s="211"/>
      <c r="NZJ52" s="211"/>
      <c r="NZK52" s="211"/>
      <c r="NZL52" s="211"/>
      <c r="NZM52" s="211"/>
      <c r="NZN52" s="211"/>
      <c r="NZO52" s="211"/>
      <c r="NZP52" s="211"/>
      <c r="NZQ52" s="211"/>
      <c r="NZR52" s="211"/>
      <c r="NZS52" s="211"/>
      <c r="NZT52" s="211"/>
      <c r="NZU52" s="211"/>
      <c r="NZV52" s="211"/>
      <c r="NZW52" s="211"/>
      <c r="NZX52" s="211"/>
      <c r="NZY52" s="211"/>
      <c r="NZZ52" s="211"/>
      <c r="OAA52" s="211"/>
      <c r="OAB52" s="211"/>
      <c r="OAC52" s="211"/>
      <c r="OAD52" s="211"/>
      <c r="OAE52" s="211"/>
      <c r="OAF52" s="211"/>
      <c r="OAG52" s="211"/>
      <c r="OAH52" s="211"/>
      <c r="OAI52" s="211"/>
      <c r="OAJ52" s="211"/>
      <c r="OAK52" s="211"/>
      <c r="OAL52" s="211"/>
      <c r="OAM52" s="211"/>
      <c r="OAN52" s="211"/>
      <c r="OAO52" s="211"/>
      <c r="OAP52" s="211"/>
      <c r="OAQ52" s="211"/>
      <c r="OAR52" s="211"/>
      <c r="OAS52" s="211"/>
      <c r="OAT52" s="211"/>
      <c r="OAU52" s="211"/>
      <c r="OAV52" s="211"/>
      <c r="OAW52" s="211"/>
      <c r="OAX52" s="211"/>
      <c r="OAY52" s="211"/>
      <c r="OAZ52" s="211"/>
      <c r="OBA52" s="211"/>
      <c r="OBB52" s="211"/>
      <c r="OBC52" s="211"/>
      <c r="OBD52" s="211"/>
      <c r="OBE52" s="211"/>
      <c r="OBF52" s="211"/>
      <c r="OBG52" s="211"/>
      <c r="OBH52" s="211"/>
      <c r="OBI52" s="211"/>
      <c r="OBJ52" s="211"/>
      <c r="OBK52" s="211"/>
      <c r="OBL52" s="211"/>
      <c r="OBM52" s="211"/>
      <c r="OBN52" s="211"/>
      <c r="OBO52" s="211"/>
      <c r="OBP52" s="211"/>
      <c r="OBQ52" s="211"/>
      <c r="OBR52" s="211"/>
      <c r="OBS52" s="211"/>
      <c r="OBT52" s="211"/>
      <c r="OBU52" s="211"/>
      <c r="OBV52" s="211"/>
      <c r="OBW52" s="211"/>
      <c r="OBX52" s="211"/>
      <c r="OBY52" s="211"/>
      <c r="OBZ52" s="211"/>
      <c r="OCA52" s="211"/>
      <c r="OCB52" s="211"/>
      <c r="OCC52" s="211"/>
      <c r="OCD52" s="211"/>
      <c r="OCE52" s="211"/>
      <c r="OCF52" s="211"/>
      <c r="OCG52" s="211"/>
      <c r="OCH52" s="211"/>
      <c r="OCI52" s="211"/>
      <c r="OCJ52" s="211"/>
      <c r="OCK52" s="211"/>
      <c r="OCL52" s="211"/>
      <c r="OCM52" s="211"/>
      <c r="OCN52" s="211"/>
      <c r="OCO52" s="211"/>
      <c r="OCP52" s="211"/>
      <c r="OCQ52" s="211"/>
      <c r="OCR52" s="211"/>
      <c r="OCS52" s="211"/>
      <c r="OCT52" s="211"/>
      <c r="OCU52" s="211"/>
      <c r="OCV52" s="211"/>
      <c r="OCW52" s="211"/>
      <c r="OCX52" s="211"/>
      <c r="OCY52" s="211"/>
      <c r="OCZ52" s="211"/>
      <c r="ODA52" s="211"/>
      <c r="ODB52" s="211"/>
      <c r="ODC52" s="211"/>
      <c r="ODD52" s="211"/>
      <c r="ODE52" s="211"/>
      <c r="ODF52" s="211"/>
      <c r="ODG52" s="211"/>
      <c r="ODH52" s="211"/>
      <c r="ODI52" s="211"/>
      <c r="ODJ52" s="211"/>
      <c r="ODK52" s="211"/>
      <c r="ODL52" s="211"/>
      <c r="ODM52" s="211"/>
      <c r="ODN52" s="211"/>
      <c r="ODO52" s="211"/>
      <c r="ODP52" s="211"/>
      <c r="ODQ52" s="211"/>
      <c r="ODR52" s="211"/>
      <c r="ODS52" s="211"/>
      <c r="ODT52" s="211"/>
      <c r="ODU52" s="211"/>
      <c r="ODV52" s="211"/>
      <c r="ODW52" s="211"/>
      <c r="ODX52" s="211"/>
      <c r="ODY52" s="211"/>
      <c r="ODZ52" s="211"/>
      <c r="OEA52" s="211"/>
      <c r="OEB52" s="211"/>
      <c r="OEC52" s="211"/>
      <c r="OED52" s="211"/>
      <c r="OEE52" s="211"/>
      <c r="OEF52" s="211"/>
      <c r="OEG52" s="211"/>
      <c r="OEH52" s="211"/>
      <c r="OEI52" s="211"/>
      <c r="OEJ52" s="211"/>
      <c r="OEK52" s="211"/>
      <c r="OEL52" s="211"/>
      <c r="OEM52" s="211"/>
      <c r="OEN52" s="211"/>
      <c r="OEO52" s="211"/>
      <c r="OEP52" s="211"/>
      <c r="OEQ52" s="211"/>
      <c r="OER52" s="211"/>
      <c r="OES52" s="211"/>
      <c r="OET52" s="211"/>
      <c r="OEU52" s="211"/>
      <c r="OEV52" s="211"/>
      <c r="OEW52" s="211"/>
      <c r="OEX52" s="211"/>
      <c r="OEY52" s="211"/>
      <c r="OEZ52" s="211"/>
      <c r="OFA52" s="211"/>
      <c r="OFB52" s="211"/>
      <c r="OFC52" s="211"/>
      <c r="OFD52" s="211"/>
      <c r="OFE52" s="211"/>
      <c r="OFF52" s="211"/>
      <c r="OFG52" s="211"/>
      <c r="OFH52" s="211"/>
      <c r="OFI52" s="211"/>
      <c r="OFJ52" s="211"/>
      <c r="OFK52" s="211"/>
      <c r="OFL52" s="211"/>
      <c r="OFM52" s="211"/>
      <c r="OFN52" s="211"/>
      <c r="OFO52" s="211"/>
      <c r="OFP52" s="211"/>
      <c r="OFQ52" s="211"/>
      <c r="OFR52" s="211"/>
      <c r="OFS52" s="211"/>
      <c r="OFT52" s="211"/>
      <c r="OFU52" s="211"/>
      <c r="OFV52" s="211"/>
      <c r="OFW52" s="211"/>
      <c r="OFX52" s="211"/>
      <c r="OFY52" s="211"/>
      <c r="OFZ52" s="211"/>
      <c r="OGA52" s="211"/>
      <c r="OGB52" s="211"/>
      <c r="OGC52" s="211"/>
      <c r="OGD52" s="211"/>
      <c r="OGE52" s="211"/>
      <c r="OGF52" s="211"/>
      <c r="OGG52" s="211"/>
      <c r="OGH52" s="211"/>
      <c r="OGI52" s="211"/>
      <c r="OGJ52" s="211"/>
      <c r="OGK52" s="211"/>
      <c r="OGL52" s="211"/>
      <c r="OGM52" s="211"/>
      <c r="OGN52" s="211"/>
      <c r="OGO52" s="211"/>
      <c r="OGP52" s="211"/>
      <c r="OGQ52" s="211"/>
      <c r="OGR52" s="211"/>
      <c r="OGS52" s="211"/>
      <c r="OGT52" s="211"/>
      <c r="OGU52" s="211"/>
      <c r="OGV52" s="211"/>
      <c r="OGW52" s="211"/>
      <c r="OGX52" s="211"/>
      <c r="OGY52" s="211"/>
      <c r="OGZ52" s="211"/>
      <c r="OHA52" s="211"/>
      <c r="OHB52" s="211"/>
      <c r="OHC52" s="211"/>
      <c r="OHD52" s="211"/>
      <c r="OHE52" s="211"/>
      <c r="OHF52" s="211"/>
      <c r="OHG52" s="211"/>
      <c r="OHH52" s="211"/>
      <c r="OHI52" s="211"/>
      <c r="OHJ52" s="211"/>
      <c r="OHK52" s="211"/>
      <c r="OHL52" s="211"/>
      <c r="OHM52" s="211"/>
      <c r="OHN52" s="211"/>
      <c r="OHO52" s="211"/>
      <c r="OHP52" s="211"/>
      <c r="OHQ52" s="211"/>
      <c r="OHR52" s="211"/>
      <c r="OHS52" s="211"/>
      <c r="OHT52" s="211"/>
      <c r="OHU52" s="211"/>
      <c r="OHV52" s="211"/>
      <c r="OHW52" s="211"/>
      <c r="OHX52" s="211"/>
      <c r="OHY52" s="211"/>
      <c r="OHZ52" s="211"/>
      <c r="OIA52" s="211"/>
      <c r="OIB52" s="211"/>
      <c r="OIC52" s="211"/>
      <c r="OID52" s="211"/>
      <c r="OIE52" s="211"/>
      <c r="OIF52" s="211"/>
      <c r="OIG52" s="211"/>
      <c r="OIH52" s="211"/>
      <c r="OII52" s="211"/>
      <c r="OIJ52" s="211"/>
      <c r="OIK52" s="211"/>
      <c r="OIL52" s="211"/>
      <c r="OIM52" s="211"/>
      <c r="OIN52" s="211"/>
      <c r="OIO52" s="211"/>
      <c r="OIP52" s="211"/>
      <c r="OIQ52" s="211"/>
      <c r="OIR52" s="211"/>
      <c r="OIS52" s="211"/>
      <c r="OIT52" s="211"/>
      <c r="OIU52" s="211"/>
      <c r="OIV52" s="211"/>
      <c r="OIW52" s="211"/>
      <c r="OIX52" s="211"/>
      <c r="OIY52" s="211"/>
      <c r="OIZ52" s="211"/>
      <c r="OJA52" s="211"/>
      <c r="OJB52" s="211"/>
      <c r="OJC52" s="211"/>
      <c r="OJD52" s="211"/>
      <c r="OJE52" s="211"/>
      <c r="OJF52" s="211"/>
      <c r="OJG52" s="211"/>
      <c r="OJH52" s="211"/>
      <c r="OJI52" s="211"/>
      <c r="OJJ52" s="211"/>
      <c r="OJK52" s="211"/>
      <c r="OJL52" s="211"/>
      <c r="OJM52" s="211"/>
      <c r="OJN52" s="211"/>
      <c r="OJO52" s="211"/>
      <c r="OJP52" s="211"/>
      <c r="OJQ52" s="211"/>
      <c r="OJR52" s="211"/>
      <c r="OJS52" s="211"/>
      <c r="OJT52" s="211"/>
      <c r="OJU52" s="211"/>
      <c r="OJV52" s="211"/>
      <c r="OJW52" s="211"/>
      <c r="OJX52" s="211"/>
      <c r="OJY52" s="211"/>
      <c r="OJZ52" s="211"/>
      <c r="OKA52" s="211"/>
      <c r="OKB52" s="211"/>
      <c r="OKC52" s="211"/>
      <c r="OKD52" s="211"/>
      <c r="OKE52" s="211"/>
      <c r="OKF52" s="211"/>
      <c r="OKG52" s="211"/>
      <c r="OKH52" s="211"/>
      <c r="OKI52" s="211"/>
      <c r="OKJ52" s="211"/>
      <c r="OKK52" s="211"/>
      <c r="OKL52" s="211"/>
      <c r="OKM52" s="211"/>
      <c r="OKN52" s="211"/>
      <c r="OKO52" s="211"/>
      <c r="OKP52" s="211"/>
      <c r="OKQ52" s="211"/>
      <c r="OKR52" s="211"/>
      <c r="OKS52" s="211"/>
      <c r="OKT52" s="211"/>
      <c r="OKU52" s="211"/>
      <c r="OKV52" s="211"/>
      <c r="OKW52" s="211"/>
      <c r="OKX52" s="211"/>
      <c r="OKY52" s="211"/>
      <c r="OKZ52" s="211"/>
      <c r="OLA52" s="211"/>
      <c r="OLB52" s="211"/>
      <c r="OLC52" s="211"/>
      <c r="OLD52" s="211"/>
      <c r="OLE52" s="211"/>
      <c r="OLF52" s="211"/>
      <c r="OLG52" s="211"/>
      <c r="OLH52" s="211"/>
      <c r="OLI52" s="211"/>
      <c r="OLJ52" s="211"/>
      <c r="OLK52" s="211"/>
      <c r="OLL52" s="211"/>
      <c r="OLM52" s="211"/>
      <c r="OLN52" s="211"/>
      <c r="OLO52" s="211"/>
      <c r="OLP52" s="211"/>
      <c r="OLQ52" s="211"/>
      <c r="OLR52" s="211"/>
      <c r="OLS52" s="211"/>
      <c r="OLT52" s="211"/>
      <c r="OLU52" s="211"/>
      <c r="OLV52" s="211"/>
      <c r="OLW52" s="211"/>
      <c r="OLX52" s="211"/>
      <c r="OLY52" s="211"/>
      <c r="OLZ52" s="211"/>
      <c r="OMA52" s="211"/>
      <c r="OMB52" s="211"/>
      <c r="OMC52" s="211"/>
      <c r="OMD52" s="211"/>
      <c r="OME52" s="211"/>
      <c r="OMF52" s="211"/>
      <c r="OMG52" s="211"/>
      <c r="OMH52" s="211"/>
      <c r="OMI52" s="211"/>
      <c r="OMJ52" s="211"/>
      <c r="OMK52" s="211"/>
      <c r="OML52" s="211"/>
      <c r="OMM52" s="211"/>
      <c r="OMN52" s="211"/>
      <c r="OMO52" s="211"/>
      <c r="OMP52" s="211"/>
      <c r="OMQ52" s="211"/>
      <c r="OMR52" s="211"/>
      <c r="OMS52" s="211"/>
      <c r="OMT52" s="211"/>
      <c r="OMU52" s="211"/>
      <c r="OMV52" s="211"/>
      <c r="OMW52" s="211"/>
      <c r="OMX52" s="211"/>
      <c r="OMY52" s="211"/>
      <c r="OMZ52" s="211"/>
      <c r="ONA52" s="211"/>
      <c r="ONB52" s="211"/>
      <c r="ONC52" s="211"/>
      <c r="OND52" s="211"/>
      <c r="ONE52" s="211"/>
      <c r="ONF52" s="211"/>
      <c r="ONG52" s="211"/>
      <c r="ONH52" s="211"/>
      <c r="ONI52" s="211"/>
      <c r="ONJ52" s="211"/>
      <c r="ONK52" s="211"/>
      <c r="ONL52" s="211"/>
      <c r="ONM52" s="211"/>
      <c r="ONN52" s="211"/>
      <c r="ONO52" s="211"/>
      <c r="ONP52" s="211"/>
      <c r="ONQ52" s="211"/>
      <c r="ONR52" s="211"/>
      <c r="ONS52" s="211"/>
      <c r="ONT52" s="211"/>
      <c r="ONU52" s="211"/>
      <c r="ONV52" s="211"/>
      <c r="ONW52" s="211"/>
      <c r="ONX52" s="211"/>
      <c r="ONY52" s="211"/>
      <c r="ONZ52" s="211"/>
      <c r="OOA52" s="211"/>
      <c r="OOB52" s="211"/>
      <c r="OOC52" s="211"/>
      <c r="OOD52" s="211"/>
      <c r="OOE52" s="211"/>
      <c r="OOF52" s="211"/>
      <c r="OOG52" s="211"/>
      <c r="OOH52" s="211"/>
      <c r="OOI52" s="211"/>
      <c r="OOJ52" s="211"/>
      <c r="OOK52" s="211"/>
      <c r="OOL52" s="211"/>
      <c r="OOM52" s="211"/>
      <c r="OON52" s="211"/>
      <c r="OOO52" s="211"/>
      <c r="OOP52" s="211"/>
      <c r="OOQ52" s="211"/>
      <c r="OOR52" s="211"/>
      <c r="OOS52" s="211"/>
      <c r="OOT52" s="211"/>
      <c r="OOU52" s="211"/>
      <c r="OOV52" s="211"/>
      <c r="OOW52" s="211"/>
      <c r="OOX52" s="211"/>
      <c r="OOY52" s="211"/>
      <c r="OOZ52" s="211"/>
      <c r="OPA52" s="211"/>
      <c r="OPB52" s="211"/>
      <c r="OPC52" s="211"/>
      <c r="OPD52" s="211"/>
      <c r="OPE52" s="211"/>
      <c r="OPF52" s="211"/>
      <c r="OPG52" s="211"/>
      <c r="OPH52" s="211"/>
      <c r="OPI52" s="211"/>
      <c r="OPJ52" s="211"/>
      <c r="OPK52" s="211"/>
      <c r="OPL52" s="211"/>
      <c r="OPM52" s="211"/>
      <c r="OPN52" s="211"/>
      <c r="OPO52" s="211"/>
      <c r="OPP52" s="211"/>
      <c r="OPQ52" s="211"/>
      <c r="OPR52" s="211"/>
      <c r="OPS52" s="211"/>
      <c r="OPT52" s="211"/>
      <c r="OPU52" s="211"/>
      <c r="OPV52" s="211"/>
      <c r="OPW52" s="211"/>
      <c r="OPX52" s="211"/>
      <c r="OPY52" s="211"/>
      <c r="OPZ52" s="211"/>
      <c r="OQA52" s="211"/>
      <c r="OQB52" s="211"/>
      <c r="OQC52" s="211"/>
      <c r="OQD52" s="211"/>
      <c r="OQE52" s="211"/>
      <c r="OQF52" s="211"/>
      <c r="OQG52" s="211"/>
      <c r="OQH52" s="211"/>
      <c r="OQI52" s="211"/>
      <c r="OQJ52" s="211"/>
      <c r="OQK52" s="211"/>
      <c r="OQL52" s="211"/>
      <c r="OQM52" s="211"/>
      <c r="OQN52" s="211"/>
      <c r="OQO52" s="211"/>
      <c r="OQP52" s="211"/>
      <c r="OQQ52" s="211"/>
      <c r="OQR52" s="211"/>
      <c r="OQS52" s="211"/>
      <c r="OQT52" s="211"/>
      <c r="OQU52" s="211"/>
      <c r="OQV52" s="211"/>
      <c r="OQW52" s="211"/>
      <c r="OQX52" s="211"/>
      <c r="OQY52" s="211"/>
      <c r="OQZ52" s="211"/>
      <c r="ORA52" s="211"/>
      <c r="ORB52" s="211"/>
      <c r="ORC52" s="211"/>
      <c r="ORD52" s="211"/>
      <c r="ORE52" s="211"/>
      <c r="ORF52" s="211"/>
      <c r="ORG52" s="211"/>
      <c r="ORH52" s="211"/>
      <c r="ORI52" s="211"/>
      <c r="ORJ52" s="211"/>
      <c r="ORK52" s="211"/>
      <c r="ORL52" s="211"/>
      <c r="ORM52" s="211"/>
      <c r="ORN52" s="211"/>
      <c r="ORO52" s="211"/>
      <c r="ORP52" s="211"/>
      <c r="ORQ52" s="211"/>
      <c r="ORR52" s="211"/>
      <c r="ORS52" s="211"/>
      <c r="ORT52" s="211"/>
      <c r="ORU52" s="211"/>
      <c r="ORV52" s="211"/>
      <c r="ORW52" s="211"/>
      <c r="ORX52" s="211"/>
      <c r="ORY52" s="211"/>
      <c r="ORZ52" s="211"/>
      <c r="OSA52" s="211"/>
      <c r="OSB52" s="211"/>
      <c r="OSC52" s="211"/>
      <c r="OSD52" s="211"/>
      <c r="OSE52" s="211"/>
      <c r="OSF52" s="211"/>
      <c r="OSG52" s="211"/>
      <c r="OSH52" s="211"/>
      <c r="OSI52" s="211"/>
      <c r="OSJ52" s="211"/>
      <c r="OSK52" s="211"/>
      <c r="OSL52" s="211"/>
      <c r="OSM52" s="211"/>
      <c r="OSN52" s="211"/>
      <c r="OSO52" s="211"/>
      <c r="OSP52" s="211"/>
      <c r="OSQ52" s="211"/>
      <c r="OSR52" s="211"/>
      <c r="OSS52" s="211"/>
      <c r="OST52" s="211"/>
      <c r="OSU52" s="211"/>
      <c r="OSV52" s="211"/>
      <c r="OSW52" s="211"/>
      <c r="OSX52" s="211"/>
      <c r="OSY52" s="211"/>
      <c r="OSZ52" s="211"/>
      <c r="OTA52" s="211"/>
      <c r="OTB52" s="211"/>
      <c r="OTC52" s="211"/>
      <c r="OTD52" s="211"/>
      <c r="OTE52" s="211"/>
      <c r="OTF52" s="211"/>
      <c r="OTG52" s="211"/>
      <c r="OTH52" s="211"/>
      <c r="OTI52" s="211"/>
      <c r="OTJ52" s="211"/>
      <c r="OTK52" s="211"/>
      <c r="OTL52" s="211"/>
      <c r="OTM52" s="211"/>
      <c r="OTN52" s="211"/>
      <c r="OTO52" s="211"/>
      <c r="OTP52" s="211"/>
      <c r="OTQ52" s="211"/>
      <c r="OTR52" s="211"/>
      <c r="OTS52" s="211"/>
      <c r="OTT52" s="211"/>
      <c r="OTU52" s="211"/>
      <c r="OTV52" s="211"/>
      <c r="OTW52" s="211"/>
      <c r="OTX52" s="211"/>
      <c r="OTY52" s="211"/>
      <c r="OTZ52" s="211"/>
      <c r="OUA52" s="211"/>
      <c r="OUB52" s="211"/>
      <c r="OUC52" s="211"/>
      <c r="OUD52" s="211"/>
      <c r="OUE52" s="211"/>
      <c r="OUF52" s="211"/>
      <c r="OUG52" s="211"/>
      <c r="OUH52" s="211"/>
      <c r="OUI52" s="211"/>
      <c r="OUJ52" s="211"/>
      <c r="OUK52" s="211"/>
      <c r="OUL52" s="211"/>
      <c r="OUM52" s="211"/>
      <c r="OUN52" s="211"/>
      <c r="OUO52" s="211"/>
      <c r="OUP52" s="211"/>
      <c r="OUQ52" s="211"/>
      <c r="OUR52" s="211"/>
      <c r="OUS52" s="211"/>
      <c r="OUT52" s="211"/>
      <c r="OUU52" s="211"/>
      <c r="OUV52" s="211"/>
      <c r="OUW52" s="211"/>
      <c r="OUX52" s="211"/>
      <c r="OUY52" s="211"/>
      <c r="OUZ52" s="211"/>
      <c r="OVA52" s="211"/>
      <c r="OVB52" s="211"/>
      <c r="OVC52" s="211"/>
      <c r="OVD52" s="211"/>
      <c r="OVE52" s="211"/>
      <c r="OVF52" s="211"/>
      <c r="OVG52" s="211"/>
      <c r="OVH52" s="211"/>
      <c r="OVI52" s="211"/>
      <c r="OVJ52" s="211"/>
      <c r="OVK52" s="211"/>
      <c r="OVL52" s="211"/>
      <c r="OVM52" s="211"/>
      <c r="OVN52" s="211"/>
      <c r="OVO52" s="211"/>
      <c r="OVP52" s="211"/>
      <c r="OVQ52" s="211"/>
      <c r="OVR52" s="211"/>
      <c r="OVS52" s="211"/>
      <c r="OVT52" s="211"/>
      <c r="OVU52" s="211"/>
      <c r="OVV52" s="211"/>
      <c r="OVW52" s="211"/>
      <c r="OVX52" s="211"/>
      <c r="OVY52" s="211"/>
      <c r="OVZ52" s="211"/>
      <c r="OWA52" s="211"/>
      <c r="OWB52" s="211"/>
      <c r="OWC52" s="211"/>
      <c r="OWD52" s="211"/>
      <c r="OWE52" s="211"/>
      <c r="OWF52" s="211"/>
      <c r="OWG52" s="211"/>
      <c r="OWH52" s="211"/>
      <c r="OWI52" s="211"/>
      <c r="OWJ52" s="211"/>
      <c r="OWK52" s="211"/>
      <c r="OWL52" s="211"/>
      <c r="OWM52" s="211"/>
      <c r="OWN52" s="211"/>
      <c r="OWO52" s="211"/>
      <c r="OWP52" s="211"/>
      <c r="OWQ52" s="211"/>
      <c r="OWR52" s="211"/>
      <c r="OWS52" s="211"/>
      <c r="OWT52" s="211"/>
      <c r="OWU52" s="211"/>
      <c r="OWV52" s="211"/>
      <c r="OWW52" s="211"/>
      <c r="OWX52" s="211"/>
      <c r="OWY52" s="211"/>
      <c r="OWZ52" s="211"/>
      <c r="OXA52" s="211"/>
      <c r="OXB52" s="211"/>
      <c r="OXC52" s="211"/>
      <c r="OXD52" s="211"/>
      <c r="OXE52" s="211"/>
      <c r="OXF52" s="211"/>
      <c r="OXG52" s="211"/>
      <c r="OXH52" s="211"/>
      <c r="OXI52" s="211"/>
      <c r="OXJ52" s="211"/>
      <c r="OXK52" s="211"/>
      <c r="OXL52" s="211"/>
      <c r="OXM52" s="211"/>
      <c r="OXN52" s="211"/>
      <c r="OXO52" s="211"/>
      <c r="OXP52" s="211"/>
      <c r="OXQ52" s="211"/>
      <c r="OXR52" s="211"/>
      <c r="OXS52" s="211"/>
      <c r="OXT52" s="211"/>
      <c r="OXU52" s="211"/>
      <c r="OXV52" s="211"/>
      <c r="OXW52" s="211"/>
      <c r="OXX52" s="211"/>
      <c r="OXY52" s="211"/>
      <c r="OXZ52" s="211"/>
      <c r="OYA52" s="211"/>
      <c r="OYB52" s="211"/>
      <c r="OYC52" s="211"/>
      <c r="OYD52" s="211"/>
      <c r="OYE52" s="211"/>
      <c r="OYF52" s="211"/>
      <c r="OYG52" s="211"/>
      <c r="OYH52" s="211"/>
      <c r="OYI52" s="211"/>
      <c r="OYJ52" s="211"/>
      <c r="OYK52" s="211"/>
      <c r="OYL52" s="211"/>
      <c r="OYM52" s="211"/>
      <c r="OYN52" s="211"/>
      <c r="OYO52" s="211"/>
      <c r="OYP52" s="211"/>
      <c r="OYQ52" s="211"/>
      <c r="OYR52" s="211"/>
      <c r="OYS52" s="211"/>
      <c r="OYT52" s="211"/>
      <c r="OYU52" s="211"/>
      <c r="OYV52" s="211"/>
      <c r="OYW52" s="211"/>
      <c r="OYX52" s="211"/>
      <c r="OYY52" s="211"/>
      <c r="OYZ52" s="211"/>
      <c r="OZA52" s="211"/>
      <c r="OZB52" s="211"/>
      <c r="OZC52" s="211"/>
      <c r="OZD52" s="211"/>
      <c r="OZE52" s="211"/>
      <c r="OZF52" s="211"/>
      <c r="OZG52" s="211"/>
      <c r="OZH52" s="211"/>
      <c r="OZI52" s="211"/>
      <c r="OZJ52" s="211"/>
      <c r="OZK52" s="211"/>
      <c r="OZL52" s="211"/>
      <c r="OZM52" s="211"/>
      <c r="OZN52" s="211"/>
      <c r="OZO52" s="211"/>
      <c r="OZP52" s="211"/>
      <c r="OZQ52" s="211"/>
      <c r="OZR52" s="211"/>
      <c r="OZS52" s="211"/>
      <c r="OZT52" s="211"/>
      <c r="OZU52" s="211"/>
      <c r="OZV52" s="211"/>
      <c r="OZW52" s="211"/>
      <c r="OZX52" s="211"/>
      <c r="OZY52" s="211"/>
      <c r="OZZ52" s="211"/>
      <c r="PAA52" s="211"/>
      <c r="PAB52" s="211"/>
      <c r="PAC52" s="211"/>
      <c r="PAD52" s="211"/>
      <c r="PAE52" s="211"/>
      <c r="PAF52" s="211"/>
      <c r="PAG52" s="211"/>
      <c r="PAH52" s="211"/>
      <c r="PAI52" s="211"/>
      <c r="PAJ52" s="211"/>
      <c r="PAK52" s="211"/>
      <c r="PAL52" s="211"/>
      <c r="PAM52" s="211"/>
      <c r="PAN52" s="211"/>
      <c r="PAO52" s="211"/>
      <c r="PAP52" s="211"/>
      <c r="PAQ52" s="211"/>
      <c r="PAR52" s="211"/>
      <c r="PAS52" s="211"/>
      <c r="PAT52" s="211"/>
      <c r="PAU52" s="211"/>
      <c r="PAV52" s="211"/>
      <c r="PAW52" s="211"/>
      <c r="PAX52" s="211"/>
      <c r="PAY52" s="211"/>
      <c r="PAZ52" s="211"/>
      <c r="PBA52" s="211"/>
      <c r="PBB52" s="211"/>
      <c r="PBC52" s="211"/>
      <c r="PBD52" s="211"/>
      <c r="PBE52" s="211"/>
      <c r="PBF52" s="211"/>
      <c r="PBG52" s="211"/>
      <c r="PBH52" s="211"/>
      <c r="PBI52" s="211"/>
      <c r="PBJ52" s="211"/>
      <c r="PBK52" s="211"/>
      <c r="PBL52" s="211"/>
      <c r="PBM52" s="211"/>
      <c r="PBN52" s="211"/>
      <c r="PBO52" s="211"/>
      <c r="PBP52" s="211"/>
      <c r="PBQ52" s="211"/>
      <c r="PBR52" s="211"/>
      <c r="PBS52" s="211"/>
      <c r="PBT52" s="211"/>
      <c r="PBU52" s="211"/>
      <c r="PBV52" s="211"/>
      <c r="PBW52" s="211"/>
      <c r="PBX52" s="211"/>
      <c r="PBY52" s="211"/>
      <c r="PBZ52" s="211"/>
      <c r="PCA52" s="211"/>
      <c r="PCB52" s="211"/>
      <c r="PCC52" s="211"/>
      <c r="PCD52" s="211"/>
      <c r="PCE52" s="211"/>
      <c r="PCF52" s="211"/>
      <c r="PCG52" s="211"/>
      <c r="PCH52" s="211"/>
      <c r="PCI52" s="211"/>
      <c r="PCJ52" s="211"/>
      <c r="PCK52" s="211"/>
      <c r="PCL52" s="211"/>
      <c r="PCM52" s="211"/>
      <c r="PCN52" s="211"/>
      <c r="PCO52" s="211"/>
      <c r="PCP52" s="211"/>
      <c r="PCQ52" s="211"/>
      <c r="PCR52" s="211"/>
      <c r="PCS52" s="211"/>
      <c r="PCT52" s="211"/>
      <c r="PCU52" s="211"/>
      <c r="PCV52" s="211"/>
      <c r="PCW52" s="211"/>
      <c r="PCX52" s="211"/>
      <c r="PCY52" s="211"/>
      <c r="PCZ52" s="211"/>
      <c r="PDA52" s="211"/>
      <c r="PDB52" s="211"/>
      <c r="PDC52" s="211"/>
      <c r="PDD52" s="211"/>
      <c r="PDE52" s="211"/>
      <c r="PDF52" s="211"/>
      <c r="PDG52" s="211"/>
      <c r="PDH52" s="211"/>
      <c r="PDI52" s="211"/>
      <c r="PDJ52" s="211"/>
      <c r="PDK52" s="211"/>
      <c r="PDL52" s="211"/>
      <c r="PDM52" s="211"/>
      <c r="PDN52" s="211"/>
      <c r="PDO52" s="211"/>
      <c r="PDP52" s="211"/>
      <c r="PDQ52" s="211"/>
      <c r="PDR52" s="211"/>
      <c r="PDS52" s="211"/>
      <c r="PDT52" s="211"/>
      <c r="PDU52" s="211"/>
      <c r="PDV52" s="211"/>
      <c r="PDW52" s="211"/>
      <c r="PDX52" s="211"/>
      <c r="PDY52" s="211"/>
      <c r="PDZ52" s="211"/>
      <c r="PEA52" s="211"/>
      <c r="PEB52" s="211"/>
      <c r="PEC52" s="211"/>
      <c r="PED52" s="211"/>
      <c r="PEE52" s="211"/>
      <c r="PEF52" s="211"/>
      <c r="PEG52" s="211"/>
      <c r="PEH52" s="211"/>
      <c r="PEI52" s="211"/>
      <c r="PEJ52" s="211"/>
      <c r="PEK52" s="211"/>
      <c r="PEL52" s="211"/>
      <c r="PEM52" s="211"/>
      <c r="PEN52" s="211"/>
      <c r="PEO52" s="211"/>
      <c r="PEP52" s="211"/>
      <c r="PEQ52" s="211"/>
      <c r="PER52" s="211"/>
      <c r="PES52" s="211"/>
      <c r="PET52" s="211"/>
      <c r="PEU52" s="211"/>
      <c r="PEV52" s="211"/>
      <c r="PEW52" s="211"/>
      <c r="PEX52" s="211"/>
      <c r="PEY52" s="211"/>
      <c r="PEZ52" s="211"/>
      <c r="PFA52" s="211"/>
      <c r="PFB52" s="211"/>
      <c r="PFC52" s="211"/>
      <c r="PFD52" s="211"/>
      <c r="PFE52" s="211"/>
      <c r="PFF52" s="211"/>
      <c r="PFG52" s="211"/>
      <c r="PFH52" s="211"/>
      <c r="PFI52" s="211"/>
      <c r="PFJ52" s="211"/>
      <c r="PFK52" s="211"/>
      <c r="PFL52" s="211"/>
      <c r="PFM52" s="211"/>
      <c r="PFN52" s="211"/>
      <c r="PFO52" s="211"/>
      <c r="PFP52" s="211"/>
      <c r="PFQ52" s="211"/>
      <c r="PFR52" s="211"/>
      <c r="PFS52" s="211"/>
      <c r="PFT52" s="211"/>
      <c r="PFU52" s="211"/>
      <c r="PFV52" s="211"/>
      <c r="PFW52" s="211"/>
      <c r="PFX52" s="211"/>
      <c r="PFY52" s="211"/>
      <c r="PFZ52" s="211"/>
      <c r="PGA52" s="211"/>
      <c r="PGB52" s="211"/>
      <c r="PGC52" s="211"/>
      <c r="PGD52" s="211"/>
      <c r="PGE52" s="211"/>
      <c r="PGF52" s="211"/>
      <c r="PGG52" s="211"/>
      <c r="PGH52" s="211"/>
      <c r="PGI52" s="211"/>
      <c r="PGJ52" s="211"/>
      <c r="PGK52" s="211"/>
      <c r="PGL52" s="211"/>
      <c r="PGM52" s="211"/>
      <c r="PGN52" s="211"/>
      <c r="PGO52" s="211"/>
      <c r="PGP52" s="211"/>
      <c r="PGQ52" s="211"/>
      <c r="PGR52" s="211"/>
      <c r="PGS52" s="211"/>
      <c r="PGT52" s="211"/>
      <c r="PGU52" s="211"/>
      <c r="PGV52" s="211"/>
      <c r="PGW52" s="211"/>
      <c r="PGX52" s="211"/>
      <c r="PGY52" s="211"/>
      <c r="PGZ52" s="211"/>
      <c r="PHA52" s="211"/>
      <c r="PHB52" s="211"/>
      <c r="PHC52" s="211"/>
      <c r="PHD52" s="211"/>
      <c r="PHE52" s="211"/>
      <c r="PHF52" s="211"/>
      <c r="PHG52" s="211"/>
      <c r="PHH52" s="211"/>
      <c r="PHI52" s="211"/>
      <c r="PHJ52" s="211"/>
      <c r="PHK52" s="211"/>
      <c r="PHL52" s="211"/>
      <c r="PHM52" s="211"/>
      <c r="PHN52" s="211"/>
      <c r="PHO52" s="211"/>
      <c r="PHP52" s="211"/>
      <c r="PHQ52" s="211"/>
      <c r="PHR52" s="211"/>
      <c r="PHS52" s="211"/>
      <c r="PHT52" s="211"/>
      <c r="PHU52" s="211"/>
      <c r="PHV52" s="211"/>
      <c r="PHW52" s="211"/>
      <c r="PHX52" s="211"/>
      <c r="PHY52" s="211"/>
      <c r="PHZ52" s="211"/>
      <c r="PIA52" s="211"/>
      <c r="PIB52" s="211"/>
      <c r="PIC52" s="211"/>
      <c r="PID52" s="211"/>
      <c r="PIE52" s="211"/>
      <c r="PIF52" s="211"/>
      <c r="PIG52" s="211"/>
      <c r="PIH52" s="211"/>
      <c r="PII52" s="211"/>
      <c r="PIJ52" s="211"/>
      <c r="PIK52" s="211"/>
      <c r="PIL52" s="211"/>
      <c r="PIM52" s="211"/>
      <c r="PIN52" s="211"/>
      <c r="PIO52" s="211"/>
      <c r="PIP52" s="211"/>
      <c r="PIQ52" s="211"/>
      <c r="PIR52" s="211"/>
      <c r="PIS52" s="211"/>
      <c r="PIT52" s="211"/>
      <c r="PIU52" s="211"/>
      <c r="PIV52" s="211"/>
      <c r="PIW52" s="211"/>
      <c r="PIX52" s="211"/>
      <c r="PIY52" s="211"/>
      <c r="PIZ52" s="211"/>
      <c r="PJA52" s="211"/>
      <c r="PJB52" s="211"/>
      <c r="PJC52" s="211"/>
      <c r="PJD52" s="211"/>
      <c r="PJE52" s="211"/>
      <c r="PJF52" s="211"/>
      <c r="PJG52" s="211"/>
      <c r="PJH52" s="211"/>
      <c r="PJI52" s="211"/>
      <c r="PJJ52" s="211"/>
      <c r="PJK52" s="211"/>
      <c r="PJL52" s="211"/>
      <c r="PJM52" s="211"/>
      <c r="PJN52" s="211"/>
      <c r="PJO52" s="211"/>
      <c r="PJP52" s="211"/>
      <c r="PJQ52" s="211"/>
      <c r="PJR52" s="211"/>
      <c r="PJS52" s="211"/>
      <c r="PJT52" s="211"/>
      <c r="PJU52" s="211"/>
      <c r="PJV52" s="211"/>
      <c r="PJW52" s="211"/>
      <c r="PJX52" s="211"/>
      <c r="PJY52" s="211"/>
      <c r="PJZ52" s="211"/>
      <c r="PKA52" s="211"/>
      <c r="PKB52" s="211"/>
      <c r="PKC52" s="211"/>
      <c r="PKD52" s="211"/>
      <c r="PKE52" s="211"/>
      <c r="PKF52" s="211"/>
      <c r="PKG52" s="211"/>
      <c r="PKH52" s="211"/>
      <c r="PKI52" s="211"/>
      <c r="PKJ52" s="211"/>
      <c r="PKK52" s="211"/>
      <c r="PKL52" s="211"/>
      <c r="PKM52" s="211"/>
      <c r="PKN52" s="211"/>
      <c r="PKO52" s="211"/>
      <c r="PKP52" s="211"/>
      <c r="PKQ52" s="211"/>
      <c r="PKR52" s="211"/>
      <c r="PKS52" s="211"/>
      <c r="PKT52" s="211"/>
      <c r="PKU52" s="211"/>
      <c r="PKV52" s="211"/>
      <c r="PKW52" s="211"/>
      <c r="PKX52" s="211"/>
      <c r="PKY52" s="211"/>
      <c r="PKZ52" s="211"/>
      <c r="PLA52" s="211"/>
      <c r="PLB52" s="211"/>
      <c r="PLC52" s="211"/>
      <c r="PLD52" s="211"/>
      <c r="PLE52" s="211"/>
      <c r="PLF52" s="211"/>
      <c r="PLG52" s="211"/>
      <c r="PLH52" s="211"/>
      <c r="PLI52" s="211"/>
      <c r="PLJ52" s="211"/>
      <c r="PLK52" s="211"/>
      <c r="PLL52" s="211"/>
      <c r="PLM52" s="211"/>
      <c r="PLN52" s="211"/>
      <c r="PLO52" s="211"/>
      <c r="PLP52" s="211"/>
      <c r="PLQ52" s="211"/>
      <c r="PLR52" s="211"/>
      <c r="PLS52" s="211"/>
      <c r="PLT52" s="211"/>
      <c r="PLU52" s="211"/>
      <c r="PLV52" s="211"/>
      <c r="PLW52" s="211"/>
      <c r="PLX52" s="211"/>
      <c r="PLY52" s="211"/>
      <c r="PLZ52" s="211"/>
      <c r="PMA52" s="211"/>
      <c r="PMB52" s="211"/>
      <c r="PMC52" s="211"/>
      <c r="PMD52" s="211"/>
      <c r="PME52" s="211"/>
      <c r="PMF52" s="211"/>
      <c r="PMG52" s="211"/>
      <c r="PMH52" s="211"/>
      <c r="PMI52" s="211"/>
      <c r="PMJ52" s="211"/>
      <c r="PMK52" s="211"/>
      <c r="PML52" s="211"/>
      <c r="PMM52" s="211"/>
      <c r="PMN52" s="211"/>
      <c r="PMO52" s="211"/>
      <c r="PMP52" s="211"/>
      <c r="PMQ52" s="211"/>
      <c r="PMR52" s="211"/>
      <c r="PMS52" s="211"/>
      <c r="PMT52" s="211"/>
      <c r="PMU52" s="211"/>
      <c r="PMV52" s="211"/>
      <c r="PMW52" s="211"/>
      <c r="PMX52" s="211"/>
      <c r="PMY52" s="211"/>
      <c r="PMZ52" s="211"/>
      <c r="PNA52" s="211"/>
      <c r="PNB52" s="211"/>
      <c r="PNC52" s="211"/>
      <c r="PND52" s="211"/>
      <c r="PNE52" s="211"/>
      <c r="PNF52" s="211"/>
      <c r="PNG52" s="211"/>
      <c r="PNH52" s="211"/>
      <c r="PNI52" s="211"/>
      <c r="PNJ52" s="211"/>
      <c r="PNK52" s="211"/>
      <c r="PNL52" s="211"/>
      <c r="PNM52" s="211"/>
      <c r="PNN52" s="211"/>
      <c r="PNO52" s="211"/>
      <c r="PNP52" s="211"/>
      <c r="PNQ52" s="211"/>
      <c r="PNR52" s="211"/>
      <c r="PNS52" s="211"/>
      <c r="PNT52" s="211"/>
      <c r="PNU52" s="211"/>
      <c r="PNV52" s="211"/>
      <c r="PNW52" s="211"/>
      <c r="PNX52" s="211"/>
      <c r="PNY52" s="211"/>
      <c r="PNZ52" s="211"/>
      <c r="POA52" s="211"/>
      <c r="POB52" s="211"/>
      <c r="POC52" s="211"/>
      <c r="POD52" s="211"/>
      <c r="POE52" s="211"/>
      <c r="POF52" s="211"/>
      <c r="POG52" s="211"/>
      <c r="POH52" s="211"/>
      <c r="POI52" s="211"/>
      <c r="POJ52" s="211"/>
      <c r="POK52" s="211"/>
      <c r="POL52" s="211"/>
      <c r="POM52" s="211"/>
      <c r="PON52" s="211"/>
      <c r="POO52" s="211"/>
      <c r="POP52" s="211"/>
      <c r="POQ52" s="211"/>
      <c r="POR52" s="211"/>
      <c r="POS52" s="211"/>
      <c r="POT52" s="211"/>
      <c r="POU52" s="211"/>
      <c r="POV52" s="211"/>
      <c r="POW52" s="211"/>
      <c r="POX52" s="211"/>
      <c r="POY52" s="211"/>
      <c r="POZ52" s="211"/>
      <c r="PPA52" s="211"/>
      <c r="PPB52" s="211"/>
      <c r="PPC52" s="211"/>
      <c r="PPD52" s="211"/>
      <c r="PPE52" s="211"/>
      <c r="PPF52" s="211"/>
      <c r="PPG52" s="211"/>
      <c r="PPH52" s="211"/>
      <c r="PPI52" s="211"/>
      <c r="PPJ52" s="211"/>
      <c r="PPK52" s="211"/>
      <c r="PPL52" s="211"/>
      <c r="PPM52" s="211"/>
      <c r="PPN52" s="211"/>
      <c r="PPO52" s="211"/>
      <c r="PPP52" s="211"/>
      <c r="PPQ52" s="211"/>
      <c r="PPR52" s="211"/>
      <c r="PPS52" s="211"/>
      <c r="PPT52" s="211"/>
      <c r="PPU52" s="211"/>
      <c r="PPV52" s="211"/>
      <c r="PPW52" s="211"/>
      <c r="PPX52" s="211"/>
      <c r="PPY52" s="211"/>
      <c r="PPZ52" s="211"/>
      <c r="PQA52" s="211"/>
      <c r="PQB52" s="211"/>
      <c r="PQC52" s="211"/>
      <c r="PQD52" s="211"/>
      <c r="PQE52" s="211"/>
      <c r="PQF52" s="211"/>
      <c r="PQG52" s="211"/>
      <c r="PQH52" s="211"/>
      <c r="PQI52" s="211"/>
      <c r="PQJ52" s="211"/>
      <c r="PQK52" s="211"/>
      <c r="PQL52" s="211"/>
      <c r="PQM52" s="211"/>
      <c r="PQN52" s="211"/>
      <c r="PQO52" s="211"/>
      <c r="PQP52" s="211"/>
      <c r="PQQ52" s="211"/>
      <c r="PQR52" s="211"/>
      <c r="PQS52" s="211"/>
      <c r="PQT52" s="211"/>
      <c r="PQU52" s="211"/>
      <c r="PQV52" s="211"/>
      <c r="PQW52" s="211"/>
      <c r="PQX52" s="211"/>
      <c r="PQY52" s="211"/>
      <c r="PQZ52" s="211"/>
      <c r="PRA52" s="211"/>
      <c r="PRB52" s="211"/>
      <c r="PRC52" s="211"/>
      <c r="PRD52" s="211"/>
      <c r="PRE52" s="211"/>
      <c r="PRF52" s="211"/>
      <c r="PRG52" s="211"/>
      <c r="PRH52" s="211"/>
      <c r="PRI52" s="211"/>
      <c r="PRJ52" s="211"/>
      <c r="PRK52" s="211"/>
      <c r="PRL52" s="211"/>
      <c r="PRM52" s="211"/>
      <c r="PRN52" s="211"/>
      <c r="PRO52" s="211"/>
      <c r="PRP52" s="211"/>
      <c r="PRQ52" s="211"/>
      <c r="PRR52" s="211"/>
      <c r="PRS52" s="211"/>
      <c r="PRT52" s="211"/>
      <c r="PRU52" s="211"/>
      <c r="PRV52" s="211"/>
      <c r="PRW52" s="211"/>
      <c r="PRX52" s="211"/>
      <c r="PRY52" s="211"/>
      <c r="PRZ52" s="211"/>
      <c r="PSA52" s="211"/>
      <c r="PSB52" s="211"/>
      <c r="PSC52" s="211"/>
      <c r="PSD52" s="211"/>
      <c r="PSE52" s="211"/>
      <c r="PSF52" s="211"/>
      <c r="PSG52" s="211"/>
      <c r="PSH52" s="211"/>
      <c r="PSI52" s="211"/>
      <c r="PSJ52" s="211"/>
      <c r="PSK52" s="211"/>
      <c r="PSL52" s="211"/>
      <c r="PSM52" s="211"/>
      <c r="PSN52" s="211"/>
      <c r="PSO52" s="211"/>
      <c r="PSP52" s="211"/>
      <c r="PSQ52" s="211"/>
      <c r="PSR52" s="211"/>
      <c r="PSS52" s="211"/>
      <c r="PST52" s="211"/>
      <c r="PSU52" s="211"/>
      <c r="PSV52" s="211"/>
      <c r="PSW52" s="211"/>
      <c r="PSX52" s="211"/>
      <c r="PSY52" s="211"/>
      <c r="PSZ52" s="211"/>
      <c r="PTA52" s="211"/>
      <c r="PTB52" s="211"/>
      <c r="PTC52" s="211"/>
      <c r="PTD52" s="211"/>
      <c r="PTE52" s="211"/>
      <c r="PTF52" s="211"/>
      <c r="PTG52" s="211"/>
      <c r="PTH52" s="211"/>
      <c r="PTI52" s="211"/>
      <c r="PTJ52" s="211"/>
      <c r="PTK52" s="211"/>
      <c r="PTL52" s="211"/>
      <c r="PTM52" s="211"/>
      <c r="PTN52" s="211"/>
      <c r="PTO52" s="211"/>
      <c r="PTP52" s="211"/>
      <c r="PTQ52" s="211"/>
      <c r="PTR52" s="211"/>
      <c r="PTS52" s="211"/>
      <c r="PTT52" s="211"/>
      <c r="PTU52" s="211"/>
      <c r="PTV52" s="211"/>
      <c r="PTW52" s="211"/>
      <c r="PTX52" s="211"/>
      <c r="PTY52" s="211"/>
      <c r="PTZ52" s="211"/>
      <c r="PUA52" s="211"/>
      <c r="PUB52" s="211"/>
      <c r="PUC52" s="211"/>
      <c r="PUD52" s="211"/>
      <c r="PUE52" s="211"/>
      <c r="PUF52" s="211"/>
      <c r="PUG52" s="211"/>
      <c r="PUH52" s="211"/>
      <c r="PUI52" s="211"/>
      <c r="PUJ52" s="211"/>
      <c r="PUK52" s="211"/>
      <c r="PUL52" s="211"/>
      <c r="PUM52" s="211"/>
      <c r="PUN52" s="211"/>
      <c r="PUO52" s="211"/>
      <c r="PUP52" s="211"/>
      <c r="PUQ52" s="211"/>
      <c r="PUR52" s="211"/>
      <c r="PUS52" s="211"/>
      <c r="PUT52" s="211"/>
      <c r="PUU52" s="211"/>
      <c r="PUV52" s="211"/>
      <c r="PUW52" s="211"/>
      <c r="PUX52" s="211"/>
      <c r="PUY52" s="211"/>
      <c r="PUZ52" s="211"/>
      <c r="PVA52" s="211"/>
      <c r="PVB52" s="211"/>
      <c r="PVC52" s="211"/>
      <c r="PVD52" s="211"/>
      <c r="PVE52" s="211"/>
      <c r="PVF52" s="211"/>
      <c r="PVG52" s="211"/>
      <c r="PVH52" s="211"/>
      <c r="PVI52" s="211"/>
      <c r="PVJ52" s="211"/>
      <c r="PVK52" s="211"/>
      <c r="PVL52" s="211"/>
      <c r="PVM52" s="211"/>
      <c r="PVN52" s="211"/>
      <c r="PVO52" s="211"/>
      <c r="PVP52" s="211"/>
      <c r="PVQ52" s="211"/>
      <c r="PVR52" s="211"/>
      <c r="PVS52" s="211"/>
      <c r="PVT52" s="211"/>
      <c r="PVU52" s="211"/>
      <c r="PVV52" s="211"/>
      <c r="PVW52" s="211"/>
      <c r="PVX52" s="211"/>
      <c r="PVY52" s="211"/>
      <c r="PVZ52" s="211"/>
      <c r="PWA52" s="211"/>
      <c r="PWB52" s="211"/>
      <c r="PWC52" s="211"/>
      <c r="PWD52" s="211"/>
      <c r="PWE52" s="211"/>
      <c r="PWF52" s="211"/>
      <c r="PWG52" s="211"/>
      <c r="PWH52" s="211"/>
      <c r="PWI52" s="211"/>
      <c r="PWJ52" s="211"/>
      <c r="PWK52" s="211"/>
      <c r="PWL52" s="211"/>
      <c r="PWM52" s="211"/>
      <c r="PWN52" s="211"/>
      <c r="PWO52" s="211"/>
      <c r="PWP52" s="211"/>
      <c r="PWQ52" s="211"/>
      <c r="PWR52" s="211"/>
      <c r="PWS52" s="211"/>
      <c r="PWT52" s="211"/>
      <c r="PWU52" s="211"/>
      <c r="PWV52" s="211"/>
      <c r="PWW52" s="211"/>
      <c r="PWX52" s="211"/>
      <c r="PWY52" s="211"/>
      <c r="PWZ52" s="211"/>
      <c r="PXA52" s="211"/>
      <c r="PXB52" s="211"/>
      <c r="PXC52" s="211"/>
      <c r="PXD52" s="211"/>
      <c r="PXE52" s="211"/>
      <c r="PXF52" s="211"/>
      <c r="PXG52" s="211"/>
      <c r="PXH52" s="211"/>
      <c r="PXI52" s="211"/>
      <c r="PXJ52" s="211"/>
      <c r="PXK52" s="211"/>
      <c r="PXL52" s="211"/>
      <c r="PXM52" s="211"/>
      <c r="PXN52" s="211"/>
      <c r="PXO52" s="211"/>
      <c r="PXP52" s="211"/>
      <c r="PXQ52" s="211"/>
      <c r="PXR52" s="211"/>
      <c r="PXS52" s="211"/>
      <c r="PXT52" s="211"/>
      <c r="PXU52" s="211"/>
      <c r="PXV52" s="211"/>
      <c r="PXW52" s="211"/>
      <c r="PXX52" s="211"/>
      <c r="PXY52" s="211"/>
      <c r="PXZ52" s="211"/>
      <c r="PYA52" s="211"/>
      <c r="PYB52" s="211"/>
      <c r="PYC52" s="211"/>
      <c r="PYD52" s="211"/>
      <c r="PYE52" s="211"/>
      <c r="PYF52" s="211"/>
      <c r="PYG52" s="211"/>
      <c r="PYH52" s="211"/>
      <c r="PYI52" s="211"/>
      <c r="PYJ52" s="211"/>
      <c r="PYK52" s="211"/>
      <c r="PYL52" s="211"/>
      <c r="PYM52" s="211"/>
      <c r="PYN52" s="211"/>
      <c r="PYO52" s="211"/>
      <c r="PYP52" s="211"/>
      <c r="PYQ52" s="211"/>
      <c r="PYR52" s="211"/>
      <c r="PYS52" s="211"/>
      <c r="PYT52" s="211"/>
      <c r="PYU52" s="211"/>
      <c r="PYV52" s="211"/>
      <c r="PYW52" s="211"/>
      <c r="PYX52" s="211"/>
      <c r="PYY52" s="211"/>
      <c r="PYZ52" s="211"/>
      <c r="PZA52" s="211"/>
      <c r="PZB52" s="211"/>
      <c r="PZC52" s="211"/>
      <c r="PZD52" s="211"/>
      <c r="PZE52" s="211"/>
      <c r="PZF52" s="211"/>
      <c r="PZG52" s="211"/>
      <c r="PZH52" s="211"/>
      <c r="PZI52" s="211"/>
      <c r="PZJ52" s="211"/>
      <c r="PZK52" s="211"/>
      <c r="PZL52" s="211"/>
      <c r="PZM52" s="211"/>
      <c r="PZN52" s="211"/>
      <c r="PZO52" s="211"/>
      <c r="PZP52" s="211"/>
      <c r="PZQ52" s="211"/>
      <c r="PZR52" s="211"/>
      <c r="PZS52" s="211"/>
      <c r="PZT52" s="211"/>
      <c r="PZU52" s="211"/>
      <c r="PZV52" s="211"/>
      <c r="PZW52" s="211"/>
      <c r="PZX52" s="211"/>
      <c r="PZY52" s="211"/>
      <c r="PZZ52" s="211"/>
      <c r="QAA52" s="211"/>
      <c r="QAB52" s="211"/>
      <c r="QAC52" s="211"/>
      <c r="QAD52" s="211"/>
      <c r="QAE52" s="211"/>
      <c r="QAF52" s="211"/>
      <c r="QAG52" s="211"/>
      <c r="QAH52" s="211"/>
      <c r="QAI52" s="211"/>
      <c r="QAJ52" s="211"/>
      <c r="QAK52" s="211"/>
      <c r="QAL52" s="211"/>
      <c r="QAM52" s="211"/>
      <c r="QAN52" s="211"/>
      <c r="QAO52" s="211"/>
      <c r="QAP52" s="211"/>
      <c r="QAQ52" s="211"/>
      <c r="QAR52" s="211"/>
      <c r="QAS52" s="211"/>
      <c r="QAT52" s="211"/>
      <c r="QAU52" s="211"/>
      <c r="QAV52" s="211"/>
      <c r="QAW52" s="211"/>
      <c r="QAX52" s="211"/>
      <c r="QAY52" s="211"/>
      <c r="QAZ52" s="211"/>
      <c r="QBA52" s="211"/>
      <c r="QBB52" s="211"/>
      <c r="QBC52" s="211"/>
      <c r="QBD52" s="211"/>
      <c r="QBE52" s="211"/>
      <c r="QBF52" s="211"/>
      <c r="QBG52" s="211"/>
      <c r="QBH52" s="211"/>
      <c r="QBI52" s="211"/>
      <c r="QBJ52" s="211"/>
      <c r="QBK52" s="211"/>
      <c r="QBL52" s="211"/>
      <c r="QBM52" s="211"/>
      <c r="QBN52" s="211"/>
      <c r="QBO52" s="211"/>
      <c r="QBP52" s="211"/>
      <c r="QBQ52" s="211"/>
      <c r="QBR52" s="211"/>
      <c r="QBS52" s="211"/>
      <c r="QBT52" s="211"/>
      <c r="QBU52" s="211"/>
      <c r="QBV52" s="211"/>
      <c r="QBW52" s="211"/>
      <c r="QBX52" s="211"/>
      <c r="QBY52" s="211"/>
      <c r="QBZ52" s="211"/>
      <c r="QCA52" s="211"/>
      <c r="QCB52" s="211"/>
      <c r="QCC52" s="211"/>
      <c r="QCD52" s="211"/>
      <c r="QCE52" s="211"/>
      <c r="QCF52" s="211"/>
      <c r="QCG52" s="211"/>
      <c r="QCH52" s="211"/>
      <c r="QCI52" s="211"/>
      <c r="QCJ52" s="211"/>
      <c r="QCK52" s="211"/>
      <c r="QCL52" s="211"/>
      <c r="QCM52" s="211"/>
      <c r="QCN52" s="211"/>
      <c r="QCO52" s="211"/>
      <c r="QCP52" s="211"/>
      <c r="QCQ52" s="211"/>
      <c r="QCR52" s="211"/>
      <c r="QCS52" s="211"/>
      <c r="QCT52" s="211"/>
      <c r="QCU52" s="211"/>
      <c r="QCV52" s="211"/>
      <c r="QCW52" s="211"/>
      <c r="QCX52" s="211"/>
      <c r="QCY52" s="211"/>
      <c r="QCZ52" s="211"/>
      <c r="QDA52" s="211"/>
      <c r="QDB52" s="211"/>
      <c r="QDC52" s="211"/>
      <c r="QDD52" s="211"/>
      <c r="QDE52" s="211"/>
      <c r="QDF52" s="211"/>
      <c r="QDG52" s="211"/>
      <c r="QDH52" s="211"/>
      <c r="QDI52" s="211"/>
      <c r="QDJ52" s="211"/>
      <c r="QDK52" s="211"/>
      <c r="QDL52" s="211"/>
      <c r="QDM52" s="211"/>
      <c r="QDN52" s="211"/>
      <c r="QDO52" s="211"/>
      <c r="QDP52" s="211"/>
      <c r="QDQ52" s="211"/>
      <c r="QDR52" s="211"/>
      <c r="QDS52" s="211"/>
      <c r="QDT52" s="211"/>
      <c r="QDU52" s="211"/>
      <c r="QDV52" s="211"/>
      <c r="QDW52" s="211"/>
      <c r="QDX52" s="211"/>
      <c r="QDY52" s="211"/>
      <c r="QDZ52" s="211"/>
      <c r="QEA52" s="211"/>
      <c r="QEB52" s="211"/>
      <c r="QEC52" s="211"/>
      <c r="QED52" s="211"/>
      <c r="QEE52" s="211"/>
      <c r="QEF52" s="211"/>
      <c r="QEG52" s="211"/>
      <c r="QEH52" s="211"/>
      <c r="QEI52" s="211"/>
      <c r="QEJ52" s="211"/>
      <c r="QEK52" s="211"/>
      <c r="QEL52" s="211"/>
      <c r="QEM52" s="211"/>
      <c r="QEN52" s="211"/>
      <c r="QEO52" s="211"/>
      <c r="QEP52" s="211"/>
      <c r="QEQ52" s="211"/>
      <c r="QER52" s="211"/>
      <c r="QES52" s="211"/>
      <c r="QET52" s="211"/>
      <c r="QEU52" s="211"/>
      <c r="QEV52" s="211"/>
      <c r="QEW52" s="211"/>
      <c r="QEX52" s="211"/>
      <c r="QEY52" s="211"/>
      <c r="QEZ52" s="211"/>
      <c r="QFA52" s="211"/>
      <c r="QFB52" s="211"/>
      <c r="QFC52" s="211"/>
      <c r="QFD52" s="211"/>
      <c r="QFE52" s="211"/>
      <c r="QFF52" s="211"/>
      <c r="QFG52" s="211"/>
      <c r="QFH52" s="211"/>
      <c r="QFI52" s="211"/>
      <c r="QFJ52" s="211"/>
      <c r="QFK52" s="211"/>
      <c r="QFL52" s="211"/>
      <c r="QFM52" s="211"/>
      <c r="QFN52" s="211"/>
      <c r="QFO52" s="211"/>
      <c r="QFP52" s="211"/>
      <c r="QFQ52" s="211"/>
      <c r="QFR52" s="211"/>
      <c r="QFS52" s="211"/>
      <c r="QFT52" s="211"/>
      <c r="QFU52" s="211"/>
      <c r="QFV52" s="211"/>
      <c r="QFW52" s="211"/>
      <c r="QFX52" s="211"/>
      <c r="QFY52" s="211"/>
      <c r="QFZ52" s="211"/>
      <c r="QGA52" s="211"/>
      <c r="QGB52" s="211"/>
      <c r="QGC52" s="211"/>
      <c r="QGD52" s="211"/>
      <c r="QGE52" s="211"/>
      <c r="QGF52" s="211"/>
      <c r="QGG52" s="211"/>
      <c r="QGH52" s="211"/>
      <c r="QGI52" s="211"/>
      <c r="QGJ52" s="211"/>
      <c r="QGK52" s="211"/>
      <c r="QGL52" s="211"/>
      <c r="QGM52" s="211"/>
      <c r="QGN52" s="211"/>
      <c r="QGO52" s="211"/>
      <c r="QGP52" s="211"/>
      <c r="QGQ52" s="211"/>
      <c r="QGR52" s="211"/>
      <c r="QGS52" s="211"/>
      <c r="QGT52" s="211"/>
      <c r="QGU52" s="211"/>
      <c r="QGV52" s="211"/>
      <c r="QGW52" s="211"/>
      <c r="QGX52" s="211"/>
      <c r="QGY52" s="211"/>
      <c r="QGZ52" s="211"/>
      <c r="QHA52" s="211"/>
      <c r="QHB52" s="211"/>
      <c r="QHC52" s="211"/>
      <c r="QHD52" s="211"/>
      <c r="QHE52" s="211"/>
      <c r="QHF52" s="211"/>
      <c r="QHG52" s="211"/>
      <c r="QHH52" s="211"/>
      <c r="QHI52" s="211"/>
      <c r="QHJ52" s="211"/>
      <c r="QHK52" s="211"/>
      <c r="QHL52" s="211"/>
      <c r="QHM52" s="211"/>
      <c r="QHN52" s="211"/>
      <c r="QHO52" s="211"/>
      <c r="QHP52" s="211"/>
      <c r="QHQ52" s="211"/>
      <c r="QHR52" s="211"/>
      <c r="QHS52" s="211"/>
      <c r="QHT52" s="211"/>
      <c r="QHU52" s="211"/>
      <c r="QHV52" s="211"/>
      <c r="QHW52" s="211"/>
      <c r="QHX52" s="211"/>
      <c r="QHY52" s="211"/>
      <c r="QHZ52" s="211"/>
      <c r="QIA52" s="211"/>
      <c r="QIB52" s="211"/>
      <c r="QIC52" s="211"/>
      <c r="QID52" s="211"/>
      <c r="QIE52" s="211"/>
      <c r="QIF52" s="211"/>
      <c r="QIG52" s="211"/>
      <c r="QIH52" s="211"/>
      <c r="QII52" s="211"/>
      <c r="QIJ52" s="211"/>
      <c r="QIK52" s="211"/>
      <c r="QIL52" s="211"/>
      <c r="QIM52" s="211"/>
      <c r="QIN52" s="211"/>
      <c r="QIO52" s="211"/>
      <c r="QIP52" s="211"/>
      <c r="QIQ52" s="211"/>
      <c r="QIR52" s="211"/>
      <c r="QIS52" s="211"/>
      <c r="QIT52" s="211"/>
      <c r="QIU52" s="211"/>
      <c r="QIV52" s="211"/>
      <c r="QIW52" s="211"/>
      <c r="QIX52" s="211"/>
      <c r="QIY52" s="211"/>
      <c r="QIZ52" s="211"/>
      <c r="QJA52" s="211"/>
      <c r="QJB52" s="211"/>
      <c r="QJC52" s="211"/>
      <c r="QJD52" s="211"/>
      <c r="QJE52" s="211"/>
      <c r="QJF52" s="211"/>
      <c r="QJG52" s="211"/>
      <c r="QJH52" s="211"/>
      <c r="QJI52" s="211"/>
      <c r="QJJ52" s="211"/>
      <c r="QJK52" s="211"/>
      <c r="QJL52" s="211"/>
      <c r="QJM52" s="211"/>
      <c r="QJN52" s="211"/>
      <c r="QJO52" s="211"/>
      <c r="QJP52" s="211"/>
      <c r="QJQ52" s="211"/>
      <c r="QJR52" s="211"/>
      <c r="QJS52" s="211"/>
      <c r="QJT52" s="211"/>
      <c r="QJU52" s="211"/>
      <c r="QJV52" s="211"/>
      <c r="QJW52" s="211"/>
      <c r="QJX52" s="211"/>
      <c r="QJY52" s="211"/>
      <c r="QJZ52" s="211"/>
      <c r="QKA52" s="211"/>
      <c r="QKB52" s="211"/>
      <c r="QKC52" s="211"/>
      <c r="QKD52" s="211"/>
      <c r="QKE52" s="211"/>
      <c r="QKF52" s="211"/>
      <c r="QKG52" s="211"/>
      <c r="QKH52" s="211"/>
      <c r="QKI52" s="211"/>
      <c r="QKJ52" s="211"/>
      <c r="QKK52" s="211"/>
      <c r="QKL52" s="211"/>
      <c r="QKM52" s="211"/>
      <c r="QKN52" s="211"/>
      <c r="QKO52" s="211"/>
      <c r="QKP52" s="211"/>
      <c r="QKQ52" s="211"/>
      <c r="QKR52" s="211"/>
      <c r="QKS52" s="211"/>
      <c r="QKT52" s="211"/>
      <c r="QKU52" s="211"/>
      <c r="QKV52" s="211"/>
      <c r="QKW52" s="211"/>
      <c r="QKX52" s="211"/>
      <c r="QKY52" s="211"/>
      <c r="QKZ52" s="211"/>
      <c r="QLA52" s="211"/>
      <c r="QLB52" s="211"/>
      <c r="QLC52" s="211"/>
      <c r="QLD52" s="211"/>
      <c r="QLE52" s="211"/>
      <c r="QLF52" s="211"/>
      <c r="QLG52" s="211"/>
      <c r="QLH52" s="211"/>
      <c r="QLI52" s="211"/>
      <c r="QLJ52" s="211"/>
      <c r="QLK52" s="211"/>
      <c r="QLL52" s="211"/>
      <c r="QLM52" s="211"/>
      <c r="QLN52" s="211"/>
      <c r="QLO52" s="211"/>
      <c r="QLP52" s="211"/>
      <c r="QLQ52" s="211"/>
      <c r="QLR52" s="211"/>
      <c r="QLS52" s="211"/>
      <c r="QLT52" s="211"/>
      <c r="QLU52" s="211"/>
      <c r="QLV52" s="211"/>
      <c r="QLW52" s="211"/>
      <c r="QLX52" s="211"/>
      <c r="QLY52" s="211"/>
      <c r="QLZ52" s="211"/>
      <c r="QMA52" s="211"/>
      <c r="QMB52" s="211"/>
      <c r="QMC52" s="211"/>
      <c r="QMD52" s="211"/>
      <c r="QME52" s="211"/>
      <c r="QMF52" s="211"/>
      <c r="QMG52" s="211"/>
      <c r="QMH52" s="211"/>
      <c r="QMI52" s="211"/>
      <c r="QMJ52" s="211"/>
      <c r="QMK52" s="211"/>
      <c r="QML52" s="211"/>
      <c r="QMM52" s="211"/>
      <c r="QMN52" s="211"/>
      <c r="QMO52" s="211"/>
      <c r="QMP52" s="211"/>
      <c r="QMQ52" s="211"/>
      <c r="QMR52" s="211"/>
      <c r="QMS52" s="211"/>
      <c r="QMT52" s="211"/>
      <c r="QMU52" s="211"/>
      <c r="QMV52" s="211"/>
      <c r="QMW52" s="211"/>
      <c r="QMX52" s="211"/>
      <c r="QMY52" s="211"/>
      <c r="QMZ52" s="211"/>
      <c r="QNA52" s="211"/>
      <c r="QNB52" s="211"/>
      <c r="QNC52" s="211"/>
      <c r="QND52" s="211"/>
      <c r="QNE52" s="211"/>
      <c r="QNF52" s="211"/>
      <c r="QNG52" s="211"/>
      <c r="QNH52" s="211"/>
      <c r="QNI52" s="211"/>
      <c r="QNJ52" s="211"/>
      <c r="QNK52" s="211"/>
      <c r="QNL52" s="211"/>
      <c r="QNM52" s="211"/>
      <c r="QNN52" s="211"/>
      <c r="QNO52" s="211"/>
      <c r="QNP52" s="211"/>
      <c r="QNQ52" s="211"/>
      <c r="QNR52" s="211"/>
      <c r="QNS52" s="211"/>
      <c r="QNT52" s="211"/>
      <c r="QNU52" s="211"/>
      <c r="QNV52" s="211"/>
      <c r="QNW52" s="211"/>
      <c r="QNX52" s="211"/>
      <c r="QNY52" s="211"/>
      <c r="QNZ52" s="211"/>
      <c r="QOA52" s="211"/>
      <c r="QOB52" s="211"/>
      <c r="QOC52" s="211"/>
      <c r="QOD52" s="211"/>
      <c r="QOE52" s="211"/>
      <c r="QOF52" s="211"/>
      <c r="QOG52" s="211"/>
      <c r="QOH52" s="211"/>
      <c r="QOI52" s="211"/>
      <c r="QOJ52" s="211"/>
      <c r="QOK52" s="211"/>
      <c r="QOL52" s="211"/>
      <c r="QOM52" s="211"/>
      <c r="QON52" s="211"/>
      <c r="QOO52" s="211"/>
      <c r="QOP52" s="211"/>
      <c r="QOQ52" s="211"/>
      <c r="QOR52" s="211"/>
      <c r="QOS52" s="211"/>
      <c r="QOT52" s="211"/>
      <c r="QOU52" s="211"/>
      <c r="QOV52" s="211"/>
      <c r="QOW52" s="211"/>
      <c r="QOX52" s="211"/>
      <c r="QOY52" s="211"/>
      <c r="QOZ52" s="211"/>
      <c r="QPA52" s="211"/>
      <c r="QPB52" s="211"/>
      <c r="QPC52" s="211"/>
      <c r="QPD52" s="211"/>
      <c r="QPE52" s="211"/>
      <c r="QPF52" s="211"/>
      <c r="QPG52" s="211"/>
      <c r="QPH52" s="211"/>
      <c r="QPI52" s="211"/>
      <c r="QPJ52" s="211"/>
      <c r="QPK52" s="211"/>
      <c r="QPL52" s="211"/>
      <c r="QPM52" s="211"/>
      <c r="QPN52" s="211"/>
      <c r="QPO52" s="211"/>
      <c r="QPP52" s="211"/>
      <c r="QPQ52" s="211"/>
      <c r="QPR52" s="211"/>
      <c r="QPS52" s="211"/>
      <c r="QPT52" s="211"/>
      <c r="QPU52" s="211"/>
      <c r="QPV52" s="211"/>
      <c r="QPW52" s="211"/>
      <c r="QPX52" s="211"/>
      <c r="QPY52" s="211"/>
      <c r="QPZ52" s="211"/>
      <c r="QQA52" s="211"/>
      <c r="QQB52" s="211"/>
      <c r="QQC52" s="211"/>
      <c r="QQD52" s="211"/>
      <c r="QQE52" s="211"/>
      <c r="QQF52" s="211"/>
      <c r="QQG52" s="211"/>
      <c r="QQH52" s="211"/>
      <c r="QQI52" s="211"/>
      <c r="QQJ52" s="211"/>
      <c r="QQK52" s="211"/>
      <c r="QQL52" s="211"/>
      <c r="QQM52" s="211"/>
      <c r="QQN52" s="211"/>
      <c r="QQO52" s="211"/>
      <c r="QQP52" s="211"/>
      <c r="QQQ52" s="211"/>
      <c r="QQR52" s="211"/>
      <c r="QQS52" s="211"/>
      <c r="QQT52" s="211"/>
      <c r="QQU52" s="211"/>
      <c r="QQV52" s="211"/>
      <c r="QQW52" s="211"/>
      <c r="QQX52" s="211"/>
      <c r="QQY52" s="211"/>
      <c r="QQZ52" s="211"/>
      <c r="QRA52" s="211"/>
      <c r="QRB52" s="211"/>
      <c r="QRC52" s="211"/>
      <c r="QRD52" s="211"/>
      <c r="QRE52" s="211"/>
      <c r="QRF52" s="211"/>
      <c r="QRG52" s="211"/>
      <c r="QRH52" s="211"/>
      <c r="QRI52" s="211"/>
      <c r="QRJ52" s="211"/>
      <c r="QRK52" s="211"/>
      <c r="QRL52" s="211"/>
      <c r="QRM52" s="211"/>
      <c r="QRN52" s="211"/>
      <c r="QRO52" s="211"/>
      <c r="QRP52" s="211"/>
      <c r="QRQ52" s="211"/>
      <c r="QRR52" s="211"/>
      <c r="QRS52" s="211"/>
      <c r="QRT52" s="211"/>
      <c r="QRU52" s="211"/>
      <c r="QRV52" s="211"/>
      <c r="QRW52" s="211"/>
      <c r="QRX52" s="211"/>
      <c r="QRY52" s="211"/>
      <c r="QRZ52" s="211"/>
      <c r="QSA52" s="211"/>
      <c r="QSB52" s="211"/>
      <c r="QSC52" s="211"/>
      <c r="QSD52" s="211"/>
      <c r="QSE52" s="211"/>
      <c r="QSF52" s="211"/>
      <c r="QSG52" s="211"/>
      <c r="QSH52" s="211"/>
      <c r="QSI52" s="211"/>
      <c r="QSJ52" s="211"/>
      <c r="QSK52" s="211"/>
      <c r="QSL52" s="211"/>
      <c r="QSM52" s="211"/>
      <c r="QSN52" s="211"/>
      <c r="QSO52" s="211"/>
      <c r="QSP52" s="211"/>
      <c r="QSQ52" s="211"/>
      <c r="QSR52" s="211"/>
      <c r="QSS52" s="211"/>
      <c r="QST52" s="211"/>
      <c r="QSU52" s="211"/>
      <c r="QSV52" s="211"/>
      <c r="QSW52" s="211"/>
      <c r="QSX52" s="211"/>
      <c r="QSY52" s="211"/>
      <c r="QSZ52" s="211"/>
      <c r="QTA52" s="211"/>
      <c r="QTB52" s="211"/>
      <c r="QTC52" s="211"/>
      <c r="QTD52" s="211"/>
      <c r="QTE52" s="211"/>
      <c r="QTF52" s="211"/>
      <c r="QTG52" s="211"/>
      <c r="QTH52" s="211"/>
      <c r="QTI52" s="211"/>
      <c r="QTJ52" s="211"/>
      <c r="QTK52" s="211"/>
      <c r="QTL52" s="211"/>
      <c r="QTM52" s="211"/>
      <c r="QTN52" s="211"/>
      <c r="QTO52" s="211"/>
      <c r="QTP52" s="211"/>
      <c r="QTQ52" s="211"/>
      <c r="QTR52" s="211"/>
      <c r="QTS52" s="211"/>
      <c r="QTT52" s="211"/>
      <c r="QTU52" s="211"/>
      <c r="QTV52" s="211"/>
      <c r="QTW52" s="211"/>
      <c r="QTX52" s="211"/>
      <c r="QTY52" s="211"/>
      <c r="QTZ52" s="211"/>
      <c r="QUA52" s="211"/>
      <c r="QUB52" s="211"/>
      <c r="QUC52" s="211"/>
      <c r="QUD52" s="211"/>
      <c r="QUE52" s="211"/>
      <c r="QUF52" s="211"/>
      <c r="QUG52" s="211"/>
      <c r="QUH52" s="211"/>
      <c r="QUI52" s="211"/>
      <c r="QUJ52" s="211"/>
      <c r="QUK52" s="211"/>
      <c r="QUL52" s="211"/>
      <c r="QUM52" s="211"/>
      <c r="QUN52" s="211"/>
      <c r="QUO52" s="211"/>
      <c r="QUP52" s="211"/>
      <c r="QUQ52" s="211"/>
      <c r="QUR52" s="211"/>
      <c r="QUS52" s="211"/>
      <c r="QUT52" s="211"/>
      <c r="QUU52" s="211"/>
      <c r="QUV52" s="211"/>
      <c r="QUW52" s="211"/>
      <c r="QUX52" s="211"/>
      <c r="QUY52" s="211"/>
      <c r="QUZ52" s="211"/>
      <c r="QVA52" s="211"/>
      <c r="QVB52" s="211"/>
      <c r="QVC52" s="211"/>
      <c r="QVD52" s="211"/>
      <c r="QVE52" s="211"/>
      <c r="QVF52" s="211"/>
      <c r="QVG52" s="211"/>
      <c r="QVH52" s="211"/>
      <c r="QVI52" s="211"/>
      <c r="QVJ52" s="211"/>
      <c r="QVK52" s="211"/>
      <c r="QVL52" s="211"/>
      <c r="QVM52" s="211"/>
      <c r="QVN52" s="211"/>
      <c r="QVO52" s="211"/>
      <c r="QVP52" s="211"/>
      <c r="QVQ52" s="211"/>
      <c r="QVR52" s="211"/>
      <c r="QVS52" s="211"/>
      <c r="QVT52" s="211"/>
      <c r="QVU52" s="211"/>
      <c r="QVV52" s="211"/>
      <c r="QVW52" s="211"/>
      <c r="QVX52" s="211"/>
      <c r="QVY52" s="211"/>
      <c r="QVZ52" s="211"/>
      <c r="QWA52" s="211"/>
      <c r="QWB52" s="211"/>
      <c r="QWC52" s="211"/>
      <c r="QWD52" s="211"/>
      <c r="QWE52" s="211"/>
      <c r="QWF52" s="211"/>
      <c r="QWG52" s="211"/>
      <c r="QWH52" s="211"/>
      <c r="QWI52" s="211"/>
      <c r="QWJ52" s="211"/>
      <c r="QWK52" s="211"/>
      <c r="QWL52" s="211"/>
      <c r="QWM52" s="211"/>
      <c r="QWN52" s="211"/>
      <c r="QWO52" s="211"/>
      <c r="QWP52" s="211"/>
      <c r="QWQ52" s="211"/>
      <c r="QWR52" s="211"/>
      <c r="QWS52" s="211"/>
      <c r="QWT52" s="211"/>
      <c r="QWU52" s="211"/>
      <c r="QWV52" s="211"/>
      <c r="QWW52" s="211"/>
      <c r="QWX52" s="211"/>
      <c r="QWY52" s="211"/>
      <c r="QWZ52" s="211"/>
      <c r="QXA52" s="211"/>
      <c r="QXB52" s="211"/>
      <c r="QXC52" s="211"/>
      <c r="QXD52" s="211"/>
      <c r="QXE52" s="211"/>
      <c r="QXF52" s="211"/>
      <c r="QXG52" s="211"/>
      <c r="QXH52" s="211"/>
      <c r="QXI52" s="211"/>
      <c r="QXJ52" s="211"/>
      <c r="QXK52" s="211"/>
      <c r="QXL52" s="211"/>
      <c r="QXM52" s="211"/>
      <c r="QXN52" s="211"/>
      <c r="QXO52" s="211"/>
      <c r="QXP52" s="211"/>
      <c r="QXQ52" s="211"/>
      <c r="QXR52" s="211"/>
      <c r="QXS52" s="211"/>
      <c r="QXT52" s="211"/>
      <c r="QXU52" s="211"/>
      <c r="QXV52" s="211"/>
      <c r="QXW52" s="211"/>
      <c r="QXX52" s="211"/>
      <c r="QXY52" s="211"/>
      <c r="QXZ52" s="211"/>
      <c r="QYA52" s="211"/>
      <c r="QYB52" s="211"/>
      <c r="QYC52" s="211"/>
      <c r="QYD52" s="211"/>
      <c r="QYE52" s="211"/>
      <c r="QYF52" s="211"/>
      <c r="QYG52" s="211"/>
      <c r="QYH52" s="211"/>
      <c r="QYI52" s="211"/>
      <c r="QYJ52" s="211"/>
      <c r="QYK52" s="211"/>
      <c r="QYL52" s="211"/>
      <c r="QYM52" s="211"/>
      <c r="QYN52" s="211"/>
      <c r="QYO52" s="211"/>
      <c r="QYP52" s="211"/>
      <c r="QYQ52" s="211"/>
      <c r="QYR52" s="211"/>
      <c r="QYS52" s="211"/>
      <c r="QYT52" s="211"/>
      <c r="QYU52" s="211"/>
      <c r="QYV52" s="211"/>
      <c r="QYW52" s="211"/>
      <c r="QYX52" s="211"/>
      <c r="QYY52" s="211"/>
      <c r="QYZ52" s="211"/>
      <c r="QZA52" s="211"/>
      <c r="QZB52" s="211"/>
      <c r="QZC52" s="211"/>
      <c r="QZD52" s="211"/>
      <c r="QZE52" s="211"/>
      <c r="QZF52" s="211"/>
      <c r="QZG52" s="211"/>
      <c r="QZH52" s="211"/>
      <c r="QZI52" s="211"/>
      <c r="QZJ52" s="211"/>
      <c r="QZK52" s="211"/>
      <c r="QZL52" s="211"/>
      <c r="QZM52" s="211"/>
      <c r="QZN52" s="211"/>
      <c r="QZO52" s="211"/>
      <c r="QZP52" s="211"/>
      <c r="QZQ52" s="211"/>
      <c r="QZR52" s="211"/>
      <c r="QZS52" s="211"/>
      <c r="QZT52" s="211"/>
      <c r="QZU52" s="211"/>
      <c r="QZV52" s="211"/>
      <c r="QZW52" s="211"/>
      <c r="QZX52" s="211"/>
      <c r="QZY52" s="211"/>
      <c r="QZZ52" s="211"/>
      <c r="RAA52" s="211"/>
      <c r="RAB52" s="211"/>
      <c r="RAC52" s="211"/>
      <c r="RAD52" s="211"/>
      <c r="RAE52" s="211"/>
      <c r="RAF52" s="211"/>
      <c r="RAG52" s="211"/>
      <c r="RAH52" s="211"/>
      <c r="RAI52" s="211"/>
      <c r="RAJ52" s="211"/>
      <c r="RAK52" s="211"/>
      <c r="RAL52" s="211"/>
      <c r="RAM52" s="211"/>
      <c r="RAN52" s="211"/>
      <c r="RAO52" s="211"/>
      <c r="RAP52" s="211"/>
      <c r="RAQ52" s="211"/>
      <c r="RAR52" s="211"/>
      <c r="RAS52" s="211"/>
      <c r="RAT52" s="211"/>
      <c r="RAU52" s="211"/>
      <c r="RAV52" s="211"/>
      <c r="RAW52" s="211"/>
      <c r="RAX52" s="211"/>
      <c r="RAY52" s="211"/>
      <c r="RAZ52" s="211"/>
      <c r="RBA52" s="211"/>
      <c r="RBB52" s="211"/>
      <c r="RBC52" s="211"/>
      <c r="RBD52" s="211"/>
      <c r="RBE52" s="211"/>
      <c r="RBF52" s="211"/>
      <c r="RBG52" s="211"/>
      <c r="RBH52" s="211"/>
      <c r="RBI52" s="211"/>
      <c r="RBJ52" s="211"/>
      <c r="RBK52" s="211"/>
      <c r="RBL52" s="211"/>
      <c r="RBM52" s="211"/>
      <c r="RBN52" s="211"/>
      <c r="RBO52" s="211"/>
      <c r="RBP52" s="211"/>
      <c r="RBQ52" s="211"/>
      <c r="RBR52" s="211"/>
      <c r="RBS52" s="211"/>
      <c r="RBT52" s="211"/>
      <c r="RBU52" s="211"/>
      <c r="RBV52" s="211"/>
      <c r="RBW52" s="211"/>
      <c r="RBX52" s="211"/>
      <c r="RBY52" s="211"/>
      <c r="RBZ52" s="211"/>
      <c r="RCA52" s="211"/>
      <c r="RCB52" s="211"/>
      <c r="RCC52" s="211"/>
      <c r="RCD52" s="211"/>
      <c r="RCE52" s="211"/>
      <c r="RCF52" s="211"/>
      <c r="RCG52" s="211"/>
      <c r="RCH52" s="211"/>
      <c r="RCI52" s="211"/>
      <c r="RCJ52" s="211"/>
      <c r="RCK52" s="211"/>
      <c r="RCL52" s="211"/>
      <c r="RCM52" s="211"/>
      <c r="RCN52" s="211"/>
      <c r="RCO52" s="211"/>
      <c r="RCP52" s="211"/>
      <c r="RCQ52" s="211"/>
      <c r="RCR52" s="211"/>
      <c r="RCS52" s="211"/>
      <c r="RCT52" s="211"/>
      <c r="RCU52" s="211"/>
      <c r="RCV52" s="211"/>
      <c r="RCW52" s="211"/>
      <c r="RCX52" s="211"/>
      <c r="RCY52" s="211"/>
      <c r="RCZ52" s="211"/>
      <c r="RDA52" s="211"/>
      <c r="RDB52" s="211"/>
      <c r="RDC52" s="211"/>
      <c r="RDD52" s="211"/>
      <c r="RDE52" s="211"/>
      <c r="RDF52" s="211"/>
      <c r="RDG52" s="211"/>
      <c r="RDH52" s="211"/>
      <c r="RDI52" s="211"/>
      <c r="RDJ52" s="211"/>
      <c r="RDK52" s="211"/>
      <c r="RDL52" s="211"/>
      <c r="RDM52" s="211"/>
      <c r="RDN52" s="211"/>
      <c r="RDO52" s="211"/>
      <c r="RDP52" s="211"/>
      <c r="RDQ52" s="211"/>
      <c r="RDR52" s="211"/>
      <c r="RDS52" s="211"/>
      <c r="RDT52" s="211"/>
      <c r="RDU52" s="211"/>
      <c r="RDV52" s="211"/>
      <c r="RDW52" s="211"/>
      <c r="RDX52" s="211"/>
      <c r="RDY52" s="211"/>
      <c r="RDZ52" s="211"/>
      <c r="REA52" s="211"/>
      <c r="REB52" s="211"/>
      <c r="REC52" s="211"/>
      <c r="RED52" s="211"/>
      <c r="REE52" s="211"/>
      <c r="REF52" s="211"/>
      <c r="REG52" s="211"/>
      <c r="REH52" s="211"/>
      <c r="REI52" s="211"/>
      <c r="REJ52" s="211"/>
      <c r="REK52" s="211"/>
      <c r="REL52" s="211"/>
      <c r="REM52" s="211"/>
      <c r="REN52" s="211"/>
      <c r="REO52" s="211"/>
      <c r="REP52" s="211"/>
      <c r="REQ52" s="211"/>
      <c r="RER52" s="211"/>
      <c r="RES52" s="211"/>
      <c r="RET52" s="211"/>
      <c r="REU52" s="211"/>
      <c r="REV52" s="211"/>
      <c r="REW52" s="211"/>
      <c r="REX52" s="211"/>
      <c r="REY52" s="211"/>
      <c r="REZ52" s="211"/>
      <c r="RFA52" s="211"/>
      <c r="RFB52" s="211"/>
      <c r="RFC52" s="211"/>
      <c r="RFD52" s="211"/>
      <c r="RFE52" s="211"/>
      <c r="RFF52" s="211"/>
      <c r="RFG52" s="211"/>
      <c r="RFH52" s="211"/>
      <c r="RFI52" s="211"/>
      <c r="RFJ52" s="211"/>
      <c r="RFK52" s="211"/>
      <c r="RFL52" s="211"/>
      <c r="RFM52" s="211"/>
      <c r="RFN52" s="211"/>
      <c r="RFO52" s="211"/>
      <c r="RFP52" s="211"/>
      <c r="RFQ52" s="211"/>
      <c r="RFR52" s="211"/>
      <c r="RFS52" s="211"/>
      <c r="RFT52" s="211"/>
      <c r="RFU52" s="211"/>
      <c r="RFV52" s="211"/>
      <c r="RFW52" s="211"/>
      <c r="RFX52" s="211"/>
      <c r="RFY52" s="211"/>
      <c r="RFZ52" s="211"/>
      <c r="RGA52" s="211"/>
      <c r="RGB52" s="211"/>
      <c r="RGC52" s="211"/>
      <c r="RGD52" s="211"/>
      <c r="RGE52" s="211"/>
      <c r="RGF52" s="211"/>
      <c r="RGG52" s="211"/>
      <c r="RGH52" s="211"/>
      <c r="RGI52" s="211"/>
      <c r="RGJ52" s="211"/>
      <c r="RGK52" s="211"/>
      <c r="RGL52" s="211"/>
      <c r="RGM52" s="211"/>
      <c r="RGN52" s="211"/>
      <c r="RGO52" s="211"/>
      <c r="RGP52" s="211"/>
      <c r="RGQ52" s="211"/>
      <c r="RGR52" s="211"/>
      <c r="RGS52" s="211"/>
      <c r="RGT52" s="211"/>
      <c r="RGU52" s="211"/>
      <c r="RGV52" s="211"/>
      <c r="RGW52" s="211"/>
      <c r="RGX52" s="211"/>
      <c r="RGY52" s="211"/>
      <c r="RGZ52" s="211"/>
      <c r="RHA52" s="211"/>
      <c r="RHB52" s="211"/>
      <c r="RHC52" s="211"/>
      <c r="RHD52" s="211"/>
      <c r="RHE52" s="211"/>
      <c r="RHF52" s="211"/>
      <c r="RHG52" s="211"/>
      <c r="RHH52" s="211"/>
      <c r="RHI52" s="211"/>
      <c r="RHJ52" s="211"/>
      <c r="RHK52" s="211"/>
      <c r="RHL52" s="211"/>
      <c r="RHM52" s="211"/>
      <c r="RHN52" s="211"/>
      <c r="RHO52" s="211"/>
      <c r="RHP52" s="211"/>
      <c r="RHQ52" s="211"/>
      <c r="RHR52" s="211"/>
      <c r="RHS52" s="211"/>
      <c r="RHT52" s="211"/>
      <c r="RHU52" s="211"/>
      <c r="RHV52" s="211"/>
      <c r="RHW52" s="211"/>
      <c r="RHX52" s="211"/>
      <c r="RHY52" s="211"/>
      <c r="RHZ52" s="211"/>
      <c r="RIA52" s="211"/>
      <c r="RIB52" s="211"/>
      <c r="RIC52" s="211"/>
      <c r="RID52" s="211"/>
      <c r="RIE52" s="211"/>
      <c r="RIF52" s="211"/>
      <c r="RIG52" s="211"/>
      <c r="RIH52" s="211"/>
      <c r="RII52" s="211"/>
      <c r="RIJ52" s="211"/>
      <c r="RIK52" s="211"/>
      <c r="RIL52" s="211"/>
      <c r="RIM52" s="211"/>
      <c r="RIN52" s="211"/>
      <c r="RIO52" s="211"/>
      <c r="RIP52" s="211"/>
      <c r="RIQ52" s="211"/>
      <c r="RIR52" s="211"/>
      <c r="RIS52" s="211"/>
      <c r="RIT52" s="211"/>
      <c r="RIU52" s="211"/>
      <c r="RIV52" s="211"/>
      <c r="RIW52" s="211"/>
      <c r="RIX52" s="211"/>
      <c r="RIY52" s="211"/>
      <c r="RIZ52" s="211"/>
      <c r="RJA52" s="211"/>
      <c r="RJB52" s="211"/>
      <c r="RJC52" s="211"/>
      <c r="RJD52" s="211"/>
      <c r="RJE52" s="211"/>
      <c r="RJF52" s="211"/>
      <c r="RJG52" s="211"/>
      <c r="RJH52" s="211"/>
      <c r="RJI52" s="211"/>
      <c r="RJJ52" s="211"/>
      <c r="RJK52" s="211"/>
      <c r="RJL52" s="211"/>
      <c r="RJM52" s="211"/>
      <c r="RJN52" s="211"/>
      <c r="RJO52" s="211"/>
      <c r="RJP52" s="211"/>
      <c r="RJQ52" s="211"/>
      <c r="RJR52" s="211"/>
      <c r="RJS52" s="211"/>
      <c r="RJT52" s="211"/>
      <c r="RJU52" s="211"/>
      <c r="RJV52" s="211"/>
      <c r="RJW52" s="211"/>
      <c r="RJX52" s="211"/>
      <c r="RJY52" s="211"/>
      <c r="RJZ52" s="211"/>
      <c r="RKA52" s="211"/>
      <c r="RKB52" s="211"/>
      <c r="RKC52" s="211"/>
      <c r="RKD52" s="211"/>
      <c r="RKE52" s="211"/>
      <c r="RKF52" s="211"/>
      <c r="RKG52" s="211"/>
      <c r="RKH52" s="211"/>
      <c r="RKI52" s="211"/>
      <c r="RKJ52" s="211"/>
      <c r="RKK52" s="211"/>
      <c r="RKL52" s="211"/>
      <c r="RKM52" s="211"/>
      <c r="RKN52" s="211"/>
      <c r="RKO52" s="211"/>
      <c r="RKP52" s="211"/>
      <c r="RKQ52" s="211"/>
      <c r="RKR52" s="211"/>
      <c r="RKS52" s="211"/>
      <c r="RKT52" s="211"/>
      <c r="RKU52" s="211"/>
      <c r="RKV52" s="211"/>
      <c r="RKW52" s="211"/>
      <c r="RKX52" s="211"/>
      <c r="RKY52" s="211"/>
      <c r="RKZ52" s="211"/>
      <c r="RLA52" s="211"/>
      <c r="RLB52" s="211"/>
      <c r="RLC52" s="211"/>
      <c r="RLD52" s="211"/>
      <c r="RLE52" s="211"/>
      <c r="RLF52" s="211"/>
      <c r="RLG52" s="211"/>
      <c r="RLH52" s="211"/>
      <c r="RLI52" s="211"/>
      <c r="RLJ52" s="211"/>
      <c r="RLK52" s="211"/>
      <c r="RLL52" s="211"/>
      <c r="RLM52" s="211"/>
      <c r="RLN52" s="211"/>
      <c r="RLO52" s="211"/>
      <c r="RLP52" s="211"/>
      <c r="RLQ52" s="211"/>
      <c r="RLR52" s="211"/>
      <c r="RLS52" s="211"/>
      <c r="RLT52" s="211"/>
      <c r="RLU52" s="211"/>
      <c r="RLV52" s="211"/>
      <c r="RLW52" s="211"/>
      <c r="RLX52" s="211"/>
      <c r="RLY52" s="211"/>
      <c r="RLZ52" s="211"/>
      <c r="RMA52" s="211"/>
      <c r="RMB52" s="211"/>
      <c r="RMC52" s="211"/>
      <c r="RMD52" s="211"/>
      <c r="RME52" s="211"/>
      <c r="RMF52" s="211"/>
      <c r="RMG52" s="211"/>
      <c r="RMH52" s="211"/>
      <c r="RMI52" s="211"/>
      <c r="RMJ52" s="211"/>
      <c r="RMK52" s="211"/>
      <c r="RML52" s="211"/>
      <c r="RMM52" s="211"/>
      <c r="RMN52" s="211"/>
      <c r="RMO52" s="211"/>
      <c r="RMP52" s="211"/>
      <c r="RMQ52" s="211"/>
      <c r="RMR52" s="211"/>
      <c r="RMS52" s="211"/>
      <c r="RMT52" s="211"/>
      <c r="RMU52" s="211"/>
      <c r="RMV52" s="211"/>
      <c r="RMW52" s="211"/>
      <c r="RMX52" s="211"/>
      <c r="RMY52" s="211"/>
      <c r="RMZ52" s="211"/>
      <c r="RNA52" s="211"/>
      <c r="RNB52" s="211"/>
      <c r="RNC52" s="211"/>
      <c r="RND52" s="211"/>
      <c r="RNE52" s="211"/>
      <c r="RNF52" s="211"/>
      <c r="RNG52" s="211"/>
      <c r="RNH52" s="211"/>
      <c r="RNI52" s="211"/>
      <c r="RNJ52" s="211"/>
      <c r="RNK52" s="211"/>
      <c r="RNL52" s="211"/>
      <c r="RNM52" s="211"/>
      <c r="RNN52" s="211"/>
      <c r="RNO52" s="211"/>
      <c r="RNP52" s="211"/>
      <c r="RNQ52" s="211"/>
      <c r="RNR52" s="211"/>
      <c r="RNS52" s="211"/>
      <c r="RNT52" s="211"/>
      <c r="RNU52" s="211"/>
      <c r="RNV52" s="211"/>
      <c r="RNW52" s="211"/>
      <c r="RNX52" s="211"/>
      <c r="RNY52" s="211"/>
      <c r="RNZ52" s="211"/>
      <c r="ROA52" s="211"/>
      <c r="ROB52" s="211"/>
      <c r="ROC52" s="211"/>
      <c r="ROD52" s="211"/>
      <c r="ROE52" s="211"/>
      <c r="ROF52" s="211"/>
      <c r="ROG52" s="211"/>
      <c r="ROH52" s="211"/>
      <c r="ROI52" s="211"/>
      <c r="ROJ52" s="211"/>
      <c r="ROK52" s="211"/>
      <c r="ROL52" s="211"/>
      <c r="ROM52" s="211"/>
      <c r="RON52" s="211"/>
      <c r="ROO52" s="211"/>
      <c r="ROP52" s="211"/>
      <c r="ROQ52" s="211"/>
      <c r="ROR52" s="211"/>
      <c r="ROS52" s="211"/>
      <c r="ROT52" s="211"/>
      <c r="ROU52" s="211"/>
      <c r="ROV52" s="211"/>
      <c r="ROW52" s="211"/>
      <c r="ROX52" s="211"/>
      <c r="ROY52" s="211"/>
      <c r="ROZ52" s="211"/>
      <c r="RPA52" s="211"/>
      <c r="RPB52" s="211"/>
      <c r="RPC52" s="211"/>
      <c r="RPD52" s="211"/>
      <c r="RPE52" s="211"/>
      <c r="RPF52" s="211"/>
      <c r="RPG52" s="211"/>
      <c r="RPH52" s="211"/>
      <c r="RPI52" s="211"/>
      <c r="RPJ52" s="211"/>
      <c r="RPK52" s="211"/>
      <c r="RPL52" s="211"/>
      <c r="RPM52" s="211"/>
      <c r="RPN52" s="211"/>
      <c r="RPO52" s="211"/>
      <c r="RPP52" s="211"/>
      <c r="RPQ52" s="211"/>
      <c r="RPR52" s="211"/>
      <c r="RPS52" s="211"/>
      <c r="RPT52" s="211"/>
      <c r="RPU52" s="211"/>
      <c r="RPV52" s="211"/>
      <c r="RPW52" s="211"/>
      <c r="RPX52" s="211"/>
      <c r="RPY52" s="211"/>
      <c r="RPZ52" s="211"/>
      <c r="RQA52" s="211"/>
      <c r="RQB52" s="211"/>
      <c r="RQC52" s="211"/>
      <c r="RQD52" s="211"/>
      <c r="RQE52" s="211"/>
      <c r="RQF52" s="211"/>
      <c r="RQG52" s="211"/>
      <c r="RQH52" s="211"/>
      <c r="RQI52" s="211"/>
      <c r="RQJ52" s="211"/>
      <c r="RQK52" s="211"/>
      <c r="RQL52" s="211"/>
      <c r="RQM52" s="211"/>
      <c r="RQN52" s="211"/>
      <c r="RQO52" s="211"/>
      <c r="RQP52" s="211"/>
      <c r="RQQ52" s="211"/>
      <c r="RQR52" s="211"/>
      <c r="RQS52" s="211"/>
      <c r="RQT52" s="211"/>
      <c r="RQU52" s="211"/>
      <c r="RQV52" s="211"/>
      <c r="RQW52" s="211"/>
      <c r="RQX52" s="211"/>
      <c r="RQY52" s="211"/>
      <c r="RQZ52" s="211"/>
      <c r="RRA52" s="211"/>
      <c r="RRB52" s="211"/>
      <c r="RRC52" s="211"/>
      <c r="RRD52" s="211"/>
      <c r="RRE52" s="211"/>
      <c r="RRF52" s="211"/>
      <c r="RRG52" s="211"/>
      <c r="RRH52" s="211"/>
      <c r="RRI52" s="211"/>
      <c r="RRJ52" s="211"/>
      <c r="RRK52" s="211"/>
      <c r="RRL52" s="211"/>
      <c r="RRM52" s="211"/>
      <c r="RRN52" s="211"/>
      <c r="RRO52" s="211"/>
      <c r="RRP52" s="211"/>
      <c r="RRQ52" s="211"/>
      <c r="RRR52" s="211"/>
      <c r="RRS52" s="211"/>
      <c r="RRT52" s="211"/>
      <c r="RRU52" s="211"/>
      <c r="RRV52" s="211"/>
      <c r="RRW52" s="211"/>
      <c r="RRX52" s="211"/>
      <c r="RRY52" s="211"/>
      <c r="RRZ52" s="211"/>
      <c r="RSA52" s="211"/>
      <c r="RSB52" s="211"/>
      <c r="RSC52" s="211"/>
      <c r="RSD52" s="211"/>
      <c r="RSE52" s="211"/>
      <c r="RSF52" s="211"/>
      <c r="RSG52" s="211"/>
      <c r="RSH52" s="211"/>
      <c r="RSI52" s="211"/>
      <c r="RSJ52" s="211"/>
      <c r="RSK52" s="211"/>
      <c r="RSL52" s="211"/>
      <c r="RSM52" s="211"/>
      <c r="RSN52" s="211"/>
      <c r="RSO52" s="211"/>
      <c r="RSP52" s="211"/>
      <c r="RSQ52" s="211"/>
      <c r="RSR52" s="211"/>
      <c r="RSS52" s="211"/>
      <c r="RST52" s="211"/>
      <c r="RSU52" s="211"/>
      <c r="RSV52" s="211"/>
      <c r="RSW52" s="211"/>
      <c r="RSX52" s="211"/>
      <c r="RSY52" s="211"/>
      <c r="RSZ52" s="211"/>
      <c r="RTA52" s="211"/>
      <c r="RTB52" s="211"/>
      <c r="RTC52" s="211"/>
      <c r="RTD52" s="211"/>
      <c r="RTE52" s="211"/>
      <c r="RTF52" s="211"/>
      <c r="RTG52" s="211"/>
      <c r="RTH52" s="211"/>
      <c r="RTI52" s="211"/>
      <c r="RTJ52" s="211"/>
      <c r="RTK52" s="211"/>
      <c r="RTL52" s="211"/>
      <c r="RTM52" s="211"/>
      <c r="RTN52" s="211"/>
      <c r="RTO52" s="211"/>
      <c r="RTP52" s="211"/>
      <c r="RTQ52" s="211"/>
      <c r="RTR52" s="211"/>
      <c r="RTS52" s="211"/>
      <c r="RTT52" s="211"/>
      <c r="RTU52" s="211"/>
      <c r="RTV52" s="211"/>
      <c r="RTW52" s="211"/>
      <c r="RTX52" s="211"/>
      <c r="RTY52" s="211"/>
      <c r="RTZ52" s="211"/>
      <c r="RUA52" s="211"/>
      <c r="RUB52" s="211"/>
      <c r="RUC52" s="211"/>
      <c r="RUD52" s="211"/>
      <c r="RUE52" s="211"/>
      <c r="RUF52" s="211"/>
      <c r="RUG52" s="211"/>
      <c r="RUH52" s="211"/>
      <c r="RUI52" s="211"/>
      <c r="RUJ52" s="211"/>
      <c r="RUK52" s="211"/>
      <c r="RUL52" s="211"/>
      <c r="RUM52" s="211"/>
      <c r="RUN52" s="211"/>
      <c r="RUO52" s="211"/>
      <c r="RUP52" s="211"/>
      <c r="RUQ52" s="211"/>
      <c r="RUR52" s="211"/>
      <c r="RUS52" s="211"/>
      <c r="RUT52" s="211"/>
      <c r="RUU52" s="211"/>
      <c r="RUV52" s="211"/>
      <c r="RUW52" s="211"/>
      <c r="RUX52" s="211"/>
      <c r="RUY52" s="211"/>
      <c r="RUZ52" s="211"/>
      <c r="RVA52" s="211"/>
      <c r="RVB52" s="211"/>
      <c r="RVC52" s="211"/>
      <c r="RVD52" s="211"/>
      <c r="RVE52" s="211"/>
      <c r="RVF52" s="211"/>
      <c r="RVG52" s="211"/>
      <c r="RVH52" s="211"/>
      <c r="RVI52" s="211"/>
      <c r="RVJ52" s="211"/>
      <c r="RVK52" s="211"/>
      <c r="RVL52" s="211"/>
      <c r="RVM52" s="211"/>
      <c r="RVN52" s="211"/>
      <c r="RVO52" s="211"/>
      <c r="RVP52" s="211"/>
      <c r="RVQ52" s="211"/>
      <c r="RVR52" s="211"/>
      <c r="RVS52" s="211"/>
      <c r="RVT52" s="211"/>
      <c r="RVU52" s="211"/>
      <c r="RVV52" s="211"/>
      <c r="RVW52" s="211"/>
      <c r="RVX52" s="211"/>
      <c r="RVY52" s="211"/>
      <c r="RVZ52" s="211"/>
      <c r="RWA52" s="211"/>
      <c r="RWB52" s="211"/>
      <c r="RWC52" s="211"/>
      <c r="RWD52" s="211"/>
      <c r="RWE52" s="211"/>
      <c r="RWF52" s="211"/>
      <c r="RWG52" s="211"/>
      <c r="RWH52" s="211"/>
      <c r="RWI52" s="211"/>
      <c r="RWJ52" s="211"/>
      <c r="RWK52" s="211"/>
      <c r="RWL52" s="211"/>
      <c r="RWM52" s="211"/>
      <c r="RWN52" s="211"/>
      <c r="RWO52" s="211"/>
      <c r="RWP52" s="211"/>
      <c r="RWQ52" s="211"/>
      <c r="RWR52" s="211"/>
      <c r="RWS52" s="211"/>
      <c r="RWT52" s="211"/>
      <c r="RWU52" s="211"/>
      <c r="RWV52" s="211"/>
      <c r="RWW52" s="211"/>
      <c r="RWX52" s="211"/>
      <c r="RWY52" s="211"/>
      <c r="RWZ52" s="211"/>
      <c r="RXA52" s="211"/>
      <c r="RXB52" s="211"/>
      <c r="RXC52" s="211"/>
      <c r="RXD52" s="211"/>
      <c r="RXE52" s="211"/>
      <c r="RXF52" s="211"/>
      <c r="RXG52" s="211"/>
      <c r="RXH52" s="211"/>
      <c r="RXI52" s="211"/>
      <c r="RXJ52" s="211"/>
      <c r="RXK52" s="211"/>
      <c r="RXL52" s="211"/>
      <c r="RXM52" s="211"/>
      <c r="RXN52" s="211"/>
      <c r="RXO52" s="211"/>
      <c r="RXP52" s="211"/>
      <c r="RXQ52" s="211"/>
      <c r="RXR52" s="211"/>
      <c r="RXS52" s="211"/>
      <c r="RXT52" s="211"/>
      <c r="RXU52" s="211"/>
      <c r="RXV52" s="211"/>
      <c r="RXW52" s="211"/>
      <c r="RXX52" s="211"/>
      <c r="RXY52" s="211"/>
      <c r="RXZ52" s="211"/>
      <c r="RYA52" s="211"/>
      <c r="RYB52" s="211"/>
      <c r="RYC52" s="211"/>
      <c r="RYD52" s="211"/>
      <c r="RYE52" s="211"/>
      <c r="RYF52" s="211"/>
      <c r="RYG52" s="211"/>
      <c r="RYH52" s="211"/>
      <c r="RYI52" s="211"/>
      <c r="RYJ52" s="211"/>
      <c r="RYK52" s="211"/>
      <c r="RYL52" s="211"/>
      <c r="RYM52" s="211"/>
      <c r="RYN52" s="211"/>
      <c r="RYO52" s="211"/>
      <c r="RYP52" s="211"/>
      <c r="RYQ52" s="211"/>
      <c r="RYR52" s="211"/>
      <c r="RYS52" s="211"/>
      <c r="RYT52" s="211"/>
      <c r="RYU52" s="211"/>
      <c r="RYV52" s="211"/>
      <c r="RYW52" s="211"/>
      <c r="RYX52" s="211"/>
      <c r="RYY52" s="211"/>
      <c r="RYZ52" s="211"/>
      <c r="RZA52" s="211"/>
      <c r="RZB52" s="211"/>
      <c r="RZC52" s="211"/>
      <c r="RZD52" s="211"/>
      <c r="RZE52" s="211"/>
      <c r="RZF52" s="211"/>
      <c r="RZG52" s="211"/>
      <c r="RZH52" s="211"/>
      <c r="RZI52" s="211"/>
      <c r="RZJ52" s="211"/>
      <c r="RZK52" s="211"/>
      <c r="RZL52" s="211"/>
      <c r="RZM52" s="211"/>
      <c r="RZN52" s="211"/>
      <c r="RZO52" s="211"/>
      <c r="RZP52" s="211"/>
      <c r="RZQ52" s="211"/>
      <c r="RZR52" s="211"/>
      <c r="RZS52" s="211"/>
      <c r="RZT52" s="211"/>
      <c r="RZU52" s="211"/>
      <c r="RZV52" s="211"/>
      <c r="RZW52" s="211"/>
      <c r="RZX52" s="211"/>
      <c r="RZY52" s="211"/>
      <c r="RZZ52" s="211"/>
      <c r="SAA52" s="211"/>
      <c r="SAB52" s="211"/>
      <c r="SAC52" s="211"/>
      <c r="SAD52" s="211"/>
      <c r="SAE52" s="211"/>
      <c r="SAF52" s="211"/>
      <c r="SAG52" s="211"/>
      <c r="SAH52" s="211"/>
      <c r="SAI52" s="211"/>
      <c r="SAJ52" s="211"/>
      <c r="SAK52" s="211"/>
      <c r="SAL52" s="211"/>
      <c r="SAM52" s="211"/>
      <c r="SAN52" s="211"/>
      <c r="SAO52" s="211"/>
      <c r="SAP52" s="211"/>
      <c r="SAQ52" s="211"/>
      <c r="SAR52" s="211"/>
      <c r="SAS52" s="211"/>
      <c r="SAT52" s="211"/>
      <c r="SAU52" s="211"/>
      <c r="SAV52" s="211"/>
      <c r="SAW52" s="211"/>
      <c r="SAX52" s="211"/>
      <c r="SAY52" s="211"/>
      <c r="SAZ52" s="211"/>
      <c r="SBA52" s="211"/>
      <c r="SBB52" s="211"/>
      <c r="SBC52" s="211"/>
      <c r="SBD52" s="211"/>
      <c r="SBE52" s="211"/>
      <c r="SBF52" s="211"/>
      <c r="SBG52" s="211"/>
      <c r="SBH52" s="211"/>
      <c r="SBI52" s="211"/>
      <c r="SBJ52" s="211"/>
      <c r="SBK52" s="211"/>
      <c r="SBL52" s="211"/>
      <c r="SBM52" s="211"/>
      <c r="SBN52" s="211"/>
      <c r="SBO52" s="211"/>
      <c r="SBP52" s="211"/>
      <c r="SBQ52" s="211"/>
      <c r="SBR52" s="211"/>
      <c r="SBS52" s="211"/>
      <c r="SBT52" s="211"/>
      <c r="SBU52" s="211"/>
      <c r="SBV52" s="211"/>
      <c r="SBW52" s="211"/>
      <c r="SBX52" s="211"/>
      <c r="SBY52" s="211"/>
      <c r="SBZ52" s="211"/>
      <c r="SCA52" s="211"/>
      <c r="SCB52" s="211"/>
      <c r="SCC52" s="211"/>
      <c r="SCD52" s="211"/>
      <c r="SCE52" s="211"/>
      <c r="SCF52" s="211"/>
      <c r="SCG52" s="211"/>
      <c r="SCH52" s="211"/>
      <c r="SCI52" s="211"/>
      <c r="SCJ52" s="211"/>
      <c r="SCK52" s="211"/>
      <c r="SCL52" s="211"/>
      <c r="SCM52" s="211"/>
      <c r="SCN52" s="211"/>
      <c r="SCO52" s="211"/>
      <c r="SCP52" s="211"/>
      <c r="SCQ52" s="211"/>
      <c r="SCR52" s="211"/>
      <c r="SCS52" s="211"/>
      <c r="SCT52" s="211"/>
      <c r="SCU52" s="211"/>
      <c r="SCV52" s="211"/>
      <c r="SCW52" s="211"/>
      <c r="SCX52" s="211"/>
      <c r="SCY52" s="211"/>
      <c r="SCZ52" s="211"/>
      <c r="SDA52" s="211"/>
      <c r="SDB52" s="211"/>
      <c r="SDC52" s="211"/>
      <c r="SDD52" s="211"/>
      <c r="SDE52" s="211"/>
      <c r="SDF52" s="211"/>
      <c r="SDG52" s="211"/>
      <c r="SDH52" s="211"/>
      <c r="SDI52" s="211"/>
      <c r="SDJ52" s="211"/>
      <c r="SDK52" s="211"/>
      <c r="SDL52" s="211"/>
      <c r="SDM52" s="211"/>
      <c r="SDN52" s="211"/>
      <c r="SDO52" s="211"/>
      <c r="SDP52" s="211"/>
      <c r="SDQ52" s="211"/>
      <c r="SDR52" s="211"/>
      <c r="SDS52" s="211"/>
      <c r="SDT52" s="211"/>
      <c r="SDU52" s="211"/>
      <c r="SDV52" s="211"/>
      <c r="SDW52" s="211"/>
      <c r="SDX52" s="211"/>
      <c r="SDY52" s="211"/>
      <c r="SDZ52" s="211"/>
      <c r="SEA52" s="211"/>
      <c r="SEB52" s="211"/>
      <c r="SEC52" s="211"/>
      <c r="SED52" s="211"/>
      <c r="SEE52" s="211"/>
      <c r="SEF52" s="211"/>
      <c r="SEG52" s="211"/>
      <c r="SEH52" s="211"/>
      <c r="SEI52" s="211"/>
      <c r="SEJ52" s="211"/>
      <c r="SEK52" s="211"/>
      <c r="SEL52" s="211"/>
      <c r="SEM52" s="211"/>
      <c r="SEN52" s="211"/>
      <c r="SEO52" s="211"/>
      <c r="SEP52" s="211"/>
      <c r="SEQ52" s="211"/>
      <c r="SER52" s="211"/>
      <c r="SES52" s="211"/>
      <c r="SET52" s="211"/>
      <c r="SEU52" s="211"/>
      <c r="SEV52" s="211"/>
      <c r="SEW52" s="211"/>
      <c r="SEX52" s="211"/>
      <c r="SEY52" s="211"/>
      <c r="SEZ52" s="211"/>
      <c r="SFA52" s="211"/>
      <c r="SFB52" s="211"/>
      <c r="SFC52" s="211"/>
      <c r="SFD52" s="211"/>
      <c r="SFE52" s="211"/>
      <c r="SFF52" s="211"/>
      <c r="SFG52" s="211"/>
      <c r="SFH52" s="211"/>
      <c r="SFI52" s="211"/>
      <c r="SFJ52" s="211"/>
      <c r="SFK52" s="211"/>
      <c r="SFL52" s="211"/>
      <c r="SFM52" s="211"/>
      <c r="SFN52" s="211"/>
      <c r="SFO52" s="211"/>
      <c r="SFP52" s="211"/>
      <c r="SFQ52" s="211"/>
      <c r="SFR52" s="211"/>
      <c r="SFS52" s="211"/>
      <c r="SFT52" s="211"/>
      <c r="SFU52" s="211"/>
      <c r="SFV52" s="211"/>
      <c r="SFW52" s="211"/>
      <c r="SFX52" s="211"/>
      <c r="SFY52" s="211"/>
      <c r="SFZ52" s="211"/>
      <c r="SGA52" s="211"/>
      <c r="SGB52" s="211"/>
      <c r="SGC52" s="211"/>
      <c r="SGD52" s="211"/>
      <c r="SGE52" s="211"/>
      <c r="SGF52" s="211"/>
      <c r="SGG52" s="211"/>
      <c r="SGH52" s="211"/>
      <c r="SGI52" s="211"/>
      <c r="SGJ52" s="211"/>
      <c r="SGK52" s="211"/>
      <c r="SGL52" s="211"/>
      <c r="SGM52" s="211"/>
      <c r="SGN52" s="211"/>
      <c r="SGO52" s="211"/>
      <c r="SGP52" s="211"/>
      <c r="SGQ52" s="211"/>
      <c r="SGR52" s="211"/>
      <c r="SGS52" s="211"/>
      <c r="SGT52" s="211"/>
      <c r="SGU52" s="211"/>
      <c r="SGV52" s="211"/>
      <c r="SGW52" s="211"/>
      <c r="SGX52" s="211"/>
      <c r="SGY52" s="211"/>
      <c r="SGZ52" s="211"/>
      <c r="SHA52" s="211"/>
      <c r="SHB52" s="211"/>
      <c r="SHC52" s="211"/>
      <c r="SHD52" s="211"/>
      <c r="SHE52" s="211"/>
      <c r="SHF52" s="211"/>
      <c r="SHG52" s="211"/>
      <c r="SHH52" s="211"/>
      <c r="SHI52" s="211"/>
      <c r="SHJ52" s="211"/>
      <c r="SHK52" s="211"/>
      <c r="SHL52" s="211"/>
      <c r="SHM52" s="211"/>
      <c r="SHN52" s="211"/>
      <c r="SHO52" s="211"/>
      <c r="SHP52" s="211"/>
      <c r="SHQ52" s="211"/>
      <c r="SHR52" s="211"/>
      <c r="SHS52" s="211"/>
      <c r="SHT52" s="211"/>
      <c r="SHU52" s="211"/>
      <c r="SHV52" s="211"/>
      <c r="SHW52" s="211"/>
      <c r="SHX52" s="211"/>
      <c r="SHY52" s="211"/>
      <c r="SHZ52" s="211"/>
      <c r="SIA52" s="211"/>
      <c r="SIB52" s="211"/>
      <c r="SIC52" s="211"/>
      <c r="SID52" s="211"/>
      <c r="SIE52" s="211"/>
      <c r="SIF52" s="211"/>
      <c r="SIG52" s="211"/>
      <c r="SIH52" s="211"/>
      <c r="SII52" s="211"/>
      <c r="SIJ52" s="211"/>
      <c r="SIK52" s="211"/>
      <c r="SIL52" s="211"/>
      <c r="SIM52" s="211"/>
      <c r="SIN52" s="211"/>
      <c r="SIO52" s="211"/>
      <c r="SIP52" s="211"/>
      <c r="SIQ52" s="211"/>
      <c r="SIR52" s="211"/>
      <c r="SIS52" s="211"/>
      <c r="SIT52" s="211"/>
      <c r="SIU52" s="211"/>
      <c r="SIV52" s="211"/>
      <c r="SIW52" s="211"/>
      <c r="SIX52" s="211"/>
      <c r="SIY52" s="211"/>
      <c r="SIZ52" s="211"/>
      <c r="SJA52" s="211"/>
      <c r="SJB52" s="211"/>
      <c r="SJC52" s="211"/>
      <c r="SJD52" s="211"/>
      <c r="SJE52" s="211"/>
      <c r="SJF52" s="211"/>
      <c r="SJG52" s="211"/>
      <c r="SJH52" s="211"/>
      <c r="SJI52" s="211"/>
      <c r="SJJ52" s="211"/>
      <c r="SJK52" s="211"/>
      <c r="SJL52" s="211"/>
      <c r="SJM52" s="211"/>
      <c r="SJN52" s="211"/>
      <c r="SJO52" s="211"/>
      <c r="SJP52" s="211"/>
      <c r="SJQ52" s="211"/>
      <c r="SJR52" s="211"/>
      <c r="SJS52" s="211"/>
      <c r="SJT52" s="211"/>
      <c r="SJU52" s="211"/>
      <c r="SJV52" s="211"/>
      <c r="SJW52" s="211"/>
      <c r="SJX52" s="211"/>
      <c r="SJY52" s="211"/>
      <c r="SJZ52" s="211"/>
      <c r="SKA52" s="211"/>
      <c r="SKB52" s="211"/>
      <c r="SKC52" s="211"/>
      <c r="SKD52" s="211"/>
      <c r="SKE52" s="211"/>
      <c r="SKF52" s="211"/>
      <c r="SKG52" s="211"/>
      <c r="SKH52" s="211"/>
      <c r="SKI52" s="211"/>
      <c r="SKJ52" s="211"/>
      <c r="SKK52" s="211"/>
      <c r="SKL52" s="211"/>
      <c r="SKM52" s="211"/>
      <c r="SKN52" s="211"/>
      <c r="SKO52" s="211"/>
      <c r="SKP52" s="211"/>
      <c r="SKQ52" s="211"/>
      <c r="SKR52" s="211"/>
      <c r="SKS52" s="211"/>
      <c r="SKT52" s="211"/>
      <c r="SKU52" s="211"/>
      <c r="SKV52" s="211"/>
      <c r="SKW52" s="211"/>
      <c r="SKX52" s="211"/>
      <c r="SKY52" s="211"/>
      <c r="SKZ52" s="211"/>
      <c r="SLA52" s="211"/>
      <c r="SLB52" s="211"/>
      <c r="SLC52" s="211"/>
      <c r="SLD52" s="211"/>
      <c r="SLE52" s="211"/>
      <c r="SLF52" s="211"/>
      <c r="SLG52" s="211"/>
      <c r="SLH52" s="211"/>
      <c r="SLI52" s="211"/>
      <c r="SLJ52" s="211"/>
      <c r="SLK52" s="211"/>
      <c r="SLL52" s="211"/>
      <c r="SLM52" s="211"/>
      <c r="SLN52" s="211"/>
      <c r="SLO52" s="211"/>
      <c r="SLP52" s="211"/>
      <c r="SLQ52" s="211"/>
      <c r="SLR52" s="211"/>
      <c r="SLS52" s="211"/>
      <c r="SLT52" s="211"/>
      <c r="SLU52" s="211"/>
      <c r="SLV52" s="211"/>
      <c r="SLW52" s="211"/>
      <c r="SLX52" s="211"/>
      <c r="SLY52" s="211"/>
      <c r="SLZ52" s="211"/>
      <c r="SMA52" s="211"/>
      <c r="SMB52" s="211"/>
      <c r="SMC52" s="211"/>
      <c r="SMD52" s="211"/>
      <c r="SME52" s="211"/>
      <c r="SMF52" s="211"/>
      <c r="SMG52" s="211"/>
      <c r="SMH52" s="211"/>
      <c r="SMI52" s="211"/>
      <c r="SMJ52" s="211"/>
      <c r="SMK52" s="211"/>
      <c r="SML52" s="211"/>
      <c r="SMM52" s="211"/>
      <c r="SMN52" s="211"/>
      <c r="SMO52" s="211"/>
      <c r="SMP52" s="211"/>
      <c r="SMQ52" s="211"/>
      <c r="SMR52" s="211"/>
      <c r="SMS52" s="211"/>
      <c r="SMT52" s="211"/>
      <c r="SMU52" s="211"/>
      <c r="SMV52" s="211"/>
      <c r="SMW52" s="211"/>
      <c r="SMX52" s="211"/>
      <c r="SMY52" s="211"/>
      <c r="SMZ52" s="211"/>
      <c r="SNA52" s="211"/>
      <c r="SNB52" s="211"/>
      <c r="SNC52" s="211"/>
      <c r="SND52" s="211"/>
      <c r="SNE52" s="211"/>
      <c r="SNF52" s="211"/>
      <c r="SNG52" s="211"/>
      <c r="SNH52" s="211"/>
      <c r="SNI52" s="211"/>
      <c r="SNJ52" s="211"/>
      <c r="SNK52" s="211"/>
      <c r="SNL52" s="211"/>
      <c r="SNM52" s="211"/>
      <c r="SNN52" s="211"/>
      <c r="SNO52" s="211"/>
      <c r="SNP52" s="211"/>
      <c r="SNQ52" s="211"/>
      <c r="SNR52" s="211"/>
      <c r="SNS52" s="211"/>
      <c r="SNT52" s="211"/>
      <c r="SNU52" s="211"/>
      <c r="SNV52" s="211"/>
      <c r="SNW52" s="211"/>
      <c r="SNX52" s="211"/>
      <c r="SNY52" s="211"/>
      <c r="SNZ52" s="211"/>
      <c r="SOA52" s="211"/>
      <c r="SOB52" s="211"/>
      <c r="SOC52" s="211"/>
      <c r="SOD52" s="211"/>
      <c r="SOE52" s="211"/>
      <c r="SOF52" s="211"/>
      <c r="SOG52" s="211"/>
      <c r="SOH52" s="211"/>
      <c r="SOI52" s="211"/>
      <c r="SOJ52" s="211"/>
      <c r="SOK52" s="211"/>
      <c r="SOL52" s="211"/>
      <c r="SOM52" s="211"/>
      <c r="SON52" s="211"/>
      <c r="SOO52" s="211"/>
      <c r="SOP52" s="211"/>
      <c r="SOQ52" s="211"/>
      <c r="SOR52" s="211"/>
      <c r="SOS52" s="211"/>
      <c r="SOT52" s="211"/>
      <c r="SOU52" s="211"/>
      <c r="SOV52" s="211"/>
      <c r="SOW52" s="211"/>
      <c r="SOX52" s="211"/>
      <c r="SOY52" s="211"/>
      <c r="SOZ52" s="211"/>
      <c r="SPA52" s="211"/>
      <c r="SPB52" s="211"/>
      <c r="SPC52" s="211"/>
      <c r="SPD52" s="211"/>
      <c r="SPE52" s="211"/>
      <c r="SPF52" s="211"/>
      <c r="SPG52" s="211"/>
      <c r="SPH52" s="211"/>
      <c r="SPI52" s="211"/>
      <c r="SPJ52" s="211"/>
      <c r="SPK52" s="211"/>
      <c r="SPL52" s="211"/>
      <c r="SPM52" s="211"/>
      <c r="SPN52" s="211"/>
      <c r="SPO52" s="211"/>
      <c r="SPP52" s="211"/>
      <c r="SPQ52" s="211"/>
      <c r="SPR52" s="211"/>
      <c r="SPS52" s="211"/>
      <c r="SPT52" s="211"/>
      <c r="SPU52" s="211"/>
      <c r="SPV52" s="211"/>
      <c r="SPW52" s="211"/>
      <c r="SPX52" s="211"/>
      <c r="SPY52" s="211"/>
      <c r="SPZ52" s="211"/>
      <c r="SQA52" s="211"/>
      <c r="SQB52" s="211"/>
      <c r="SQC52" s="211"/>
      <c r="SQD52" s="211"/>
      <c r="SQE52" s="211"/>
      <c r="SQF52" s="211"/>
      <c r="SQG52" s="211"/>
      <c r="SQH52" s="211"/>
      <c r="SQI52" s="211"/>
      <c r="SQJ52" s="211"/>
      <c r="SQK52" s="211"/>
      <c r="SQL52" s="211"/>
      <c r="SQM52" s="211"/>
      <c r="SQN52" s="211"/>
      <c r="SQO52" s="211"/>
      <c r="SQP52" s="211"/>
      <c r="SQQ52" s="211"/>
      <c r="SQR52" s="211"/>
      <c r="SQS52" s="211"/>
      <c r="SQT52" s="211"/>
      <c r="SQU52" s="211"/>
      <c r="SQV52" s="211"/>
      <c r="SQW52" s="211"/>
      <c r="SQX52" s="211"/>
      <c r="SQY52" s="211"/>
      <c r="SQZ52" s="211"/>
      <c r="SRA52" s="211"/>
      <c r="SRB52" s="211"/>
      <c r="SRC52" s="211"/>
      <c r="SRD52" s="211"/>
      <c r="SRE52" s="211"/>
      <c r="SRF52" s="211"/>
      <c r="SRG52" s="211"/>
      <c r="SRH52" s="211"/>
      <c r="SRI52" s="211"/>
      <c r="SRJ52" s="211"/>
      <c r="SRK52" s="211"/>
      <c r="SRL52" s="211"/>
      <c r="SRM52" s="211"/>
      <c r="SRN52" s="211"/>
      <c r="SRO52" s="211"/>
      <c r="SRP52" s="211"/>
      <c r="SRQ52" s="211"/>
      <c r="SRR52" s="211"/>
      <c r="SRS52" s="211"/>
      <c r="SRT52" s="211"/>
      <c r="SRU52" s="211"/>
      <c r="SRV52" s="211"/>
      <c r="SRW52" s="211"/>
      <c r="SRX52" s="211"/>
      <c r="SRY52" s="211"/>
      <c r="SRZ52" s="211"/>
      <c r="SSA52" s="211"/>
      <c r="SSB52" s="211"/>
      <c r="SSC52" s="211"/>
      <c r="SSD52" s="211"/>
      <c r="SSE52" s="211"/>
      <c r="SSF52" s="211"/>
      <c r="SSG52" s="211"/>
      <c r="SSH52" s="211"/>
      <c r="SSI52" s="211"/>
      <c r="SSJ52" s="211"/>
      <c r="SSK52" s="211"/>
      <c r="SSL52" s="211"/>
      <c r="SSM52" s="211"/>
      <c r="SSN52" s="211"/>
      <c r="SSO52" s="211"/>
      <c r="SSP52" s="211"/>
      <c r="SSQ52" s="211"/>
      <c r="SSR52" s="211"/>
      <c r="SSS52" s="211"/>
      <c r="SST52" s="211"/>
      <c r="SSU52" s="211"/>
      <c r="SSV52" s="211"/>
      <c r="SSW52" s="211"/>
      <c r="SSX52" s="211"/>
      <c r="SSY52" s="211"/>
      <c r="SSZ52" s="211"/>
      <c r="STA52" s="211"/>
      <c r="STB52" s="211"/>
      <c r="STC52" s="211"/>
      <c r="STD52" s="211"/>
      <c r="STE52" s="211"/>
      <c r="STF52" s="211"/>
      <c r="STG52" s="211"/>
      <c r="STH52" s="211"/>
      <c r="STI52" s="211"/>
      <c r="STJ52" s="211"/>
      <c r="STK52" s="211"/>
      <c r="STL52" s="211"/>
      <c r="STM52" s="211"/>
      <c r="STN52" s="211"/>
      <c r="STO52" s="211"/>
      <c r="STP52" s="211"/>
      <c r="STQ52" s="211"/>
      <c r="STR52" s="211"/>
      <c r="STS52" s="211"/>
      <c r="STT52" s="211"/>
      <c r="STU52" s="211"/>
      <c r="STV52" s="211"/>
      <c r="STW52" s="211"/>
      <c r="STX52" s="211"/>
      <c r="STY52" s="211"/>
      <c r="STZ52" s="211"/>
      <c r="SUA52" s="211"/>
      <c r="SUB52" s="211"/>
      <c r="SUC52" s="211"/>
      <c r="SUD52" s="211"/>
      <c r="SUE52" s="211"/>
      <c r="SUF52" s="211"/>
      <c r="SUG52" s="211"/>
      <c r="SUH52" s="211"/>
      <c r="SUI52" s="211"/>
      <c r="SUJ52" s="211"/>
      <c r="SUK52" s="211"/>
      <c r="SUL52" s="211"/>
      <c r="SUM52" s="211"/>
      <c r="SUN52" s="211"/>
      <c r="SUO52" s="211"/>
      <c r="SUP52" s="211"/>
      <c r="SUQ52" s="211"/>
      <c r="SUR52" s="211"/>
      <c r="SUS52" s="211"/>
      <c r="SUT52" s="211"/>
      <c r="SUU52" s="211"/>
      <c r="SUV52" s="211"/>
      <c r="SUW52" s="211"/>
      <c r="SUX52" s="211"/>
      <c r="SUY52" s="211"/>
      <c r="SUZ52" s="211"/>
      <c r="SVA52" s="211"/>
      <c r="SVB52" s="211"/>
      <c r="SVC52" s="211"/>
      <c r="SVD52" s="211"/>
      <c r="SVE52" s="211"/>
      <c r="SVF52" s="211"/>
      <c r="SVG52" s="211"/>
      <c r="SVH52" s="211"/>
      <c r="SVI52" s="211"/>
      <c r="SVJ52" s="211"/>
      <c r="SVK52" s="211"/>
      <c r="SVL52" s="211"/>
      <c r="SVM52" s="211"/>
      <c r="SVN52" s="211"/>
      <c r="SVO52" s="211"/>
      <c r="SVP52" s="211"/>
      <c r="SVQ52" s="211"/>
      <c r="SVR52" s="211"/>
      <c r="SVS52" s="211"/>
      <c r="SVT52" s="211"/>
      <c r="SVU52" s="211"/>
      <c r="SVV52" s="211"/>
      <c r="SVW52" s="211"/>
      <c r="SVX52" s="211"/>
      <c r="SVY52" s="211"/>
      <c r="SVZ52" s="211"/>
      <c r="SWA52" s="211"/>
      <c r="SWB52" s="211"/>
      <c r="SWC52" s="211"/>
      <c r="SWD52" s="211"/>
      <c r="SWE52" s="211"/>
      <c r="SWF52" s="211"/>
      <c r="SWG52" s="211"/>
      <c r="SWH52" s="211"/>
      <c r="SWI52" s="211"/>
      <c r="SWJ52" s="211"/>
      <c r="SWK52" s="211"/>
      <c r="SWL52" s="211"/>
      <c r="SWM52" s="211"/>
      <c r="SWN52" s="211"/>
      <c r="SWO52" s="211"/>
      <c r="SWP52" s="211"/>
      <c r="SWQ52" s="211"/>
      <c r="SWR52" s="211"/>
      <c r="SWS52" s="211"/>
      <c r="SWT52" s="211"/>
      <c r="SWU52" s="211"/>
      <c r="SWV52" s="211"/>
      <c r="SWW52" s="211"/>
      <c r="SWX52" s="211"/>
      <c r="SWY52" s="211"/>
      <c r="SWZ52" s="211"/>
      <c r="SXA52" s="211"/>
      <c r="SXB52" s="211"/>
      <c r="SXC52" s="211"/>
      <c r="SXD52" s="211"/>
      <c r="SXE52" s="211"/>
      <c r="SXF52" s="211"/>
      <c r="SXG52" s="211"/>
      <c r="SXH52" s="211"/>
      <c r="SXI52" s="211"/>
      <c r="SXJ52" s="211"/>
      <c r="SXK52" s="211"/>
      <c r="SXL52" s="211"/>
      <c r="SXM52" s="211"/>
      <c r="SXN52" s="211"/>
      <c r="SXO52" s="211"/>
      <c r="SXP52" s="211"/>
      <c r="SXQ52" s="211"/>
      <c r="SXR52" s="211"/>
      <c r="SXS52" s="211"/>
      <c r="SXT52" s="211"/>
      <c r="SXU52" s="211"/>
      <c r="SXV52" s="211"/>
      <c r="SXW52" s="211"/>
      <c r="SXX52" s="211"/>
      <c r="SXY52" s="211"/>
      <c r="SXZ52" s="211"/>
      <c r="SYA52" s="211"/>
      <c r="SYB52" s="211"/>
      <c r="SYC52" s="211"/>
      <c r="SYD52" s="211"/>
      <c r="SYE52" s="211"/>
      <c r="SYF52" s="211"/>
      <c r="SYG52" s="211"/>
      <c r="SYH52" s="211"/>
      <c r="SYI52" s="211"/>
      <c r="SYJ52" s="211"/>
      <c r="SYK52" s="211"/>
      <c r="SYL52" s="211"/>
      <c r="SYM52" s="211"/>
      <c r="SYN52" s="211"/>
      <c r="SYO52" s="211"/>
      <c r="SYP52" s="211"/>
      <c r="SYQ52" s="211"/>
      <c r="SYR52" s="211"/>
      <c r="SYS52" s="211"/>
      <c r="SYT52" s="211"/>
      <c r="SYU52" s="211"/>
      <c r="SYV52" s="211"/>
      <c r="SYW52" s="211"/>
      <c r="SYX52" s="211"/>
      <c r="SYY52" s="211"/>
      <c r="SYZ52" s="211"/>
      <c r="SZA52" s="211"/>
      <c r="SZB52" s="211"/>
      <c r="SZC52" s="211"/>
      <c r="SZD52" s="211"/>
      <c r="SZE52" s="211"/>
      <c r="SZF52" s="211"/>
      <c r="SZG52" s="211"/>
      <c r="SZH52" s="211"/>
      <c r="SZI52" s="211"/>
      <c r="SZJ52" s="211"/>
      <c r="SZK52" s="211"/>
      <c r="SZL52" s="211"/>
      <c r="SZM52" s="211"/>
      <c r="SZN52" s="211"/>
      <c r="SZO52" s="211"/>
      <c r="SZP52" s="211"/>
      <c r="SZQ52" s="211"/>
      <c r="SZR52" s="211"/>
      <c r="SZS52" s="211"/>
      <c r="SZT52" s="211"/>
      <c r="SZU52" s="211"/>
      <c r="SZV52" s="211"/>
      <c r="SZW52" s="211"/>
      <c r="SZX52" s="211"/>
      <c r="SZY52" s="211"/>
      <c r="SZZ52" s="211"/>
      <c r="TAA52" s="211"/>
      <c r="TAB52" s="211"/>
      <c r="TAC52" s="211"/>
      <c r="TAD52" s="211"/>
      <c r="TAE52" s="211"/>
      <c r="TAF52" s="211"/>
      <c r="TAG52" s="211"/>
      <c r="TAH52" s="211"/>
      <c r="TAI52" s="211"/>
      <c r="TAJ52" s="211"/>
      <c r="TAK52" s="211"/>
      <c r="TAL52" s="211"/>
      <c r="TAM52" s="211"/>
      <c r="TAN52" s="211"/>
      <c r="TAO52" s="211"/>
      <c r="TAP52" s="211"/>
      <c r="TAQ52" s="211"/>
      <c r="TAR52" s="211"/>
      <c r="TAS52" s="211"/>
      <c r="TAT52" s="211"/>
      <c r="TAU52" s="211"/>
      <c r="TAV52" s="211"/>
      <c r="TAW52" s="211"/>
      <c r="TAX52" s="211"/>
      <c r="TAY52" s="211"/>
      <c r="TAZ52" s="211"/>
      <c r="TBA52" s="211"/>
      <c r="TBB52" s="211"/>
      <c r="TBC52" s="211"/>
      <c r="TBD52" s="211"/>
      <c r="TBE52" s="211"/>
      <c r="TBF52" s="211"/>
      <c r="TBG52" s="211"/>
      <c r="TBH52" s="211"/>
      <c r="TBI52" s="211"/>
      <c r="TBJ52" s="211"/>
      <c r="TBK52" s="211"/>
      <c r="TBL52" s="211"/>
      <c r="TBM52" s="211"/>
      <c r="TBN52" s="211"/>
      <c r="TBO52" s="211"/>
      <c r="TBP52" s="211"/>
      <c r="TBQ52" s="211"/>
      <c r="TBR52" s="211"/>
      <c r="TBS52" s="211"/>
      <c r="TBT52" s="211"/>
      <c r="TBU52" s="211"/>
      <c r="TBV52" s="211"/>
      <c r="TBW52" s="211"/>
      <c r="TBX52" s="211"/>
      <c r="TBY52" s="211"/>
      <c r="TBZ52" s="211"/>
      <c r="TCA52" s="211"/>
      <c r="TCB52" s="211"/>
      <c r="TCC52" s="211"/>
      <c r="TCD52" s="211"/>
      <c r="TCE52" s="211"/>
      <c r="TCF52" s="211"/>
      <c r="TCG52" s="211"/>
      <c r="TCH52" s="211"/>
      <c r="TCI52" s="211"/>
      <c r="TCJ52" s="211"/>
      <c r="TCK52" s="211"/>
      <c r="TCL52" s="211"/>
      <c r="TCM52" s="211"/>
      <c r="TCN52" s="211"/>
      <c r="TCO52" s="211"/>
      <c r="TCP52" s="211"/>
      <c r="TCQ52" s="211"/>
      <c r="TCR52" s="211"/>
      <c r="TCS52" s="211"/>
      <c r="TCT52" s="211"/>
      <c r="TCU52" s="211"/>
      <c r="TCV52" s="211"/>
      <c r="TCW52" s="211"/>
      <c r="TCX52" s="211"/>
      <c r="TCY52" s="211"/>
      <c r="TCZ52" s="211"/>
      <c r="TDA52" s="211"/>
      <c r="TDB52" s="211"/>
      <c r="TDC52" s="211"/>
      <c r="TDD52" s="211"/>
      <c r="TDE52" s="211"/>
      <c r="TDF52" s="211"/>
      <c r="TDG52" s="211"/>
      <c r="TDH52" s="211"/>
      <c r="TDI52" s="211"/>
      <c r="TDJ52" s="211"/>
      <c r="TDK52" s="211"/>
      <c r="TDL52" s="211"/>
      <c r="TDM52" s="211"/>
      <c r="TDN52" s="211"/>
      <c r="TDO52" s="211"/>
      <c r="TDP52" s="211"/>
      <c r="TDQ52" s="211"/>
      <c r="TDR52" s="211"/>
      <c r="TDS52" s="211"/>
      <c r="TDT52" s="211"/>
      <c r="TDU52" s="211"/>
      <c r="TDV52" s="211"/>
      <c r="TDW52" s="211"/>
      <c r="TDX52" s="211"/>
      <c r="TDY52" s="211"/>
      <c r="TDZ52" s="211"/>
      <c r="TEA52" s="211"/>
      <c r="TEB52" s="211"/>
      <c r="TEC52" s="211"/>
      <c r="TED52" s="211"/>
      <c r="TEE52" s="211"/>
      <c r="TEF52" s="211"/>
      <c r="TEG52" s="211"/>
      <c r="TEH52" s="211"/>
      <c r="TEI52" s="211"/>
      <c r="TEJ52" s="211"/>
      <c r="TEK52" s="211"/>
      <c r="TEL52" s="211"/>
      <c r="TEM52" s="211"/>
      <c r="TEN52" s="211"/>
      <c r="TEO52" s="211"/>
      <c r="TEP52" s="211"/>
      <c r="TEQ52" s="211"/>
      <c r="TER52" s="211"/>
      <c r="TES52" s="211"/>
      <c r="TET52" s="211"/>
      <c r="TEU52" s="211"/>
      <c r="TEV52" s="211"/>
      <c r="TEW52" s="211"/>
      <c r="TEX52" s="211"/>
      <c r="TEY52" s="211"/>
      <c r="TEZ52" s="211"/>
      <c r="TFA52" s="211"/>
      <c r="TFB52" s="211"/>
      <c r="TFC52" s="211"/>
      <c r="TFD52" s="211"/>
      <c r="TFE52" s="211"/>
      <c r="TFF52" s="211"/>
      <c r="TFG52" s="211"/>
      <c r="TFH52" s="211"/>
      <c r="TFI52" s="211"/>
      <c r="TFJ52" s="211"/>
      <c r="TFK52" s="211"/>
      <c r="TFL52" s="211"/>
      <c r="TFM52" s="211"/>
      <c r="TFN52" s="211"/>
      <c r="TFO52" s="211"/>
      <c r="TFP52" s="211"/>
      <c r="TFQ52" s="211"/>
      <c r="TFR52" s="211"/>
      <c r="TFS52" s="211"/>
      <c r="TFT52" s="211"/>
      <c r="TFU52" s="211"/>
      <c r="TFV52" s="211"/>
      <c r="TFW52" s="211"/>
      <c r="TFX52" s="211"/>
      <c r="TFY52" s="211"/>
      <c r="TFZ52" s="211"/>
      <c r="TGA52" s="211"/>
      <c r="TGB52" s="211"/>
      <c r="TGC52" s="211"/>
      <c r="TGD52" s="211"/>
      <c r="TGE52" s="211"/>
      <c r="TGF52" s="211"/>
      <c r="TGG52" s="211"/>
      <c r="TGH52" s="211"/>
      <c r="TGI52" s="211"/>
      <c r="TGJ52" s="211"/>
      <c r="TGK52" s="211"/>
      <c r="TGL52" s="211"/>
      <c r="TGM52" s="211"/>
      <c r="TGN52" s="211"/>
      <c r="TGO52" s="211"/>
      <c r="TGP52" s="211"/>
      <c r="TGQ52" s="211"/>
      <c r="TGR52" s="211"/>
      <c r="TGS52" s="211"/>
      <c r="TGT52" s="211"/>
      <c r="TGU52" s="211"/>
      <c r="TGV52" s="211"/>
      <c r="TGW52" s="211"/>
      <c r="TGX52" s="211"/>
      <c r="TGY52" s="211"/>
      <c r="TGZ52" s="211"/>
      <c r="THA52" s="211"/>
      <c r="THB52" s="211"/>
      <c r="THC52" s="211"/>
      <c r="THD52" s="211"/>
      <c r="THE52" s="211"/>
      <c r="THF52" s="211"/>
      <c r="THG52" s="211"/>
      <c r="THH52" s="211"/>
      <c r="THI52" s="211"/>
      <c r="THJ52" s="211"/>
      <c r="THK52" s="211"/>
      <c r="THL52" s="211"/>
      <c r="THM52" s="211"/>
      <c r="THN52" s="211"/>
      <c r="THO52" s="211"/>
      <c r="THP52" s="211"/>
      <c r="THQ52" s="211"/>
      <c r="THR52" s="211"/>
      <c r="THS52" s="211"/>
      <c r="THT52" s="211"/>
      <c r="THU52" s="211"/>
      <c r="THV52" s="211"/>
      <c r="THW52" s="211"/>
      <c r="THX52" s="211"/>
      <c r="THY52" s="211"/>
      <c r="THZ52" s="211"/>
      <c r="TIA52" s="211"/>
      <c r="TIB52" s="211"/>
      <c r="TIC52" s="211"/>
      <c r="TID52" s="211"/>
      <c r="TIE52" s="211"/>
      <c r="TIF52" s="211"/>
      <c r="TIG52" s="211"/>
      <c r="TIH52" s="211"/>
      <c r="TII52" s="211"/>
      <c r="TIJ52" s="211"/>
      <c r="TIK52" s="211"/>
      <c r="TIL52" s="211"/>
      <c r="TIM52" s="211"/>
      <c r="TIN52" s="211"/>
      <c r="TIO52" s="211"/>
      <c r="TIP52" s="211"/>
      <c r="TIQ52" s="211"/>
      <c r="TIR52" s="211"/>
      <c r="TIS52" s="211"/>
      <c r="TIT52" s="211"/>
      <c r="TIU52" s="211"/>
      <c r="TIV52" s="211"/>
      <c r="TIW52" s="211"/>
      <c r="TIX52" s="211"/>
      <c r="TIY52" s="211"/>
      <c r="TIZ52" s="211"/>
      <c r="TJA52" s="211"/>
      <c r="TJB52" s="211"/>
      <c r="TJC52" s="211"/>
      <c r="TJD52" s="211"/>
      <c r="TJE52" s="211"/>
      <c r="TJF52" s="211"/>
      <c r="TJG52" s="211"/>
      <c r="TJH52" s="211"/>
      <c r="TJI52" s="211"/>
      <c r="TJJ52" s="211"/>
      <c r="TJK52" s="211"/>
      <c r="TJL52" s="211"/>
      <c r="TJM52" s="211"/>
      <c r="TJN52" s="211"/>
      <c r="TJO52" s="211"/>
      <c r="TJP52" s="211"/>
      <c r="TJQ52" s="211"/>
      <c r="TJR52" s="211"/>
      <c r="TJS52" s="211"/>
      <c r="TJT52" s="211"/>
      <c r="TJU52" s="211"/>
      <c r="TJV52" s="211"/>
      <c r="TJW52" s="211"/>
      <c r="TJX52" s="211"/>
      <c r="TJY52" s="211"/>
      <c r="TJZ52" s="211"/>
      <c r="TKA52" s="211"/>
      <c r="TKB52" s="211"/>
      <c r="TKC52" s="211"/>
      <c r="TKD52" s="211"/>
      <c r="TKE52" s="211"/>
      <c r="TKF52" s="211"/>
      <c r="TKG52" s="211"/>
      <c r="TKH52" s="211"/>
      <c r="TKI52" s="211"/>
      <c r="TKJ52" s="211"/>
      <c r="TKK52" s="211"/>
      <c r="TKL52" s="211"/>
      <c r="TKM52" s="211"/>
      <c r="TKN52" s="211"/>
      <c r="TKO52" s="211"/>
      <c r="TKP52" s="211"/>
      <c r="TKQ52" s="211"/>
      <c r="TKR52" s="211"/>
      <c r="TKS52" s="211"/>
      <c r="TKT52" s="211"/>
      <c r="TKU52" s="211"/>
      <c r="TKV52" s="211"/>
      <c r="TKW52" s="211"/>
      <c r="TKX52" s="211"/>
      <c r="TKY52" s="211"/>
      <c r="TKZ52" s="211"/>
      <c r="TLA52" s="211"/>
      <c r="TLB52" s="211"/>
      <c r="TLC52" s="211"/>
      <c r="TLD52" s="211"/>
      <c r="TLE52" s="211"/>
      <c r="TLF52" s="211"/>
      <c r="TLG52" s="211"/>
      <c r="TLH52" s="211"/>
      <c r="TLI52" s="211"/>
      <c r="TLJ52" s="211"/>
      <c r="TLK52" s="211"/>
      <c r="TLL52" s="211"/>
      <c r="TLM52" s="211"/>
      <c r="TLN52" s="211"/>
      <c r="TLO52" s="211"/>
      <c r="TLP52" s="211"/>
      <c r="TLQ52" s="211"/>
      <c r="TLR52" s="211"/>
      <c r="TLS52" s="211"/>
      <c r="TLT52" s="211"/>
      <c r="TLU52" s="211"/>
      <c r="TLV52" s="211"/>
      <c r="TLW52" s="211"/>
      <c r="TLX52" s="211"/>
      <c r="TLY52" s="211"/>
      <c r="TLZ52" s="211"/>
      <c r="TMA52" s="211"/>
      <c r="TMB52" s="211"/>
      <c r="TMC52" s="211"/>
      <c r="TMD52" s="211"/>
      <c r="TME52" s="211"/>
      <c r="TMF52" s="211"/>
      <c r="TMG52" s="211"/>
      <c r="TMH52" s="211"/>
      <c r="TMI52" s="211"/>
      <c r="TMJ52" s="211"/>
      <c r="TMK52" s="211"/>
      <c r="TML52" s="211"/>
      <c r="TMM52" s="211"/>
      <c r="TMN52" s="211"/>
      <c r="TMO52" s="211"/>
      <c r="TMP52" s="211"/>
      <c r="TMQ52" s="211"/>
      <c r="TMR52" s="211"/>
      <c r="TMS52" s="211"/>
      <c r="TMT52" s="211"/>
      <c r="TMU52" s="211"/>
      <c r="TMV52" s="211"/>
      <c r="TMW52" s="211"/>
      <c r="TMX52" s="211"/>
      <c r="TMY52" s="211"/>
      <c r="TMZ52" s="211"/>
      <c r="TNA52" s="211"/>
      <c r="TNB52" s="211"/>
      <c r="TNC52" s="211"/>
      <c r="TND52" s="211"/>
      <c r="TNE52" s="211"/>
      <c r="TNF52" s="211"/>
      <c r="TNG52" s="211"/>
      <c r="TNH52" s="211"/>
      <c r="TNI52" s="211"/>
      <c r="TNJ52" s="211"/>
      <c r="TNK52" s="211"/>
      <c r="TNL52" s="211"/>
      <c r="TNM52" s="211"/>
      <c r="TNN52" s="211"/>
      <c r="TNO52" s="211"/>
      <c r="TNP52" s="211"/>
      <c r="TNQ52" s="211"/>
      <c r="TNR52" s="211"/>
      <c r="TNS52" s="211"/>
      <c r="TNT52" s="211"/>
      <c r="TNU52" s="211"/>
      <c r="TNV52" s="211"/>
      <c r="TNW52" s="211"/>
      <c r="TNX52" s="211"/>
      <c r="TNY52" s="211"/>
      <c r="TNZ52" s="211"/>
      <c r="TOA52" s="211"/>
      <c r="TOB52" s="211"/>
      <c r="TOC52" s="211"/>
      <c r="TOD52" s="211"/>
      <c r="TOE52" s="211"/>
      <c r="TOF52" s="211"/>
      <c r="TOG52" s="211"/>
      <c r="TOH52" s="211"/>
      <c r="TOI52" s="211"/>
      <c r="TOJ52" s="211"/>
      <c r="TOK52" s="211"/>
      <c r="TOL52" s="211"/>
      <c r="TOM52" s="211"/>
      <c r="TON52" s="211"/>
      <c r="TOO52" s="211"/>
      <c r="TOP52" s="211"/>
      <c r="TOQ52" s="211"/>
      <c r="TOR52" s="211"/>
      <c r="TOS52" s="211"/>
      <c r="TOT52" s="211"/>
      <c r="TOU52" s="211"/>
      <c r="TOV52" s="211"/>
      <c r="TOW52" s="211"/>
      <c r="TOX52" s="211"/>
      <c r="TOY52" s="211"/>
      <c r="TOZ52" s="211"/>
      <c r="TPA52" s="211"/>
      <c r="TPB52" s="211"/>
      <c r="TPC52" s="211"/>
      <c r="TPD52" s="211"/>
      <c r="TPE52" s="211"/>
      <c r="TPF52" s="211"/>
      <c r="TPG52" s="211"/>
      <c r="TPH52" s="211"/>
      <c r="TPI52" s="211"/>
      <c r="TPJ52" s="211"/>
      <c r="TPK52" s="211"/>
      <c r="TPL52" s="211"/>
      <c r="TPM52" s="211"/>
      <c r="TPN52" s="211"/>
      <c r="TPO52" s="211"/>
      <c r="TPP52" s="211"/>
      <c r="TPQ52" s="211"/>
      <c r="TPR52" s="211"/>
      <c r="TPS52" s="211"/>
      <c r="TPT52" s="211"/>
      <c r="TPU52" s="211"/>
      <c r="TPV52" s="211"/>
      <c r="TPW52" s="211"/>
      <c r="TPX52" s="211"/>
      <c r="TPY52" s="211"/>
      <c r="TPZ52" s="211"/>
      <c r="TQA52" s="211"/>
      <c r="TQB52" s="211"/>
      <c r="TQC52" s="211"/>
      <c r="TQD52" s="211"/>
      <c r="TQE52" s="211"/>
      <c r="TQF52" s="211"/>
      <c r="TQG52" s="211"/>
      <c r="TQH52" s="211"/>
      <c r="TQI52" s="211"/>
      <c r="TQJ52" s="211"/>
      <c r="TQK52" s="211"/>
      <c r="TQL52" s="211"/>
      <c r="TQM52" s="211"/>
      <c r="TQN52" s="211"/>
      <c r="TQO52" s="211"/>
      <c r="TQP52" s="211"/>
      <c r="TQQ52" s="211"/>
      <c r="TQR52" s="211"/>
      <c r="TQS52" s="211"/>
      <c r="TQT52" s="211"/>
      <c r="TQU52" s="211"/>
      <c r="TQV52" s="211"/>
      <c r="TQW52" s="211"/>
      <c r="TQX52" s="211"/>
      <c r="TQY52" s="211"/>
      <c r="TQZ52" s="211"/>
      <c r="TRA52" s="211"/>
      <c r="TRB52" s="211"/>
      <c r="TRC52" s="211"/>
      <c r="TRD52" s="211"/>
      <c r="TRE52" s="211"/>
      <c r="TRF52" s="211"/>
      <c r="TRG52" s="211"/>
      <c r="TRH52" s="211"/>
      <c r="TRI52" s="211"/>
      <c r="TRJ52" s="211"/>
      <c r="TRK52" s="211"/>
      <c r="TRL52" s="211"/>
      <c r="TRM52" s="211"/>
      <c r="TRN52" s="211"/>
      <c r="TRO52" s="211"/>
      <c r="TRP52" s="211"/>
      <c r="TRQ52" s="211"/>
      <c r="TRR52" s="211"/>
      <c r="TRS52" s="211"/>
      <c r="TRT52" s="211"/>
      <c r="TRU52" s="211"/>
      <c r="TRV52" s="211"/>
      <c r="TRW52" s="211"/>
      <c r="TRX52" s="211"/>
      <c r="TRY52" s="211"/>
      <c r="TRZ52" s="211"/>
      <c r="TSA52" s="211"/>
      <c r="TSB52" s="211"/>
      <c r="TSC52" s="211"/>
      <c r="TSD52" s="211"/>
      <c r="TSE52" s="211"/>
      <c r="TSF52" s="211"/>
      <c r="TSG52" s="211"/>
      <c r="TSH52" s="211"/>
      <c r="TSI52" s="211"/>
      <c r="TSJ52" s="211"/>
      <c r="TSK52" s="211"/>
      <c r="TSL52" s="211"/>
      <c r="TSM52" s="211"/>
      <c r="TSN52" s="211"/>
      <c r="TSO52" s="211"/>
      <c r="TSP52" s="211"/>
      <c r="TSQ52" s="211"/>
      <c r="TSR52" s="211"/>
      <c r="TSS52" s="211"/>
      <c r="TST52" s="211"/>
      <c r="TSU52" s="211"/>
      <c r="TSV52" s="211"/>
      <c r="TSW52" s="211"/>
      <c r="TSX52" s="211"/>
      <c r="TSY52" s="211"/>
      <c r="TSZ52" s="211"/>
      <c r="TTA52" s="211"/>
      <c r="TTB52" s="211"/>
      <c r="TTC52" s="211"/>
      <c r="TTD52" s="211"/>
      <c r="TTE52" s="211"/>
      <c r="TTF52" s="211"/>
      <c r="TTG52" s="211"/>
      <c r="TTH52" s="211"/>
      <c r="TTI52" s="211"/>
      <c r="TTJ52" s="211"/>
      <c r="TTK52" s="211"/>
      <c r="TTL52" s="211"/>
      <c r="TTM52" s="211"/>
      <c r="TTN52" s="211"/>
      <c r="TTO52" s="211"/>
      <c r="TTP52" s="211"/>
      <c r="TTQ52" s="211"/>
      <c r="TTR52" s="211"/>
      <c r="TTS52" s="211"/>
      <c r="TTT52" s="211"/>
      <c r="TTU52" s="211"/>
      <c r="TTV52" s="211"/>
      <c r="TTW52" s="211"/>
      <c r="TTX52" s="211"/>
      <c r="TTY52" s="211"/>
      <c r="TTZ52" s="211"/>
      <c r="TUA52" s="211"/>
      <c r="TUB52" s="211"/>
      <c r="TUC52" s="211"/>
      <c r="TUD52" s="211"/>
      <c r="TUE52" s="211"/>
      <c r="TUF52" s="211"/>
      <c r="TUG52" s="211"/>
      <c r="TUH52" s="211"/>
      <c r="TUI52" s="211"/>
      <c r="TUJ52" s="211"/>
      <c r="TUK52" s="211"/>
      <c r="TUL52" s="211"/>
      <c r="TUM52" s="211"/>
      <c r="TUN52" s="211"/>
      <c r="TUO52" s="211"/>
      <c r="TUP52" s="211"/>
      <c r="TUQ52" s="211"/>
      <c r="TUR52" s="211"/>
      <c r="TUS52" s="211"/>
      <c r="TUT52" s="211"/>
      <c r="TUU52" s="211"/>
      <c r="TUV52" s="211"/>
      <c r="TUW52" s="211"/>
      <c r="TUX52" s="211"/>
      <c r="TUY52" s="211"/>
      <c r="TUZ52" s="211"/>
      <c r="TVA52" s="211"/>
      <c r="TVB52" s="211"/>
      <c r="TVC52" s="211"/>
      <c r="TVD52" s="211"/>
      <c r="TVE52" s="211"/>
      <c r="TVF52" s="211"/>
      <c r="TVG52" s="211"/>
      <c r="TVH52" s="211"/>
      <c r="TVI52" s="211"/>
      <c r="TVJ52" s="211"/>
      <c r="TVK52" s="211"/>
      <c r="TVL52" s="211"/>
      <c r="TVM52" s="211"/>
      <c r="TVN52" s="211"/>
      <c r="TVO52" s="211"/>
      <c r="TVP52" s="211"/>
      <c r="TVQ52" s="211"/>
      <c r="TVR52" s="211"/>
      <c r="TVS52" s="211"/>
      <c r="TVT52" s="211"/>
      <c r="TVU52" s="211"/>
      <c r="TVV52" s="211"/>
      <c r="TVW52" s="211"/>
      <c r="TVX52" s="211"/>
      <c r="TVY52" s="211"/>
      <c r="TVZ52" s="211"/>
      <c r="TWA52" s="211"/>
      <c r="TWB52" s="211"/>
      <c r="TWC52" s="211"/>
      <c r="TWD52" s="211"/>
      <c r="TWE52" s="211"/>
      <c r="TWF52" s="211"/>
      <c r="TWG52" s="211"/>
      <c r="TWH52" s="211"/>
      <c r="TWI52" s="211"/>
      <c r="TWJ52" s="211"/>
      <c r="TWK52" s="211"/>
      <c r="TWL52" s="211"/>
      <c r="TWM52" s="211"/>
      <c r="TWN52" s="211"/>
      <c r="TWO52" s="211"/>
      <c r="TWP52" s="211"/>
      <c r="TWQ52" s="211"/>
      <c r="TWR52" s="211"/>
      <c r="TWS52" s="211"/>
      <c r="TWT52" s="211"/>
      <c r="TWU52" s="211"/>
      <c r="TWV52" s="211"/>
      <c r="TWW52" s="211"/>
      <c r="TWX52" s="211"/>
      <c r="TWY52" s="211"/>
      <c r="TWZ52" s="211"/>
      <c r="TXA52" s="211"/>
      <c r="TXB52" s="211"/>
      <c r="TXC52" s="211"/>
      <c r="TXD52" s="211"/>
      <c r="TXE52" s="211"/>
      <c r="TXF52" s="211"/>
      <c r="TXG52" s="211"/>
      <c r="TXH52" s="211"/>
      <c r="TXI52" s="211"/>
      <c r="TXJ52" s="211"/>
      <c r="TXK52" s="211"/>
      <c r="TXL52" s="211"/>
      <c r="TXM52" s="211"/>
      <c r="TXN52" s="211"/>
      <c r="TXO52" s="211"/>
      <c r="TXP52" s="211"/>
      <c r="TXQ52" s="211"/>
      <c r="TXR52" s="211"/>
      <c r="TXS52" s="211"/>
      <c r="TXT52" s="211"/>
      <c r="TXU52" s="211"/>
      <c r="TXV52" s="211"/>
      <c r="TXW52" s="211"/>
      <c r="TXX52" s="211"/>
      <c r="TXY52" s="211"/>
      <c r="TXZ52" s="211"/>
      <c r="TYA52" s="211"/>
      <c r="TYB52" s="211"/>
      <c r="TYC52" s="211"/>
      <c r="TYD52" s="211"/>
      <c r="TYE52" s="211"/>
      <c r="TYF52" s="211"/>
      <c r="TYG52" s="211"/>
      <c r="TYH52" s="211"/>
      <c r="TYI52" s="211"/>
      <c r="TYJ52" s="211"/>
      <c r="TYK52" s="211"/>
      <c r="TYL52" s="211"/>
      <c r="TYM52" s="211"/>
      <c r="TYN52" s="211"/>
      <c r="TYO52" s="211"/>
      <c r="TYP52" s="211"/>
      <c r="TYQ52" s="211"/>
      <c r="TYR52" s="211"/>
      <c r="TYS52" s="211"/>
      <c r="TYT52" s="211"/>
      <c r="TYU52" s="211"/>
      <c r="TYV52" s="211"/>
      <c r="TYW52" s="211"/>
      <c r="TYX52" s="211"/>
      <c r="TYY52" s="211"/>
      <c r="TYZ52" s="211"/>
      <c r="TZA52" s="211"/>
      <c r="TZB52" s="211"/>
      <c r="TZC52" s="211"/>
      <c r="TZD52" s="211"/>
      <c r="TZE52" s="211"/>
      <c r="TZF52" s="211"/>
      <c r="TZG52" s="211"/>
      <c r="TZH52" s="211"/>
      <c r="TZI52" s="211"/>
      <c r="TZJ52" s="211"/>
      <c r="TZK52" s="211"/>
      <c r="TZL52" s="211"/>
      <c r="TZM52" s="211"/>
      <c r="TZN52" s="211"/>
      <c r="TZO52" s="211"/>
      <c r="TZP52" s="211"/>
      <c r="TZQ52" s="211"/>
      <c r="TZR52" s="211"/>
      <c r="TZS52" s="211"/>
      <c r="TZT52" s="211"/>
      <c r="TZU52" s="211"/>
      <c r="TZV52" s="211"/>
      <c r="TZW52" s="211"/>
      <c r="TZX52" s="211"/>
      <c r="TZY52" s="211"/>
      <c r="TZZ52" s="211"/>
      <c r="UAA52" s="211"/>
      <c r="UAB52" s="211"/>
      <c r="UAC52" s="211"/>
      <c r="UAD52" s="211"/>
      <c r="UAE52" s="211"/>
      <c r="UAF52" s="211"/>
      <c r="UAG52" s="211"/>
      <c r="UAH52" s="211"/>
      <c r="UAI52" s="211"/>
      <c r="UAJ52" s="211"/>
      <c r="UAK52" s="211"/>
      <c r="UAL52" s="211"/>
      <c r="UAM52" s="211"/>
      <c r="UAN52" s="211"/>
      <c r="UAO52" s="211"/>
      <c r="UAP52" s="211"/>
      <c r="UAQ52" s="211"/>
      <c r="UAR52" s="211"/>
      <c r="UAS52" s="211"/>
      <c r="UAT52" s="211"/>
      <c r="UAU52" s="211"/>
      <c r="UAV52" s="211"/>
      <c r="UAW52" s="211"/>
      <c r="UAX52" s="211"/>
      <c r="UAY52" s="211"/>
      <c r="UAZ52" s="211"/>
      <c r="UBA52" s="211"/>
      <c r="UBB52" s="211"/>
      <c r="UBC52" s="211"/>
      <c r="UBD52" s="211"/>
      <c r="UBE52" s="211"/>
      <c r="UBF52" s="211"/>
      <c r="UBG52" s="211"/>
      <c r="UBH52" s="211"/>
      <c r="UBI52" s="211"/>
      <c r="UBJ52" s="211"/>
      <c r="UBK52" s="211"/>
      <c r="UBL52" s="211"/>
      <c r="UBM52" s="211"/>
      <c r="UBN52" s="211"/>
      <c r="UBO52" s="211"/>
      <c r="UBP52" s="211"/>
      <c r="UBQ52" s="211"/>
      <c r="UBR52" s="211"/>
      <c r="UBS52" s="211"/>
      <c r="UBT52" s="211"/>
      <c r="UBU52" s="211"/>
      <c r="UBV52" s="211"/>
      <c r="UBW52" s="211"/>
      <c r="UBX52" s="211"/>
      <c r="UBY52" s="211"/>
      <c r="UBZ52" s="211"/>
      <c r="UCA52" s="211"/>
      <c r="UCB52" s="211"/>
      <c r="UCC52" s="211"/>
      <c r="UCD52" s="211"/>
      <c r="UCE52" s="211"/>
      <c r="UCF52" s="211"/>
      <c r="UCG52" s="211"/>
      <c r="UCH52" s="211"/>
      <c r="UCI52" s="211"/>
      <c r="UCJ52" s="211"/>
      <c r="UCK52" s="211"/>
      <c r="UCL52" s="211"/>
      <c r="UCM52" s="211"/>
      <c r="UCN52" s="211"/>
      <c r="UCO52" s="211"/>
      <c r="UCP52" s="211"/>
      <c r="UCQ52" s="211"/>
      <c r="UCR52" s="211"/>
      <c r="UCS52" s="211"/>
      <c r="UCT52" s="211"/>
      <c r="UCU52" s="211"/>
      <c r="UCV52" s="211"/>
      <c r="UCW52" s="211"/>
      <c r="UCX52" s="211"/>
      <c r="UCY52" s="211"/>
      <c r="UCZ52" s="211"/>
      <c r="UDA52" s="211"/>
      <c r="UDB52" s="211"/>
      <c r="UDC52" s="211"/>
      <c r="UDD52" s="211"/>
      <c r="UDE52" s="211"/>
      <c r="UDF52" s="211"/>
      <c r="UDG52" s="211"/>
      <c r="UDH52" s="211"/>
      <c r="UDI52" s="211"/>
      <c r="UDJ52" s="211"/>
      <c r="UDK52" s="211"/>
      <c r="UDL52" s="211"/>
      <c r="UDM52" s="211"/>
      <c r="UDN52" s="211"/>
      <c r="UDO52" s="211"/>
      <c r="UDP52" s="211"/>
      <c r="UDQ52" s="211"/>
      <c r="UDR52" s="211"/>
      <c r="UDS52" s="211"/>
      <c r="UDT52" s="211"/>
      <c r="UDU52" s="211"/>
      <c r="UDV52" s="211"/>
      <c r="UDW52" s="211"/>
      <c r="UDX52" s="211"/>
      <c r="UDY52" s="211"/>
      <c r="UDZ52" s="211"/>
      <c r="UEA52" s="211"/>
      <c r="UEB52" s="211"/>
      <c r="UEC52" s="211"/>
      <c r="UED52" s="211"/>
      <c r="UEE52" s="211"/>
      <c r="UEF52" s="211"/>
      <c r="UEG52" s="211"/>
      <c r="UEH52" s="211"/>
      <c r="UEI52" s="211"/>
      <c r="UEJ52" s="211"/>
      <c r="UEK52" s="211"/>
      <c r="UEL52" s="211"/>
      <c r="UEM52" s="211"/>
      <c r="UEN52" s="211"/>
      <c r="UEO52" s="211"/>
      <c r="UEP52" s="211"/>
      <c r="UEQ52" s="211"/>
      <c r="UER52" s="211"/>
      <c r="UES52" s="211"/>
      <c r="UET52" s="211"/>
      <c r="UEU52" s="211"/>
      <c r="UEV52" s="211"/>
      <c r="UEW52" s="211"/>
      <c r="UEX52" s="211"/>
      <c r="UEY52" s="211"/>
      <c r="UEZ52" s="211"/>
      <c r="UFA52" s="211"/>
      <c r="UFB52" s="211"/>
      <c r="UFC52" s="211"/>
      <c r="UFD52" s="211"/>
      <c r="UFE52" s="211"/>
      <c r="UFF52" s="211"/>
      <c r="UFG52" s="211"/>
      <c r="UFH52" s="211"/>
      <c r="UFI52" s="211"/>
      <c r="UFJ52" s="211"/>
      <c r="UFK52" s="211"/>
      <c r="UFL52" s="211"/>
      <c r="UFM52" s="211"/>
      <c r="UFN52" s="211"/>
      <c r="UFO52" s="211"/>
      <c r="UFP52" s="211"/>
      <c r="UFQ52" s="211"/>
      <c r="UFR52" s="211"/>
      <c r="UFS52" s="211"/>
      <c r="UFT52" s="211"/>
      <c r="UFU52" s="211"/>
      <c r="UFV52" s="211"/>
      <c r="UFW52" s="211"/>
      <c r="UFX52" s="211"/>
      <c r="UFY52" s="211"/>
      <c r="UFZ52" s="211"/>
      <c r="UGA52" s="211"/>
      <c r="UGB52" s="211"/>
      <c r="UGC52" s="211"/>
      <c r="UGD52" s="211"/>
      <c r="UGE52" s="211"/>
      <c r="UGF52" s="211"/>
      <c r="UGG52" s="211"/>
      <c r="UGH52" s="211"/>
      <c r="UGI52" s="211"/>
      <c r="UGJ52" s="211"/>
      <c r="UGK52" s="211"/>
      <c r="UGL52" s="211"/>
      <c r="UGM52" s="211"/>
      <c r="UGN52" s="211"/>
      <c r="UGO52" s="211"/>
      <c r="UGP52" s="211"/>
      <c r="UGQ52" s="211"/>
      <c r="UGR52" s="211"/>
      <c r="UGS52" s="211"/>
      <c r="UGT52" s="211"/>
      <c r="UGU52" s="211"/>
      <c r="UGV52" s="211"/>
      <c r="UGW52" s="211"/>
      <c r="UGX52" s="211"/>
      <c r="UGY52" s="211"/>
      <c r="UGZ52" s="211"/>
      <c r="UHA52" s="211"/>
      <c r="UHB52" s="211"/>
      <c r="UHC52" s="211"/>
      <c r="UHD52" s="211"/>
      <c r="UHE52" s="211"/>
      <c r="UHF52" s="211"/>
      <c r="UHG52" s="211"/>
      <c r="UHH52" s="211"/>
      <c r="UHI52" s="211"/>
      <c r="UHJ52" s="211"/>
      <c r="UHK52" s="211"/>
      <c r="UHL52" s="211"/>
      <c r="UHM52" s="211"/>
      <c r="UHN52" s="211"/>
      <c r="UHO52" s="211"/>
      <c r="UHP52" s="211"/>
      <c r="UHQ52" s="211"/>
      <c r="UHR52" s="211"/>
      <c r="UHS52" s="211"/>
      <c r="UHT52" s="211"/>
      <c r="UHU52" s="211"/>
      <c r="UHV52" s="211"/>
      <c r="UHW52" s="211"/>
      <c r="UHX52" s="211"/>
      <c r="UHY52" s="211"/>
      <c r="UHZ52" s="211"/>
      <c r="UIA52" s="211"/>
      <c r="UIB52" s="211"/>
      <c r="UIC52" s="211"/>
      <c r="UID52" s="211"/>
      <c r="UIE52" s="211"/>
      <c r="UIF52" s="211"/>
      <c r="UIG52" s="211"/>
      <c r="UIH52" s="211"/>
      <c r="UII52" s="211"/>
      <c r="UIJ52" s="211"/>
      <c r="UIK52" s="211"/>
      <c r="UIL52" s="211"/>
      <c r="UIM52" s="211"/>
      <c r="UIN52" s="211"/>
      <c r="UIO52" s="211"/>
      <c r="UIP52" s="211"/>
      <c r="UIQ52" s="211"/>
      <c r="UIR52" s="211"/>
      <c r="UIS52" s="211"/>
      <c r="UIT52" s="211"/>
      <c r="UIU52" s="211"/>
      <c r="UIV52" s="211"/>
      <c r="UIW52" s="211"/>
      <c r="UIX52" s="211"/>
      <c r="UIY52" s="211"/>
      <c r="UIZ52" s="211"/>
      <c r="UJA52" s="211"/>
      <c r="UJB52" s="211"/>
      <c r="UJC52" s="211"/>
      <c r="UJD52" s="211"/>
      <c r="UJE52" s="211"/>
      <c r="UJF52" s="211"/>
      <c r="UJG52" s="211"/>
      <c r="UJH52" s="211"/>
      <c r="UJI52" s="211"/>
      <c r="UJJ52" s="211"/>
      <c r="UJK52" s="211"/>
      <c r="UJL52" s="211"/>
      <c r="UJM52" s="211"/>
      <c r="UJN52" s="211"/>
      <c r="UJO52" s="211"/>
      <c r="UJP52" s="211"/>
      <c r="UJQ52" s="211"/>
      <c r="UJR52" s="211"/>
      <c r="UJS52" s="211"/>
      <c r="UJT52" s="211"/>
      <c r="UJU52" s="211"/>
      <c r="UJV52" s="211"/>
      <c r="UJW52" s="211"/>
      <c r="UJX52" s="211"/>
      <c r="UJY52" s="211"/>
      <c r="UJZ52" s="211"/>
      <c r="UKA52" s="211"/>
      <c r="UKB52" s="211"/>
      <c r="UKC52" s="211"/>
      <c r="UKD52" s="211"/>
      <c r="UKE52" s="211"/>
      <c r="UKF52" s="211"/>
      <c r="UKG52" s="211"/>
      <c r="UKH52" s="211"/>
      <c r="UKI52" s="211"/>
      <c r="UKJ52" s="211"/>
      <c r="UKK52" s="211"/>
      <c r="UKL52" s="211"/>
      <c r="UKM52" s="211"/>
      <c r="UKN52" s="211"/>
      <c r="UKO52" s="211"/>
      <c r="UKP52" s="211"/>
      <c r="UKQ52" s="211"/>
      <c r="UKR52" s="211"/>
      <c r="UKS52" s="211"/>
      <c r="UKT52" s="211"/>
      <c r="UKU52" s="211"/>
      <c r="UKV52" s="211"/>
      <c r="UKW52" s="211"/>
      <c r="UKX52" s="211"/>
      <c r="UKY52" s="211"/>
      <c r="UKZ52" s="211"/>
      <c r="ULA52" s="211"/>
      <c r="ULB52" s="211"/>
      <c r="ULC52" s="211"/>
      <c r="ULD52" s="211"/>
      <c r="ULE52" s="211"/>
      <c r="ULF52" s="211"/>
      <c r="ULG52" s="211"/>
      <c r="ULH52" s="211"/>
      <c r="ULI52" s="211"/>
      <c r="ULJ52" s="211"/>
      <c r="ULK52" s="211"/>
      <c r="ULL52" s="211"/>
      <c r="ULM52" s="211"/>
      <c r="ULN52" s="211"/>
      <c r="ULO52" s="211"/>
      <c r="ULP52" s="211"/>
      <c r="ULQ52" s="211"/>
      <c r="ULR52" s="211"/>
      <c r="ULS52" s="211"/>
      <c r="ULT52" s="211"/>
      <c r="ULU52" s="211"/>
      <c r="ULV52" s="211"/>
      <c r="ULW52" s="211"/>
      <c r="ULX52" s="211"/>
      <c r="ULY52" s="211"/>
      <c r="ULZ52" s="211"/>
      <c r="UMA52" s="211"/>
      <c r="UMB52" s="211"/>
      <c r="UMC52" s="211"/>
      <c r="UMD52" s="211"/>
      <c r="UME52" s="211"/>
      <c r="UMF52" s="211"/>
      <c r="UMG52" s="211"/>
      <c r="UMH52" s="211"/>
      <c r="UMI52" s="211"/>
      <c r="UMJ52" s="211"/>
      <c r="UMK52" s="211"/>
      <c r="UML52" s="211"/>
      <c r="UMM52" s="211"/>
      <c r="UMN52" s="211"/>
      <c r="UMO52" s="211"/>
      <c r="UMP52" s="211"/>
      <c r="UMQ52" s="211"/>
      <c r="UMR52" s="211"/>
      <c r="UMS52" s="211"/>
      <c r="UMT52" s="211"/>
      <c r="UMU52" s="211"/>
      <c r="UMV52" s="211"/>
      <c r="UMW52" s="211"/>
      <c r="UMX52" s="211"/>
      <c r="UMY52" s="211"/>
      <c r="UMZ52" s="211"/>
      <c r="UNA52" s="211"/>
      <c r="UNB52" s="211"/>
      <c r="UNC52" s="211"/>
      <c r="UND52" s="211"/>
      <c r="UNE52" s="211"/>
      <c r="UNF52" s="211"/>
      <c r="UNG52" s="211"/>
      <c r="UNH52" s="211"/>
      <c r="UNI52" s="211"/>
      <c r="UNJ52" s="211"/>
      <c r="UNK52" s="211"/>
      <c r="UNL52" s="211"/>
      <c r="UNM52" s="211"/>
      <c r="UNN52" s="211"/>
      <c r="UNO52" s="211"/>
      <c r="UNP52" s="211"/>
      <c r="UNQ52" s="211"/>
      <c r="UNR52" s="211"/>
      <c r="UNS52" s="211"/>
      <c r="UNT52" s="211"/>
      <c r="UNU52" s="211"/>
      <c r="UNV52" s="211"/>
      <c r="UNW52" s="211"/>
      <c r="UNX52" s="211"/>
      <c r="UNY52" s="211"/>
      <c r="UNZ52" s="211"/>
      <c r="UOA52" s="211"/>
      <c r="UOB52" s="211"/>
      <c r="UOC52" s="211"/>
      <c r="UOD52" s="211"/>
      <c r="UOE52" s="211"/>
      <c r="UOF52" s="211"/>
      <c r="UOG52" s="211"/>
      <c r="UOH52" s="211"/>
      <c r="UOI52" s="211"/>
      <c r="UOJ52" s="211"/>
      <c r="UOK52" s="211"/>
      <c r="UOL52" s="211"/>
      <c r="UOM52" s="211"/>
      <c r="UON52" s="211"/>
      <c r="UOO52" s="211"/>
      <c r="UOP52" s="211"/>
      <c r="UOQ52" s="211"/>
      <c r="UOR52" s="211"/>
      <c r="UOS52" s="211"/>
      <c r="UOT52" s="211"/>
      <c r="UOU52" s="211"/>
      <c r="UOV52" s="211"/>
      <c r="UOW52" s="211"/>
      <c r="UOX52" s="211"/>
      <c r="UOY52" s="211"/>
      <c r="UOZ52" s="211"/>
      <c r="UPA52" s="211"/>
      <c r="UPB52" s="211"/>
      <c r="UPC52" s="211"/>
      <c r="UPD52" s="211"/>
      <c r="UPE52" s="211"/>
      <c r="UPF52" s="211"/>
      <c r="UPG52" s="211"/>
      <c r="UPH52" s="211"/>
      <c r="UPI52" s="211"/>
      <c r="UPJ52" s="211"/>
      <c r="UPK52" s="211"/>
      <c r="UPL52" s="211"/>
      <c r="UPM52" s="211"/>
      <c r="UPN52" s="211"/>
      <c r="UPO52" s="211"/>
      <c r="UPP52" s="211"/>
      <c r="UPQ52" s="211"/>
      <c r="UPR52" s="211"/>
      <c r="UPS52" s="211"/>
      <c r="UPT52" s="211"/>
      <c r="UPU52" s="211"/>
      <c r="UPV52" s="211"/>
      <c r="UPW52" s="211"/>
      <c r="UPX52" s="211"/>
      <c r="UPY52" s="211"/>
      <c r="UPZ52" s="211"/>
      <c r="UQA52" s="211"/>
      <c r="UQB52" s="211"/>
      <c r="UQC52" s="211"/>
      <c r="UQD52" s="211"/>
      <c r="UQE52" s="211"/>
      <c r="UQF52" s="211"/>
      <c r="UQG52" s="211"/>
      <c r="UQH52" s="211"/>
      <c r="UQI52" s="211"/>
      <c r="UQJ52" s="211"/>
      <c r="UQK52" s="211"/>
      <c r="UQL52" s="211"/>
      <c r="UQM52" s="211"/>
      <c r="UQN52" s="211"/>
      <c r="UQO52" s="211"/>
      <c r="UQP52" s="211"/>
      <c r="UQQ52" s="211"/>
      <c r="UQR52" s="211"/>
      <c r="UQS52" s="211"/>
      <c r="UQT52" s="211"/>
      <c r="UQU52" s="211"/>
      <c r="UQV52" s="211"/>
      <c r="UQW52" s="211"/>
      <c r="UQX52" s="211"/>
      <c r="UQY52" s="211"/>
      <c r="UQZ52" s="211"/>
      <c r="URA52" s="211"/>
      <c r="URB52" s="211"/>
      <c r="URC52" s="211"/>
      <c r="URD52" s="211"/>
      <c r="URE52" s="211"/>
      <c r="URF52" s="211"/>
      <c r="URG52" s="211"/>
      <c r="URH52" s="211"/>
      <c r="URI52" s="211"/>
      <c r="URJ52" s="211"/>
      <c r="URK52" s="211"/>
      <c r="URL52" s="211"/>
      <c r="URM52" s="211"/>
      <c r="URN52" s="211"/>
      <c r="URO52" s="211"/>
      <c r="URP52" s="211"/>
      <c r="URQ52" s="211"/>
      <c r="URR52" s="211"/>
      <c r="URS52" s="211"/>
      <c r="URT52" s="211"/>
      <c r="URU52" s="211"/>
      <c r="URV52" s="211"/>
      <c r="URW52" s="211"/>
      <c r="URX52" s="211"/>
      <c r="URY52" s="211"/>
      <c r="URZ52" s="211"/>
      <c r="USA52" s="211"/>
      <c r="USB52" s="211"/>
      <c r="USC52" s="211"/>
      <c r="USD52" s="211"/>
      <c r="USE52" s="211"/>
      <c r="USF52" s="211"/>
      <c r="USG52" s="211"/>
      <c r="USH52" s="211"/>
      <c r="USI52" s="211"/>
      <c r="USJ52" s="211"/>
      <c r="USK52" s="211"/>
      <c r="USL52" s="211"/>
      <c r="USM52" s="211"/>
      <c r="USN52" s="211"/>
      <c r="USO52" s="211"/>
      <c r="USP52" s="211"/>
      <c r="USQ52" s="211"/>
      <c r="USR52" s="211"/>
      <c r="USS52" s="211"/>
      <c r="UST52" s="211"/>
      <c r="USU52" s="211"/>
      <c r="USV52" s="211"/>
      <c r="USW52" s="211"/>
      <c r="USX52" s="211"/>
      <c r="USY52" s="211"/>
      <c r="USZ52" s="211"/>
      <c r="UTA52" s="211"/>
      <c r="UTB52" s="211"/>
      <c r="UTC52" s="211"/>
      <c r="UTD52" s="211"/>
      <c r="UTE52" s="211"/>
      <c r="UTF52" s="211"/>
      <c r="UTG52" s="211"/>
      <c r="UTH52" s="211"/>
      <c r="UTI52" s="211"/>
      <c r="UTJ52" s="211"/>
      <c r="UTK52" s="211"/>
      <c r="UTL52" s="211"/>
      <c r="UTM52" s="211"/>
      <c r="UTN52" s="211"/>
      <c r="UTO52" s="211"/>
      <c r="UTP52" s="211"/>
      <c r="UTQ52" s="211"/>
      <c r="UTR52" s="211"/>
      <c r="UTS52" s="211"/>
      <c r="UTT52" s="211"/>
      <c r="UTU52" s="211"/>
      <c r="UTV52" s="211"/>
      <c r="UTW52" s="211"/>
      <c r="UTX52" s="211"/>
      <c r="UTY52" s="211"/>
      <c r="UTZ52" s="211"/>
      <c r="UUA52" s="211"/>
      <c r="UUB52" s="211"/>
      <c r="UUC52" s="211"/>
      <c r="UUD52" s="211"/>
      <c r="UUE52" s="211"/>
      <c r="UUF52" s="211"/>
      <c r="UUG52" s="211"/>
      <c r="UUH52" s="211"/>
      <c r="UUI52" s="211"/>
      <c r="UUJ52" s="211"/>
      <c r="UUK52" s="211"/>
      <c r="UUL52" s="211"/>
      <c r="UUM52" s="211"/>
      <c r="UUN52" s="211"/>
      <c r="UUO52" s="211"/>
      <c r="UUP52" s="211"/>
      <c r="UUQ52" s="211"/>
      <c r="UUR52" s="211"/>
      <c r="UUS52" s="211"/>
      <c r="UUT52" s="211"/>
      <c r="UUU52" s="211"/>
      <c r="UUV52" s="211"/>
      <c r="UUW52" s="211"/>
      <c r="UUX52" s="211"/>
      <c r="UUY52" s="211"/>
      <c r="UUZ52" s="211"/>
      <c r="UVA52" s="211"/>
      <c r="UVB52" s="211"/>
      <c r="UVC52" s="211"/>
      <c r="UVD52" s="211"/>
      <c r="UVE52" s="211"/>
      <c r="UVF52" s="211"/>
      <c r="UVG52" s="211"/>
      <c r="UVH52" s="211"/>
      <c r="UVI52" s="211"/>
      <c r="UVJ52" s="211"/>
      <c r="UVK52" s="211"/>
      <c r="UVL52" s="211"/>
      <c r="UVM52" s="211"/>
      <c r="UVN52" s="211"/>
      <c r="UVO52" s="211"/>
      <c r="UVP52" s="211"/>
      <c r="UVQ52" s="211"/>
      <c r="UVR52" s="211"/>
      <c r="UVS52" s="211"/>
      <c r="UVT52" s="211"/>
      <c r="UVU52" s="211"/>
      <c r="UVV52" s="211"/>
      <c r="UVW52" s="211"/>
      <c r="UVX52" s="211"/>
      <c r="UVY52" s="211"/>
      <c r="UVZ52" s="211"/>
      <c r="UWA52" s="211"/>
      <c r="UWB52" s="211"/>
      <c r="UWC52" s="211"/>
      <c r="UWD52" s="211"/>
      <c r="UWE52" s="211"/>
      <c r="UWF52" s="211"/>
      <c r="UWG52" s="211"/>
      <c r="UWH52" s="211"/>
      <c r="UWI52" s="211"/>
      <c r="UWJ52" s="211"/>
      <c r="UWK52" s="211"/>
      <c r="UWL52" s="211"/>
      <c r="UWM52" s="211"/>
      <c r="UWN52" s="211"/>
      <c r="UWO52" s="211"/>
      <c r="UWP52" s="211"/>
      <c r="UWQ52" s="211"/>
      <c r="UWR52" s="211"/>
      <c r="UWS52" s="211"/>
      <c r="UWT52" s="211"/>
      <c r="UWU52" s="211"/>
      <c r="UWV52" s="211"/>
      <c r="UWW52" s="211"/>
      <c r="UWX52" s="211"/>
      <c r="UWY52" s="211"/>
      <c r="UWZ52" s="211"/>
      <c r="UXA52" s="211"/>
      <c r="UXB52" s="211"/>
      <c r="UXC52" s="211"/>
      <c r="UXD52" s="211"/>
      <c r="UXE52" s="211"/>
      <c r="UXF52" s="211"/>
      <c r="UXG52" s="211"/>
      <c r="UXH52" s="211"/>
      <c r="UXI52" s="211"/>
      <c r="UXJ52" s="211"/>
      <c r="UXK52" s="211"/>
      <c r="UXL52" s="211"/>
      <c r="UXM52" s="211"/>
      <c r="UXN52" s="211"/>
      <c r="UXO52" s="211"/>
      <c r="UXP52" s="211"/>
      <c r="UXQ52" s="211"/>
      <c r="UXR52" s="211"/>
      <c r="UXS52" s="211"/>
      <c r="UXT52" s="211"/>
      <c r="UXU52" s="211"/>
      <c r="UXV52" s="211"/>
      <c r="UXW52" s="211"/>
      <c r="UXX52" s="211"/>
      <c r="UXY52" s="211"/>
      <c r="UXZ52" s="211"/>
      <c r="UYA52" s="211"/>
      <c r="UYB52" s="211"/>
      <c r="UYC52" s="211"/>
      <c r="UYD52" s="211"/>
      <c r="UYE52" s="211"/>
      <c r="UYF52" s="211"/>
      <c r="UYG52" s="211"/>
      <c r="UYH52" s="211"/>
      <c r="UYI52" s="211"/>
      <c r="UYJ52" s="211"/>
      <c r="UYK52" s="211"/>
      <c r="UYL52" s="211"/>
      <c r="UYM52" s="211"/>
      <c r="UYN52" s="211"/>
      <c r="UYO52" s="211"/>
      <c r="UYP52" s="211"/>
      <c r="UYQ52" s="211"/>
      <c r="UYR52" s="211"/>
      <c r="UYS52" s="211"/>
      <c r="UYT52" s="211"/>
      <c r="UYU52" s="211"/>
      <c r="UYV52" s="211"/>
      <c r="UYW52" s="211"/>
      <c r="UYX52" s="211"/>
      <c r="UYY52" s="211"/>
      <c r="UYZ52" s="211"/>
      <c r="UZA52" s="211"/>
      <c r="UZB52" s="211"/>
      <c r="UZC52" s="211"/>
      <c r="UZD52" s="211"/>
      <c r="UZE52" s="211"/>
      <c r="UZF52" s="211"/>
      <c r="UZG52" s="211"/>
      <c r="UZH52" s="211"/>
      <c r="UZI52" s="211"/>
      <c r="UZJ52" s="211"/>
      <c r="UZK52" s="211"/>
      <c r="UZL52" s="211"/>
      <c r="UZM52" s="211"/>
      <c r="UZN52" s="211"/>
      <c r="UZO52" s="211"/>
      <c r="UZP52" s="211"/>
      <c r="UZQ52" s="211"/>
      <c r="UZR52" s="211"/>
      <c r="UZS52" s="211"/>
      <c r="UZT52" s="211"/>
      <c r="UZU52" s="211"/>
      <c r="UZV52" s="211"/>
      <c r="UZW52" s="211"/>
      <c r="UZX52" s="211"/>
      <c r="UZY52" s="211"/>
      <c r="UZZ52" s="211"/>
      <c r="VAA52" s="211"/>
      <c r="VAB52" s="211"/>
      <c r="VAC52" s="211"/>
      <c r="VAD52" s="211"/>
      <c r="VAE52" s="211"/>
      <c r="VAF52" s="211"/>
      <c r="VAG52" s="211"/>
      <c r="VAH52" s="211"/>
      <c r="VAI52" s="211"/>
      <c r="VAJ52" s="211"/>
      <c r="VAK52" s="211"/>
      <c r="VAL52" s="211"/>
      <c r="VAM52" s="211"/>
      <c r="VAN52" s="211"/>
      <c r="VAO52" s="211"/>
      <c r="VAP52" s="211"/>
      <c r="VAQ52" s="211"/>
      <c r="VAR52" s="211"/>
      <c r="VAS52" s="211"/>
      <c r="VAT52" s="211"/>
      <c r="VAU52" s="211"/>
      <c r="VAV52" s="211"/>
      <c r="VAW52" s="211"/>
      <c r="VAX52" s="211"/>
      <c r="VAY52" s="211"/>
      <c r="VAZ52" s="211"/>
      <c r="VBA52" s="211"/>
      <c r="VBB52" s="211"/>
      <c r="VBC52" s="211"/>
      <c r="VBD52" s="211"/>
      <c r="VBE52" s="211"/>
      <c r="VBF52" s="211"/>
      <c r="VBG52" s="211"/>
      <c r="VBH52" s="211"/>
      <c r="VBI52" s="211"/>
      <c r="VBJ52" s="211"/>
      <c r="VBK52" s="211"/>
      <c r="VBL52" s="211"/>
      <c r="VBM52" s="211"/>
      <c r="VBN52" s="211"/>
      <c r="VBO52" s="211"/>
      <c r="VBP52" s="211"/>
      <c r="VBQ52" s="211"/>
      <c r="VBR52" s="211"/>
      <c r="VBS52" s="211"/>
      <c r="VBT52" s="211"/>
      <c r="VBU52" s="211"/>
      <c r="VBV52" s="211"/>
      <c r="VBW52" s="211"/>
      <c r="VBX52" s="211"/>
      <c r="VBY52" s="211"/>
      <c r="VBZ52" s="211"/>
      <c r="VCA52" s="211"/>
      <c r="VCB52" s="211"/>
      <c r="VCC52" s="211"/>
      <c r="VCD52" s="211"/>
      <c r="VCE52" s="211"/>
      <c r="VCF52" s="211"/>
      <c r="VCG52" s="211"/>
      <c r="VCH52" s="211"/>
      <c r="VCI52" s="211"/>
      <c r="VCJ52" s="211"/>
      <c r="VCK52" s="211"/>
      <c r="VCL52" s="211"/>
      <c r="VCM52" s="211"/>
      <c r="VCN52" s="211"/>
      <c r="VCO52" s="211"/>
      <c r="VCP52" s="211"/>
      <c r="VCQ52" s="211"/>
      <c r="VCR52" s="211"/>
      <c r="VCS52" s="211"/>
      <c r="VCT52" s="211"/>
      <c r="VCU52" s="211"/>
      <c r="VCV52" s="211"/>
      <c r="VCW52" s="211"/>
      <c r="VCX52" s="211"/>
      <c r="VCY52" s="211"/>
      <c r="VCZ52" s="211"/>
      <c r="VDA52" s="211"/>
      <c r="VDB52" s="211"/>
      <c r="VDC52" s="211"/>
      <c r="VDD52" s="211"/>
      <c r="VDE52" s="211"/>
      <c r="VDF52" s="211"/>
      <c r="VDG52" s="211"/>
      <c r="VDH52" s="211"/>
      <c r="VDI52" s="211"/>
      <c r="VDJ52" s="211"/>
      <c r="VDK52" s="211"/>
      <c r="VDL52" s="211"/>
      <c r="VDM52" s="211"/>
      <c r="VDN52" s="211"/>
      <c r="VDO52" s="211"/>
      <c r="VDP52" s="211"/>
      <c r="VDQ52" s="211"/>
      <c r="VDR52" s="211"/>
      <c r="VDS52" s="211"/>
      <c r="VDT52" s="211"/>
      <c r="VDU52" s="211"/>
      <c r="VDV52" s="211"/>
      <c r="VDW52" s="211"/>
      <c r="VDX52" s="211"/>
      <c r="VDY52" s="211"/>
      <c r="VDZ52" s="211"/>
      <c r="VEA52" s="211"/>
      <c r="VEB52" s="211"/>
      <c r="VEC52" s="211"/>
      <c r="VED52" s="211"/>
      <c r="VEE52" s="211"/>
      <c r="VEF52" s="211"/>
      <c r="VEG52" s="211"/>
      <c r="VEH52" s="211"/>
      <c r="VEI52" s="211"/>
      <c r="VEJ52" s="211"/>
      <c r="VEK52" s="211"/>
      <c r="VEL52" s="211"/>
      <c r="VEM52" s="211"/>
      <c r="VEN52" s="211"/>
      <c r="VEO52" s="211"/>
      <c r="VEP52" s="211"/>
      <c r="VEQ52" s="211"/>
      <c r="VER52" s="211"/>
      <c r="VES52" s="211"/>
      <c r="VET52" s="211"/>
      <c r="VEU52" s="211"/>
      <c r="VEV52" s="211"/>
      <c r="VEW52" s="211"/>
      <c r="VEX52" s="211"/>
      <c r="VEY52" s="211"/>
      <c r="VEZ52" s="211"/>
      <c r="VFA52" s="211"/>
      <c r="VFB52" s="211"/>
      <c r="VFC52" s="211"/>
      <c r="VFD52" s="211"/>
      <c r="VFE52" s="211"/>
      <c r="VFF52" s="211"/>
      <c r="VFG52" s="211"/>
      <c r="VFH52" s="211"/>
      <c r="VFI52" s="211"/>
      <c r="VFJ52" s="211"/>
      <c r="VFK52" s="211"/>
      <c r="VFL52" s="211"/>
      <c r="VFM52" s="211"/>
      <c r="VFN52" s="211"/>
      <c r="VFO52" s="211"/>
      <c r="VFP52" s="211"/>
      <c r="VFQ52" s="211"/>
      <c r="VFR52" s="211"/>
      <c r="VFS52" s="211"/>
      <c r="VFT52" s="211"/>
      <c r="VFU52" s="211"/>
      <c r="VFV52" s="211"/>
      <c r="VFW52" s="211"/>
      <c r="VFX52" s="211"/>
      <c r="VFY52" s="211"/>
      <c r="VFZ52" s="211"/>
      <c r="VGA52" s="211"/>
      <c r="VGB52" s="211"/>
      <c r="VGC52" s="211"/>
      <c r="VGD52" s="211"/>
      <c r="VGE52" s="211"/>
      <c r="VGF52" s="211"/>
      <c r="VGG52" s="211"/>
      <c r="VGH52" s="211"/>
      <c r="VGI52" s="211"/>
      <c r="VGJ52" s="211"/>
      <c r="VGK52" s="211"/>
      <c r="VGL52" s="211"/>
      <c r="VGM52" s="211"/>
      <c r="VGN52" s="211"/>
      <c r="VGO52" s="211"/>
      <c r="VGP52" s="211"/>
      <c r="VGQ52" s="211"/>
      <c r="VGR52" s="211"/>
      <c r="VGS52" s="211"/>
      <c r="VGT52" s="211"/>
      <c r="VGU52" s="211"/>
      <c r="VGV52" s="211"/>
      <c r="VGW52" s="211"/>
      <c r="VGX52" s="211"/>
      <c r="VGY52" s="211"/>
      <c r="VGZ52" s="211"/>
      <c r="VHA52" s="211"/>
      <c r="VHB52" s="211"/>
      <c r="VHC52" s="211"/>
      <c r="VHD52" s="211"/>
      <c r="VHE52" s="211"/>
      <c r="VHF52" s="211"/>
      <c r="VHG52" s="211"/>
      <c r="VHH52" s="211"/>
      <c r="VHI52" s="211"/>
      <c r="VHJ52" s="211"/>
      <c r="VHK52" s="211"/>
      <c r="VHL52" s="211"/>
      <c r="VHM52" s="211"/>
      <c r="VHN52" s="211"/>
      <c r="VHO52" s="211"/>
      <c r="VHP52" s="211"/>
      <c r="VHQ52" s="211"/>
      <c r="VHR52" s="211"/>
      <c r="VHS52" s="211"/>
      <c r="VHT52" s="211"/>
      <c r="VHU52" s="211"/>
      <c r="VHV52" s="211"/>
      <c r="VHW52" s="211"/>
      <c r="VHX52" s="211"/>
      <c r="VHY52" s="211"/>
      <c r="VHZ52" s="211"/>
      <c r="VIA52" s="211"/>
      <c r="VIB52" s="211"/>
      <c r="VIC52" s="211"/>
      <c r="VID52" s="211"/>
      <c r="VIE52" s="211"/>
      <c r="VIF52" s="211"/>
      <c r="VIG52" s="211"/>
      <c r="VIH52" s="211"/>
      <c r="VII52" s="211"/>
      <c r="VIJ52" s="211"/>
      <c r="VIK52" s="211"/>
      <c r="VIL52" s="211"/>
      <c r="VIM52" s="211"/>
      <c r="VIN52" s="211"/>
      <c r="VIO52" s="211"/>
      <c r="VIP52" s="211"/>
      <c r="VIQ52" s="211"/>
      <c r="VIR52" s="211"/>
      <c r="VIS52" s="211"/>
      <c r="VIT52" s="211"/>
      <c r="VIU52" s="211"/>
      <c r="VIV52" s="211"/>
      <c r="VIW52" s="211"/>
      <c r="VIX52" s="211"/>
      <c r="VIY52" s="211"/>
      <c r="VIZ52" s="211"/>
      <c r="VJA52" s="211"/>
      <c r="VJB52" s="211"/>
      <c r="VJC52" s="211"/>
      <c r="VJD52" s="211"/>
      <c r="VJE52" s="211"/>
      <c r="VJF52" s="211"/>
      <c r="VJG52" s="211"/>
      <c r="VJH52" s="211"/>
      <c r="VJI52" s="211"/>
      <c r="VJJ52" s="211"/>
      <c r="VJK52" s="211"/>
      <c r="VJL52" s="211"/>
      <c r="VJM52" s="211"/>
      <c r="VJN52" s="211"/>
      <c r="VJO52" s="211"/>
      <c r="VJP52" s="211"/>
      <c r="VJQ52" s="211"/>
      <c r="VJR52" s="211"/>
      <c r="VJS52" s="211"/>
      <c r="VJT52" s="211"/>
      <c r="VJU52" s="211"/>
      <c r="VJV52" s="211"/>
      <c r="VJW52" s="211"/>
      <c r="VJX52" s="211"/>
      <c r="VJY52" s="211"/>
      <c r="VJZ52" s="211"/>
      <c r="VKA52" s="211"/>
      <c r="VKB52" s="211"/>
      <c r="VKC52" s="211"/>
      <c r="VKD52" s="211"/>
      <c r="VKE52" s="211"/>
      <c r="VKF52" s="211"/>
      <c r="VKG52" s="211"/>
      <c r="VKH52" s="211"/>
      <c r="VKI52" s="211"/>
      <c r="VKJ52" s="211"/>
      <c r="VKK52" s="211"/>
      <c r="VKL52" s="211"/>
      <c r="VKM52" s="211"/>
      <c r="VKN52" s="211"/>
      <c r="VKO52" s="211"/>
      <c r="VKP52" s="211"/>
      <c r="VKQ52" s="211"/>
      <c r="VKR52" s="211"/>
      <c r="VKS52" s="211"/>
      <c r="VKT52" s="211"/>
      <c r="VKU52" s="211"/>
      <c r="VKV52" s="211"/>
      <c r="VKW52" s="211"/>
      <c r="VKX52" s="211"/>
      <c r="VKY52" s="211"/>
      <c r="VKZ52" s="211"/>
      <c r="VLA52" s="211"/>
      <c r="VLB52" s="211"/>
      <c r="VLC52" s="211"/>
      <c r="VLD52" s="211"/>
      <c r="VLE52" s="211"/>
      <c r="VLF52" s="211"/>
      <c r="VLG52" s="211"/>
      <c r="VLH52" s="211"/>
      <c r="VLI52" s="211"/>
      <c r="VLJ52" s="211"/>
      <c r="VLK52" s="211"/>
      <c r="VLL52" s="211"/>
      <c r="VLM52" s="211"/>
      <c r="VLN52" s="211"/>
      <c r="VLO52" s="211"/>
      <c r="VLP52" s="211"/>
      <c r="VLQ52" s="211"/>
      <c r="VLR52" s="211"/>
      <c r="VLS52" s="211"/>
      <c r="VLT52" s="211"/>
      <c r="VLU52" s="211"/>
      <c r="VLV52" s="211"/>
      <c r="VLW52" s="211"/>
      <c r="VLX52" s="211"/>
      <c r="VLY52" s="211"/>
      <c r="VLZ52" s="211"/>
      <c r="VMA52" s="211"/>
      <c r="VMB52" s="211"/>
      <c r="VMC52" s="211"/>
      <c r="VMD52" s="211"/>
      <c r="VME52" s="211"/>
      <c r="VMF52" s="211"/>
      <c r="VMG52" s="211"/>
      <c r="VMH52" s="211"/>
      <c r="VMI52" s="211"/>
      <c r="VMJ52" s="211"/>
      <c r="VMK52" s="211"/>
      <c r="VML52" s="211"/>
      <c r="VMM52" s="211"/>
      <c r="VMN52" s="211"/>
      <c r="VMO52" s="211"/>
      <c r="VMP52" s="211"/>
      <c r="VMQ52" s="211"/>
      <c r="VMR52" s="211"/>
      <c r="VMS52" s="211"/>
      <c r="VMT52" s="211"/>
      <c r="VMU52" s="211"/>
      <c r="VMV52" s="211"/>
      <c r="VMW52" s="211"/>
      <c r="VMX52" s="211"/>
      <c r="VMY52" s="211"/>
      <c r="VMZ52" s="211"/>
      <c r="VNA52" s="211"/>
      <c r="VNB52" s="211"/>
      <c r="VNC52" s="211"/>
      <c r="VND52" s="211"/>
      <c r="VNE52" s="211"/>
      <c r="VNF52" s="211"/>
      <c r="VNG52" s="211"/>
      <c r="VNH52" s="211"/>
      <c r="VNI52" s="211"/>
      <c r="VNJ52" s="211"/>
      <c r="VNK52" s="211"/>
      <c r="VNL52" s="211"/>
      <c r="VNM52" s="211"/>
      <c r="VNN52" s="211"/>
      <c r="VNO52" s="211"/>
      <c r="VNP52" s="211"/>
      <c r="VNQ52" s="211"/>
      <c r="VNR52" s="211"/>
      <c r="VNS52" s="211"/>
      <c r="VNT52" s="211"/>
      <c r="VNU52" s="211"/>
      <c r="VNV52" s="211"/>
      <c r="VNW52" s="211"/>
      <c r="VNX52" s="211"/>
      <c r="VNY52" s="211"/>
      <c r="VNZ52" s="211"/>
      <c r="VOA52" s="211"/>
      <c r="VOB52" s="211"/>
      <c r="VOC52" s="211"/>
      <c r="VOD52" s="211"/>
      <c r="VOE52" s="211"/>
      <c r="VOF52" s="211"/>
      <c r="VOG52" s="211"/>
      <c r="VOH52" s="211"/>
      <c r="VOI52" s="211"/>
      <c r="VOJ52" s="211"/>
      <c r="VOK52" s="211"/>
      <c r="VOL52" s="211"/>
      <c r="VOM52" s="211"/>
      <c r="VON52" s="211"/>
      <c r="VOO52" s="211"/>
      <c r="VOP52" s="211"/>
      <c r="VOQ52" s="211"/>
      <c r="VOR52" s="211"/>
      <c r="VOS52" s="211"/>
      <c r="VOT52" s="211"/>
      <c r="VOU52" s="211"/>
      <c r="VOV52" s="211"/>
      <c r="VOW52" s="211"/>
      <c r="VOX52" s="211"/>
      <c r="VOY52" s="211"/>
      <c r="VOZ52" s="211"/>
      <c r="VPA52" s="211"/>
      <c r="VPB52" s="211"/>
      <c r="VPC52" s="211"/>
      <c r="VPD52" s="211"/>
      <c r="VPE52" s="211"/>
      <c r="VPF52" s="211"/>
      <c r="VPG52" s="211"/>
      <c r="VPH52" s="211"/>
      <c r="VPI52" s="211"/>
      <c r="VPJ52" s="211"/>
      <c r="VPK52" s="211"/>
      <c r="VPL52" s="211"/>
      <c r="VPM52" s="211"/>
      <c r="VPN52" s="211"/>
      <c r="VPO52" s="211"/>
      <c r="VPP52" s="211"/>
      <c r="VPQ52" s="211"/>
      <c r="VPR52" s="211"/>
      <c r="VPS52" s="211"/>
      <c r="VPT52" s="211"/>
      <c r="VPU52" s="211"/>
      <c r="VPV52" s="211"/>
      <c r="VPW52" s="211"/>
      <c r="VPX52" s="211"/>
      <c r="VPY52" s="211"/>
      <c r="VPZ52" s="211"/>
      <c r="VQA52" s="211"/>
      <c r="VQB52" s="211"/>
      <c r="VQC52" s="211"/>
      <c r="VQD52" s="211"/>
      <c r="VQE52" s="211"/>
      <c r="VQF52" s="211"/>
      <c r="VQG52" s="211"/>
      <c r="VQH52" s="211"/>
      <c r="VQI52" s="211"/>
      <c r="VQJ52" s="211"/>
      <c r="VQK52" s="211"/>
      <c r="VQL52" s="211"/>
      <c r="VQM52" s="211"/>
      <c r="VQN52" s="211"/>
      <c r="VQO52" s="211"/>
      <c r="VQP52" s="211"/>
      <c r="VQQ52" s="211"/>
      <c r="VQR52" s="211"/>
      <c r="VQS52" s="211"/>
      <c r="VQT52" s="211"/>
      <c r="VQU52" s="211"/>
      <c r="VQV52" s="211"/>
      <c r="VQW52" s="211"/>
      <c r="VQX52" s="211"/>
      <c r="VQY52" s="211"/>
      <c r="VQZ52" s="211"/>
      <c r="VRA52" s="211"/>
      <c r="VRB52" s="211"/>
      <c r="VRC52" s="211"/>
      <c r="VRD52" s="211"/>
      <c r="VRE52" s="211"/>
      <c r="VRF52" s="211"/>
      <c r="VRG52" s="211"/>
      <c r="VRH52" s="211"/>
      <c r="VRI52" s="211"/>
      <c r="VRJ52" s="211"/>
      <c r="VRK52" s="211"/>
      <c r="VRL52" s="211"/>
      <c r="VRM52" s="211"/>
      <c r="VRN52" s="211"/>
      <c r="VRO52" s="211"/>
      <c r="VRP52" s="211"/>
      <c r="VRQ52" s="211"/>
      <c r="VRR52" s="211"/>
      <c r="VRS52" s="211"/>
      <c r="VRT52" s="211"/>
      <c r="VRU52" s="211"/>
      <c r="VRV52" s="211"/>
      <c r="VRW52" s="211"/>
      <c r="VRX52" s="211"/>
      <c r="VRY52" s="211"/>
      <c r="VRZ52" s="211"/>
      <c r="VSA52" s="211"/>
      <c r="VSB52" s="211"/>
      <c r="VSC52" s="211"/>
      <c r="VSD52" s="211"/>
      <c r="VSE52" s="211"/>
      <c r="VSF52" s="211"/>
      <c r="VSG52" s="211"/>
      <c r="VSH52" s="211"/>
      <c r="VSI52" s="211"/>
      <c r="VSJ52" s="211"/>
      <c r="VSK52" s="211"/>
      <c r="VSL52" s="211"/>
      <c r="VSM52" s="211"/>
      <c r="VSN52" s="211"/>
      <c r="VSO52" s="211"/>
      <c r="VSP52" s="211"/>
      <c r="VSQ52" s="211"/>
      <c r="VSR52" s="211"/>
      <c r="VSS52" s="211"/>
      <c r="VST52" s="211"/>
      <c r="VSU52" s="211"/>
      <c r="VSV52" s="211"/>
      <c r="VSW52" s="211"/>
      <c r="VSX52" s="211"/>
      <c r="VSY52" s="211"/>
      <c r="VSZ52" s="211"/>
      <c r="VTA52" s="211"/>
      <c r="VTB52" s="211"/>
      <c r="VTC52" s="211"/>
      <c r="VTD52" s="211"/>
      <c r="VTE52" s="211"/>
      <c r="VTF52" s="211"/>
      <c r="VTG52" s="211"/>
      <c r="VTH52" s="211"/>
      <c r="VTI52" s="211"/>
      <c r="VTJ52" s="211"/>
      <c r="VTK52" s="211"/>
      <c r="VTL52" s="211"/>
      <c r="VTM52" s="211"/>
      <c r="VTN52" s="211"/>
      <c r="VTO52" s="211"/>
      <c r="VTP52" s="211"/>
      <c r="VTQ52" s="211"/>
      <c r="VTR52" s="211"/>
      <c r="VTS52" s="211"/>
      <c r="VTT52" s="211"/>
      <c r="VTU52" s="211"/>
      <c r="VTV52" s="211"/>
      <c r="VTW52" s="211"/>
      <c r="VTX52" s="211"/>
      <c r="VTY52" s="211"/>
      <c r="VTZ52" s="211"/>
      <c r="VUA52" s="211"/>
      <c r="VUB52" s="211"/>
      <c r="VUC52" s="211"/>
      <c r="VUD52" s="211"/>
      <c r="VUE52" s="211"/>
      <c r="VUF52" s="211"/>
      <c r="VUG52" s="211"/>
      <c r="VUH52" s="211"/>
      <c r="VUI52" s="211"/>
      <c r="VUJ52" s="211"/>
      <c r="VUK52" s="211"/>
      <c r="VUL52" s="211"/>
      <c r="VUM52" s="211"/>
      <c r="VUN52" s="211"/>
      <c r="VUO52" s="211"/>
      <c r="VUP52" s="211"/>
      <c r="VUQ52" s="211"/>
      <c r="VUR52" s="211"/>
      <c r="VUS52" s="211"/>
      <c r="VUT52" s="211"/>
      <c r="VUU52" s="211"/>
      <c r="VUV52" s="211"/>
      <c r="VUW52" s="211"/>
      <c r="VUX52" s="211"/>
      <c r="VUY52" s="211"/>
      <c r="VUZ52" s="211"/>
      <c r="VVA52" s="211"/>
      <c r="VVB52" s="211"/>
      <c r="VVC52" s="211"/>
      <c r="VVD52" s="211"/>
      <c r="VVE52" s="211"/>
      <c r="VVF52" s="211"/>
      <c r="VVG52" s="211"/>
      <c r="VVH52" s="211"/>
      <c r="VVI52" s="211"/>
      <c r="VVJ52" s="211"/>
      <c r="VVK52" s="211"/>
      <c r="VVL52" s="211"/>
      <c r="VVM52" s="211"/>
      <c r="VVN52" s="211"/>
      <c r="VVO52" s="211"/>
      <c r="VVP52" s="211"/>
      <c r="VVQ52" s="211"/>
      <c r="VVR52" s="211"/>
      <c r="VVS52" s="211"/>
      <c r="VVT52" s="211"/>
      <c r="VVU52" s="211"/>
      <c r="VVV52" s="211"/>
      <c r="VVW52" s="211"/>
      <c r="VVX52" s="211"/>
      <c r="VVY52" s="211"/>
      <c r="VVZ52" s="211"/>
      <c r="VWA52" s="211"/>
      <c r="VWB52" s="211"/>
      <c r="VWC52" s="211"/>
      <c r="VWD52" s="211"/>
      <c r="VWE52" s="211"/>
      <c r="VWF52" s="211"/>
      <c r="VWG52" s="211"/>
      <c r="VWH52" s="211"/>
      <c r="VWI52" s="211"/>
      <c r="VWJ52" s="211"/>
      <c r="VWK52" s="211"/>
      <c r="VWL52" s="211"/>
      <c r="VWM52" s="211"/>
      <c r="VWN52" s="211"/>
      <c r="VWO52" s="211"/>
      <c r="VWP52" s="211"/>
      <c r="VWQ52" s="211"/>
      <c r="VWR52" s="211"/>
      <c r="VWS52" s="211"/>
      <c r="VWT52" s="211"/>
      <c r="VWU52" s="211"/>
      <c r="VWV52" s="211"/>
      <c r="VWW52" s="211"/>
      <c r="VWX52" s="211"/>
      <c r="VWY52" s="211"/>
      <c r="VWZ52" s="211"/>
      <c r="VXA52" s="211"/>
      <c r="VXB52" s="211"/>
      <c r="VXC52" s="211"/>
      <c r="VXD52" s="211"/>
      <c r="VXE52" s="211"/>
      <c r="VXF52" s="211"/>
      <c r="VXG52" s="211"/>
      <c r="VXH52" s="211"/>
      <c r="VXI52" s="211"/>
      <c r="VXJ52" s="211"/>
      <c r="VXK52" s="211"/>
      <c r="VXL52" s="211"/>
      <c r="VXM52" s="211"/>
      <c r="VXN52" s="211"/>
      <c r="VXO52" s="211"/>
      <c r="VXP52" s="211"/>
      <c r="VXQ52" s="211"/>
      <c r="VXR52" s="211"/>
      <c r="VXS52" s="211"/>
      <c r="VXT52" s="211"/>
      <c r="VXU52" s="211"/>
      <c r="VXV52" s="211"/>
      <c r="VXW52" s="211"/>
      <c r="VXX52" s="211"/>
      <c r="VXY52" s="211"/>
      <c r="VXZ52" s="211"/>
      <c r="VYA52" s="211"/>
      <c r="VYB52" s="211"/>
      <c r="VYC52" s="211"/>
      <c r="VYD52" s="211"/>
      <c r="VYE52" s="211"/>
      <c r="VYF52" s="211"/>
      <c r="VYG52" s="211"/>
      <c r="VYH52" s="211"/>
      <c r="VYI52" s="211"/>
      <c r="VYJ52" s="211"/>
      <c r="VYK52" s="211"/>
      <c r="VYL52" s="211"/>
      <c r="VYM52" s="211"/>
      <c r="VYN52" s="211"/>
      <c r="VYO52" s="211"/>
      <c r="VYP52" s="211"/>
      <c r="VYQ52" s="211"/>
      <c r="VYR52" s="211"/>
      <c r="VYS52" s="211"/>
      <c r="VYT52" s="211"/>
      <c r="VYU52" s="211"/>
      <c r="VYV52" s="211"/>
      <c r="VYW52" s="211"/>
      <c r="VYX52" s="211"/>
      <c r="VYY52" s="211"/>
      <c r="VYZ52" s="211"/>
      <c r="VZA52" s="211"/>
      <c r="VZB52" s="211"/>
      <c r="VZC52" s="211"/>
      <c r="VZD52" s="211"/>
      <c r="VZE52" s="211"/>
      <c r="VZF52" s="211"/>
      <c r="VZG52" s="211"/>
      <c r="VZH52" s="211"/>
      <c r="VZI52" s="211"/>
      <c r="VZJ52" s="211"/>
      <c r="VZK52" s="211"/>
      <c r="VZL52" s="211"/>
      <c r="VZM52" s="211"/>
      <c r="VZN52" s="211"/>
      <c r="VZO52" s="211"/>
      <c r="VZP52" s="211"/>
      <c r="VZQ52" s="211"/>
      <c r="VZR52" s="211"/>
      <c r="VZS52" s="211"/>
      <c r="VZT52" s="211"/>
      <c r="VZU52" s="211"/>
      <c r="VZV52" s="211"/>
      <c r="VZW52" s="211"/>
      <c r="VZX52" s="211"/>
      <c r="VZY52" s="211"/>
      <c r="VZZ52" s="211"/>
      <c r="WAA52" s="211"/>
      <c r="WAB52" s="211"/>
      <c r="WAC52" s="211"/>
      <c r="WAD52" s="211"/>
      <c r="WAE52" s="211"/>
      <c r="WAF52" s="211"/>
      <c r="WAG52" s="211"/>
      <c r="WAH52" s="211"/>
      <c r="WAI52" s="211"/>
      <c r="WAJ52" s="211"/>
      <c r="WAK52" s="211"/>
      <c r="WAL52" s="211"/>
      <c r="WAM52" s="211"/>
      <c r="WAN52" s="211"/>
      <c r="WAO52" s="211"/>
      <c r="WAP52" s="211"/>
      <c r="WAQ52" s="211"/>
      <c r="WAR52" s="211"/>
      <c r="WAS52" s="211"/>
      <c r="WAT52" s="211"/>
      <c r="WAU52" s="211"/>
      <c r="WAV52" s="211"/>
      <c r="WAW52" s="211"/>
      <c r="WAX52" s="211"/>
      <c r="WAY52" s="211"/>
      <c r="WAZ52" s="211"/>
      <c r="WBA52" s="211"/>
      <c r="WBB52" s="211"/>
      <c r="WBC52" s="211"/>
      <c r="WBD52" s="211"/>
      <c r="WBE52" s="211"/>
      <c r="WBF52" s="211"/>
      <c r="WBG52" s="211"/>
      <c r="WBH52" s="211"/>
      <c r="WBI52" s="211"/>
      <c r="WBJ52" s="211"/>
      <c r="WBK52" s="211"/>
      <c r="WBL52" s="211"/>
      <c r="WBM52" s="211"/>
      <c r="WBN52" s="211"/>
      <c r="WBO52" s="211"/>
      <c r="WBP52" s="211"/>
      <c r="WBQ52" s="211"/>
      <c r="WBR52" s="211"/>
      <c r="WBS52" s="211"/>
      <c r="WBT52" s="211"/>
      <c r="WBU52" s="211"/>
      <c r="WBV52" s="211"/>
      <c r="WBW52" s="211"/>
      <c r="WBX52" s="211"/>
      <c r="WBY52" s="211"/>
      <c r="WBZ52" s="211"/>
      <c r="WCA52" s="211"/>
      <c r="WCB52" s="211"/>
      <c r="WCC52" s="211"/>
      <c r="WCD52" s="211"/>
      <c r="WCE52" s="211"/>
      <c r="WCF52" s="211"/>
      <c r="WCG52" s="211"/>
      <c r="WCH52" s="211"/>
      <c r="WCI52" s="211"/>
      <c r="WCJ52" s="211"/>
      <c r="WCK52" s="211"/>
      <c r="WCL52" s="211"/>
      <c r="WCM52" s="211"/>
      <c r="WCN52" s="211"/>
      <c r="WCO52" s="211"/>
      <c r="WCP52" s="211"/>
      <c r="WCQ52" s="211"/>
      <c r="WCR52" s="211"/>
      <c r="WCS52" s="211"/>
      <c r="WCT52" s="211"/>
      <c r="WCU52" s="211"/>
      <c r="WCV52" s="211"/>
      <c r="WCW52" s="211"/>
      <c r="WCX52" s="211"/>
      <c r="WCY52" s="211"/>
      <c r="WCZ52" s="211"/>
      <c r="WDA52" s="211"/>
      <c r="WDB52" s="211"/>
      <c r="WDC52" s="211"/>
      <c r="WDD52" s="211"/>
      <c r="WDE52" s="211"/>
      <c r="WDF52" s="211"/>
      <c r="WDG52" s="211"/>
      <c r="WDH52" s="211"/>
      <c r="WDI52" s="211"/>
      <c r="WDJ52" s="211"/>
      <c r="WDK52" s="211"/>
      <c r="WDL52" s="211"/>
      <c r="WDM52" s="211"/>
      <c r="WDN52" s="211"/>
      <c r="WDO52" s="211"/>
      <c r="WDP52" s="211"/>
      <c r="WDQ52" s="211"/>
      <c r="WDR52" s="211"/>
      <c r="WDS52" s="211"/>
      <c r="WDT52" s="211"/>
      <c r="WDU52" s="211"/>
      <c r="WDV52" s="211"/>
      <c r="WDW52" s="211"/>
      <c r="WDX52" s="211"/>
      <c r="WDY52" s="211"/>
      <c r="WDZ52" s="211"/>
      <c r="WEA52" s="211"/>
      <c r="WEB52" s="211"/>
      <c r="WEC52" s="211"/>
      <c r="WED52" s="211"/>
      <c r="WEE52" s="211"/>
      <c r="WEF52" s="211"/>
      <c r="WEG52" s="211"/>
      <c r="WEH52" s="211"/>
      <c r="WEI52" s="211"/>
      <c r="WEJ52" s="211"/>
      <c r="WEK52" s="211"/>
      <c r="WEL52" s="211"/>
      <c r="WEM52" s="211"/>
      <c r="WEN52" s="211"/>
      <c r="WEO52" s="211"/>
      <c r="WEP52" s="211"/>
      <c r="WEQ52" s="211"/>
      <c r="WER52" s="211"/>
      <c r="WES52" s="211"/>
      <c r="WET52" s="211"/>
      <c r="WEU52" s="211"/>
      <c r="WEV52" s="211"/>
      <c r="WEW52" s="211"/>
      <c r="WEX52" s="211"/>
      <c r="WEY52" s="211"/>
      <c r="WEZ52" s="211"/>
      <c r="WFA52" s="211"/>
      <c r="WFB52" s="211"/>
      <c r="WFC52" s="211"/>
      <c r="WFD52" s="211"/>
      <c r="WFE52" s="211"/>
      <c r="WFF52" s="211"/>
      <c r="WFG52" s="211"/>
      <c r="WFH52" s="211"/>
      <c r="WFI52" s="211"/>
      <c r="WFJ52" s="211"/>
      <c r="WFK52" s="211"/>
      <c r="WFL52" s="211"/>
      <c r="WFM52" s="211"/>
      <c r="WFN52" s="211"/>
      <c r="WFO52" s="211"/>
      <c r="WFP52" s="211"/>
      <c r="WFQ52" s="211"/>
      <c r="WFR52" s="211"/>
      <c r="WFS52" s="211"/>
      <c r="WFT52" s="211"/>
      <c r="WFU52" s="211"/>
      <c r="WFV52" s="211"/>
      <c r="WFW52" s="211"/>
      <c r="WFX52" s="211"/>
      <c r="WFY52" s="211"/>
      <c r="WFZ52" s="211"/>
      <c r="WGA52" s="211"/>
      <c r="WGB52" s="211"/>
      <c r="WGC52" s="211"/>
      <c r="WGD52" s="211"/>
      <c r="WGE52" s="211"/>
      <c r="WGF52" s="211"/>
      <c r="WGG52" s="211"/>
      <c r="WGH52" s="211"/>
      <c r="WGI52" s="211"/>
      <c r="WGJ52" s="211"/>
      <c r="WGK52" s="211"/>
      <c r="WGL52" s="211"/>
      <c r="WGM52" s="211"/>
      <c r="WGN52" s="211"/>
      <c r="WGO52" s="211"/>
      <c r="WGP52" s="211"/>
      <c r="WGQ52" s="211"/>
      <c r="WGR52" s="211"/>
      <c r="WGS52" s="211"/>
      <c r="WGT52" s="211"/>
      <c r="WGU52" s="211"/>
      <c r="WGV52" s="211"/>
      <c r="WGW52" s="211"/>
      <c r="WGX52" s="211"/>
      <c r="WGY52" s="211"/>
      <c r="WGZ52" s="211"/>
      <c r="WHA52" s="211"/>
      <c r="WHB52" s="211"/>
      <c r="WHC52" s="211"/>
      <c r="WHD52" s="211"/>
      <c r="WHE52" s="211"/>
      <c r="WHF52" s="211"/>
      <c r="WHG52" s="211"/>
      <c r="WHH52" s="211"/>
      <c r="WHI52" s="211"/>
      <c r="WHJ52" s="211"/>
      <c r="WHK52" s="211"/>
      <c r="WHL52" s="211"/>
      <c r="WHM52" s="211"/>
      <c r="WHN52" s="211"/>
      <c r="WHO52" s="211"/>
      <c r="WHP52" s="211"/>
      <c r="WHQ52" s="211"/>
      <c r="WHR52" s="211"/>
      <c r="WHS52" s="211"/>
      <c r="WHT52" s="211"/>
      <c r="WHU52" s="211"/>
      <c r="WHV52" s="211"/>
      <c r="WHW52" s="211"/>
      <c r="WHX52" s="211"/>
      <c r="WHY52" s="211"/>
      <c r="WHZ52" s="211"/>
      <c r="WIA52" s="211"/>
      <c r="WIB52" s="211"/>
      <c r="WIC52" s="211"/>
      <c r="WID52" s="211"/>
      <c r="WIE52" s="211"/>
      <c r="WIF52" s="211"/>
      <c r="WIG52" s="211"/>
      <c r="WIH52" s="211"/>
      <c r="WII52" s="211"/>
      <c r="WIJ52" s="211"/>
      <c r="WIK52" s="211"/>
      <c r="WIL52" s="211"/>
      <c r="WIM52" s="211"/>
      <c r="WIN52" s="211"/>
      <c r="WIO52" s="211"/>
      <c r="WIP52" s="211"/>
      <c r="WIQ52" s="211"/>
      <c r="WIR52" s="211"/>
      <c r="WIS52" s="211"/>
      <c r="WIT52" s="211"/>
      <c r="WIU52" s="211"/>
      <c r="WIV52" s="211"/>
      <c r="WIW52" s="211"/>
      <c r="WIX52" s="211"/>
      <c r="WIY52" s="211"/>
      <c r="WIZ52" s="211"/>
      <c r="WJA52" s="211"/>
      <c r="WJB52" s="211"/>
      <c r="WJC52" s="211"/>
      <c r="WJD52" s="211"/>
      <c r="WJE52" s="211"/>
      <c r="WJF52" s="211"/>
      <c r="WJG52" s="211"/>
      <c r="WJH52" s="211"/>
      <c r="WJI52" s="211"/>
      <c r="WJJ52" s="211"/>
      <c r="WJK52" s="211"/>
      <c r="WJL52" s="211"/>
      <c r="WJM52" s="211"/>
      <c r="WJN52" s="211"/>
      <c r="WJO52" s="211"/>
      <c r="WJP52" s="211"/>
      <c r="WJQ52" s="211"/>
      <c r="WJR52" s="211"/>
      <c r="WJS52" s="211"/>
      <c r="WJT52" s="211"/>
      <c r="WJU52" s="211"/>
      <c r="WJV52" s="211"/>
      <c r="WJW52" s="211"/>
      <c r="WJX52" s="211"/>
      <c r="WJY52" s="211"/>
      <c r="WJZ52" s="211"/>
      <c r="WKA52" s="211"/>
      <c r="WKB52" s="211"/>
      <c r="WKC52" s="211"/>
      <c r="WKD52" s="211"/>
      <c r="WKE52" s="211"/>
      <c r="WKF52" s="211"/>
      <c r="WKG52" s="211"/>
      <c r="WKH52" s="211"/>
      <c r="WKI52" s="211"/>
      <c r="WKJ52" s="211"/>
      <c r="WKK52" s="211"/>
      <c r="WKL52" s="211"/>
      <c r="WKM52" s="211"/>
      <c r="WKN52" s="211"/>
      <c r="WKO52" s="211"/>
      <c r="WKP52" s="211"/>
      <c r="WKQ52" s="211"/>
      <c r="WKR52" s="211"/>
      <c r="WKS52" s="211"/>
      <c r="WKT52" s="211"/>
      <c r="WKU52" s="211"/>
      <c r="WKV52" s="211"/>
      <c r="WKW52" s="211"/>
      <c r="WKX52" s="211"/>
      <c r="WKY52" s="211"/>
      <c r="WKZ52" s="211"/>
      <c r="WLA52" s="211"/>
      <c r="WLB52" s="211"/>
      <c r="WLC52" s="211"/>
      <c r="WLD52" s="211"/>
      <c r="WLE52" s="211"/>
      <c r="WLF52" s="211"/>
      <c r="WLG52" s="211"/>
      <c r="WLH52" s="211"/>
      <c r="WLI52" s="211"/>
      <c r="WLJ52" s="211"/>
      <c r="WLK52" s="211"/>
      <c r="WLL52" s="211"/>
      <c r="WLM52" s="211"/>
      <c r="WLN52" s="211"/>
      <c r="WLO52" s="211"/>
      <c r="WLP52" s="211"/>
      <c r="WLQ52" s="211"/>
      <c r="WLR52" s="211"/>
      <c r="WLS52" s="211"/>
      <c r="WLT52" s="211"/>
      <c r="WLU52" s="211"/>
      <c r="WLV52" s="211"/>
      <c r="WLW52" s="211"/>
      <c r="WLX52" s="211"/>
      <c r="WLY52" s="211"/>
      <c r="WLZ52" s="211"/>
      <c r="WMA52" s="211"/>
      <c r="WMB52" s="211"/>
      <c r="WMC52" s="211"/>
      <c r="WMD52" s="211"/>
      <c r="WME52" s="211"/>
      <c r="WMF52" s="211"/>
      <c r="WMG52" s="211"/>
      <c r="WMH52" s="211"/>
      <c r="WMI52" s="211"/>
      <c r="WMJ52" s="211"/>
      <c r="WMK52" s="211"/>
      <c r="WML52" s="211"/>
      <c r="WMM52" s="211"/>
      <c r="WMN52" s="211"/>
      <c r="WMO52" s="211"/>
      <c r="WMP52" s="211"/>
      <c r="WMQ52" s="211"/>
      <c r="WMR52" s="211"/>
      <c r="WMS52" s="211"/>
      <c r="WMT52" s="211"/>
      <c r="WMU52" s="211"/>
      <c r="WMV52" s="211"/>
      <c r="WMW52" s="211"/>
      <c r="WMX52" s="211"/>
      <c r="WMY52" s="211"/>
      <c r="WMZ52" s="211"/>
      <c r="WNA52" s="211"/>
      <c r="WNB52" s="211"/>
      <c r="WNC52" s="211"/>
      <c r="WND52" s="211"/>
      <c r="WNE52" s="211"/>
      <c r="WNF52" s="211"/>
      <c r="WNG52" s="211"/>
      <c r="WNH52" s="211"/>
      <c r="WNI52" s="211"/>
      <c r="WNJ52" s="211"/>
      <c r="WNK52" s="211"/>
      <c r="WNL52" s="211"/>
      <c r="WNM52" s="211"/>
      <c r="WNN52" s="211"/>
      <c r="WNO52" s="211"/>
      <c r="WNP52" s="211"/>
      <c r="WNQ52" s="211"/>
      <c r="WNR52" s="211"/>
      <c r="WNS52" s="211"/>
      <c r="WNT52" s="211"/>
      <c r="WNU52" s="211"/>
      <c r="WNV52" s="211"/>
      <c r="WNW52" s="211"/>
      <c r="WNX52" s="211"/>
      <c r="WNY52" s="211"/>
      <c r="WNZ52" s="211"/>
      <c r="WOA52" s="211"/>
      <c r="WOB52" s="211"/>
      <c r="WOC52" s="211"/>
      <c r="WOD52" s="211"/>
      <c r="WOE52" s="211"/>
      <c r="WOF52" s="211"/>
      <c r="WOG52" s="211"/>
      <c r="WOH52" s="211"/>
      <c r="WOI52" s="211"/>
      <c r="WOJ52" s="211"/>
      <c r="WOK52" s="211"/>
      <c r="WOL52" s="211"/>
      <c r="WOM52" s="211"/>
      <c r="WON52" s="211"/>
      <c r="WOO52" s="211"/>
      <c r="WOP52" s="211"/>
      <c r="WOQ52" s="211"/>
      <c r="WOR52" s="211"/>
      <c r="WOS52" s="211"/>
      <c r="WOT52" s="211"/>
      <c r="WOU52" s="211"/>
      <c r="WOV52" s="211"/>
      <c r="WOW52" s="211"/>
      <c r="WOX52" s="211"/>
      <c r="WOY52" s="211"/>
      <c r="WOZ52" s="211"/>
      <c r="WPA52" s="211"/>
      <c r="WPB52" s="211"/>
      <c r="WPC52" s="211"/>
      <c r="WPD52" s="211"/>
      <c r="WPE52" s="211"/>
      <c r="WPF52" s="211"/>
      <c r="WPG52" s="211"/>
      <c r="WPH52" s="211"/>
      <c r="WPI52" s="211"/>
      <c r="WPJ52" s="211"/>
      <c r="WPK52" s="211"/>
      <c r="WPL52" s="211"/>
      <c r="WPM52" s="211"/>
      <c r="WPN52" s="211"/>
      <c r="WPO52" s="211"/>
      <c r="WPP52" s="211"/>
      <c r="WPQ52" s="211"/>
      <c r="WPR52" s="211"/>
      <c r="WPS52" s="211"/>
      <c r="WPT52" s="211"/>
      <c r="WPU52" s="211"/>
      <c r="WPV52" s="211"/>
      <c r="WPW52" s="211"/>
      <c r="WPX52" s="211"/>
      <c r="WPY52" s="211"/>
      <c r="WPZ52" s="211"/>
      <c r="WQA52" s="211"/>
      <c r="WQB52" s="211"/>
      <c r="WQC52" s="211"/>
      <c r="WQD52" s="211"/>
      <c r="WQE52" s="211"/>
      <c r="WQF52" s="211"/>
      <c r="WQG52" s="211"/>
      <c r="WQH52" s="211"/>
      <c r="WQI52" s="211"/>
      <c r="WQJ52" s="211"/>
      <c r="WQK52" s="211"/>
      <c r="WQL52" s="211"/>
      <c r="WQM52" s="211"/>
      <c r="WQN52" s="211"/>
      <c r="WQO52" s="211"/>
      <c r="WQP52" s="211"/>
      <c r="WQQ52" s="211"/>
      <c r="WQR52" s="211"/>
      <c r="WQS52" s="211"/>
      <c r="WQT52" s="211"/>
      <c r="WQU52" s="211"/>
      <c r="WQV52" s="211"/>
      <c r="WQW52" s="211"/>
      <c r="WQX52" s="211"/>
      <c r="WQY52" s="211"/>
      <c r="WQZ52" s="211"/>
      <c r="WRA52" s="211"/>
      <c r="WRB52" s="211"/>
      <c r="WRC52" s="211"/>
      <c r="WRD52" s="211"/>
      <c r="WRE52" s="211"/>
      <c r="WRF52" s="211"/>
      <c r="WRG52" s="211"/>
      <c r="WRH52" s="211"/>
      <c r="WRI52" s="211"/>
      <c r="WRJ52" s="211"/>
      <c r="WRK52" s="211"/>
      <c r="WRL52" s="211"/>
      <c r="WRM52" s="211"/>
      <c r="WRN52" s="211"/>
      <c r="WRO52" s="211"/>
      <c r="WRP52" s="211"/>
      <c r="WRQ52" s="211"/>
      <c r="WRR52" s="211"/>
      <c r="WRS52" s="211"/>
      <c r="WRT52" s="211"/>
      <c r="WRU52" s="211"/>
      <c r="WRV52" s="211"/>
      <c r="WRW52" s="211"/>
      <c r="WRX52" s="211"/>
      <c r="WRY52" s="211"/>
      <c r="WRZ52" s="211"/>
      <c r="WSA52" s="211"/>
      <c r="WSB52" s="211"/>
      <c r="WSC52" s="211"/>
      <c r="WSD52" s="211"/>
      <c r="WSE52" s="211"/>
      <c r="WSF52" s="211"/>
      <c r="WSG52" s="211"/>
      <c r="WSH52" s="211"/>
      <c r="WSI52" s="211"/>
      <c r="WSJ52" s="211"/>
      <c r="WSK52" s="211"/>
      <c r="WSL52" s="211"/>
      <c r="WSM52" s="211"/>
      <c r="WSN52" s="211"/>
      <c r="WSO52" s="211"/>
      <c r="WSP52" s="211"/>
      <c r="WSQ52" s="211"/>
      <c r="WSR52" s="211"/>
      <c r="WSS52" s="211"/>
      <c r="WST52" s="211"/>
      <c r="WSU52" s="211"/>
      <c r="WSV52" s="211"/>
      <c r="WSW52" s="211"/>
      <c r="WSX52" s="211"/>
      <c r="WSY52" s="211"/>
      <c r="WSZ52" s="211"/>
      <c r="WTA52" s="211"/>
      <c r="WTB52" s="211"/>
      <c r="WTC52" s="211"/>
      <c r="WTD52" s="211"/>
      <c r="WTE52" s="211"/>
      <c r="WTF52" s="211"/>
      <c r="WTG52" s="211"/>
      <c r="WTH52" s="211"/>
      <c r="WTI52" s="211"/>
      <c r="WTJ52" s="211"/>
      <c r="WTK52" s="211"/>
      <c r="WTL52" s="211"/>
      <c r="WTM52" s="211"/>
      <c r="WTN52" s="211"/>
      <c r="WTO52" s="211"/>
      <c r="WTP52" s="211"/>
      <c r="WTQ52" s="211"/>
      <c r="WTR52" s="211"/>
      <c r="WTS52" s="211"/>
      <c r="WTT52" s="211"/>
      <c r="WTU52" s="211"/>
      <c r="WTV52" s="211"/>
      <c r="WTW52" s="211"/>
      <c r="WTX52" s="211"/>
      <c r="WTY52" s="211"/>
      <c r="WTZ52" s="211"/>
      <c r="WUA52" s="211"/>
      <c r="WUB52" s="211"/>
      <c r="WUC52" s="211"/>
      <c r="WUD52" s="211"/>
      <c r="WUE52" s="211"/>
      <c r="WUF52" s="211"/>
      <c r="WUG52" s="211"/>
      <c r="WUH52" s="211"/>
      <c r="WUI52" s="211"/>
      <c r="WUJ52" s="211"/>
      <c r="WUK52" s="211"/>
      <c r="WUL52" s="211"/>
      <c r="WUM52" s="211"/>
      <c r="WUN52" s="211"/>
      <c r="WUO52" s="211"/>
      <c r="WUP52" s="211"/>
      <c r="WUQ52" s="211"/>
      <c r="WUR52" s="211"/>
      <c r="WUS52" s="211"/>
      <c r="WUT52" s="211"/>
      <c r="WUU52" s="211"/>
      <c r="WUV52" s="211"/>
      <c r="WUW52" s="211"/>
      <c r="WUX52" s="211"/>
      <c r="WUY52" s="211"/>
      <c r="WUZ52" s="211"/>
      <c r="WVA52" s="211"/>
      <c r="WVB52" s="211"/>
      <c r="WVC52" s="211"/>
      <c r="WVD52" s="211"/>
      <c r="WVE52" s="211"/>
      <c r="WVF52" s="211"/>
      <c r="WVG52" s="211"/>
      <c r="WVH52" s="211"/>
      <c r="WVI52" s="211"/>
      <c r="WVJ52" s="211"/>
      <c r="WVK52" s="211"/>
      <c r="WVL52" s="211"/>
      <c r="WVM52" s="211"/>
      <c r="WVN52" s="211"/>
      <c r="WVO52" s="211"/>
      <c r="WVP52" s="211"/>
      <c r="WVQ52" s="211"/>
      <c r="WVR52" s="211"/>
      <c r="WVS52" s="211"/>
      <c r="WVT52" s="211"/>
      <c r="WVU52" s="211"/>
      <c r="WVV52" s="211"/>
      <c r="WVW52" s="211"/>
      <c r="WVX52" s="211"/>
      <c r="WVY52" s="211"/>
      <c r="WVZ52" s="211"/>
      <c r="WWA52" s="211"/>
      <c r="WWB52" s="211"/>
      <c r="WWC52" s="211"/>
      <c r="WWD52" s="211"/>
      <c r="WWE52" s="211"/>
      <c r="WWF52" s="211"/>
      <c r="WWG52" s="211"/>
      <c r="WWH52" s="211"/>
      <c r="WWI52" s="211"/>
      <c r="WWJ52" s="211"/>
      <c r="WWK52" s="211"/>
      <c r="WWL52" s="211"/>
      <c r="WWM52" s="211"/>
      <c r="WWN52" s="211"/>
      <c r="WWO52" s="211"/>
      <c r="WWP52" s="211"/>
      <c r="WWQ52" s="211"/>
      <c r="WWR52" s="211"/>
      <c r="WWS52" s="211"/>
      <c r="WWT52" s="211"/>
      <c r="WWU52" s="211"/>
      <c r="WWV52" s="211"/>
      <c r="WWW52" s="211"/>
      <c r="WWX52" s="211"/>
      <c r="WWY52" s="211"/>
      <c r="WWZ52" s="211"/>
      <c r="WXA52" s="211"/>
      <c r="WXB52" s="211"/>
      <c r="WXC52" s="211"/>
      <c r="WXD52" s="211"/>
      <c r="WXE52" s="211"/>
      <c r="WXF52" s="211"/>
      <c r="WXG52" s="211"/>
      <c r="WXH52" s="211"/>
      <c r="WXI52" s="211"/>
      <c r="WXJ52" s="211"/>
      <c r="WXK52" s="211"/>
      <c r="WXL52" s="211"/>
      <c r="WXM52" s="211"/>
      <c r="WXN52" s="211"/>
      <c r="WXO52" s="211"/>
      <c r="WXP52" s="211"/>
      <c r="WXQ52" s="211"/>
      <c r="WXR52" s="211"/>
      <c r="WXS52" s="211"/>
      <c r="WXT52" s="211"/>
      <c r="WXU52" s="211"/>
      <c r="WXV52" s="211"/>
      <c r="WXW52" s="211"/>
      <c r="WXX52" s="211"/>
      <c r="WXY52" s="211"/>
      <c r="WXZ52" s="211"/>
      <c r="WYA52" s="211"/>
      <c r="WYB52" s="211"/>
      <c r="WYC52" s="211"/>
      <c r="WYD52" s="211"/>
      <c r="WYE52" s="211"/>
      <c r="WYF52" s="211"/>
      <c r="WYG52" s="211"/>
      <c r="WYH52" s="211"/>
      <c r="WYI52" s="211"/>
      <c r="WYJ52" s="211"/>
      <c r="WYK52" s="211"/>
      <c r="WYL52" s="211"/>
      <c r="WYM52" s="211"/>
      <c r="WYN52" s="211"/>
      <c r="WYO52" s="211"/>
      <c r="WYP52" s="211"/>
      <c r="WYQ52" s="211"/>
      <c r="WYR52" s="211"/>
      <c r="WYS52" s="211"/>
      <c r="WYT52" s="211"/>
      <c r="WYU52" s="211"/>
      <c r="WYV52" s="211"/>
      <c r="WYW52" s="211"/>
      <c r="WYX52" s="211"/>
      <c r="WYY52" s="211"/>
      <c r="WYZ52" s="211"/>
      <c r="WZA52" s="211"/>
      <c r="WZB52" s="211"/>
      <c r="WZC52" s="211"/>
      <c r="WZD52" s="211"/>
      <c r="WZE52" s="211"/>
      <c r="WZF52" s="211"/>
      <c r="WZG52" s="211"/>
      <c r="WZH52" s="211"/>
      <c r="WZI52" s="211"/>
      <c r="WZJ52" s="211"/>
      <c r="WZK52" s="211"/>
      <c r="WZL52" s="211"/>
      <c r="WZM52" s="211"/>
      <c r="WZN52" s="211"/>
      <c r="WZO52" s="211"/>
      <c r="WZP52" s="211"/>
      <c r="WZQ52" s="211"/>
      <c r="WZR52" s="211"/>
      <c r="WZS52" s="211"/>
      <c r="WZT52" s="211"/>
      <c r="WZU52" s="211"/>
      <c r="WZV52" s="211"/>
      <c r="WZW52" s="211"/>
      <c r="WZX52" s="211"/>
      <c r="WZY52" s="211"/>
      <c r="WZZ52" s="211"/>
      <c r="XAA52" s="211"/>
      <c r="XAB52" s="211"/>
      <c r="XAC52" s="211"/>
      <c r="XAD52" s="211"/>
      <c r="XAE52" s="211"/>
      <c r="XAF52" s="211"/>
      <c r="XAG52" s="211"/>
      <c r="XAH52" s="211"/>
      <c r="XAI52" s="211"/>
      <c r="XAJ52" s="211"/>
      <c r="XAK52" s="211"/>
      <c r="XAL52" s="211"/>
      <c r="XAM52" s="211"/>
      <c r="XAN52" s="211"/>
      <c r="XAO52" s="211"/>
      <c r="XAP52" s="211"/>
      <c r="XAQ52" s="211"/>
      <c r="XAR52" s="211"/>
      <c r="XAS52" s="211"/>
      <c r="XAT52" s="211"/>
      <c r="XAU52" s="211"/>
      <c r="XAV52" s="211"/>
      <c r="XAW52" s="211"/>
      <c r="XAX52" s="211"/>
      <c r="XAY52" s="211"/>
      <c r="XAZ52" s="211"/>
      <c r="XBA52" s="211"/>
      <c r="XBB52" s="211"/>
      <c r="XBC52" s="211"/>
      <c r="XBD52" s="211"/>
      <c r="XBE52" s="211"/>
      <c r="XBF52" s="211"/>
      <c r="XBG52" s="211"/>
      <c r="XBH52" s="211"/>
      <c r="XBI52" s="211"/>
      <c r="XBJ52" s="211"/>
      <c r="XBK52" s="211"/>
      <c r="XBL52" s="211"/>
      <c r="XBM52" s="211"/>
      <c r="XBN52" s="211"/>
      <c r="XBO52" s="211"/>
      <c r="XBP52" s="211"/>
      <c r="XBQ52" s="211"/>
      <c r="XBR52" s="211"/>
      <c r="XBS52" s="211"/>
      <c r="XBT52" s="211"/>
      <c r="XBU52" s="211"/>
      <c r="XBV52" s="211"/>
      <c r="XBW52" s="211"/>
      <c r="XBX52" s="211"/>
      <c r="XBY52" s="211"/>
      <c r="XBZ52" s="211"/>
      <c r="XCA52" s="211"/>
      <c r="XCB52" s="211"/>
      <c r="XCC52" s="211"/>
      <c r="XCD52" s="211"/>
      <c r="XCE52" s="211"/>
      <c r="XCF52" s="211"/>
      <c r="XCG52" s="211"/>
      <c r="XCH52" s="211"/>
      <c r="XCI52" s="211"/>
      <c r="XCJ52" s="211"/>
      <c r="XCK52" s="211"/>
      <c r="XCL52" s="211"/>
      <c r="XCM52" s="211"/>
      <c r="XCN52" s="211"/>
      <c r="XCO52" s="211"/>
      <c r="XCP52" s="211"/>
      <c r="XCQ52" s="211"/>
      <c r="XCR52" s="211"/>
      <c r="XCS52" s="211"/>
      <c r="XCT52" s="211"/>
      <c r="XCU52" s="211"/>
      <c r="XCV52" s="211"/>
      <c r="XCW52" s="211"/>
      <c r="XCX52" s="211"/>
      <c r="XCY52" s="211"/>
      <c r="XCZ52" s="211"/>
      <c r="XDA52" s="211"/>
      <c r="XDB52" s="211"/>
      <c r="XDC52" s="211"/>
      <c r="XDD52" s="211"/>
      <c r="XDE52" s="211"/>
      <c r="XDF52" s="211"/>
      <c r="XDG52" s="211"/>
      <c r="XDH52" s="211"/>
      <c r="XDI52" s="211"/>
      <c r="XDJ52" s="211"/>
      <c r="XDK52" s="211"/>
      <c r="XDL52" s="211"/>
      <c r="XDM52" s="211"/>
      <c r="XDN52" s="211"/>
      <c r="XDO52" s="211"/>
      <c r="XDP52" s="211"/>
      <c r="XDQ52" s="211"/>
      <c r="XDR52" s="211"/>
      <c r="XDS52" s="211"/>
      <c r="XDT52" s="211"/>
      <c r="XDU52" s="211"/>
      <c r="XDV52" s="211"/>
      <c r="XDW52" s="211"/>
      <c r="XDX52" s="211"/>
      <c r="XDY52" s="211"/>
      <c r="XDZ52" s="211"/>
      <c r="XEA52" s="211"/>
      <c r="XEB52" s="211"/>
      <c r="XEC52" s="211"/>
      <c r="XED52" s="211"/>
      <c r="XEE52" s="211"/>
      <c r="XEF52" s="211"/>
      <c r="XEG52" s="211"/>
      <c r="XEH52" s="211"/>
      <c r="XEI52" s="211"/>
      <c r="XEJ52" s="211"/>
      <c r="XEK52" s="211"/>
      <c r="XEL52" s="211"/>
      <c r="XEM52" s="211"/>
      <c r="XEN52" s="211"/>
      <c r="XEO52" s="211"/>
      <c r="XEP52" s="211"/>
      <c r="XEQ52" s="211"/>
      <c r="XER52" s="211"/>
      <c r="XES52" s="211"/>
      <c r="XET52" s="211"/>
      <c r="XEU52" s="211"/>
      <c r="XEV52" s="211"/>
      <c r="XEW52" s="211"/>
      <c r="XEX52" s="211"/>
      <c r="XEY52" s="211"/>
      <c r="XEZ52" s="211"/>
      <c r="XFA52" s="211"/>
      <c r="XFB52" s="211"/>
      <c r="XFC52" s="211"/>
    </row>
    <row r="53" spans="1:16383" ht="6" customHeight="1" x14ac:dyDescent="0.25">
      <c r="A53" s="144"/>
      <c r="B53" s="144"/>
      <c r="C53" s="145"/>
      <c r="D53" s="144"/>
      <c r="E53" s="145"/>
      <c r="F53" s="144"/>
      <c r="G53" s="145"/>
      <c r="H53" s="144"/>
      <c r="I53" s="145"/>
      <c r="J53" s="144"/>
      <c r="K53" s="145"/>
      <c r="L53" s="144"/>
      <c r="M53" s="145"/>
      <c r="N53" s="144"/>
      <c r="O53" s="145"/>
      <c r="P53" s="144"/>
      <c r="Q53" s="144"/>
    </row>
    <row r="54" spans="1:16383" ht="30" x14ac:dyDescent="0.25">
      <c r="A54" s="144"/>
      <c r="B54" s="215" t="s">
        <v>1617</v>
      </c>
      <c r="C54" s="215"/>
      <c r="D54" s="215"/>
      <c r="E54" s="215"/>
      <c r="F54" s="215"/>
      <c r="G54" s="215"/>
      <c r="H54" s="159"/>
      <c r="I54" s="159"/>
      <c r="J54" s="159"/>
      <c r="K54" s="159"/>
      <c r="L54" s="159"/>
      <c r="M54" s="145"/>
      <c r="N54" s="146" t="s">
        <v>1556</v>
      </c>
      <c r="O54" s="147"/>
      <c r="P54" s="148"/>
      <c r="Q54" s="144"/>
    </row>
    <row r="55" spans="1:16383" x14ac:dyDescent="0.25">
      <c r="A55" s="144"/>
      <c r="B55" s="150" t="s">
        <v>1558</v>
      </c>
      <c r="C55" s="219" t="s">
        <v>1639</v>
      </c>
      <c r="D55" s="219"/>
      <c r="E55" s="219"/>
      <c r="F55" s="159"/>
      <c r="G55" s="149"/>
      <c r="H55" s="159"/>
      <c r="I55" s="159"/>
      <c r="J55" s="159"/>
      <c r="K55" s="159"/>
      <c r="L55" s="159"/>
      <c r="M55" s="145"/>
      <c r="N55" s="147"/>
      <c r="O55" s="147"/>
      <c r="P55" s="148"/>
      <c r="Q55" s="144"/>
    </row>
    <row r="56" spans="1:16383" ht="15" customHeight="1" x14ac:dyDescent="0.25">
      <c r="A56" s="144"/>
      <c r="B56" s="10">
        <f>IF('Fund 0001 Journal Entries'!$F$7="Proprietary - Enterprise Fund",ROUND('Fund 0001 Journal Entries'!$K$62,0),0)</f>
        <v>0</v>
      </c>
      <c r="C56" s="145"/>
      <c r="E56" s="145"/>
      <c r="F56" s="150"/>
      <c r="G56" s="145"/>
      <c r="H56" s="155"/>
      <c r="I56" s="156"/>
      <c r="J56" s="155"/>
      <c r="K56" s="145"/>
      <c r="L56" s="144"/>
      <c r="M56" s="152"/>
      <c r="N56" s="154" t="str">
        <f>'Department Note Disclosure'!$A$47&amp;" Principal Payments"</f>
        <v>2024–2025 Principal Payments</v>
      </c>
      <c r="O56" s="147"/>
      <c r="P56" s="147" t="s">
        <v>1563</v>
      </c>
      <c r="Q56" s="144"/>
    </row>
    <row r="57" spans="1:16383" ht="17.25" x14ac:dyDescent="0.25">
      <c r="A57" s="144"/>
      <c r="B57" s="157" t="str">
        <f>IF(OR(P57&gt;0.99, (P57&lt;(-0.99))), "Please review and correct the variance.","")</f>
        <v/>
      </c>
      <c r="C57" s="145"/>
      <c r="E57" s="145"/>
      <c r="G57" s="145"/>
      <c r="H57" s="155"/>
      <c r="I57" s="156"/>
      <c r="J57" s="155"/>
      <c r="K57" s="145"/>
      <c r="L57" s="158"/>
      <c r="M57" s="23"/>
      <c r="N57" s="12">
        <f>ROUND('Department Note Disclosure'!$B$78,0)</f>
        <v>0</v>
      </c>
      <c r="O57" s="24"/>
      <c r="P57" s="13">
        <f>B56-N57</f>
        <v>0</v>
      </c>
      <c r="Q57" s="144"/>
    </row>
    <row r="58" spans="1:16383" x14ac:dyDescent="0.25">
      <c r="A58" s="144"/>
      <c r="C58" s="156"/>
      <c r="E58" s="156"/>
      <c r="F58" s="155"/>
      <c r="G58" s="156"/>
      <c r="H58" s="155"/>
      <c r="I58" s="156"/>
      <c r="J58" s="155"/>
      <c r="K58" s="156"/>
      <c r="L58" s="155"/>
      <c r="M58" s="156"/>
      <c r="N58" s="155"/>
      <c r="O58" s="156"/>
      <c r="P58" s="155"/>
      <c r="Q58" s="144"/>
    </row>
    <row r="59" spans="1:16383" x14ac:dyDescent="0.25">
      <c r="A59" s="213" t="s">
        <v>1561</v>
      </c>
      <c r="B59" s="213"/>
      <c r="C59" s="213"/>
      <c r="D59" s="213"/>
      <c r="E59" s="213"/>
      <c r="F59" s="213"/>
      <c r="G59" s="213"/>
      <c r="H59" s="213"/>
      <c r="I59" s="213"/>
      <c r="J59" s="213"/>
      <c r="K59" s="213"/>
      <c r="L59" s="213"/>
      <c r="M59" s="213"/>
      <c r="N59" s="213"/>
      <c r="O59" s="213"/>
      <c r="P59" s="213"/>
      <c r="Q59" s="213"/>
    </row>
    <row r="60" spans="1:16383" ht="15" customHeight="1" x14ac:dyDescent="0.25">
      <c r="A60" s="211" t="s">
        <v>1642</v>
      </c>
      <c r="B60" s="211"/>
      <c r="C60" s="211"/>
      <c r="D60" s="211"/>
      <c r="E60" s="211"/>
      <c r="F60" s="211"/>
      <c r="G60" s="211"/>
      <c r="H60" s="211"/>
      <c r="I60" s="211"/>
      <c r="J60" s="211"/>
      <c r="K60" s="211"/>
      <c r="L60" s="211"/>
      <c r="M60" s="211"/>
      <c r="N60" s="211"/>
      <c r="O60" s="211"/>
      <c r="P60" s="211"/>
      <c r="Q60" s="211"/>
    </row>
    <row r="61" spans="1:16383" ht="6" customHeight="1" x14ac:dyDescent="0.25">
      <c r="A61" s="144"/>
      <c r="B61" s="161"/>
      <c r="C61" s="147"/>
      <c r="D61" s="161"/>
      <c r="E61" s="147"/>
      <c r="F61" s="161"/>
      <c r="G61" s="147"/>
      <c r="H61" s="161"/>
      <c r="I61" s="147"/>
      <c r="J61" s="161"/>
      <c r="K61" s="147"/>
      <c r="L61" s="161"/>
      <c r="M61" s="147"/>
      <c r="N61" s="161"/>
      <c r="O61" s="147"/>
      <c r="P61" s="161"/>
      <c r="Q61" s="144"/>
    </row>
    <row r="62" spans="1:16383" ht="15" customHeight="1" x14ac:dyDescent="0.25">
      <c r="A62" s="144"/>
      <c r="B62" s="216" t="s">
        <v>1617</v>
      </c>
      <c r="C62" s="216"/>
      <c r="D62" s="216"/>
      <c r="E62" s="216"/>
      <c r="F62" s="216"/>
      <c r="G62" s="216"/>
      <c r="H62" s="216"/>
      <c r="I62" s="147"/>
      <c r="J62" s="146" t="s">
        <v>1641</v>
      </c>
      <c r="K62" s="147"/>
      <c r="L62" s="216" t="s">
        <v>118</v>
      </c>
      <c r="M62" s="216"/>
      <c r="N62" s="216"/>
      <c r="O62" s="147"/>
      <c r="P62" s="161"/>
      <c r="Q62" s="144"/>
    </row>
    <row r="63" spans="1:16383" x14ac:dyDescent="0.25">
      <c r="A63" s="144"/>
      <c r="B63" s="144"/>
      <c r="C63" s="145"/>
      <c r="D63" s="144"/>
      <c r="E63" s="145"/>
      <c r="F63" s="144"/>
      <c r="G63" s="145"/>
      <c r="H63" s="144"/>
      <c r="I63" s="147"/>
      <c r="J63" s="144"/>
      <c r="K63" s="145"/>
      <c r="L63" s="144"/>
      <c r="M63" s="145"/>
      <c r="N63" s="144"/>
      <c r="O63" s="145"/>
      <c r="P63" s="147" t="s">
        <v>1563</v>
      </c>
      <c r="Q63" s="144"/>
    </row>
    <row r="64" spans="1:16383" x14ac:dyDescent="0.25">
      <c r="B64" s="162" t="s">
        <v>1552</v>
      </c>
      <c r="D64" s="14">
        <f>$B$17</f>
        <v>533479</v>
      </c>
      <c r="I64" s="25" t="s">
        <v>1555</v>
      </c>
      <c r="J64" s="14">
        <f>SUM(D64)</f>
        <v>533479</v>
      </c>
      <c r="L64" s="164" t="str">
        <f>CONCATENATE("Balance July 1, ",LEFT('Department Note Disclosure'!$B$11,4))</f>
        <v>Balance July 1, 2023</v>
      </c>
      <c r="N64" s="14">
        <f>ROUND('SBITA Liabilities'!$F$10,0)</f>
        <v>533479</v>
      </c>
      <c r="P64" s="13">
        <f>J64-N64</f>
        <v>0</v>
      </c>
    </row>
    <row r="65" spans="1:16383" x14ac:dyDescent="0.25">
      <c r="B65" s="162" t="s">
        <v>1620</v>
      </c>
      <c r="D65" s="14">
        <f>$D$17</f>
        <v>207379</v>
      </c>
      <c r="E65" s="165" t="s">
        <v>1551</v>
      </c>
      <c r="F65" s="150" t="s">
        <v>1646</v>
      </c>
      <c r="H65" s="14">
        <f>J17</f>
        <v>0</v>
      </c>
      <c r="I65" s="25" t="s">
        <v>1555</v>
      </c>
      <c r="J65" s="14">
        <f>SUM(D65,H65)</f>
        <v>207379</v>
      </c>
      <c r="L65" s="164" t="s">
        <v>9</v>
      </c>
      <c r="N65" s="14">
        <f>ROUND('SBITA Liabilities'!$H$10,0)</f>
        <v>207379</v>
      </c>
      <c r="P65" s="13">
        <f>J65-N65</f>
        <v>0</v>
      </c>
    </row>
    <row r="66" spans="1:16383" x14ac:dyDescent="0.25">
      <c r="B66" s="162" t="s">
        <v>1554</v>
      </c>
      <c r="D66" s="14">
        <f>$F$17</f>
        <v>339395</v>
      </c>
      <c r="E66" s="165" t="s">
        <v>1551</v>
      </c>
      <c r="F66" s="150" t="s">
        <v>1645</v>
      </c>
      <c r="H66" s="14">
        <f>H17</f>
        <v>207379</v>
      </c>
      <c r="I66" s="25" t="s">
        <v>1555</v>
      </c>
      <c r="J66" s="14">
        <f>SUM(D66,H66)</f>
        <v>546774</v>
      </c>
      <c r="L66" s="164" t="s">
        <v>10</v>
      </c>
      <c r="N66" s="14">
        <f>ROUND('SBITA Liabilities'!$J$10,0)</f>
        <v>546774</v>
      </c>
      <c r="P66" s="13">
        <f>J66-N66</f>
        <v>0</v>
      </c>
    </row>
    <row r="67" spans="1:16383" x14ac:dyDescent="0.25">
      <c r="B67" s="162" t="s">
        <v>1558</v>
      </c>
      <c r="D67" s="14">
        <f>$B$42</f>
        <v>194084</v>
      </c>
      <c r="I67" s="25" t="s">
        <v>1555</v>
      </c>
      <c r="J67" s="14">
        <f>SUM(D67)</f>
        <v>194084</v>
      </c>
      <c r="L67" s="164" t="s">
        <v>11</v>
      </c>
      <c r="N67" s="14">
        <f>ROUND('SBITA Liabilities'!$N$10,0)</f>
        <v>194084</v>
      </c>
      <c r="P67" s="13">
        <f>J67-N67</f>
        <v>0</v>
      </c>
    </row>
    <row r="68" spans="1:16383" ht="15.95" customHeight="1" x14ac:dyDescent="0.25">
      <c r="D68" s="157" t="str">
        <f>IF(OR(P64&gt;0.99, P64&lt;(-0.99),P65&gt;0.99,P65&lt;(-0.99),P66&gt;0.99,P66&lt;(-0.99),P67&gt;0.99,P67&lt;(-0.99)), "Please review and correct the variance(s).","")</f>
        <v/>
      </c>
    </row>
    <row r="69" spans="1:16383" ht="6" customHeight="1" x14ac:dyDescent="0.25">
      <c r="D69" s="166"/>
    </row>
    <row r="70" spans="1:16383" s="167" customFormat="1" x14ac:dyDescent="0.25">
      <c r="A70" s="211" t="s">
        <v>1643</v>
      </c>
      <c r="B70" s="211"/>
      <c r="C70" s="211"/>
      <c r="D70" s="211"/>
      <c r="E70" s="211"/>
      <c r="F70" s="211"/>
      <c r="G70" s="211"/>
      <c r="H70" s="211"/>
      <c r="I70" s="211"/>
      <c r="J70" s="211"/>
      <c r="K70" s="211"/>
      <c r="L70" s="211"/>
      <c r="M70" s="211"/>
      <c r="N70" s="211"/>
      <c r="O70" s="211"/>
      <c r="P70" s="211"/>
      <c r="Q70" s="211"/>
    </row>
    <row r="71" spans="1:16383" ht="6" customHeight="1" x14ac:dyDescent="0.25">
      <c r="B71" s="167"/>
    </row>
    <row r="72" spans="1:16383" ht="15" customHeight="1" x14ac:dyDescent="0.25">
      <c r="B72" s="216" t="s">
        <v>1617</v>
      </c>
      <c r="C72" s="216"/>
      <c r="D72" s="216"/>
      <c r="E72" s="216"/>
      <c r="F72" s="216"/>
      <c r="G72" s="216"/>
      <c r="H72" s="216"/>
      <c r="I72" s="147"/>
      <c r="J72" s="146" t="s">
        <v>1641</v>
      </c>
      <c r="K72" s="147"/>
      <c r="L72" s="216" t="s">
        <v>118</v>
      </c>
      <c r="M72" s="216"/>
      <c r="N72" s="216"/>
    </row>
    <row r="73" spans="1:16383" x14ac:dyDescent="0.25">
      <c r="I73" s="147"/>
      <c r="J73" s="144"/>
      <c r="L73" s="144"/>
      <c r="M73" s="145"/>
      <c r="N73" s="144"/>
      <c r="O73" s="145"/>
      <c r="P73" s="147" t="s">
        <v>1563</v>
      </c>
    </row>
    <row r="74" spans="1:16383" x14ac:dyDescent="0.25">
      <c r="B74" s="162" t="s">
        <v>1552</v>
      </c>
      <c r="D74" s="14">
        <f>$B$25</f>
        <v>0</v>
      </c>
      <c r="I74" s="25" t="s">
        <v>1555</v>
      </c>
      <c r="J74" s="14">
        <f>SUM(D74)</f>
        <v>0</v>
      </c>
      <c r="L74" s="164" t="str">
        <f>CONCATENATE("Balance July 1, ",LEFT('Department Note Disclosure'!$B$11,4))</f>
        <v>Balance July 1, 2023</v>
      </c>
      <c r="N74" s="14">
        <f>ROUND('SBITA Liabilities'!$F$14,0)</f>
        <v>0</v>
      </c>
      <c r="P74" s="13">
        <f>J74-N74</f>
        <v>0</v>
      </c>
    </row>
    <row r="75" spans="1:16383" x14ac:dyDescent="0.25">
      <c r="B75" s="162" t="s">
        <v>1620</v>
      </c>
      <c r="D75" s="14">
        <f>D25</f>
        <v>0</v>
      </c>
      <c r="E75" s="165" t="s">
        <v>1551</v>
      </c>
      <c r="F75" s="150" t="s">
        <v>1646</v>
      </c>
      <c r="H75" s="14">
        <f>J25</f>
        <v>0</v>
      </c>
      <c r="I75" s="25" t="s">
        <v>1555</v>
      </c>
      <c r="J75" s="14">
        <f>SUM(D75,H75)</f>
        <v>0</v>
      </c>
      <c r="L75" s="164" t="s">
        <v>9</v>
      </c>
      <c r="N75" s="14">
        <f>ROUND('SBITA Liabilities'!$H$14,0)</f>
        <v>0</v>
      </c>
      <c r="P75" s="13">
        <f>J75-N75</f>
        <v>0</v>
      </c>
    </row>
    <row r="76" spans="1:16383" x14ac:dyDescent="0.25">
      <c r="B76" s="162" t="s">
        <v>1554</v>
      </c>
      <c r="D76" s="14">
        <f>F25</f>
        <v>0</v>
      </c>
      <c r="E76" s="165" t="s">
        <v>1551</v>
      </c>
      <c r="F76" s="150" t="s">
        <v>1645</v>
      </c>
      <c r="H76" s="14">
        <f>H25</f>
        <v>0</v>
      </c>
      <c r="I76" s="25" t="s">
        <v>1555</v>
      </c>
      <c r="J76" s="14">
        <f>SUM(D76,H76)</f>
        <v>0</v>
      </c>
      <c r="L76" s="164" t="s">
        <v>10</v>
      </c>
      <c r="N76" s="14">
        <f>ROUND('SBITA Liabilities'!$J$14,0)</f>
        <v>0</v>
      </c>
      <c r="P76" s="13">
        <f>J76-N76</f>
        <v>0</v>
      </c>
    </row>
    <row r="77" spans="1:16383" x14ac:dyDescent="0.25">
      <c r="B77" s="162" t="s">
        <v>1558</v>
      </c>
      <c r="D77" s="14">
        <f>B49</f>
        <v>0</v>
      </c>
      <c r="I77" s="25" t="s">
        <v>1555</v>
      </c>
      <c r="J77" s="14">
        <f>SUM(D77)</f>
        <v>0</v>
      </c>
      <c r="L77" s="164" t="s">
        <v>11</v>
      </c>
      <c r="N77" s="14">
        <f>ROUND('SBITA Liabilities'!$N$14,0)</f>
        <v>0</v>
      </c>
      <c r="P77" s="13">
        <f>J77-N77</f>
        <v>0</v>
      </c>
    </row>
    <row r="78" spans="1:16383" ht="17.25" x14ac:dyDescent="0.25">
      <c r="D78" s="157" t="str">
        <f>IF(OR(P74&gt;0.99, P74&lt;(-0.99),P75&gt;0.99,P75&lt;(-0.99),P76&gt;0.99,P76&lt;(-0.99),P77&gt;0.99,P77&lt;(-0.99)), "Please review and correct the variance(s)","")</f>
        <v/>
      </c>
    </row>
    <row r="79" spans="1:16383" ht="6" customHeight="1" x14ac:dyDescent="0.25">
      <c r="D79" s="157"/>
    </row>
    <row r="80" spans="1:16383" x14ac:dyDescent="0.25">
      <c r="A80" s="211" t="s">
        <v>1644</v>
      </c>
      <c r="B80" s="211"/>
      <c r="C80" s="211"/>
      <c r="D80" s="211"/>
      <c r="E80" s="211"/>
      <c r="F80" s="211"/>
      <c r="G80" s="211"/>
      <c r="H80" s="211"/>
      <c r="I80" s="211"/>
      <c r="J80" s="211"/>
      <c r="K80" s="211"/>
      <c r="L80" s="211"/>
      <c r="M80" s="211"/>
      <c r="N80" s="211"/>
      <c r="O80" s="211"/>
      <c r="P80" s="211"/>
      <c r="Q80" s="211"/>
      <c r="R80" s="211"/>
      <c r="S80" s="211"/>
      <c r="T80" s="211"/>
      <c r="U80" s="211"/>
      <c r="V80" s="211"/>
      <c r="W80" s="211"/>
      <c r="X80" s="211"/>
      <c r="Y80" s="211"/>
      <c r="Z80" s="211"/>
      <c r="AA80" s="211"/>
      <c r="AB80" s="211"/>
      <c r="AC80" s="211"/>
      <c r="AD80" s="211"/>
      <c r="AE80" s="211"/>
      <c r="AF80" s="211"/>
      <c r="AG80" s="211"/>
      <c r="AH80" s="211"/>
      <c r="AI80" s="211"/>
      <c r="AJ80" s="211"/>
      <c r="AK80" s="211"/>
      <c r="AL80" s="211"/>
      <c r="AM80" s="211"/>
      <c r="AN80" s="211"/>
      <c r="AO80" s="211"/>
      <c r="AP80" s="211"/>
      <c r="AQ80" s="211"/>
      <c r="AR80" s="211"/>
      <c r="AS80" s="211"/>
      <c r="AT80" s="211"/>
      <c r="AU80" s="211"/>
      <c r="AV80" s="211"/>
      <c r="AW80" s="211"/>
      <c r="AX80" s="211"/>
      <c r="AY80" s="211"/>
      <c r="AZ80" s="211"/>
      <c r="BA80" s="211"/>
      <c r="BB80" s="211"/>
      <c r="BC80" s="211"/>
      <c r="BD80" s="211"/>
      <c r="BE80" s="211"/>
      <c r="BF80" s="211"/>
      <c r="BG80" s="211"/>
      <c r="BH80" s="211"/>
      <c r="BI80" s="211"/>
      <c r="BJ80" s="211"/>
      <c r="BK80" s="211"/>
      <c r="BL80" s="211"/>
      <c r="BM80" s="211"/>
      <c r="BN80" s="211"/>
      <c r="BO80" s="211"/>
      <c r="BP80" s="211"/>
      <c r="BQ80" s="211"/>
      <c r="BR80" s="211"/>
      <c r="BS80" s="211"/>
      <c r="BT80" s="211"/>
      <c r="BU80" s="211"/>
      <c r="BV80" s="211"/>
      <c r="BW80" s="211"/>
      <c r="BX80" s="211"/>
      <c r="BY80" s="211"/>
      <c r="BZ80" s="211"/>
      <c r="CA80" s="211"/>
      <c r="CB80" s="211"/>
      <c r="CC80" s="211"/>
      <c r="CD80" s="211"/>
      <c r="CE80" s="211"/>
      <c r="CF80" s="211"/>
      <c r="CG80" s="211"/>
      <c r="CH80" s="211"/>
      <c r="CI80" s="211"/>
      <c r="CJ80" s="211"/>
      <c r="CK80" s="211"/>
      <c r="CL80" s="211"/>
      <c r="CM80" s="211"/>
      <c r="CN80" s="211"/>
      <c r="CO80" s="211"/>
      <c r="CP80" s="211"/>
      <c r="CQ80" s="211"/>
      <c r="CR80" s="211"/>
      <c r="CS80" s="211"/>
      <c r="CT80" s="211"/>
      <c r="CU80" s="211"/>
      <c r="CV80" s="211"/>
      <c r="CW80" s="211"/>
      <c r="CX80" s="211"/>
      <c r="CY80" s="211"/>
      <c r="CZ80" s="211"/>
      <c r="DA80" s="211"/>
      <c r="DB80" s="211"/>
      <c r="DC80" s="211"/>
      <c r="DD80" s="211"/>
      <c r="DE80" s="211"/>
      <c r="DF80" s="211"/>
      <c r="DG80" s="211"/>
      <c r="DH80" s="211"/>
      <c r="DI80" s="211"/>
      <c r="DJ80" s="211"/>
      <c r="DK80" s="211"/>
      <c r="DL80" s="211"/>
      <c r="DM80" s="211"/>
      <c r="DN80" s="211"/>
      <c r="DO80" s="211"/>
      <c r="DP80" s="211"/>
      <c r="DQ80" s="211"/>
      <c r="DR80" s="211"/>
      <c r="DS80" s="211"/>
      <c r="DT80" s="211"/>
      <c r="DU80" s="211"/>
      <c r="DV80" s="211"/>
      <c r="DW80" s="211"/>
      <c r="DX80" s="211"/>
      <c r="DY80" s="211"/>
      <c r="DZ80" s="211"/>
      <c r="EA80" s="211"/>
      <c r="EB80" s="211"/>
      <c r="EC80" s="211"/>
      <c r="ED80" s="211"/>
      <c r="EE80" s="211"/>
      <c r="EF80" s="211"/>
      <c r="EG80" s="211"/>
      <c r="EH80" s="211"/>
      <c r="EI80" s="211"/>
      <c r="EJ80" s="211"/>
      <c r="EK80" s="211"/>
      <c r="EL80" s="211"/>
      <c r="EM80" s="211"/>
      <c r="EN80" s="211"/>
      <c r="EO80" s="211"/>
      <c r="EP80" s="211"/>
      <c r="EQ80" s="211"/>
      <c r="ER80" s="211"/>
      <c r="ES80" s="211"/>
      <c r="ET80" s="211"/>
      <c r="EU80" s="211"/>
      <c r="EV80" s="211"/>
      <c r="EW80" s="211"/>
      <c r="EX80" s="211"/>
      <c r="EY80" s="211"/>
      <c r="EZ80" s="211"/>
      <c r="FA80" s="211"/>
      <c r="FB80" s="211"/>
      <c r="FC80" s="211"/>
      <c r="FD80" s="211"/>
      <c r="FE80" s="211"/>
      <c r="FF80" s="211"/>
      <c r="FG80" s="211"/>
      <c r="FH80" s="211"/>
      <c r="FI80" s="211"/>
      <c r="FJ80" s="211"/>
      <c r="FK80" s="211"/>
      <c r="FL80" s="211"/>
      <c r="FM80" s="211"/>
      <c r="FN80" s="211"/>
      <c r="FO80" s="211"/>
      <c r="FP80" s="211"/>
      <c r="FQ80" s="211"/>
      <c r="FR80" s="211"/>
      <c r="FS80" s="211"/>
      <c r="FT80" s="211"/>
      <c r="FU80" s="211"/>
      <c r="FV80" s="211"/>
      <c r="FW80" s="211"/>
      <c r="FX80" s="211"/>
      <c r="FY80" s="211"/>
      <c r="FZ80" s="211"/>
      <c r="GA80" s="211"/>
      <c r="GB80" s="211"/>
      <c r="GC80" s="211"/>
      <c r="GD80" s="211"/>
      <c r="GE80" s="211"/>
      <c r="GF80" s="211"/>
      <c r="GG80" s="211"/>
      <c r="GH80" s="211"/>
      <c r="GI80" s="211"/>
      <c r="GJ80" s="211"/>
      <c r="GK80" s="211"/>
      <c r="GL80" s="211"/>
      <c r="GM80" s="211"/>
      <c r="GN80" s="211"/>
      <c r="GO80" s="211"/>
      <c r="GP80" s="211"/>
      <c r="GQ80" s="211"/>
      <c r="GR80" s="211"/>
      <c r="GS80" s="211"/>
      <c r="GT80" s="211"/>
      <c r="GU80" s="211"/>
      <c r="GV80" s="211"/>
      <c r="GW80" s="211"/>
      <c r="GX80" s="211"/>
      <c r="GY80" s="211"/>
      <c r="GZ80" s="211"/>
      <c r="HA80" s="211"/>
      <c r="HB80" s="211"/>
      <c r="HC80" s="211"/>
      <c r="HD80" s="211"/>
      <c r="HE80" s="211"/>
      <c r="HF80" s="211"/>
      <c r="HG80" s="211"/>
      <c r="HH80" s="211"/>
      <c r="HI80" s="211"/>
      <c r="HJ80" s="211"/>
      <c r="HK80" s="211"/>
      <c r="HL80" s="211"/>
      <c r="HM80" s="211"/>
      <c r="HN80" s="211"/>
      <c r="HO80" s="211"/>
      <c r="HP80" s="211"/>
      <c r="HQ80" s="211"/>
      <c r="HR80" s="211"/>
      <c r="HS80" s="211"/>
      <c r="HT80" s="211"/>
      <c r="HU80" s="211"/>
      <c r="HV80" s="211"/>
      <c r="HW80" s="211"/>
      <c r="HX80" s="211"/>
      <c r="HY80" s="211"/>
      <c r="HZ80" s="211"/>
      <c r="IA80" s="211"/>
      <c r="IB80" s="211"/>
      <c r="IC80" s="211"/>
      <c r="ID80" s="211"/>
      <c r="IE80" s="211"/>
      <c r="IF80" s="211"/>
      <c r="IG80" s="211"/>
      <c r="IH80" s="211"/>
      <c r="II80" s="211"/>
      <c r="IJ80" s="211"/>
      <c r="IK80" s="211"/>
      <c r="IL80" s="211"/>
      <c r="IM80" s="211"/>
      <c r="IN80" s="211"/>
      <c r="IO80" s="211"/>
      <c r="IP80" s="211"/>
      <c r="IQ80" s="211"/>
      <c r="IR80" s="211"/>
      <c r="IS80" s="211"/>
      <c r="IT80" s="211"/>
      <c r="IU80" s="211"/>
      <c r="IV80" s="211"/>
      <c r="IW80" s="211"/>
      <c r="IX80" s="211"/>
      <c r="IY80" s="211"/>
      <c r="IZ80" s="211"/>
      <c r="JA80" s="211"/>
      <c r="JB80" s="211"/>
      <c r="JC80" s="211"/>
      <c r="JD80" s="211"/>
      <c r="JE80" s="211"/>
      <c r="JF80" s="211"/>
      <c r="JG80" s="211"/>
      <c r="JH80" s="211"/>
      <c r="JI80" s="211"/>
      <c r="JJ80" s="211"/>
      <c r="JK80" s="211"/>
      <c r="JL80" s="211"/>
      <c r="JM80" s="211"/>
      <c r="JN80" s="211"/>
      <c r="JO80" s="211"/>
      <c r="JP80" s="211"/>
      <c r="JQ80" s="211"/>
      <c r="JR80" s="211"/>
      <c r="JS80" s="211"/>
      <c r="JT80" s="211"/>
      <c r="JU80" s="211"/>
      <c r="JV80" s="211"/>
      <c r="JW80" s="211"/>
      <c r="JX80" s="211"/>
      <c r="JY80" s="211"/>
      <c r="JZ80" s="211"/>
      <c r="KA80" s="211"/>
      <c r="KB80" s="211"/>
      <c r="KC80" s="211"/>
      <c r="KD80" s="211"/>
      <c r="KE80" s="211"/>
      <c r="KF80" s="211"/>
      <c r="KG80" s="211"/>
      <c r="KH80" s="211"/>
      <c r="KI80" s="211"/>
      <c r="KJ80" s="211"/>
      <c r="KK80" s="211"/>
      <c r="KL80" s="211"/>
      <c r="KM80" s="211"/>
      <c r="KN80" s="211"/>
      <c r="KO80" s="211"/>
      <c r="KP80" s="211"/>
      <c r="KQ80" s="211"/>
      <c r="KR80" s="211"/>
      <c r="KS80" s="211"/>
      <c r="KT80" s="211"/>
      <c r="KU80" s="211"/>
      <c r="KV80" s="211"/>
      <c r="KW80" s="211"/>
      <c r="KX80" s="211"/>
      <c r="KY80" s="211"/>
      <c r="KZ80" s="211"/>
      <c r="LA80" s="211"/>
      <c r="LB80" s="211"/>
      <c r="LC80" s="211"/>
      <c r="LD80" s="211"/>
      <c r="LE80" s="211"/>
      <c r="LF80" s="211"/>
      <c r="LG80" s="211"/>
      <c r="LH80" s="211"/>
      <c r="LI80" s="211"/>
      <c r="LJ80" s="211"/>
      <c r="LK80" s="211"/>
      <c r="LL80" s="211"/>
      <c r="LM80" s="211"/>
      <c r="LN80" s="211"/>
      <c r="LO80" s="211"/>
      <c r="LP80" s="211"/>
      <c r="LQ80" s="211"/>
      <c r="LR80" s="211"/>
      <c r="LS80" s="211"/>
      <c r="LT80" s="211"/>
      <c r="LU80" s="211"/>
      <c r="LV80" s="211"/>
      <c r="LW80" s="211"/>
      <c r="LX80" s="211"/>
      <c r="LY80" s="211"/>
      <c r="LZ80" s="211"/>
      <c r="MA80" s="211"/>
      <c r="MB80" s="211"/>
      <c r="MC80" s="211"/>
      <c r="MD80" s="211"/>
      <c r="ME80" s="211"/>
      <c r="MF80" s="211"/>
      <c r="MG80" s="211"/>
      <c r="MH80" s="211"/>
      <c r="MI80" s="211"/>
      <c r="MJ80" s="211"/>
      <c r="MK80" s="211"/>
      <c r="ML80" s="211"/>
      <c r="MM80" s="211"/>
      <c r="MN80" s="211"/>
      <c r="MO80" s="211"/>
      <c r="MP80" s="211"/>
      <c r="MQ80" s="211"/>
      <c r="MR80" s="211"/>
      <c r="MS80" s="211"/>
      <c r="MT80" s="211"/>
      <c r="MU80" s="211"/>
      <c r="MV80" s="211"/>
      <c r="MW80" s="211"/>
      <c r="MX80" s="211"/>
      <c r="MY80" s="211"/>
      <c r="MZ80" s="211"/>
      <c r="NA80" s="211"/>
      <c r="NB80" s="211"/>
      <c r="NC80" s="211"/>
      <c r="ND80" s="211"/>
      <c r="NE80" s="211"/>
      <c r="NF80" s="211"/>
      <c r="NG80" s="211"/>
      <c r="NH80" s="211"/>
      <c r="NI80" s="211"/>
      <c r="NJ80" s="211"/>
      <c r="NK80" s="211"/>
      <c r="NL80" s="211"/>
      <c r="NM80" s="211"/>
      <c r="NN80" s="211"/>
      <c r="NO80" s="211"/>
      <c r="NP80" s="211"/>
      <c r="NQ80" s="211"/>
      <c r="NR80" s="211"/>
      <c r="NS80" s="211"/>
      <c r="NT80" s="211"/>
      <c r="NU80" s="211"/>
      <c r="NV80" s="211"/>
      <c r="NW80" s="211"/>
      <c r="NX80" s="211"/>
      <c r="NY80" s="211"/>
      <c r="NZ80" s="211"/>
      <c r="OA80" s="211"/>
      <c r="OB80" s="211"/>
      <c r="OC80" s="211"/>
      <c r="OD80" s="211"/>
      <c r="OE80" s="211"/>
      <c r="OF80" s="211"/>
      <c r="OG80" s="211"/>
      <c r="OH80" s="211"/>
      <c r="OI80" s="211"/>
      <c r="OJ80" s="211"/>
      <c r="OK80" s="211"/>
      <c r="OL80" s="211"/>
      <c r="OM80" s="211"/>
      <c r="ON80" s="211"/>
      <c r="OO80" s="211"/>
      <c r="OP80" s="211"/>
      <c r="OQ80" s="211"/>
      <c r="OR80" s="211"/>
      <c r="OS80" s="211"/>
      <c r="OT80" s="211"/>
      <c r="OU80" s="211"/>
      <c r="OV80" s="211"/>
      <c r="OW80" s="211"/>
      <c r="OX80" s="211"/>
      <c r="OY80" s="211"/>
      <c r="OZ80" s="211"/>
      <c r="PA80" s="211"/>
      <c r="PB80" s="211"/>
      <c r="PC80" s="211"/>
      <c r="PD80" s="211"/>
      <c r="PE80" s="211"/>
      <c r="PF80" s="211"/>
      <c r="PG80" s="211"/>
      <c r="PH80" s="211"/>
      <c r="PI80" s="211"/>
      <c r="PJ80" s="211"/>
      <c r="PK80" s="211"/>
      <c r="PL80" s="211"/>
      <c r="PM80" s="211"/>
      <c r="PN80" s="211"/>
      <c r="PO80" s="211"/>
      <c r="PP80" s="211"/>
      <c r="PQ80" s="211"/>
      <c r="PR80" s="211"/>
      <c r="PS80" s="211"/>
      <c r="PT80" s="211"/>
      <c r="PU80" s="211"/>
      <c r="PV80" s="211"/>
      <c r="PW80" s="211"/>
      <c r="PX80" s="211"/>
      <c r="PY80" s="211"/>
      <c r="PZ80" s="211"/>
      <c r="QA80" s="211"/>
      <c r="QB80" s="211"/>
      <c r="QC80" s="211"/>
      <c r="QD80" s="211"/>
      <c r="QE80" s="211"/>
      <c r="QF80" s="211"/>
      <c r="QG80" s="211"/>
      <c r="QH80" s="211"/>
      <c r="QI80" s="211"/>
      <c r="QJ80" s="211"/>
      <c r="QK80" s="211"/>
      <c r="QL80" s="211"/>
      <c r="QM80" s="211"/>
      <c r="QN80" s="211"/>
      <c r="QO80" s="211"/>
      <c r="QP80" s="211"/>
      <c r="QQ80" s="211"/>
      <c r="QR80" s="211"/>
      <c r="QS80" s="211"/>
      <c r="QT80" s="211"/>
      <c r="QU80" s="211"/>
      <c r="QV80" s="211"/>
      <c r="QW80" s="211"/>
      <c r="QX80" s="211"/>
      <c r="QY80" s="211"/>
      <c r="QZ80" s="211"/>
      <c r="RA80" s="211"/>
      <c r="RB80" s="211"/>
      <c r="RC80" s="211"/>
      <c r="RD80" s="211"/>
      <c r="RE80" s="211"/>
      <c r="RF80" s="211"/>
      <c r="RG80" s="211"/>
      <c r="RH80" s="211"/>
      <c r="RI80" s="211"/>
      <c r="RJ80" s="211"/>
      <c r="RK80" s="211"/>
      <c r="RL80" s="211"/>
      <c r="RM80" s="211"/>
      <c r="RN80" s="211"/>
      <c r="RO80" s="211"/>
      <c r="RP80" s="211"/>
      <c r="RQ80" s="211"/>
      <c r="RR80" s="211"/>
      <c r="RS80" s="211"/>
      <c r="RT80" s="211"/>
      <c r="RU80" s="211"/>
      <c r="RV80" s="211"/>
      <c r="RW80" s="211"/>
      <c r="RX80" s="211"/>
      <c r="RY80" s="211"/>
      <c r="RZ80" s="211"/>
      <c r="SA80" s="211"/>
      <c r="SB80" s="211"/>
      <c r="SC80" s="211"/>
      <c r="SD80" s="211"/>
      <c r="SE80" s="211"/>
      <c r="SF80" s="211"/>
      <c r="SG80" s="211"/>
      <c r="SH80" s="211"/>
      <c r="SI80" s="211"/>
      <c r="SJ80" s="211"/>
      <c r="SK80" s="211"/>
      <c r="SL80" s="211"/>
      <c r="SM80" s="211"/>
      <c r="SN80" s="211"/>
      <c r="SO80" s="211"/>
      <c r="SP80" s="211"/>
      <c r="SQ80" s="211"/>
      <c r="SR80" s="211"/>
      <c r="SS80" s="211"/>
      <c r="ST80" s="211"/>
      <c r="SU80" s="211"/>
      <c r="SV80" s="211"/>
      <c r="SW80" s="211"/>
      <c r="SX80" s="211"/>
      <c r="SY80" s="211"/>
      <c r="SZ80" s="211"/>
      <c r="TA80" s="211"/>
      <c r="TB80" s="211"/>
      <c r="TC80" s="211"/>
      <c r="TD80" s="211"/>
      <c r="TE80" s="211"/>
      <c r="TF80" s="211"/>
      <c r="TG80" s="211"/>
      <c r="TH80" s="211"/>
      <c r="TI80" s="211"/>
      <c r="TJ80" s="211"/>
      <c r="TK80" s="211"/>
      <c r="TL80" s="211"/>
      <c r="TM80" s="211"/>
      <c r="TN80" s="211"/>
      <c r="TO80" s="211"/>
      <c r="TP80" s="211"/>
      <c r="TQ80" s="211"/>
      <c r="TR80" s="211"/>
      <c r="TS80" s="211"/>
      <c r="TT80" s="211"/>
      <c r="TU80" s="211"/>
      <c r="TV80" s="211"/>
      <c r="TW80" s="211"/>
      <c r="TX80" s="211"/>
      <c r="TY80" s="211"/>
      <c r="TZ80" s="211"/>
      <c r="UA80" s="211"/>
      <c r="UB80" s="211"/>
      <c r="UC80" s="211"/>
      <c r="UD80" s="211"/>
      <c r="UE80" s="211"/>
      <c r="UF80" s="211"/>
      <c r="UG80" s="211"/>
      <c r="UH80" s="211"/>
      <c r="UI80" s="211"/>
      <c r="UJ80" s="211"/>
      <c r="UK80" s="211"/>
      <c r="UL80" s="211"/>
      <c r="UM80" s="211"/>
      <c r="UN80" s="211"/>
      <c r="UO80" s="211"/>
      <c r="UP80" s="211"/>
      <c r="UQ80" s="211"/>
      <c r="UR80" s="211"/>
      <c r="US80" s="211"/>
      <c r="UT80" s="211"/>
      <c r="UU80" s="211"/>
      <c r="UV80" s="211"/>
      <c r="UW80" s="211"/>
      <c r="UX80" s="211"/>
      <c r="UY80" s="211"/>
      <c r="UZ80" s="211"/>
      <c r="VA80" s="211"/>
      <c r="VB80" s="211"/>
      <c r="VC80" s="211"/>
      <c r="VD80" s="211"/>
      <c r="VE80" s="211"/>
      <c r="VF80" s="211"/>
      <c r="VG80" s="211"/>
      <c r="VH80" s="211"/>
      <c r="VI80" s="211"/>
      <c r="VJ80" s="211"/>
      <c r="VK80" s="211"/>
      <c r="VL80" s="211"/>
      <c r="VM80" s="211"/>
      <c r="VN80" s="211"/>
      <c r="VO80" s="211"/>
      <c r="VP80" s="211"/>
      <c r="VQ80" s="211"/>
      <c r="VR80" s="211"/>
      <c r="VS80" s="211"/>
      <c r="VT80" s="211"/>
      <c r="VU80" s="211"/>
      <c r="VV80" s="211"/>
      <c r="VW80" s="211"/>
      <c r="VX80" s="211"/>
      <c r="VY80" s="211"/>
      <c r="VZ80" s="211"/>
      <c r="WA80" s="211"/>
      <c r="WB80" s="211"/>
      <c r="WC80" s="211"/>
      <c r="WD80" s="211"/>
      <c r="WE80" s="211"/>
      <c r="WF80" s="211"/>
      <c r="WG80" s="211"/>
      <c r="WH80" s="211"/>
      <c r="WI80" s="211"/>
      <c r="WJ80" s="211"/>
      <c r="WK80" s="211"/>
      <c r="WL80" s="211"/>
      <c r="WM80" s="211"/>
      <c r="WN80" s="211"/>
      <c r="WO80" s="211"/>
      <c r="WP80" s="211"/>
      <c r="WQ80" s="211"/>
      <c r="WR80" s="211"/>
      <c r="WS80" s="211"/>
      <c r="WT80" s="211"/>
      <c r="WU80" s="211"/>
      <c r="WV80" s="211"/>
      <c r="WW80" s="211"/>
      <c r="WX80" s="211"/>
      <c r="WY80" s="211"/>
      <c r="WZ80" s="211"/>
      <c r="XA80" s="211"/>
      <c r="XB80" s="211"/>
      <c r="XC80" s="211"/>
      <c r="XD80" s="211"/>
      <c r="XE80" s="211"/>
      <c r="XF80" s="211"/>
      <c r="XG80" s="211"/>
      <c r="XH80" s="211"/>
      <c r="XI80" s="211"/>
      <c r="XJ80" s="211"/>
      <c r="XK80" s="211"/>
      <c r="XL80" s="211"/>
      <c r="XM80" s="211"/>
      <c r="XN80" s="211"/>
      <c r="XO80" s="211"/>
      <c r="XP80" s="211"/>
      <c r="XQ80" s="211"/>
      <c r="XR80" s="211"/>
      <c r="XS80" s="211"/>
      <c r="XT80" s="211"/>
      <c r="XU80" s="211"/>
      <c r="XV80" s="211"/>
      <c r="XW80" s="211"/>
      <c r="XX80" s="211"/>
      <c r="XY80" s="211"/>
      <c r="XZ80" s="211"/>
      <c r="YA80" s="211"/>
      <c r="YB80" s="211"/>
      <c r="YC80" s="211"/>
      <c r="YD80" s="211"/>
      <c r="YE80" s="211"/>
      <c r="YF80" s="211"/>
      <c r="YG80" s="211"/>
      <c r="YH80" s="211"/>
      <c r="YI80" s="211"/>
      <c r="YJ80" s="211"/>
      <c r="YK80" s="211"/>
      <c r="YL80" s="211"/>
      <c r="YM80" s="211"/>
      <c r="YN80" s="211"/>
      <c r="YO80" s="211"/>
      <c r="YP80" s="211"/>
      <c r="YQ80" s="211"/>
      <c r="YR80" s="211"/>
      <c r="YS80" s="211"/>
      <c r="YT80" s="211"/>
      <c r="YU80" s="211"/>
      <c r="YV80" s="211"/>
      <c r="YW80" s="211"/>
      <c r="YX80" s="211"/>
      <c r="YY80" s="211"/>
      <c r="YZ80" s="211"/>
      <c r="ZA80" s="211"/>
      <c r="ZB80" s="211"/>
      <c r="ZC80" s="211"/>
      <c r="ZD80" s="211"/>
      <c r="ZE80" s="211"/>
      <c r="ZF80" s="211"/>
      <c r="ZG80" s="211"/>
      <c r="ZH80" s="211"/>
      <c r="ZI80" s="211"/>
      <c r="ZJ80" s="211"/>
      <c r="ZK80" s="211"/>
      <c r="ZL80" s="211"/>
      <c r="ZM80" s="211"/>
      <c r="ZN80" s="211"/>
      <c r="ZO80" s="211"/>
      <c r="ZP80" s="211"/>
      <c r="ZQ80" s="211"/>
      <c r="ZR80" s="211"/>
      <c r="ZS80" s="211"/>
      <c r="ZT80" s="211"/>
      <c r="ZU80" s="211"/>
      <c r="ZV80" s="211"/>
      <c r="ZW80" s="211"/>
      <c r="ZX80" s="211"/>
      <c r="ZY80" s="211"/>
      <c r="ZZ80" s="211"/>
      <c r="AAA80" s="211"/>
      <c r="AAB80" s="211"/>
      <c r="AAC80" s="211"/>
      <c r="AAD80" s="211"/>
      <c r="AAE80" s="211"/>
      <c r="AAF80" s="211"/>
      <c r="AAG80" s="211"/>
      <c r="AAH80" s="211"/>
      <c r="AAI80" s="211"/>
      <c r="AAJ80" s="211"/>
      <c r="AAK80" s="211"/>
      <c r="AAL80" s="211"/>
      <c r="AAM80" s="211"/>
      <c r="AAN80" s="211"/>
      <c r="AAO80" s="211"/>
      <c r="AAP80" s="211"/>
      <c r="AAQ80" s="211"/>
      <c r="AAR80" s="211"/>
      <c r="AAS80" s="211"/>
      <c r="AAT80" s="211"/>
      <c r="AAU80" s="211"/>
      <c r="AAV80" s="211"/>
      <c r="AAW80" s="211"/>
      <c r="AAX80" s="211"/>
      <c r="AAY80" s="211"/>
      <c r="AAZ80" s="211"/>
      <c r="ABA80" s="211"/>
      <c r="ABB80" s="211"/>
      <c r="ABC80" s="211"/>
      <c r="ABD80" s="211"/>
      <c r="ABE80" s="211"/>
      <c r="ABF80" s="211"/>
      <c r="ABG80" s="211"/>
      <c r="ABH80" s="211"/>
      <c r="ABI80" s="211"/>
      <c r="ABJ80" s="211"/>
      <c r="ABK80" s="211"/>
      <c r="ABL80" s="211"/>
      <c r="ABM80" s="211"/>
      <c r="ABN80" s="211"/>
      <c r="ABO80" s="211"/>
      <c r="ABP80" s="211"/>
      <c r="ABQ80" s="211"/>
      <c r="ABR80" s="211"/>
      <c r="ABS80" s="211"/>
      <c r="ABT80" s="211"/>
      <c r="ABU80" s="211"/>
      <c r="ABV80" s="211"/>
      <c r="ABW80" s="211"/>
      <c r="ABX80" s="211"/>
      <c r="ABY80" s="211"/>
      <c r="ABZ80" s="211"/>
      <c r="ACA80" s="211"/>
      <c r="ACB80" s="211"/>
      <c r="ACC80" s="211"/>
      <c r="ACD80" s="211"/>
      <c r="ACE80" s="211"/>
      <c r="ACF80" s="211"/>
      <c r="ACG80" s="211"/>
      <c r="ACH80" s="211"/>
      <c r="ACI80" s="211"/>
      <c r="ACJ80" s="211"/>
      <c r="ACK80" s="211"/>
      <c r="ACL80" s="211"/>
      <c r="ACM80" s="211"/>
      <c r="ACN80" s="211"/>
      <c r="ACO80" s="211"/>
      <c r="ACP80" s="211"/>
      <c r="ACQ80" s="211"/>
      <c r="ACR80" s="211"/>
      <c r="ACS80" s="211"/>
      <c r="ACT80" s="211"/>
      <c r="ACU80" s="211"/>
      <c r="ACV80" s="211"/>
      <c r="ACW80" s="211"/>
      <c r="ACX80" s="211"/>
      <c r="ACY80" s="211"/>
      <c r="ACZ80" s="211"/>
      <c r="ADA80" s="211"/>
      <c r="ADB80" s="211"/>
      <c r="ADC80" s="211"/>
      <c r="ADD80" s="211"/>
      <c r="ADE80" s="211"/>
      <c r="ADF80" s="211"/>
      <c r="ADG80" s="211"/>
      <c r="ADH80" s="211"/>
      <c r="ADI80" s="211"/>
      <c r="ADJ80" s="211"/>
      <c r="ADK80" s="211"/>
      <c r="ADL80" s="211"/>
      <c r="ADM80" s="211"/>
      <c r="ADN80" s="211"/>
      <c r="ADO80" s="211"/>
      <c r="ADP80" s="211"/>
      <c r="ADQ80" s="211"/>
      <c r="ADR80" s="211"/>
      <c r="ADS80" s="211"/>
      <c r="ADT80" s="211"/>
      <c r="ADU80" s="211"/>
      <c r="ADV80" s="211"/>
      <c r="ADW80" s="211"/>
      <c r="ADX80" s="211"/>
      <c r="ADY80" s="211"/>
      <c r="ADZ80" s="211"/>
      <c r="AEA80" s="211"/>
      <c r="AEB80" s="211"/>
      <c r="AEC80" s="211"/>
      <c r="AED80" s="211"/>
      <c r="AEE80" s="211"/>
      <c r="AEF80" s="211"/>
      <c r="AEG80" s="211"/>
      <c r="AEH80" s="211"/>
      <c r="AEI80" s="211"/>
      <c r="AEJ80" s="211"/>
      <c r="AEK80" s="211"/>
      <c r="AEL80" s="211"/>
      <c r="AEM80" s="211"/>
      <c r="AEN80" s="211"/>
      <c r="AEO80" s="211"/>
      <c r="AEP80" s="211"/>
      <c r="AEQ80" s="211"/>
      <c r="AER80" s="211"/>
      <c r="AES80" s="211"/>
      <c r="AET80" s="211"/>
      <c r="AEU80" s="211"/>
      <c r="AEV80" s="211"/>
      <c r="AEW80" s="211"/>
      <c r="AEX80" s="211"/>
      <c r="AEY80" s="211"/>
      <c r="AEZ80" s="211"/>
      <c r="AFA80" s="211"/>
      <c r="AFB80" s="211"/>
      <c r="AFC80" s="211"/>
      <c r="AFD80" s="211"/>
      <c r="AFE80" s="211"/>
      <c r="AFF80" s="211"/>
      <c r="AFG80" s="211"/>
      <c r="AFH80" s="211"/>
      <c r="AFI80" s="211"/>
      <c r="AFJ80" s="211"/>
      <c r="AFK80" s="211"/>
      <c r="AFL80" s="211"/>
      <c r="AFM80" s="211"/>
      <c r="AFN80" s="211"/>
      <c r="AFO80" s="211"/>
      <c r="AFP80" s="211"/>
      <c r="AFQ80" s="211"/>
      <c r="AFR80" s="211"/>
      <c r="AFS80" s="211"/>
      <c r="AFT80" s="211"/>
      <c r="AFU80" s="211"/>
      <c r="AFV80" s="211"/>
      <c r="AFW80" s="211"/>
      <c r="AFX80" s="211"/>
      <c r="AFY80" s="211"/>
      <c r="AFZ80" s="211"/>
      <c r="AGA80" s="211"/>
      <c r="AGB80" s="211"/>
      <c r="AGC80" s="211"/>
      <c r="AGD80" s="211"/>
      <c r="AGE80" s="211"/>
      <c r="AGF80" s="211"/>
      <c r="AGG80" s="211"/>
      <c r="AGH80" s="211"/>
      <c r="AGI80" s="211"/>
      <c r="AGJ80" s="211"/>
      <c r="AGK80" s="211"/>
      <c r="AGL80" s="211"/>
      <c r="AGM80" s="211"/>
      <c r="AGN80" s="211"/>
      <c r="AGO80" s="211"/>
      <c r="AGP80" s="211"/>
      <c r="AGQ80" s="211"/>
      <c r="AGR80" s="211"/>
      <c r="AGS80" s="211"/>
      <c r="AGT80" s="211"/>
      <c r="AGU80" s="211"/>
      <c r="AGV80" s="211"/>
      <c r="AGW80" s="211"/>
      <c r="AGX80" s="211"/>
      <c r="AGY80" s="211"/>
      <c r="AGZ80" s="211"/>
      <c r="AHA80" s="211"/>
      <c r="AHB80" s="211"/>
      <c r="AHC80" s="211"/>
      <c r="AHD80" s="211"/>
      <c r="AHE80" s="211"/>
      <c r="AHF80" s="211"/>
      <c r="AHG80" s="211"/>
      <c r="AHH80" s="211"/>
      <c r="AHI80" s="211"/>
      <c r="AHJ80" s="211"/>
      <c r="AHK80" s="211"/>
      <c r="AHL80" s="211"/>
      <c r="AHM80" s="211"/>
      <c r="AHN80" s="211"/>
      <c r="AHO80" s="211"/>
      <c r="AHP80" s="211"/>
      <c r="AHQ80" s="211"/>
      <c r="AHR80" s="211"/>
      <c r="AHS80" s="211"/>
      <c r="AHT80" s="211"/>
      <c r="AHU80" s="211"/>
      <c r="AHV80" s="211"/>
      <c r="AHW80" s="211"/>
      <c r="AHX80" s="211"/>
      <c r="AHY80" s="211"/>
      <c r="AHZ80" s="211"/>
      <c r="AIA80" s="211"/>
      <c r="AIB80" s="211"/>
      <c r="AIC80" s="211"/>
      <c r="AID80" s="211"/>
      <c r="AIE80" s="211"/>
      <c r="AIF80" s="211"/>
      <c r="AIG80" s="211"/>
      <c r="AIH80" s="211"/>
      <c r="AII80" s="211"/>
      <c r="AIJ80" s="211"/>
      <c r="AIK80" s="211"/>
      <c r="AIL80" s="211"/>
      <c r="AIM80" s="211"/>
      <c r="AIN80" s="211"/>
      <c r="AIO80" s="211"/>
      <c r="AIP80" s="211"/>
      <c r="AIQ80" s="211"/>
      <c r="AIR80" s="211"/>
      <c r="AIS80" s="211"/>
      <c r="AIT80" s="211"/>
      <c r="AIU80" s="211"/>
      <c r="AIV80" s="211"/>
      <c r="AIW80" s="211"/>
      <c r="AIX80" s="211"/>
      <c r="AIY80" s="211"/>
      <c r="AIZ80" s="211"/>
      <c r="AJA80" s="211"/>
      <c r="AJB80" s="211"/>
      <c r="AJC80" s="211"/>
      <c r="AJD80" s="211"/>
      <c r="AJE80" s="211"/>
      <c r="AJF80" s="211"/>
      <c r="AJG80" s="211"/>
      <c r="AJH80" s="211"/>
      <c r="AJI80" s="211"/>
      <c r="AJJ80" s="211"/>
      <c r="AJK80" s="211"/>
      <c r="AJL80" s="211"/>
      <c r="AJM80" s="211"/>
      <c r="AJN80" s="211"/>
      <c r="AJO80" s="211"/>
      <c r="AJP80" s="211"/>
      <c r="AJQ80" s="211"/>
      <c r="AJR80" s="211"/>
      <c r="AJS80" s="211"/>
      <c r="AJT80" s="211"/>
      <c r="AJU80" s="211"/>
      <c r="AJV80" s="211"/>
      <c r="AJW80" s="211"/>
      <c r="AJX80" s="211"/>
      <c r="AJY80" s="211"/>
      <c r="AJZ80" s="211"/>
      <c r="AKA80" s="211"/>
      <c r="AKB80" s="211"/>
      <c r="AKC80" s="211"/>
      <c r="AKD80" s="211"/>
      <c r="AKE80" s="211"/>
      <c r="AKF80" s="211"/>
      <c r="AKG80" s="211"/>
      <c r="AKH80" s="211"/>
      <c r="AKI80" s="211"/>
      <c r="AKJ80" s="211"/>
      <c r="AKK80" s="211"/>
      <c r="AKL80" s="211"/>
      <c r="AKM80" s="211"/>
      <c r="AKN80" s="211"/>
      <c r="AKO80" s="211"/>
      <c r="AKP80" s="211"/>
      <c r="AKQ80" s="211"/>
      <c r="AKR80" s="211"/>
      <c r="AKS80" s="211"/>
      <c r="AKT80" s="211"/>
      <c r="AKU80" s="211"/>
      <c r="AKV80" s="211"/>
      <c r="AKW80" s="211"/>
      <c r="AKX80" s="211"/>
      <c r="AKY80" s="211"/>
      <c r="AKZ80" s="211"/>
      <c r="ALA80" s="211"/>
      <c r="ALB80" s="211"/>
      <c r="ALC80" s="211"/>
      <c r="ALD80" s="211"/>
      <c r="ALE80" s="211"/>
      <c r="ALF80" s="211"/>
      <c r="ALG80" s="211"/>
      <c r="ALH80" s="211"/>
      <c r="ALI80" s="211"/>
      <c r="ALJ80" s="211"/>
      <c r="ALK80" s="211"/>
      <c r="ALL80" s="211"/>
      <c r="ALM80" s="211"/>
      <c r="ALN80" s="211"/>
      <c r="ALO80" s="211"/>
      <c r="ALP80" s="211"/>
      <c r="ALQ80" s="211"/>
      <c r="ALR80" s="211"/>
      <c r="ALS80" s="211"/>
      <c r="ALT80" s="211"/>
      <c r="ALU80" s="211"/>
      <c r="ALV80" s="211"/>
      <c r="ALW80" s="211"/>
      <c r="ALX80" s="211"/>
      <c r="ALY80" s="211"/>
      <c r="ALZ80" s="211"/>
      <c r="AMA80" s="211"/>
      <c r="AMB80" s="211"/>
      <c r="AMC80" s="211"/>
      <c r="AMD80" s="211"/>
      <c r="AME80" s="211"/>
      <c r="AMF80" s="211"/>
      <c r="AMG80" s="211"/>
      <c r="AMH80" s="211"/>
      <c r="AMI80" s="211"/>
      <c r="AMJ80" s="211"/>
      <c r="AMK80" s="211"/>
      <c r="AML80" s="211"/>
      <c r="AMM80" s="211"/>
      <c r="AMN80" s="211"/>
      <c r="AMO80" s="211"/>
      <c r="AMP80" s="211"/>
      <c r="AMQ80" s="211"/>
      <c r="AMR80" s="211"/>
      <c r="AMS80" s="211"/>
      <c r="AMT80" s="211"/>
      <c r="AMU80" s="211"/>
      <c r="AMV80" s="211"/>
      <c r="AMW80" s="211"/>
      <c r="AMX80" s="211"/>
      <c r="AMY80" s="211"/>
      <c r="AMZ80" s="211"/>
      <c r="ANA80" s="211"/>
      <c r="ANB80" s="211"/>
      <c r="ANC80" s="211"/>
      <c r="AND80" s="211"/>
      <c r="ANE80" s="211"/>
      <c r="ANF80" s="211"/>
      <c r="ANG80" s="211"/>
      <c r="ANH80" s="211"/>
      <c r="ANI80" s="211"/>
      <c r="ANJ80" s="211"/>
      <c r="ANK80" s="211"/>
      <c r="ANL80" s="211"/>
      <c r="ANM80" s="211"/>
      <c r="ANN80" s="211"/>
      <c r="ANO80" s="211"/>
      <c r="ANP80" s="211"/>
      <c r="ANQ80" s="211"/>
      <c r="ANR80" s="211"/>
      <c r="ANS80" s="211"/>
      <c r="ANT80" s="211"/>
      <c r="ANU80" s="211"/>
      <c r="ANV80" s="211"/>
      <c r="ANW80" s="211"/>
      <c r="ANX80" s="211"/>
      <c r="ANY80" s="211"/>
      <c r="ANZ80" s="211"/>
      <c r="AOA80" s="211"/>
      <c r="AOB80" s="211"/>
      <c r="AOC80" s="211"/>
      <c r="AOD80" s="211"/>
      <c r="AOE80" s="211"/>
      <c r="AOF80" s="211"/>
      <c r="AOG80" s="211"/>
      <c r="AOH80" s="211"/>
      <c r="AOI80" s="211"/>
      <c r="AOJ80" s="211"/>
      <c r="AOK80" s="211"/>
      <c r="AOL80" s="211"/>
      <c r="AOM80" s="211"/>
      <c r="AON80" s="211"/>
      <c r="AOO80" s="211"/>
      <c r="AOP80" s="211"/>
      <c r="AOQ80" s="211"/>
      <c r="AOR80" s="211"/>
      <c r="AOS80" s="211"/>
      <c r="AOT80" s="211"/>
      <c r="AOU80" s="211"/>
      <c r="AOV80" s="211"/>
      <c r="AOW80" s="211"/>
      <c r="AOX80" s="211"/>
      <c r="AOY80" s="211"/>
      <c r="AOZ80" s="211"/>
      <c r="APA80" s="211"/>
      <c r="APB80" s="211"/>
      <c r="APC80" s="211"/>
      <c r="APD80" s="211"/>
      <c r="APE80" s="211"/>
      <c r="APF80" s="211"/>
      <c r="APG80" s="211"/>
      <c r="APH80" s="211"/>
      <c r="API80" s="211"/>
      <c r="APJ80" s="211"/>
      <c r="APK80" s="211"/>
      <c r="APL80" s="211"/>
      <c r="APM80" s="211"/>
      <c r="APN80" s="211"/>
      <c r="APO80" s="211"/>
      <c r="APP80" s="211"/>
      <c r="APQ80" s="211"/>
      <c r="APR80" s="211"/>
      <c r="APS80" s="211"/>
      <c r="APT80" s="211"/>
      <c r="APU80" s="211"/>
      <c r="APV80" s="211"/>
      <c r="APW80" s="211"/>
      <c r="APX80" s="211"/>
      <c r="APY80" s="211"/>
      <c r="APZ80" s="211"/>
      <c r="AQA80" s="211"/>
      <c r="AQB80" s="211"/>
      <c r="AQC80" s="211"/>
      <c r="AQD80" s="211"/>
      <c r="AQE80" s="211"/>
      <c r="AQF80" s="211"/>
      <c r="AQG80" s="211"/>
      <c r="AQH80" s="211"/>
      <c r="AQI80" s="211"/>
      <c r="AQJ80" s="211"/>
      <c r="AQK80" s="211"/>
      <c r="AQL80" s="211"/>
      <c r="AQM80" s="211"/>
      <c r="AQN80" s="211"/>
      <c r="AQO80" s="211"/>
      <c r="AQP80" s="211"/>
      <c r="AQQ80" s="211"/>
      <c r="AQR80" s="211"/>
      <c r="AQS80" s="211"/>
      <c r="AQT80" s="211"/>
      <c r="AQU80" s="211"/>
      <c r="AQV80" s="211"/>
      <c r="AQW80" s="211"/>
      <c r="AQX80" s="211"/>
      <c r="AQY80" s="211"/>
      <c r="AQZ80" s="211"/>
      <c r="ARA80" s="211"/>
      <c r="ARB80" s="211"/>
      <c r="ARC80" s="211"/>
      <c r="ARD80" s="211"/>
      <c r="ARE80" s="211"/>
      <c r="ARF80" s="211"/>
      <c r="ARG80" s="211"/>
      <c r="ARH80" s="211"/>
      <c r="ARI80" s="211"/>
      <c r="ARJ80" s="211"/>
      <c r="ARK80" s="211"/>
      <c r="ARL80" s="211"/>
      <c r="ARM80" s="211"/>
      <c r="ARN80" s="211"/>
      <c r="ARO80" s="211"/>
      <c r="ARP80" s="211"/>
      <c r="ARQ80" s="211"/>
      <c r="ARR80" s="211"/>
      <c r="ARS80" s="211"/>
      <c r="ART80" s="211"/>
      <c r="ARU80" s="211"/>
      <c r="ARV80" s="211"/>
      <c r="ARW80" s="211"/>
      <c r="ARX80" s="211"/>
      <c r="ARY80" s="211"/>
      <c r="ARZ80" s="211"/>
      <c r="ASA80" s="211"/>
      <c r="ASB80" s="211"/>
      <c r="ASC80" s="211"/>
      <c r="ASD80" s="211"/>
      <c r="ASE80" s="211"/>
      <c r="ASF80" s="211"/>
      <c r="ASG80" s="211"/>
      <c r="ASH80" s="211"/>
      <c r="ASI80" s="211"/>
      <c r="ASJ80" s="211"/>
      <c r="ASK80" s="211"/>
      <c r="ASL80" s="211"/>
      <c r="ASM80" s="211"/>
      <c r="ASN80" s="211"/>
      <c r="ASO80" s="211"/>
      <c r="ASP80" s="211"/>
      <c r="ASQ80" s="211"/>
      <c r="ASR80" s="211"/>
      <c r="ASS80" s="211"/>
      <c r="AST80" s="211"/>
      <c r="ASU80" s="211"/>
      <c r="ASV80" s="211"/>
      <c r="ASW80" s="211"/>
      <c r="ASX80" s="211"/>
      <c r="ASY80" s="211"/>
      <c r="ASZ80" s="211"/>
      <c r="ATA80" s="211"/>
      <c r="ATB80" s="211"/>
      <c r="ATC80" s="211"/>
      <c r="ATD80" s="211"/>
      <c r="ATE80" s="211"/>
      <c r="ATF80" s="211"/>
      <c r="ATG80" s="211"/>
      <c r="ATH80" s="211"/>
      <c r="ATI80" s="211"/>
      <c r="ATJ80" s="211"/>
      <c r="ATK80" s="211"/>
      <c r="ATL80" s="211"/>
      <c r="ATM80" s="211"/>
      <c r="ATN80" s="211"/>
      <c r="ATO80" s="211"/>
      <c r="ATP80" s="211"/>
      <c r="ATQ80" s="211"/>
      <c r="ATR80" s="211"/>
      <c r="ATS80" s="211"/>
      <c r="ATT80" s="211"/>
      <c r="ATU80" s="211"/>
      <c r="ATV80" s="211"/>
      <c r="ATW80" s="211"/>
      <c r="ATX80" s="211"/>
      <c r="ATY80" s="211"/>
      <c r="ATZ80" s="211"/>
      <c r="AUA80" s="211"/>
      <c r="AUB80" s="211"/>
      <c r="AUC80" s="211"/>
      <c r="AUD80" s="211"/>
      <c r="AUE80" s="211"/>
      <c r="AUF80" s="211"/>
      <c r="AUG80" s="211"/>
      <c r="AUH80" s="211"/>
      <c r="AUI80" s="211"/>
      <c r="AUJ80" s="211"/>
      <c r="AUK80" s="211"/>
      <c r="AUL80" s="211"/>
      <c r="AUM80" s="211"/>
      <c r="AUN80" s="211"/>
      <c r="AUO80" s="211"/>
      <c r="AUP80" s="211"/>
      <c r="AUQ80" s="211"/>
      <c r="AUR80" s="211"/>
      <c r="AUS80" s="211"/>
      <c r="AUT80" s="211"/>
      <c r="AUU80" s="211"/>
      <c r="AUV80" s="211"/>
      <c r="AUW80" s="211"/>
      <c r="AUX80" s="211"/>
      <c r="AUY80" s="211"/>
      <c r="AUZ80" s="211"/>
      <c r="AVA80" s="211"/>
      <c r="AVB80" s="211"/>
      <c r="AVC80" s="211"/>
      <c r="AVD80" s="211"/>
      <c r="AVE80" s="211"/>
      <c r="AVF80" s="211"/>
      <c r="AVG80" s="211"/>
      <c r="AVH80" s="211"/>
      <c r="AVI80" s="211"/>
      <c r="AVJ80" s="211"/>
      <c r="AVK80" s="211"/>
      <c r="AVL80" s="211"/>
      <c r="AVM80" s="211"/>
      <c r="AVN80" s="211"/>
      <c r="AVO80" s="211"/>
      <c r="AVP80" s="211"/>
      <c r="AVQ80" s="211"/>
      <c r="AVR80" s="211"/>
      <c r="AVS80" s="211"/>
      <c r="AVT80" s="211"/>
      <c r="AVU80" s="211"/>
      <c r="AVV80" s="211"/>
      <c r="AVW80" s="211"/>
      <c r="AVX80" s="211"/>
      <c r="AVY80" s="211"/>
      <c r="AVZ80" s="211"/>
      <c r="AWA80" s="211"/>
      <c r="AWB80" s="211"/>
      <c r="AWC80" s="211"/>
      <c r="AWD80" s="211"/>
      <c r="AWE80" s="211"/>
      <c r="AWF80" s="211"/>
      <c r="AWG80" s="211"/>
      <c r="AWH80" s="211"/>
      <c r="AWI80" s="211"/>
      <c r="AWJ80" s="211"/>
      <c r="AWK80" s="211"/>
      <c r="AWL80" s="211"/>
      <c r="AWM80" s="211"/>
      <c r="AWN80" s="211"/>
      <c r="AWO80" s="211"/>
      <c r="AWP80" s="211"/>
      <c r="AWQ80" s="211"/>
      <c r="AWR80" s="211"/>
      <c r="AWS80" s="211"/>
      <c r="AWT80" s="211"/>
      <c r="AWU80" s="211"/>
      <c r="AWV80" s="211"/>
      <c r="AWW80" s="211"/>
      <c r="AWX80" s="211"/>
      <c r="AWY80" s="211"/>
      <c r="AWZ80" s="211"/>
      <c r="AXA80" s="211"/>
      <c r="AXB80" s="211"/>
      <c r="AXC80" s="211"/>
      <c r="AXD80" s="211"/>
      <c r="AXE80" s="211"/>
      <c r="AXF80" s="211"/>
      <c r="AXG80" s="211"/>
      <c r="AXH80" s="211"/>
      <c r="AXI80" s="211"/>
      <c r="AXJ80" s="211"/>
      <c r="AXK80" s="211"/>
      <c r="AXL80" s="211"/>
      <c r="AXM80" s="211"/>
      <c r="AXN80" s="211"/>
      <c r="AXO80" s="211"/>
      <c r="AXP80" s="211"/>
      <c r="AXQ80" s="211"/>
      <c r="AXR80" s="211"/>
      <c r="AXS80" s="211"/>
      <c r="AXT80" s="211"/>
      <c r="AXU80" s="211"/>
      <c r="AXV80" s="211"/>
      <c r="AXW80" s="211"/>
      <c r="AXX80" s="211"/>
      <c r="AXY80" s="211"/>
      <c r="AXZ80" s="211"/>
      <c r="AYA80" s="211"/>
      <c r="AYB80" s="211"/>
      <c r="AYC80" s="211"/>
      <c r="AYD80" s="211"/>
      <c r="AYE80" s="211"/>
      <c r="AYF80" s="211"/>
      <c r="AYG80" s="211"/>
      <c r="AYH80" s="211"/>
      <c r="AYI80" s="211"/>
      <c r="AYJ80" s="211"/>
      <c r="AYK80" s="211"/>
      <c r="AYL80" s="211"/>
      <c r="AYM80" s="211"/>
      <c r="AYN80" s="211"/>
      <c r="AYO80" s="211"/>
      <c r="AYP80" s="211"/>
      <c r="AYQ80" s="211"/>
      <c r="AYR80" s="211"/>
      <c r="AYS80" s="211"/>
      <c r="AYT80" s="211"/>
      <c r="AYU80" s="211"/>
      <c r="AYV80" s="211"/>
      <c r="AYW80" s="211"/>
      <c r="AYX80" s="211"/>
      <c r="AYY80" s="211"/>
      <c r="AYZ80" s="211"/>
      <c r="AZA80" s="211"/>
      <c r="AZB80" s="211"/>
      <c r="AZC80" s="211"/>
      <c r="AZD80" s="211"/>
      <c r="AZE80" s="211"/>
      <c r="AZF80" s="211"/>
      <c r="AZG80" s="211"/>
      <c r="AZH80" s="211"/>
      <c r="AZI80" s="211"/>
      <c r="AZJ80" s="211"/>
      <c r="AZK80" s="211"/>
      <c r="AZL80" s="211"/>
      <c r="AZM80" s="211"/>
      <c r="AZN80" s="211"/>
      <c r="AZO80" s="211"/>
      <c r="AZP80" s="211"/>
      <c r="AZQ80" s="211"/>
      <c r="AZR80" s="211"/>
      <c r="AZS80" s="211"/>
      <c r="AZT80" s="211"/>
      <c r="AZU80" s="211"/>
      <c r="AZV80" s="211"/>
      <c r="AZW80" s="211"/>
      <c r="AZX80" s="211"/>
      <c r="AZY80" s="211"/>
      <c r="AZZ80" s="211"/>
      <c r="BAA80" s="211"/>
      <c r="BAB80" s="211"/>
      <c r="BAC80" s="211"/>
      <c r="BAD80" s="211"/>
      <c r="BAE80" s="211"/>
      <c r="BAF80" s="211"/>
      <c r="BAG80" s="211"/>
      <c r="BAH80" s="211"/>
      <c r="BAI80" s="211"/>
      <c r="BAJ80" s="211"/>
      <c r="BAK80" s="211"/>
      <c r="BAL80" s="211"/>
      <c r="BAM80" s="211"/>
      <c r="BAN80" s="211"/>
      <c r="BAO80" s="211"/>
      <c r="BAP80" s="211"/>
      <c r="BAQ80" s="211"/>
      <c r="BAR80" s="211"/>
      <c r="BAS80" s="211"/>
      <c r="BAT80" s="211"/>
      <c r="BAU80" s="211"/>
      <c r="BAV80" s="211"/>
      <c r="BAW80" s="211"/>
      <c r="BAX80" s="211"/>
      <c r="BAY80" s="211"/>
      <c r="BAZ80" s="211"/>
      <c r="BBA80" s="211"/>
      <c r="BBB80" s="211"/>
      <c r="BBC80" s="211"/>
      <c r="BBD80" s="211"/>
      <c r="BBE80" s="211"/>
      <c r="BBF80" s="211"/>
      <c r="BBG80" s="211"/>
      <c r="BBH80" s="211"/>
      <c r="BBI80" s="211"/>
      <c r="BBJ80" s="211"/>
      <c r="BBK80" s="211"/>
      <c r="BBL80" s="211"/>
      <c r="BBM80" s="211"/>
      <c r="BBN80" s="211"/>
      <c r="BBO80" s="211"/>
      <c r="BBP80" s="211"/>
      <c r="BBQ80" s="211"/>
      <c r="BBR80" s="211"/>
      <c r="BBS80" s="211"/>
      <c r="BBT80" s="211"/>
      <c r="BBU80" s="211"/>
      <c r="BBV80" s="211"/>
      <c r="BBW80" s="211"/>
      <c r="BBX80" s="211"/>
      <c r="BBY80" s="211"/>
      <c r="BBZ80" s="211"/>
      <c r="BCA80" s="211"/>
      <c r="BCB80" s="211"/>
      <c r="BCC80" s="211"/>
      <c r="BCD80" s="211"/>
      <c r="BCE80" s="211"/>
      <c r="BCF80" s="211"/>
      <c r="BCG80" s="211"/>
      <c r="BCH80" s="211"/>
      <c r="BCI80" s="211"/>
      <c r="BCJ80" s="211"/>
      <c r="BCK80" s="211"/>
      <c r="BCL80" s="211"/>
      <c r="BCM80" s="211"/>
      <c r="BCN80" s="211"/>
      <c r="BCO80" s="211"/>
      <c r="BCP80" s="211"/>
      <c r="BCQ80" s="211"/>
      <c r="BCR80" s="211"/>
      <c r="BCS80" s="211"/>
      <c r="BCT80" s="211"/>
      <c r="BCU80" s="211"/>
      <c r="BCV80" s="211"/>
      <c r="BCW80" s="211"/>
      <c r="BCX80" s="211"/>
      <c r="BCY80" s="211"/>
      <c r="BCZ80" s="211"/>
      <c r="BDA80" s="211"/>
      <c r="BDB80" s="211"/>
      <c r="BDC80" s="211"/>
      <c r="BDD80" s="211"/>
      <c r="BDE80" s="211"/>
      <c r="BDF80" s="211"/>
      <c r="BDG80" s="211"/>
      <c r="BDH80" s="211"/>
      <c r="BDI80" s="211"/>
      <c r="BDJ80" s="211"/>
      <c r="BDK80" s="211"/>
      <c r="BDL80" s="211"/>
      <c r="BDM80" s="211"/>
      <c r="BDN80" s="211"/>
      <c r="BDO80" s="211"/>
      <c r="BDP80" s="211"/>
      <c r="BDQ80" s="211"/>
      <c r="BDR80" s="211"/>
      <c r="BDS80" s="211"/>
      <c r="BDT80" s="211"/>
      <c r="BDU80" s="211"/>
      <c r="BDV80" s="211"/>
      <c r="BDW80" s="211"/>
      <c r="BDX80" s="211"/>
      <c r="BDY80" s="211"/>
      <c r="BDZ80" s="211"/>
      <c r="BEA80" s="211"/>
      <c r="BEB80" s="211"/>
      <c r="BEC80" s="211"/>
      <c r="BED80" s="211"/>
      <c r="BEE80" s="211"/>
      <c r="BEF80" s="211"/>
      <c r="BEG80" s="211"/>
      <c r="BEH80" s="211"/>
      <c r="BEI80" s="211"/>
      <c r="BEJ80" s="211"/>
      <c r="BEK80" s="211"/>
      <c r="BEL80" s="211"/>
      <c r="BEM80" s="211"/>
      <c r="BEN80" s="211"/>
      <c r="BEO80" s="211"/>
      <c r="BEP80" s="211"/>
      <c r="BEQ80" s="211"/>
      <c r="BER80" s="211"/>
      <c r="BES80" s="211"/>
      <c r="BET80" s="211"/>
      <c r="BEU80" s="211"/>
      <c r="BEV80" s="211"/>
      <c r="BEW80" s="211"/>
      <c r="BEX80" s="211"/>
      <c r="BEY80" s="211"/>
      <c r="BEZ80" s="211"/>
      <c r="BFA80" s="211"/>
      <c r="BFB80" s="211"/>
      <c r="BFC80" s="211"/>
      <c r="BFD80" s="211"/>
      <c r="BFE80" s="211"/>
      <c r="BFF80" s="211"/>
      <c r="BFG80" s="211"/>
      <c r="BFH80" s="211"/>
      <c r="BFI80" s="211"/>
      <c r="BFJ80" s="211"/>
      <c r="BFK80" s="211"/>
      <c r="BFL80" s="211"/>
      <c r="BFM80" s="211"/>
      <c r="BFN80" s="211"/>
      <c r="BFO80" s="211"/>
      <c r="BFP80" s="211"/>
      <c r="BFQ80" s="211"/>
      <c r="BFR80" s="211"/>
      <c r="BFS80" s="211"/>
      <c r="BFT80" s="211"/>
      <c r="BFU80" s="211"/>
      <c r="BFV80" s="211"/>
      <c r="BFW80" s="211"/>
      <c r="BFX80" s="211"/>
      <c r="BFY80" s="211"/>
      <c r="BFZ80" s="211"/>
      <c r="BGA80" s="211"/>
      <c r="BGB80" s="211"/>
      <c r="BGC80" s="211"/>
      <c r="BGD80" s="211"/>
      <c r="BGE80" s="211"/>
      <c r="BGF80" s="211"/>
      <c r="BGG80" s="211"/>
      <c r="BGH80" s="211"/>
      <c r="BGI80" s="211"/>
      <c r="BGJ80" s="211"/>
      <c r="BGK80" s="211"/>
      <c r="BGL80" s="211"/>
      <c r="BGM80" s="211"/>
      <c r="BGN80" s="211"/>
      <c r="BGO80" s="211"/>
      <c r="BGP80" s="211"/>
      <c r="BGQ80" s="211"/>
      <c r="BGR80" s="211"/>
      <c r="BGS80" s="211"/>
      <c r="BGT80" s="211"/>
      <c r="BGU80" s="211"/>
      <c r="BGV80" s="211"/>
      <c r="BGW80" s="211"/>
      <c r="BGX80" s="211"/>
      <c r="BGY80" s="211"/>
      <c r="BGZ80" s="211"/>
      <c r="BHA80" s="211"/>
      <c r="BHB80" s="211"/>
      <c r="BHC80" s="211"/>
      <c r="BHD80" s="211"/>
      <c r="BHE80" s="211"/>
      <c r="BHF80" s="211"/>
      <c r="BHG80" s="211"/>
      <c r="BHH80" s="211"/>
      <c r="BHI80" s="211"/>
      <c r="BHJ80" s="211"/>
      <c r="BHK80" s="211"/>
      <c r="BHL80" s="211"/>
      <c r="BHM80" s="211"/>
      <c r="BHN80" s="211"/>
      <c r="BHO80" s="211"/>
      <c r="BHP80" s="211"/>
      <c r="BHQ80" s="211"/>
      <c r="BHR80" s="211"/>
      <c r="BHS80" s="211"/>
      <c r="BHT80" s="211"/>
      <c r="BHU80" s="211"/>
      <c r="BHV80" s="211"/>
      <c r="BHW80" s="211"/>
      <c r="BHX80" s="211"/>
      <c r="BHY80" s="211"/>
      <c r="BHZ80" s="211"/>
      <c r="BIA80" s="211"/>
      <c r="BIB80" s="211"/>
      <c r="BIC80" s="211"/>
      <c r="BID80" s="211"/>
      <c r="BIE80" s="211"/>
      <c r="BIF80" s="211"/>
      <c r="BIG80" s="211"/>
      <c r="BIH80" s="211"/>
      <c r="BII80" s="211"/>
      <c r="BIJ80" s="211"/>
      <c r="BIK80" s="211"/>
      <c r="BIL80" s="211"/>
      <c r="BIM80" s="211"/>
      <c r="BIN80" s="211"/>
      <c r="BIO80" s="211"/>
      <c r="BIP80" s="211"/>
      <c r="BIQ80" s="211"/>
      <c r="BIR80" s="211"/>
      <c r="BIS80" s="211"/>
      <c r="BIT80" s="211"/>
      <c r="BIU80" s="211"/>
      <c r="BIV80" s="211"/>
      <c r="BIW80" s="211"/>
      <c r="BIX80" s="211"/>
      <c r="BIY80" s="211"/>
      <c r="BIZ80" s="211"/>
      <c r="BJA80" s="211"/>
      <c r="BJB80" s="211"/>
      <c r="BJC80" s="211"/>
      <c r="BJD80" s="211"/>
      <c r="BJE80" s="211"/>
      <c r="BJF80" s="211"/>
      <c r="BJG80" s="211"/>
      <c r="BJH80" s="211"/>
      <c r="BJI80" s="211"/>
      <c r="BJJ80" s="211"/>
      <c r="BJK80" s="211"/>
      <c r="BJL80" s="211"/>
      <c r="BJM80" s="211"/>
      <c r="BJN80" s="211"/>
      <c r="BJO80" s="211"/>
      <c r="BJP80" s="211"/>
      <c r="BJQ80" s="211"/>
      <c r="BJR80" s="211"/>
      <c r="BJS80" s="211"/>
      <c r="BJT80" s="211"/>
      <c r="BJU80" s="211"/>
      <c r="BJV80" s="211"/>
      <c r="BJW80" s="211"/>
      <c r="BJX80" s="211"/>
      <c r="BJY80" s="211"/>
      <c r="BJZ80" s="211"/>
      <c r="BKA80" s="211"/>
      <c r="BKB80" s="211"/>
      <c r="BKC80" s="211"/>
      <c r="BKD80" s="211"/>
      <c r="BKE80" s="211"/>
      <c r="BKF80" s="211"/>
      <c r="BKG80" s="211"/>
      <c r="BKH80" s="211"/>
      <c r="BKI80" s="211"/>
      <c r="BKJ80" s="211"/>
      <c r="BKK80" s="211"/>
      <c r="BKL80" s="211"/>
      <c r="BKM80" s="211"/>
      <c r="BKN80" s="211"/>
      <c r="BKO80" s="211"/>
      <c r="BKP80" s="211"/>
      <c r="BKQ80" s="211"/>
      <c r="BKR80" s="211"/>
      <c r="BKS80" s="211"/>
      <c r="BKT80" s="211"/>
      <c r="BKU80" s="211"/>
      <c r="BKV80" s="211"/>
      <c r="BKW80" s="211"/>
      <c r="BKX80" s="211"/>
      <c r="BKY80" s="211"/>
      <c r="BKZ80" s="211"/>
      <c r="BLA80" s="211"/>
      <c r="BLB80" s="211"/>
      <c r="BLC80" s="211"/>
      <c r="BLD80" s="211"/>
      <c r="BLE80" s="211"/>
      <c r="BLF80" s="211"/>
      <c r="BLG80" s="211"/>
      <c r="BLH80" s="211"/>
      <c r="BLI80" s="211"/>
      <c r="BLJ80" s="211"/>
      <c r="BLK80" s="211"/>
      <c r="BLL80" s="211"/>
      <c r="BLM80" s="211"/>
      <c r="BLN80" s="211"/>
      <c r="BLO80" s="211"/>
      <c r="BLP80" s="211"/>
      <c r="BLQ80" s="211"/>
      <c r="BLR80" s="211"/>
      <c r="BLS80" s="211"/>
      <c r="BLT80" s="211"/>
      <c r="BLU80" s="211"/>
      <c r="BLV80" s="211"/>
      <c r="BLW80" s="211"/>
      <c r="BLX80" s="211"/>
      <c r="BLY80" s="211"/>
      <c r="BLZ80" s="211"/>
      <c r="BMA80" s="211"/>
      <c r="BMB80" s="211"/>
      <c r="BMC80" s="211"/>
      <c r="BMD80" s="211"/>
      <c r="BME80" s="211"/>
      <c r="BMF80" s="211"/>
      <c r="BMG80" s="211"/>
      <c r="BMH80" s="211"/>
      <c r="BMI80" s="211"/>
      <c r="BMJ80" s="211"/>
      <c r="BMK80" s="211"/>
      <c r="BML80" s="211"/>
      <c r="BMM80" s="211"/>
      <c r="BMN80" s="211"/>
      <c r="BMO80" s="211"/>
      <c r="BMP80" s="211"/>
      <c r="BMQ80" s="211"/>
      <c r="BMR80" s="211"/>
      <c r="BMS80" s="211"/>
      <c r="BMT80" s="211"/>
      <c r="BMU80" s="211"/>
      <c r="BMV80" s="211"/>
      <c r="BMW80" s="211"/>
      <c r="BMX80" s="211"/>
      <c r="BMY80" s="211"/>
      <c r="BMZ80" s="211"/>
      <c r="BNA80" s="211"/>
      <c r="BNB80" s="211"/>
      <c r="BNC80" s="211"/>
      <c r="BND80" s="211"/>
      <c r="BNE80" s="211"/>
      <c r="BNF80" s="211"/>
      <c r="BNG80" s="211"/>
      <c r="BNH80" s="211"/>
      <c r="BNI80" s="211"/>
      <c r="BNJ80" s="211"/>
      <c r="BNK80" s="211"/>
      <c r="BNL80" s="211"/>
      <c r="BNM80" s="211"/>
      <c r="BNN80" s="211"/>
      <c r="BNO80" s="211"/>
      <c r="BNP80" s="211"/>
      <c r="BNQ80" s="211"/>
      <c r="BNR80" s="211"/>
      <c r="BNS80" s="211"/>
      <c r="BNT80" s="211"/>
      <c r="BNU80" s="211"/>
      <c r="BNV80" s="211"/>
      <c r="BNW80" s="211"/>
      <c r="BNX80" s="211"/>
      <c r="BNY80" s="211"/>
      <c r="BNZ80" s="211"/>
      <c r="BOA80" s="211"/>
      <c r="BOB80" s="211"/>
      <c r="BOC80" s="211"/>
      <c r="BOD80" s="211"/>
      <c r="BOE80" s="211"/>
      <c r="BOF80" s="211"/>
      <c r="BOG80" s="211"/>
      <c r="BOH80" s="211"/>
      <c r="BOI80" s="211"/>
      <c r="BOJ80" s="211"/>
      <c r="BOK80" s="211"/>
      <c r="BOL80" s="211"/>
      <c r="BOM80" s="211"/>
      <c r="BON80" s="211"/>
      <c r="BOO80" s="211"/>
      <c r="BOP80" s="211"/>
      <c r="BOQ80" s="211"/>
      <c r="BOR80" s="211"/>
      <c r="BOS80" s="211"/>
      <c r="BOT80" s="211"/>
      <c r="BOU80" s="211"/>
      <c r="BOV80" s="211"/>
      <c r="BOW80" s="211"/>
      <c r="BOX80" s="211"/>
      <c r="BOY80" s="211"/>
      <c r="BOZ80" s="211"/>
      <c r="BPA80" s="211"/>
      <c r="BPB80" s="211"/>
      <c r="BPC80" s="211"/>
      <c r="BPD80" s="211"/>
      <c r="BPE80" s="211"/>
      <c r="BPF80" s="211"/>
      <c r="BPG80" s="211"/>
      <c r="BPH80" s="211"/>
      <c r="BPI80" s="211"/>
      <c r="BPJ80" s="211"/>
      <c r="BPK80" s="211"/>
      <c r="BPL80" s="211"/>
      <c r="BPM80" s="211"/>
      <c r="BPN80" s="211"/>
      <c r="BPO80" s="211"/>
      <c r="BPP80" s="211"/>
      <c r="BPQ80" s="211"/>
      <c r="BPR80" s="211"/>
      <c r="BPS80" s="211"/>
      <c r="BPT80" s="211"/>
      <c r="BPU80" s="211"/>
      <c r="BPV80" s="211"/>
      <c r="BPW80" s="211"/>
      <c r="BPX80" s="211"/>
      <c r="BPY80" s="211"/>
      <c r="BPZ80" s="211"/>
      <c r="BQA80" s="211"/>
      <c r="BQB80" s="211"/>
      <c r="BQC80" s="211"/>
      <c r="BQD80" s="211"/>
      <c r="BQE80" s="211"/>
      <c r="BQF80" s="211"/>
      <c r="BQG80" s="211"/>
      <c r="BQH80" s="211"/>
      <c r="BQI80" s="211"/>
      <c r="BQJ80" s="211"/>
      <c r="BQK80" s="211"/>
      <c r="BQL80" s="211"/>
      <c r="BQM80" s="211"/>
      <c r="BQN80" s="211"/>
      <c r="BQO80" s="211"/>
      <c r="BQP80" s="211"/>
      <c r="BQQ80" s="211"/>
      <c r="BQR80" s="211"/>
      <c r="BQS80" s="211"/>
      <c r="BQT80" s="211"/>
      <c r="BQU80" s="211"/>
      <c r="BQV80" s="211"/>
      <c r="BQW80" s="211"/>
      <c r="BQX80" s="211"/>
      <c r="BQY80" s="211"/>
      <c r="BQZ80" s="211"/>
      <c r="BRA80" s="211"/>
      <c r="BRB80" s="211"/>
      <c r="BRC80" s="211"/>
      <c r="BRD80" s="211"/>
      <c r="BRE80" s="211"/>
      <c r="BRF80" s="211"/>
      <c r="BRG80" s="211"/>
      <c r="BRH80" s="211"/>
      <c r="BRI80" s="211"/>
      <c r="BRJ80" s="211"/>
      <c r="BRK80" s="211"/>
      <c r="BRL80" s="211"/>
      <c r="BRM80" s="211"/>
      <c r="BRN80" s="211"/>
      <c r="BRO80" s="211"/>
      <c r="BRP80" s="211"/>
      <c r="BRQ80" s="211"/>
      <c r="BRR80" s="211"/>
      <c r="BRS80" s="211"/>
      <c r="BRT80" s="211"/>
      <c r="BRU80" s="211"/>
      <c r="BRV80" s="211"/>
      <c r="BRW80" s="211"/>
      <c r="BRX80" s="211"/>
      <c r="BRY80" s="211"/>
      <c r="BRZ80" s="211"/>
      <c r="BSA80" s="211"/>
      <c r="BSB80" s="211"/>
      <c r="BSC80" s="211"/>
      <c r="BSD80" s="211"/>
      <c r="BSE80" s="211"/>
      <c r="BSF80" s="211"/>
      <c r="BSG80" s="211"/>
      <c r="BSH80" s="211"/>
      <c r="BSI80" s="211"/>
      <c r="BSJ80" s="211"/>
      <c r="BSK80" s="211"/>
      <c r="BSL80" s="211"/>
      <c r="BSM80" s="211"/>
      <c r="BSN80" s="211"/>
      <c r="BSO80" s="211"/>
      <c r="BSP80" s="211"/>
      <c r="BSQ80" s="211"/>
      <c r="BSR80" s="211"/>
      <c r="BSS80" s="211"/>
      <c r="BST80" s="211"/>
      <c r="BSU80" s="211"/>
      <c r="BSV80" s="211"/>
      <c r="BSW80" s="211"/>
      <c r="BSX80" s="211"/>
      <c r="BSY80" s="211"/>
      <c r="BSZ80" s="211"/>
      <c r="BTA80" s="211"/>
      <c r="BTB80" s="211"/>
      <c r="BTC80" s="211"/>
      <c r="BTD80" s="211"/>
      <c r="BTE80" s="211"/>
      <c r="BTF80" s="211"/>
      <c r="BTG80" s="211"/>
      <c r="BTH80" s="211"/>
      <c r="BTI80" s="211"/>
      <c r="BTJ80" s="211"/>
      <c r="BTK80" s="211"/>
      <c r="BTL80" s="211"/>
      <c r="BTM80" s="211"/>
      <c r="BTN80" s="211"/>
      <c r="BTO80" s="211"/>
      <c r="BTP80" s="211"/>
      <c r="BTQ80" s="211"/>
      <c r="BTR80" s="211"/>
      <c r="BTS80" s="211"/>
      <c r="BTT80" s="211"/>
      <c r="BTU80" s="211"/>
      <c r="BTV80" s="211"/>
      <c r="BTW80" s="211"/>
      <c r="BTX80" s="211"/>
      <c r="BTY80" s="211"/>
      <c r="BTZ80" s="211"/>
      <c r="BUA80" s="211"/>
      <c r="BUB80" s="211"/>
      <c r="BUC80" s="211"/>
      <c r="BUD80" s="211"/>
      <c r="BUE80" s="211"/>
      <c r="BUF80" s="211"/>
      <c r="BUG80" s="211"/>
      <c r="BUH80" s="211"/>
      <c r="BUI80" s="211"/>
      <c r="BUJ80" s="211"/>
      <c r="BUK80" s="211"/>
      <c r="BUL80" s="211"/>
      <c r="BUM80" s="211"/>
      <c r="BUN80" s="211"/>
      <c r="BUO80" s="211"/>
      <c r="BUP80" s="211"/>
      <c r="BUQ80" s="211"/>
      <c r="BUR80" s="211"/>
      <c r="BUS80" s="211"/>
      <c r="BUT80" s="211"/>
      <c r="BUU80" s="211"/>
      <c r="BUV80" s="211"/>
      <c r="BUW80" s="211"/>
      <c r="BUX80" s="211"/>
      <c r="BUY80" s="211"/>
      <c r="BUZ80" s="211"/>
      <c r="BVA80" s="211"/>
      <c r="BVB80" s="211"/>
      <c r="BVC80" s="211"/>
      <c r="BVD80" s="211"/>
      <c r="BVE80" s="211"/>
      <c r="BVF80" s="211"/>
      <c r="BVG80" s="211"/>
      <c r="BVH80" s="211"/>
      <c r="BVI80" s="211"/>
      <c r="BVJ80" s="211"/>
      <c r="BVK80" s="211"/>
      <c r="BVL80" s="211"/>
      <c r="BVM80" s="211"/>
      <c r="BVN80" s="211"/>
      <c r="BVO80" s="211"/>
      <c r="BVP80" s="211"/>
      <c r="BVQ80" s="211"/>
      <c r="BVR80" s="211"/>
      <c r="BVS80" s="211"/>
      <c r="BVT80" s="211"/>
      <c r="BVU80" s="211"/>
      <c r="BVV80" s="211"/>
      <c r="BVW80" s="211"/>
      <c r="BVX80" s="211"/>
      <c r="BVY80" s="211"/>
      <c r="BVZ80" s="211"/>
      <c r="BWA80" s="211"/>
      <c r="BWB80" s="211"/>
      <c r="BWC80" s="211"/>
      <c r="BWD80" s="211"/>
      <c r="BWE80" s="211"/>
      <c r="BWF80" s="211"/>
      <c r="BWG80" s="211"/>
      <c r="BWH80" s="211"/>
      <c r="BWI80" s="211"/>
      <c r="BWJ80" s="211"/>
      <c r="BWK80" s="211"/>
      <c r="BWL80" s="211"/>
      <c r="BWM80" s="211"/>
      <c r="BWN80" s="211"/>
      <c r="BWO80" s="211"/>
      <c r="BWP80" s="211"/>
      <c r="BWQ80" s="211"/>
      <c r="BWR80" s="211"/>
      <c r="BWS80" s="211"/>
      <c r="BWT80" s="211"/>
      <c r="BWU80" s="211"/>
      <c r="BWV80" s="211"/>
      <c r="BWW80" s="211"/>
      <c r="BWX80" s="211"/>
      <c r="BWY80" s="211"/>
      <c r="BWZ80" s="211"/>
      <c r="BXA80" s="211"/>
      <c r="BXB80" s="211"/>
      <c r="BXC80" s="211"/>
      <c r="BXD80" s="211"/>
      <c r="BXE80" s="211"/>
      <c r="BXF80" s="211"/>
      <c r="BXG80" s="211"/>
      <c r="BXH80" s="211"/>
      <c r="BXI80" s="211"/>
      <c r="BXJ80" s="211"/>
      <c r="BXK80" s="211"/>
      <c r="BXL80" s="211"/>
      <c r="BXM80" s="211"/>
      <c r="BXN80" s="211"/>
      <c r="BXO80" s="211"/>
      <c r="BXP80" s="211"/>
      <c r="BXQ80" s="211"/>
      <c r="BXR80" s="211"/>
      <c r="BXS80" s="211"/>
      <c r="BXT80" s="211"/>
      <c r="BXU80" s="211"/>
      <c r="BXV80" s="211"/>
      <c r="BXW80" s="211"/>
      <c r="BXX80" s="211"/>
      <c r="BXY80" s="211"/>
      <c r="BXZ80" s="211"/>
      <c r="BYA80" s="211"/>
      <c r="BYB80" s="211"/>
      <c r="BYC80" s="211"/>
      <c r="BYD80" s="211"/>
      <c r="BYE80" s="211"/>
      <c r="BYF80" s="211"/>
      <c r="BYG80" s="211"/>
      <c r="BYH80" s="211"/>
      <c r="BYI80" s="211"/>
      <c r="BYJ80" s="211"/>
      <c r="BYK80" s="211"/>
      <c r="BYL80" s="211"/>
      <c r="BYM80" s="211"/>
      <c r="BYN80" s="211"/>
      <c r="BYO80" s="211"/>
      <c r="BYP80" s="211"/>
      <c r="BYQ80" s="211"/>
      <c r="BYR80" s="211"/>
      <c r="BYS80" s="211"/>
      <c r="BYT80" s="211"/>
      <c r="BYU80" s="211"/>
      <c r="BYV80" s="211"/>
      <c r="BYW80" s="211"/>
      <c r="BYX80" s="211"/>
      <c r="BYY80" s="211"/>
      <c r="BYZ80" s="211"/>
      <c r="BZA80" s="211"/>
      <c r="BZB80" s="211"/>
      <c r="BZC80" s="211"/>
      <c r="BZD80" s="211"/>
      <c r="BZE80" s="211"/>
      <c r="BZF80" s="211"/>
      <c r="BZG80" s="211"/>
      <c r="BZH80" s="211"/>
      <c r="BZI80" s="211"/>
      <c r="BZJ80" s="211"/>
      <c r="BZK80" s="211"/>
      <c r="BZL80" s="211"/>
      <c r="BZM80" s="211"/>
      <c r="BZN80" s="211"/>
      <c r="BZO80" s="211"/>
      <c r="BZP80" s="211"/>
      <c r="BZQ80" s="211"/>
      <c r="BZR80" s="211"/>
      <c r="BZS80" s="211"/>
      <c r="BZT80" s="211"/>
      <c r="BZU80" s="211"/>
      <c r="BZV80" s="211"/>
      <c r="BZW80" s="211"/>
      <c r="BZX80" s="211"/>
      <c r="BZY80" s="211"/>
      <c r="BZZ80" s="211"/>
      <c r="CAA80" s="211"/>
      <c r="CAB80" s="211"/>
      <c r="CAC80" s="211"/>
      <c r="CAD80" s="211"/>
      <c r="CAE80" s="211"/>
      <c r="CAF80" s="211"/>
      <c r="CAG80" s="211"/>
      <c r="CAH80" s="211"/>
      <c r="CAI80" s="211"/>
      <c r="CAJ80" s="211"/>
      <c r="CAK80" s="211"/>
      <c r="CAL80" s="211"/>
      <c r="CAM80" s="211"/>
      <c r="CAN80" s="211"/>
      <c r="CAO80" s="211"/>
      <c r="CAP80" s="211"/>
      <c r="CAQ80" s="211"/>
      <c r="CAR80" s="211"/>
      <c r="CAS80" s="211"/>
      <c r="CAT80" s="211"/>
      <c r="CAU80" s="211"/>
      <c r="CAV80" s="211"/>
      <c r="CAW80" s="211"/>
      <c r="CAX80" s="211"/>
      <c r="CAY80" s="211"/>
      <c r="CAZ80" s="211"/>
      <c r="CBA80" s="211"/>
      <c r="CBB80" s="211"/>
      <c r="CBC80" s="211"/>
      <c r="CBD80" s="211"/>
      <c r="CBE80" s="211"/>
      <c r="CBF80" s="211"/>
      <c r="CBG80" s="211"/>
      <c r="CBH80" s="211"/>
      <c r="CBI80" s="211"/>
      <c r="CBJ80" s="211"/>
      <c r="CBK80" s="211"/>
      <c r="CBL80" s="211"/>
      <c r="CBM80" s="211"/>
      <c r="CBN80" s="211"/>
      <c r="CBO80" s="211"/>
      <c r="CBP80" s="211"/>
      <c r="CBQ80" s="211"/>
      <c r="CBR80" s="211"/>
      <c r="CBS80" s="211"/>
      <c r="CBT80" s="211"/>
      <c r="CBU80" s="211"/>
      <c r="CBV80" s="211"/>
      <c r="CBW80" s="211"/>
      <c r="CBX80" s="211"/>
      <c r="CBY80" s="211"/>
      <c r="CBZ80" s="211"/>
      <c r="CCA80" s="211"/>
      <c r="CCB80" s="211"/>
      <c r="CCC80" s="211"/>
      <c r="CCD80" s="211"/>
      <c r="CCE80" s="211"/>
      <c r="CCF80" s="211"/>
      <c r="CCG80" s="211"/>
      <c r="CCH80" s="211"/>
      <c r="CCI80" s="211"/>
      <c r="CCJ80" s="211"/>
      <c r="CCK80" s="211"/>
      <c r="CCL80" s="211"/>
      <c r="CCM80" s="211"/>
      <c r="CCN80" s="211"/>
      <c r="CCO80" s="211"/>
      <c r="CCP80" s="211"/>
      <c r="CCQ80" s="211"/>
      <c r="CCR80" s="211"/>
      <c r="CCS80" s="211"/>
      <c r="CCT80" s="211"/>
      <c r="CCU80" s="211"/>
      <c r="CCV80" s="211"/>
      <c r="CCW80" s="211"/>
      <c r="CCX80" s="211"/>
      <c r="CCY80" s="211"/>
      <c r="CCZ80" s="211"/>
      <c r="CDA80" s="211"/>
      <c r="CDB80" s="211"/>
      <c r="CDC80" s="211"/>
      <c r="CDD80" s="211"/>
      <c r="CDE80" s="211"/>
      <c r="CDF80" s="211"/>
      <c r="CDG80" s="211"/>
      <c r="CDH80" s="211"/>
      <c r="CDI80" s="211"/>
      <c r="CDJ80" s="211"/>
      <c r="CDK80" s="211"/>
      <c r="CDL80" s="211"/>
      <c r="CDM80" s="211"/>
      <c r="CDN80" s="211"/>
      <c r="CDO80" s="211"/>
      <c r="CDP80" s="211"/>
      <c r="CDQ80" s="211"/>
      <c r="CDR80" s="211"/>
      <c r="CDS80" s="211"/>
      <c r="CDT80" s="211"/>
      <c r="CDU80" s="211"/>
      <c r="CDV80" s="211"/>
      <c r="CDW80" s="211"/>
      <c r="CDX80" s="211"/>
      <c r="CDY80" s="211"/>
      <c r="CDZ80" s="211"/>
      <c r="CEA80" s="211"/>
      <c r="CEB80" s="211"/>
      <c r="CEC80" s="211"/>
      <c r="CED80" s="211"/>
      <c r="CEE80" s="211"/>
      <c r="CEF80" s="211"/>
      <c r="CEG80" s="211"/>
      <c r="CEH80" s="211"/>
      <c r="CEI80" s="211"/>
      <c r="CEJ80" s="211"/>
      <c r="CEK80" s="211"/>
      <c r="CEL80" s="211"/>
      <c r="CEM80" s="211"/>
      <c r="CEN80" s="211"/>
      <c r="CEO80" s="211"/>
      <c r="CEP80" s="211"/>
      <c r="CEQ80" s="211"/>
      <c r="CER80" s="211"/>
      <c r="CES80" s="211"/>
      <c r="CET80" s="211"/>
      <c r="CEU80" s="211"/>
      <c r="CEV80" s="211"/>
      <c r="CEW80" s="211"/>
      <c r="CEX80" s="211"/>
      <c r="CEY80" s="211"/>
      <c r="CEZ80" s="211"/>
      <c r="CFA80" s="211"/>
      <c r="CFB80" s="211"/>
      <c r="CFC80" s="211"/>
      <c r="CFD80" s="211"/>
      <c r="CFE80" s="211"/>
      <c r="CFF80" s="211"/>
      <c r="CFG80" s="211"/>
      <c r="CFH80" s="211"/>
      <c r="CFI80" s="211"/>
      <c r="CFJ80" s="211"/>
      <c r="CFK80" s="211"/>
      <c r="CFL80" s="211"/>
      <c r="CFM80" s="211"/>
      <c r="CFN80" s="211"/>
      <c r="CFO80" s="211"/>
      <c r="CFP80" s="211"/>
      <c r="CFQ80" s="211"/>
      <c r="CFR80" s="211"/>
      <c r="CFS80" s="211"/>
      <c r="CFT80" s="211"/>
      <c r="CFU80" s="211"/>
      <c r="CFV80" s="211"/>
      <c r="CFW80" s="211"/>
      <c r="CFX80" s="211"/>
      <c r="CFY80" s="211"/>
      <c r="CFZ80" s="211"/>
      <c r="CGA80" s="211"/>
      <c r="CGB80" s="211"/>
      <c r="CGC80" s="211"/>
      <c r="CGD80" s="211"/>
      <c r="CGE80" s="211"/>
      <c r="CGF80" s="211"/>
      <c r="CGG80" s="211"/>
      <c r="CGH80" s="211"/>
      <c r="CGI80" s="211"/>
      <c r="CGJ80" s="211"/>
      <c r="CGK80" s="211"/>
      <c r="CGL80" s="211"/>
      <c r="CGM80" s="211"/>
      <c r="CGN80" s="211"/>
      <c r="CGO80" s="211"/>
      <c r="CGP80" s="211"/>
      <c r="CGQ80" s="211"/>
      <c r="CGR80" s="211"/>
      <c r="CGS80" s="211"/>
      <c r="CGT80" s="211"/>
      <c r="CGU80" s="211"/>
      <c r="CGV80" s="211"/>
      <c r="CGW80" s="211"/>
      <c r="CGX80" s="211"/>
      <c r="CGY80" s="211"/>
      <c r="CGZ80" s="211"/>
      <c r="CHA80" s="211"/>
      <c r="CHB80" s="211"/>
      <c r="CHC80" s="211"/>
      <c r="CHD80" s="211"/>
      <c r="CHE80" s="211"/>
      <c r="CHF80" s="211"/>
      <c r="CHG80" s="211"/>
      <c r="CHH80" s="211"/>
      <c r="CHI80" s="211"/>
      <c r="CHJ80" s="211"/>
      <c r="CHK80" s="211"/>
      <c r="CHL80" s="211"/>
      <c r="CHM80" s="211"/>
      <c r="CHN80" s="211"/>
      <c r="CHO80" s="211"/>
      <c r="CHP80" s="211"/>
      <c r="CHQ80" s="211"/>
      <c r="CHR80" s="211"/>
      <c r="CHS80" s="211"/>
      <c r="CHT80" s="211"/>
      <c r="CHU80" s="211"/>
      <c r="CHV80" s="211"/>
      <c r="CHW80" s="211"/>
      <c r="CHX80" s="211"/>
      <c r="CHY80" s="211"/>
      <c r="CHZ80" s="211"/>
      <c r="CIA80" s="211"/>
      <c r="CIB80" s="211"/>
      <c r="CIC80" s="211"/>
      <c r="CID80" s="211"/>
      <c r="CIE80" s="211"/>
      <c r="CIF80" s="211"/>
      <c r="CIG80" s="211"/>
      <c r="CIH80" s="211"/>
      <c r="CII80" s="211"/>
      <c r="CIJ80" s="211"/>
      <c r="CIK80" s="211"/>
      <c r="CIL80" s="211"/>
      <c r="CIM80" s="211"/>
      <c r="CIN80" s="211"/>
      <c r="CIO80" s="211"/>
      <c r="CIP80" s="211"/>
      <c r="CIQ80" s="211"/>
      <c r="CIR80" s="211"/>
      <c r="CIS80" s="211"/>
      <c r="CIT80" s="211"/>
      <c r="CIU80" s="211"/>
      <c r="CIV80" s="211"/>
      <c r="CIW80" s="211"/>
      <c r="CIX80" s="211"/>
      <c r="CIY80" s="211"/>
      <c r="CIZ80" s="211"/>
      <c r="CJA80" s="211"/>
      <c r="CJB80" s="211"/>
      <c r="CJC80" s="211"/>
      <c r="CJD80" s="211"/>
      <c r="CJE80" s="211"/>
      <c r="CJF80" s="211"/>
      <c r="CJG80" s="211"/>
      <c r="CJH80" s="211"/>
      <c r="CJI80" s="211"/>
      <c r="CJJ80" s="211"/>
      <c r="CJK80" s="211"/>
      <c r="CJL80" s="211"/>
      <c r="CJM80" s="211"/>
      <c r="CJN80" s="211"/>
      <c r="CJO80" s="211"/>
      <c r="CJP80" s="211"/>
      <c r="CJQ80" s="211"/>
      <c r="CJR80" s="211"/>
      <c r="CJS80" s="211"/>
      <c r="CJT80" s="211"/>
      <c r="CJU80" s="211"/>
      <c r="CJV80" s="211"/>
      <c r="CJW80" s="211"/>
      <c r="CJX80" s="211"/>
      <c r="CJY80" s="211"/>
      <c r="CJZ80" s="211"/>
      <c r="CKA80" s="211"/>
      <c r="CKB80" s="211"/>
      <c r="CKC80" s="211"/>
      <c r="CKD80" s="211"/>
      <c r="CKE80" s="211"/>
      <c r="CKF80" s="211"/>
      <c r="CKG80" s="211"/>
      <c r="CKH80" s="211"/>
      <c r="CKI80" s="211"/>
      <c r="CKJ80" s="211"/>
      <c r="CKK80" s="211"/>
      <c r="CKL80" s="211"/>
      <c r="CKM80" s="211"/>
      <c r="CKN80" s="211"/>
      <c r="CKO80" s="211"/>
      <c r="CKP80" s="211"/>
      <c r="CKQ80" s="211"/>
      <c r="CKR80" s="211"/>
      <c r="CKS80" s="211"/>
      <c r="CKT80" s="211"/>
      <c r="CKU80" s="211"/>
      <c r="CKV80" s="211"/>
      <c r="CKW80" s="211"/>
      <c r="CKX80" s="211"/>
      <c r="CKY80" s="211"/>
      <c r="CKZ80" s="211"/>
      <c r="CLA80" s="211"/>
      <c r="CLB80" s="211"/>
      <c r="CLC80" s="211"/>
      <c r="CLD80" s="211"/>
      <c r="CLE80" s="211"/>
      <c r="CLF80" s="211"/>
      <c r="CLG80" s="211"/>
      <c r="CLH80" s="211"/>
      <c r="CLI80" s="211"/>
      <c r="CLJ80" s="211"/>
      <c r="CLK80" s="211"/>
      <c r="CLL80" s="211"/>
      <c r="CLM80" s="211"/>
      <c r="CLN80" s="211"/>
      <c r="CLO80" s="211"/>
      <c r="CLP80" s="211"/>
      <c r="CLQ80" s="211"/>
      <c r="CLR80" s="211"/>
      <c r="CLS80" s="211"/>
      <c r="CLT80" s="211"/>
      <c r="CLU80" s="211"/>
      <c r="CLV80" s="211"/>
      <c r="CLW80" s="211"/>
      <c r="CLX80" s="211"/>
      <c r="CLY80" s="211"/>
      <c r="CLZ80" s="211"/>
      <c r="CMA80" s="211"/>
      <c r="CMB80" s="211"/>
      <c r="CMC80" s="211"/>
      <c r="CMD80" s="211"/>
      <c r="CME80" s="211"/>
      <c r="CMF80" s="211"/>
      <c r="CMG80" s="211"/>
      <c r="CMH80" s="211"/>
      <c r="CMI80" s="211"/>
      <c r="CMJ80" s="211"/>
      <c r="CMK80" s="211"/>
      <c r="CML80" s="211"/>
      <c r="CMM80" s="211"/>
      <c r="CMN80" s="211"/>
      <c r="CMO80" s="211"/>
      <c r="CMP80" s="211"/>
      <c r="CMQ80" s="211"/>
      <c r="CMR80" s="211"/>
      <c r="CMS80" s="211"/>
      <c r="CMT80" s="211"/>
      <c r="CMU80" s="211"/>
      <c r="CMV80" s="211"/>
      <c r="CMW80" s="211"/>
      <c r="CMX80" s="211"/>
      <c r="CMY80" s="211"/>
      <c r="CMZ80" s="211"/>
      <c r="CNA80" s="211"/>
      <c r="CNB80" s="211"/>
      <c r="CNC80" s="211"/>
      <c r="CND80" s="211"/>
      <c r="CNE80" s="211"/>
      <c r="CNF80" s="211"/>
      <c r="CNG80" s="211"/>
      <c r="CNH80" s="211"/>
      <c r="CNI80" s="211"/>
      <c r="CNJ80" s="211"/>
      <c r="CNK80" s="211"/>
      <c r="CNL80" s="211"/>
      <c r="CNM80" s="211"/>
      <c r="CNN80" s="211"/>
      <c r="CNO80" s="211"/>
      <c r="CNP80" s="211"/>
      <c r="CNQ80" s="211"/>
      <c r="CNR80" s="211"/>
      <c r="CNS80" s="211"/>
      <c r="CNT80" s="211"/>
      <c r="CNU80" s="211"/>
      <c r="CNV80" s="211"/>
      <c r="CNW80" s="211"/>
      <c r="CNX80" s="211"/>
      <c r="CNY80" s="211"/>
      <c r="CNZ80" s="211"/>
      <c r="COA80" s="211"/>
      <c r="COB80" s="211"/>
      <c r="COC80" s="211"/>
      <c r="COD80" s="211"/>
      <c r="COE80" s="211"/>
      <c r="COF80" s="211"/>
      <c r="COG80" s="211"/>
      <c r="COH80" s="211"/>
      <c r="COI80" s="211"/>
      <c r="COJ80" s="211"/>
      <c r="COK80" s="211"/>
      <c r="COL80" s="211"/>
      <c r="COM80" s="211"/>
      <c r="CON80" s="211"/>
      <c r="COO80" s="211"/>
      <c r="COP80" s="211"/>
      <c r="COQ80" s="211"/>
      <c r="COR80" s="211"/>
      <c r="COS80" s="211"/>
      <c r="COT80" s="211"/>
      <c r="COU80" s="211"/>
      <c r="COV80" s="211"/>
      <c r="COW80" s="211"/>
      <c r="COX80" s="211"/>
      <c r="COY80" s="211"/>
      <c r="COZ80" s="211"/>
      <c r="CPA80" s="211"/>
      <c r="CPB80" s="211"/>
      <c r="CPC80" s="211"/>
      <c r="CPD80" s="211"/>
      <c r="CPE80" s="211"/>
      <c r="CPF80" s="211"/>
      <c r="CPG80" s="211"/>
      <c r="CPH80" s="211"/>
      <c r="CPI80" s="211"/>
      <c r="CPJ80" s="211"/>
      <c r="CPK80" s="211"/>
      <c r="CPL80" s="211"/>
      <c r="CPM80" s="211"/>
      <c r="CPN80" s="211"/>
      <c r="CPO80" s="211"/>
      <c r="CPP80" s="211"/>
      <c r="CPQ80" s="211"/>
      <c r="CPR80" s="211"/>
      <c r="CPS80" s="211"/>
      <c r="CPT80" s="211"/>
      <c r="CPU80" s="211"/>
      <c r="CPV80" s="211"/>
      <c r="CPW80" s="211"/>
      <c r="CPX80" s="211"/>
      <c r="CPY80" s="211"/>
      <c r="CPZ80" s="211"/>
      <c r="CQA80" s="211"/>
      <c r="CQB80" s="211"/>
      <c r="CQC80" s="211"/>
      <c r="CQD80" s="211"/>
      <c r="CQE80" s="211"/>
      <c r="CQF80" s="211"/>
      <c r="CQG80" s="211"/>
      <c r="CQH80" s="211"/>
      <c r="CQI80" s="211"/>
      <c r="CQJ80" s="211"/>
      <c r="CQK80" s="211"/>
      <c r="CQL80" s="211"/>
      <c r="CQM80" s="211"/>
      <c r="CQN80" s="211"/>
      <c r="CQO80" s="211"/>
      <c r="CQP80" s="211"/>
      <c r="CQQ80" s="211"/>
      <c r="CQR80" s="211"/>
      <c r="CQS80" s="211"/>
      <c r="CQT80" s="211"/>
      <c r="CQU80" s="211"/>
      <c r="CQV80" s="211"/>
      <c r="CQW80" s="211"/>
      <c r="CQX80" s="211"/>
      <c r="CQY80" s="211"/>
      <c r="CQZ80" s="211"/>
      <c r="CRA80" s="211"/>
      <c r="CRB80" s="211"/>
      <c r="CRC80" s="211"/>
      <c r="CRD80" s="211"/>
      <c r="CRE80" s="211"/>
      <c r="CRF80" s="211"/>
      <c r="CRG80" s="211"/>
      <c r="CRH80" s="211"/>
      <c r="CRI80" s="211"/>
      <c r="CRJ80" s="211"/>
      <c r="CRK80" s="211"/>
      <c r="CRL80" s="211"/>
      <c r="CRM80" s="211"/>
      <c r="CRN80" s="211"/>
      <c r="CRO80" s="211"/>
      <c r="CRP80" s="211"/>
      <c r="CRQ80" s="211"/>
      <c r="CRR80" s="211"/>
      <c r="CRS80" s="211"/>
      <c r="CRT80" s="211"/>
      <c r="CRU80" s="211"/>
      <c r="CRV80" s="211"/>
      <c r="CRW80" s="211"/>
      <c r="CRX80" s="211"/>
      <c r="CRY80" s="211"/>
      <c r="CRZ80" s="211"/>
      <c r="CSA80" s="211"/>
      <c r="CSB80" s="211"/>
      <c r="CSC80" s="211"/>
      <c r="CSD80" s="211"/>
      <c r="CSE80" s="211"/>
      <c r="CSF80" s="211"/>
      <c r="CSG80" s="211"/>
      <c r="CSH80" s="211"/>
      <c r="CSI80" s="211"/>
      <c r="CSJ80" s="211"/>
      <c r="CSK80" s="211"/>
      <c r="CSL80" s="211"/>
      <c r="CSM80" s="211"/>
      <c r="CSN80" s="211"/>
      <c r="CSO80" s="211"/>
      <c r="CSP80" s="211"/>
      <c r="CSQ80" s="211"/>
      <c r="CSR80" s="211"/>
      <c r="CSS80" s="211"/>
      <c r="CST80" s="211"/>
      <c r="CSU80" s="211"/>
      <c r="CSV80" s="211"/>
      <c r="CSW80" s="211"/>
      <c r="CSX80" s="211"/>
      <c r="CSY80" s="211"/>
      <c r="CSZ80" s="211"/>
      <c r="CTA80" s="211"/>
      <c r="CTB80" s="211"/>
      <c r="CTC80" s="211"/>
      <c r="CTD80" s="211"/>
      <c r="CTE80" s="211"/>
      <c r="CTF80" s="211"/>
      <c r="CTG80" s="211"/>
      <c r="CTH80" s="211"/>
      <c r="CTI80" s="211"/>
      <c r="CTJ80" s="211"/>
      <c r="CTK80" s="211"/>
      <c r="CTL80" s="211"/>
      <c r="CTM80" s="211"/>
      <c r="CTN80" s="211"/>
      <c r="CTO80" s="211"/>
      <c r="CTP80" s="211"/>
      <c r="CTQ80" s="211"/>
      <c r="CTR80" s="211"/>
      <c r="CTS80" s="211"/>
      <c r="CTT80" s="211"/>
      <c r="CTU80" s="211"/>
      <c r="CTV80" s="211"/>
      <c r="CTW80" s="211"/>
      <c r="CTX80" s="211"/>
      <c r="CTY80" s="211"/>
      <c r="CTZ80" s="211"/>
      <c r="CUA80" s="211"/>
      <c r="CUB80" s="211"/>
      <c r="CUC80" s="211"/>
      <c r="CUD80" s="211"/>
      <c r="CUE80" s="211"/>
      <c r="CUF80" s="211"/>
      <c r="CUG80" s="211"/>
      <c r="CUH80" s="211"/>
      <c r="CUI80" s="211"/>
      <c r="CUJ80" s="211"/>
      <c r="CUK80" s="211"/>
      <c r="CUL80" s="211"/>
      <c r="CUM80" s="211"/>
      <c r="CUN80" s="211"/>
      <c r="CUO80" s="211"/>
      <c r="CUP80" s="211"/>
      <c r="CUQ80" s="211"/>
      <c r="CUR80" s="211"/>
      <c r="CUS80" s="211"/>
      <c r="CUT80" s="211"/>
      <c r="CUU80" s="211"/>
      <c r="CUV80" s="211"/>
      <c r="CUW80" s="211"/>
      <c r="CUX80" s="211"/>
      <c r="CUY80" s="211"/>
      <c r="CUZ80" s="211"/>
      <c r="CVA80" s="211"/>
      <c r="CVB80" s="211"/>
      <c r="CVC80" s="211"/>
      <c r="CVD80" s="211"/>
      <c r="CVE80" s="211"/>
      <c r="CVF80" s="211"/>
      <c r="CVG80" s="211"/>
      <c r="CVH80" s="211"/>
      <c r="CVI80" s="211"/>
      <c r="CVJ80" s="211"/>
      <c r="CVK80" s="211"/>
      <c r="CVL80" s="211"/>
      <c r="CVM80" s="211"/>
      <c r="CVN80" s="211"/>
      <c r="CVO80" s="211"/>
      <c r="CVP80" s="211"/>
      <c r="CVQ80" s="211"/>
      <c r="CVR80" s="211"/>
      <c r="CVS80" s="211"/>
      <c r="CVT80" s="211"/>
      <c r="CVU80" s="211"/>
      <c r="CVV80" s="211"/>
      <c r="CVW80" s="211"/>
      <c r="CVX80" s="211"/>
      <c r="CVY80" s="211"/>
      <c r="CVZ80" s="211"/>
      <c r="CWA80" s="211"/>
      <c r="CWB80" s="211"/>
      <c r="CWC80" s="211"/>
      <c r="CWD80" s="211"/>
      <c r="CWE80" s="211"/>
      <c r="CWF80" s="211"/>
      <c r="CWG80" s="211"/>
      <c r="CWH80" s="211"/>
      <c r="CWI80" s="211"/>
      <c r="CWJ80" s="211"/>
      <c r="CWK80" s="211"/>
      <c r="CWL80" s="211"/>
      <c r="CWM80" s="211"/>
      <c r="CWN80" s="211"/>
      <c r="CWO80" s="211"/>
      <c r="CWP80" s="211"/>
      <c r="CWQ80" s="211"/>
      <c r="CWR80" s="211"/>
      <c r="CWS80" s="211"/>
      <c r="CWT80" s="211"/>
      <c r="CWU80" s="211"/>
      <c r="CWV80" s="211"/>
      <c r="CWW80" s="211"/>
      <c r="CWX80" s="211"/>
      <c r="CWY80" s="211"/>
      <c r="CWZ80" s="211"/>
      <c r="CXA80" s="211"/>
      <c r="CXB80" s="211"/>
      <c r="CXC80" s="211"/>
      <c r="CXD80" s="211"/>
      <c r="CXE80" s="211"/>
      <c r="CXF80" s="211"/>
      <c r="CXG80" s="211"/>
      <c r="CXH80" s="211"/>
      <c r="CXI80" s="211"/>
      <c r="CXJ80" s="211"/>
      <c r="CXK80" s="211"/>
      <c r="CXL80" s="211"/>
      <c r="CXM80" s="211"/>
      <c r="CXN80" s="211"/>
      <c r="CXO80" s="211"/>
      <c r="CXP80" s="211"/>
      <c r="CXQ80" s="211"/>
      <c r="CXR80" s="211"/>
      <c r="CXS80" s="211"/>
      <c r="CXT80" s="211"/>
      <c r="CXU80" s="211"/>
      <c r="CXV80" s="211"/>
      <c r="CXW80" s="211"/>
      <c r="CXX80" s="211"/>
      <c r="CXY80" s="211"/>
      <c r="CXZ80" s="211"/>
      <c r="CYA80" s="211"/>
      <c r="CYB80" s="211"/>
      <c r="CYC80" s="211"/>
      <c r="CYD80" s="211"/>
      <c r="CYE80" s="211"/>
      <c r="CYF80" s="211"/>
      <c r="CYG80" s="211"/>
      <c r="CYH80" s="211"/>
      <c r="CYI80" s="211"/>
      <c r="CYJ80" s="211"/>
      <c r="CYK80" s="211"/>
      <c r="CYL80" s="211"/>
      <c r="CYM80" s="211"/>
      <c r="CYN80" s="211"/>
      <c r="CYO80" s="211"/>
      <c r="CYP80" s="211"/>
      <c r="CYQ80" s="211"/>
      <c r="CYR80" s="211"/>
      <c r="CYS80" s="211"/>
      <c r="CYT80" s="211"/>
      <c r="CYU80" s="211"/>
      <c r="CYV80" s="211"/>
      <c r="CYW80" s="211"/>
      <c r="CYX80" s="211"/>
      <c r="CYY80" s="211"/>
      <c r="CYZ80" s="211"/>
      <c r="CZA80" s="211"/>
      <c r="CZB80" s="211"/>
      <c r="CZC80" s="211"/>
      <c r="CZD80" s="211"/>
      <c r="CZE80" s="211"/>
      <c r="CZF80" s="211"/>
      <c r="CZG80" s="211"/>
      <c r="CZH80" s="211"/>
      <c r="CZI80" s="211"/>
      <c r="CZJ80" s="211"/>
      <c r="CZK80" s="211"/>
      <c r="CZL80" s="211"/>
      <c r="CZM80" s="211"/>
      <c r="CZN80" s="211"/>
      <c r="CZO80" s="211"/>
      <c r="CZP80" s="211"/>
      <c r="CZQ80" s="211"/>
      <c r="CZR80" s="211"/>
      <c r="CZS80" s="211"/>
      <c r="CZT80" s="211"/>
      <c r="CZU80" s="211"/>
      <c r="CZV80" s="211"/>
      <c r="CZW80" s="211"/>
      <c r="CZX80" s="211"/>
      <c r="CZY80" s="211"/>
      <c r="CZZ80" s="211"/>
      <c r="DAA80" s="211"/>
      <c r="DAB80" s="211"/>
      <c r="DAC80" s="211"/>
      <c r="DAD80" s="211"/>
      <c r="DAE80" s="211"/>
      <c r="DAF80" s="211"/>
      <c r="DAG80" s="211"/>
      <c r="DAH80" s="211"/>
      <c r="DAI80" s="211"/>
      <c r="DAJ80" s="211"/>
      <c r="DAK80" s="211"/>
      <c r="DAL80" s="211"/>
      <c r="DAM80" s="211"/>
      <c r="DAN80" s="211"/>
      <c r="DAO80" s="211"/>
      <c r="DAP80" s="211"/>
      <c r="DAQ80" s="211"/>
      <c r="DAR80" s="211"/>
      <c r="DAS80" s="211"/>
      <c r="DAT80" s="211"/>
      <c r="DAU80" s="211"/>
      <c r="DAV80" s="211"/>
      <c r="DAW80" s="211"/>
      <c r="DAX80" s="211"/>
      <c r="DAY80" s="211"/>
      <c r="DAZ80" s="211"/>
      <c r="DBA80" s="211"/>
      <c r="DBB80" s="211"/>
      <c r="DBC80" s="211"/>
      <c r="DBD80" s="211"/>
      <c r="DBE80" s="211"/>
      <c r="DBF80" s="211"/>
      <c r="DBG80" s="211"/>
      <c r="DBH80" s="211"/>
      <c r="DBI80" s="211"/>
      <c r="DBJ80" s="211"/>
      <c r="DBK80" s="211"/>
      <c r="DBL80" s="211"/>
      <c r="DBM80" s="211"/>
      <c r="DBN80" s="211"/>
      <c r="DBO80" s="211"/>
      <c r="DBP80" s="211"/>
      <c r="DBQ80" s="211"/>
      <c r="DBR80" s="211"/>
      <c r="DBS80" s="211"/>
      <c r="DBT80" s="211"/>
      <c r="DBU80" s="211"/>
      <c r="DBV80" s="211"/>
      <c r="DBW80" s="211"/>
      <c r="DBX80" s="211"/>
      <c r="DBY80" s="211"/>
      <c r="DBZ80" s="211"/>
      <c r="DCA80" s="211"/>
      <c r="DCB80" s="211"/>
      <c r="DCC80" s="211"/>
      <c r="DCD80" s="211"/>
      <c r="DCE80" s="211"/>
      <c r="DCF80" s="211"/>
      <c r="DCG80" s="211"/>
      <c r="DCH80" s="211"/>
      <c r="DCI80" s="211"/>
      <c r="DCJ80" s="211"/>
      <c r="DCK80" s="211"/>
      <c r="DCL80" s="211"/>
      <c r="DCM80" s="211"/>
      <c r="DCN80" s="211"/>
      <c r="DCO80" s="211"/>
      <c r="DCP80" s="211"/>
      <c r="DCQ80" s="211"/>
      <c r="DCR80" s="211"/>
      <c r="DCS80" s="211"/>
      <c r="DCT80" s="211"/>
      <c r="DCU80" s="211"/>
      <c r="DCV80" s="211"/>
      <c r="DCW80" s="211"/>
      <c r="DCX80" s="211"/>
      <c r="DCY80" s="211"/>
      <c r="DCZ80" s="211"/>
      <c r="DDA80" s="211"/>
      <c r="DDB80" s="211"/>
      <c r="DDC80" s="211"/>
      <c r="DDD80" s="211"/>
      <c r="DDE80" s="211"/>
      <c r="DDF80" s="211"/>
      <c r="DDG80" s="211"/>
      <c r="DDH80" s="211"/>
      <c r="DDI80" s="211"/>
      <c r="DDJ80" s="211"/>
      <c r="DDK80" s="211"/>
      <c r="DDL80" s="211"/>
      <c r="DDM80" s="211"/>
      <c r="DDN80" s="211"/>
      <c r="DDO80" s="211"/>
      <c r="DDP80" s="211"/>
      <c r="DDQ80" s="211"/>
      <c r="DDR80" s="211"/>
      <c r="DDS80" s="211"/>
      <c r="DDT80" s="211"/>
      <c r="DDU80" s="211"/>
      <c r="DDV80" s="211"/>
      <c r="DDW80" s="211"/>
      <c r="DDX80" s="211"/>
      <c r="DDY80" s="211"/>
      <c r="DDZ80" s="211"/>
      <c r="DEA80" s="211"/>
      <c r="DEB80" s="211"/>
      <c r="DEC80" s="211"/>
      <c r="DED80" s="211"/>
      <c r="DEE80" s="211"/>
      <c r="DEF80" s="211"/>
      <c r="DEG80" s="211"/>
      <c r="DEH80" s="211"/>
      <c r="DEI80" s="211"/>
      <c r="DEJ80" s="211"/>
      <c r="DEK80" s="211"/>
      <c r="DEL80" s="211"/>
      <c r="DEM80" s="211"/>
      <c r="DEN80" s="211"/>
      <c r="DEO80" s="211"/>
      <c r="DEP80" s="211"/>
      <c r="DEQ80" s="211"/>
      <c r="DER80" s="211"/>
      <c r="DES80" s="211"/>
      <c r="DET80" s="211"/>
      <c r="DEU80" s="211"/>
      <c r="DEV80" s="211"/>
      <c r="DEW80" s="211"/>
      <c r="DEX80" s="211"/>
      <c r="DEY80" s="211"/>
      <c r="DEZ80" s="211"/>
      <c r="DFA80" s="211"/>
      <c r="DFB80" s="211"/>
      <c r="DFC80" s="211"/>
      <c r="DFD80" s="211"/>
      <c r="DFE80" s="211"/>
      <c r="DFF80" s="211"/>
      <c r="DFG80" s="211"/>
      <c r="DFH80" s="211"/>
      <c r="DFI80" s="211"/>
      <c r="DFJ80" s="211"/>
      <c r="DFK80" s="211"/>
      <c r="DFL80" s="211"/>
      <c r="DFM80" s="211"/>
      <c r="DFN80" s="211"/>
      <c r="DFO80" s="211"/>
      <c r="DFP80" s="211"/>
      <c r="DFQ80" s="211"/>
      <c r="DFR80" s="211"/>
      <c r="DFS80" s="211"/>
      <c r="DFT80" s="211"/>
      <c r="DFU80" s="211"/>
      <c r="DFV80" s="211"/>
      <c r="DFW80" s="211"/>
      <c r="DFX80" s="211"/>
      <c r="DFY80" s="211"/>
      <c r="DFZ80" s="211"/>
      <c r="DGA80" s="211"/>
      <c r="DGB80" s="211"/>
      <c r="DGC80" s="211"/>
      <c r="DGD80" s="211"/>
      <c r="DGE80" s="211"/>
      <c r="DGF80" s="211"/>
      <c r="DGG80" s="211"/>
      <c r="DGH80" s="211"/>
      <c r="DGI80" s="211"/>
      <c r="DGJ80" s="211"/>
      <c r="DGK80" s="211"/>
      <c r="DGL80" s="211"/>
      <c r="DGM80" s="211"/>
      <c r="DGN80" s="211"/>
      <c r="DGO80" s="211"/>
      <c r="DGP80" s="211"/>
      <c r="DGQ80" s="211"/>
      <c r="DGR80" s="211"/>
      <c r="DGS80" s="211"/>
      <c r="DGT80" s="211"/>
      <c r="DGU80" s="211"/>
      <c r="DGV80" s="211"/>
      <c r="DGW80" s="211"/>
      <c r="DGX80" s="211"/>
      <c r="DGY80" s="211"/>
      <c r="DGZ80" s="211"/>
      <c r="DHA80" s="211"/>
      <c r="DHB80" s="211"/>
      <c r="DHC80" s="211"/>
      <c r="DHD80" s="211"/>
      <c r="DHE80" s="211"/>
      <c r="DHF80" s="211"/>
      <c r="DHG80" s="211"/>
      <c r="DHH80" s="211"/>
      <c r="DHI80" s="211"/>
      <c r="DHJ80" s="211"/>
      <c r="DHK80" s="211"/>
      <c r="DHL80" s="211"/>
      <c r="DHM80" s="211"/>
      <c r="DHN80" s="211"/>
      <c r="DHO80" s="211"/>
      <c r="DHP80" s="211"/>
      <c r="DHQ80" s="211"/>
      <c r="DHR80" s="211"/>
      <c r="DHS80" s="211"/>
      <c r="DHT80" s="211"/>
      <c r="DHU80" s="211"/>
      <c r="DHV80" s="211"/>
      <c r="DHW80" s="211"/>
      <c r="DHX80" s="211"/>
      <c r="DHY80" s="211"/>
      <c r="DHZ80" s="211"/>
      <c r="DIA80" s="211"/>
      <c r="DIB80" s="211"/>
      <c r="DIC80" s="211"/>
      <c r="DID80" s="211"/>
      <c r="DIE80" s="211"/>
      <c r="DIF80" s="211"/>
      <c r="DIG80" s="211"/>
      <c r="DIH80" s="211"/>
      <c r="DII80" s="211"/>
      <c r="DIJ80" s="211"/>
      <c r="DIK80" s="211"/>
      <c r="DIL80" s="211"/>
      <c r="DIM80" s="211"/>
      <c r="DIN80" s="211"/>
      <c r="DIO80" s="211"/>
      <c r="DIP80" s="211"/>
      <c r="DIQ80" s="211"/>
      <c r="DIR80" s="211"/>
      <c r="DIS80" s="211"/>
      <c r="DIT80" s="211"/>
      <c r="DIU80" s="211"/>
      <c r="DIV80" s="211"/>
      <c r="DIW80" s="211"/>
      <c r="DIX80" s="211"/>
      <c r="DIY80" s="211"/>
      <c r="DIZ80" s="211"/>
      <c r="DJA80" s="211"/>
      <c r="DJB80" s="211"/>
      <c r="DJC80" s="211"/>
      <c r="DJD80" s="211"/>
      <c r="DJE80" s="211"/>
      <c r="DJF80" s="211"/>
      <c r="DJG80" s="211"/>
      <c r="DJH80" s="211"/>
      <c r="DJI80" s="211"/>
      <c r="DJJ80" s="211"/>
      <c r="DJK80" s="211"/>
      <c r="DJL80" s="211"/>
      <c r="DJM80" s="211"/>
      <c r="DJN80" s="211"/>
      <c r="DJO80" s="211"/>
      <c r="DJP80" s="211"/>
      <c r="DJQ80" s="211"/>
      <c r="DJR80" s="211"/>
      <c r="DJS80" s="211"/>
      <c r="DJT80" s="211"/>
      <c r="DJU80" s="211"/>
      <c r="DJV80" s="211"/>
      <c r="DJW80" s="211"/>
      <c r="DJX80" s="211"/>
      <c r="DJY80" s="211"/>
      <c r="DJZ80" s="211"/>
      <c r="DKA80" s="211"/>
      <c r="DKB80" s="211"/>
      <c r="DKC80" s="211"/>
      <c r="DKD80" s="211"/>
      <c r="DKE80" s="211"/>
      <c r="DKF80" s="211"/>
      <c r="DKG80" s="211"/>
      <c r="DKH80" s="211"/>
      <c r="DKI80" s="211"/>
      <c r="DKJ80" s="211"/>
      <c r="DKK80" s="211"/>
      <c r="DKL80" s="211"/>
      <c r="DKM80" s="211"/>
      <c r="DKN80" s="211"/>
      <c r="DKO80" s="211"/>
      <c r="DKP80" s="211"/>
      <c r="DKQ80" s="211"/>
      <c r="DKR80" s="211"/>
      <c r="DKS80" s="211"/>
      <c r="DKT80" s="211"/>
      <c r="DKU80" s="211"/>
      <c r="DKV80" s="211"/>
      <c r="DKW80" s="211"/>
      <c r="DKX80" s="211"/>
      <c r="DKY80" s="211"/>
      <c r="DKZ80" s="211"/>
      <c r="DLA80" s="211"/>
      <c r="DLB80" s="211"/>
      <c r="DLC80" s="211"/>
      <c r="DLD80" s="211"/>
      <c r="DLE80" s="211"/>
      <c r="DLF80" s="211"/>
      <c r="DLG80" s="211"/>
      <c r="DLH80" s="211"/>
      <c r="DLI80" s="211"/>
      <c r="DLJ80" s="211"/>
      <c r="DLK80" s="211"/>
      <c r="DLL80" s="211"/>
      <c r="DLM80" s="211"/>
      <c r="DLN80" s="211"/>
      <c r="DLO80" s="211"/>
      <c r="DLP80" s="211"/>
      <c r="DLQ80" s="211"/>
      <c r="DLR80" s="211"/>
      <c r="DLS80" s="211"/>
      <c r="DLT80" s="211"/>
      <c r="DLU80" s="211"/>
      <c r="DLV80" s="211"/>
      <c r="DLW80" s="211"/>
      <c r="DLX80" s="211"/>
      <c r="DLY80" s="211"/>
      <c r="DLZ80" s="211"/>
      <c r="DMA80" s="211"/>
      <c r="DMB80" s="211"/>
      <c r="DMC80" s="211"/>
      <c r="DMD80" s="211"/>
      <c r="DME80" s="211"/>
      <c r="DMF80" s="211"/>
      <c r="DMG80" s="211"/>
      <c r="DMH80" s="211"/>
      <c r="DMI80" s="211"/>
      <c r="DMJ80" s="211"/>
      <c r="DMK80" s="211"/>
      <c r="DML80" s="211"/>
      <c r="DMM80" s="211"/>
      <c r="DMN80" s="211"/>
      <c r="DMO80" s="211"/>
      <c r="DMP80" s="211"/>
      <c r="DMQ80" s="211"/>
      <c r="DMR80" s="211"/>
      <c r="DMS80" s="211"/>
      <c r="DMT80" s="211"/>
      <c r="DMU80" s="211"/>
      <c r="DMV80" s="211"/>
      <c r="DMW80" s="211"/>
      <c r="DMX80" s="211"/>
      <c r="DMY80" s="211"/>
      <c r="DMZ80" s="211"/>
      <c r="DNA80" s="211"/>
      <c r="DNB80" s="211"/>
      <c r="DNC80" s="211"/>
      <c r="DND80" s="211"/>
      <c r="DNE80" s="211"/>
      <c r="DNF80" s="211"/>
      <c r="DNG80" s="211"/>
      <c r="DNH80" s="211"/>
      <c r="DNI80" s="211"/>
      <c r="DNJ80" s="211"/>
      <c r="DNK80" s="211"/>
      <c r="DNL80" s="211"/>
      <c r="DNM80" s="211"/>
      <c r="DNN80" s="211"/>
      <c r="DNO80" s="211"/>
      <c r="DNP80" s="211"/>
      <c r="DNQ80" s="211"/>
      <c r="DNR80" s="211"/>
      <c r="DNS80" s="211"/>
      <c r="DNT80" s="211"/>
      <c r="DNU80" s="211"/>
      <c r="DNV80" s="211"/>
      <c r="DNW80" s="211"/>
      <c r="DNX80" s="211"/>
      <c r="DNY80" s="211"/>
      <c r="DNZ80" s="211"/>
      <c r="DOA80" s="211"/>
      <c r="DOB80" s="211"/>
      <c r="DOC80" s="211"/>
      <c r="DOD80" s="211"/>
      <c r="DOE80" s="211"/>
      <c r="DOF80" s="211"/>
      <c r="DOG80" s="211"/>
      <c r="DOH80" s="211"/>
      <c r="DOI80" s="211"/>
      <c r="DOJ80" s="211"/>
      <c r="DOK80" s="211"/>
      <c r="DOL80" s="211"/>
      <c r="DOM80" s="211"/>
      <c r="DON80" s="211"/>
      <c r="DOO80" s="211"/>
      <c r="DOP80" s="211"/>
      <c r="DOQ80" s="211"/>
      <c r="DOR80" s="211"/>
      <c r="DOS80" s="211"/>
      <c r="DOT80" s="211"/>
      <c r="DOU80" s="211"/>
      <c r="DOV80" s="211"/>
      <c r="DOW80" s="211"/>
      <c r="DOX80" s="211"/>
      <c r="DOY80" s="211"/>
      <c r="DOZ80" s="211"/>
      <c r="DPA80" s="211"/>
      <c r="DPB80" s="211"/>
      <c r="DPC80" s="211"/>
      <c r="DPD80" s="211"/>
      <c r="DPE80" s="211"/>
      <c r="DPF80" s="211"/>
      <c r="DPG80" s="211"/>
      <c r="DPH80" s="211"/>
      <c r="DPI80" s="211"/>
      <c r="DPJ80" s="211"/>
      <c r="DPK80" s="211"/>
      <c r="DPL80" s="211"/>
      <c r="DPM80" s="211"/>
      <c r="DPN80" s="211"/>
      <c r="DPO80" s="211"/>
      <c r="DPP80" s="211"/>
      <c r="DPQ80" s="211"/>
      <c r="DPR80" s="211"/>
      <c r="DPS80" s="211"/>
      <c r="DPT80" s="211"/>
      <c r="DPU80" s="211"/>
      <c r="DPV80" s="211"/>
      <c r="DPW80" s="211"/>
      <c r="DPX80" s="211"/>
      <c r="DPY80" s="211"/>
      <c r="DPZ80" s="211"/>
      <c r="DQA80" s="211"/>
      <c r="DQB80" s="211"/>
      <c r="DQC80" s="211"/>
      <c r="DQD80" s="211"/>
      <c r="DQE80" s="211"/>
      <c r="DQF80" s="211"/>
      <c r="DQG80" s="211"/>
      <c r="DQH80" s="211"/>
      <c r="DQI80" s="211"/>
      <c r="DQJ80" s="211"/>
      <c r="DQK80" s="211"/>
      <c r="DQL80" s="211"/>
      <c r="DQM80" s="211"/>
      <c r="DQN80" s="211"/>
      <c r="DQO80" s="211"/>
      <c r="DQP80" s="211"/>
      <c r="DQQ80" s="211"/>
      <c r="DQR80" s="211"/>
      <c r="DQS80" s="211"/>
      <c r="DQT80" s="211"/>
      <c r="DQU80" s="211"/>
      <c r="DQV80" s="211"/>
      <c r="DQW80" s="211"/>
      <c r="DQX80" s="211"/>
      <c r="DQY80" s="211"/>
      <c r="DQZ80" s="211"/>
      <c r="DRA80" s="211"/>
      <c r="DRB80" s="211"/>
      <c r="DRC80" s="211"/>
      <c r="DRD80" s="211"/>
      <c r="DRE80" s="211"/>
      <c r="DRF80" s="211"/>
      <c r="DRG80" s="211"/>
      <c r="DRH80" s="211"/>
      <c r="DRI80" s="211"/>
      <c r="DRJ80" s="211"/>
      <c r="DRK80" s="211"/>
      <c r="DRL80" s="211"/>
      <c r="DRM80" s="211"/>
      <c r="DRN80" s="211"/>
      <c r="DRO80" s="211"/>
      <c r="DRP80" s="211"/>
      <c r="DRQ80" s="211"/>
      <c r="DRR80" s="211"/>
      <c r="DRS80" s="211"/>
      <c r="DRT80" s="211"/>
      <c r="DRU80" s="211"/>
      <c r="DRV80" s="211"/>
      <c r="DRW80" s="211"/>
      <c r="DRX80" s="211"/>
      <c r="DRY80" s="211"/>
      <c r="DRZ80" s="211"/>
      <c r="DSA80" s="211"/>
      <c r="DSB80" s="211"/>
      <c r="DSC80" s="211"/>
      <c r="DSD80" s="211"/>
      <c r="DSE80" s="211"/>
      <c r="DSF80" s="211"/>
      <c r="DSG80" s="211"/>
      <c r="DSH80" s="211"/>
      <c r="DSI80" s="211"/>
      <c r="DSJ80" s="211"/>
      <c r="DSK80" s="211"/>
      <c r="DSL80" s="211"/>
      <c r="DSM80" s="211"/>
      <c r="DSN80" s="211"/>
      <c r="DSO80" s="211"/>
      <c r="DSP80" s="211"/>
      <c r="DSQ80" s="211"/>
      <c r="DSR80" s="211"/>
      <c r="DSS80" s="211"/>
      <c r="DST80" s="211"/>
      <c r="DSU80" s="211"/>
      <c r="DSV80" s="211"/>
      <c r="DSW80" s="211"/>
      <c r="DSX80" s="211"/>
      <c r="DSY80" s="211"/>
      <c r="DSZ80" s="211"/>
      <c r="DTA80" s="211"/>
      <c r="DTB80" s="211"/>
      <c r="DTC80" s="211"/>
      <c r="DTD80" s="211"/>
      <c r="DTE80" s="211"/>
      <c r="DTF80" s="211"/>
      <c r="DTG80" s="211"/>
      <c r="DTH80" s="211"/>
      <c r="DTI80" s="211"/>
      <c r="DTJ80" s="211"/>
      <c r="DTK80" s="211"/>
      <c r="DTL80" s="211"/>
      <c r="DTM80" s="211"/>
      <c r="DTN80" s="211"/>
      <c r="DTO80" s="211"/>
      <c r="DTP80" s="211"/>
      <c r="DTQ80" s="211"/>
      <c r="DTR80" s="211"/>
      <c r="DTS80" s="211"/>
      <c r="DTT80" s="211"/>
      <c r="DTU80" s="211"/>
      <c r="DTV80" s="211"/>
      <c r="DTW80" s="211"/>
      <c r="DTX80" s="211"/>
      <c r="DTY80" s="211"/>
      <c r="DTZ80" s="211"/>
      <c r="DUA80" s="211"/>
      <c r="DUB80" s="211"/>
      <c r="DUC80" s="211"/>
      <c r="DUD80" s="211"/>
      <c r="DUE80" s="211"/>
      <c r="DUF80" s="211"/>
      <c r="DUG80" s="211"/>
      <c r="DUH80" s="211"/>
      <c r="DUI80" s="211"/>
      <c r="DUJ80" s="211"/>
      <c r="DUK80" s="211"/>
      <c r="DUL80" s="211"/>
      <c r="DUM80" s="211"/>
      <c r="DUN80" s="211"/>
      <c r="DUO80" s="211"/>
      <c r="DUP80" s="211"/>
      <c r="DUQ80" s="211"/>
      <c r="DUR80" s="211"/>
      <c r="DUS80" s="211"/>
      <c r="DUT80" s="211"/>
      <c r="DUU80" s="211"/>
      <c r="DUV80" s="211"/>
      <c r="DUW80" s="211"/>
      <c r="DUX80" s="211"/>
      <c r="DUY80" s="211"/>
      <c r="DUZ80" s="211"/>
      <c r="DVA80" s="211"/>
      <c r="DVB80" s="211"/>
      <c r="DVC80" s="211"/>
      <c r="DVD80" s="211"/>
      <c r="DVE80" s="211"/>
      <c r="DVF80" s="211"/>
      <c r="DVG80" s="211"/>
      <c r="DVH80" s="211"/>
      <c r="DVI80" s="211"/>
      <c r="DVJ80" s="211"/>
      <c r="DVK80" s="211"/>
      <c r="DVL80" s="211"/>
      <c r="DVM80" s="211"/>
      <c r="DVN80" s="211"/>
      <c r="DVO80" s="211"/>
      <c r="DVP80" s="211"/>
      <c r="DVQ80" s="211"/>
      <c r="DVR80" s="211"/>
      <c r="DVS80" s="211"/>
      <c r="DVT80" s="211"/>
      <c r="DVU80" s="211"/>
      <c r="DVV80" s="211"/>
      <c r="DVW80" s="211"/>
      <c r="DVX80" s="211"/>
      <c r="DVY80" s="211"/>
      <c r="DVZ80" s="211"/>
      <c r="DWA80" s="211"/>
      <c r="DWB80" s="211"/>
      <c r="DWC80" s="211"/>
      <c r="DWD80" s="211"/>
      <c r="DWE80" s="211"/>
      <c r="DWF80" s="211"/>
      <c r="DWG80" s="211"/>
      <c r="DWH80" s="211"/>
      <c r="DWI80" s="211"/>
      <c r="DWJ80" s="211"/>
      <c r="DWK80" s="211"/>
      <c r="DWL80" s="211"/>
      <c r="DWM80" s="211"/>
      <c r="DWN80" s="211"/>
      <c r="DWO80" s="211"/>
      <c r="DWP80" s="211"/>
      <c r="DWQ80" s="211"/>
      <c r="DWR80" s="211"/>
      <c r="DWS80" s="211"/>
      <c r="DWT80" s="211"/>
      <c r="DWU80" s="211"/>
      <c r="DWV80" s="211"/>
      <c r="DWW80" s="211"/>
      <c r="DWX80" s="211"/>
      <c r="DWY80" s="211"/>
      <c r="DWZ80" s="211"/>
      <c r="DXA80" s="211"/>
      <c r="DXB80" s="211"/>
      <c r="DXC80" s="211"/>
      <c r="DXD80" s="211"/>
      <c r="DXE80" s="211"/>
      <c r="DXF80" s="211"/>
      <c r="DXG80" s="211"/>
      <c r="DXH80" s="211"/>
      <c r="DXI80" s="211"/>
      <c r="DXJ80" s="211"/>
      <c r="DXK80" s="211"/>
      <c r="DXL80" s="211"/>
      <c r="DXM80" s="211"/>
      <c r="DXN80" s="211"/>
      <c r="DXO80" s="211"/>
      <c r="DXP80" s="211"/>
      <c r="DXQ80" s="211"/>
      <c r="DXR80" s="211"/>
      <c r="DXS80" s="211"/>
      <c r="DXT80" s="211"/>
      <c r="DXU80" s="211"/>
      <c r="DXV80" s="211"/>
      <c r="DXW80" s="211"/>
      <c r="DXX80" s="211"/>
      <c r="DXY80" s="211"/>
      <c r="DXZ80" s="211"/>
      <c r="DYA80" s="211"/>
      <c r="DYB80" s="211"/>
      <c r="DYC80" s="211"/>
      <c r="DYD80" s="211"/>
      <c r="DYE80" s="211"/>
      <c r="DYF80" s="211"/>
      <c r="DYG80" s="211"/>
      <c r="DYH80" s="211"/>
      <c r="DYI80" s="211"/>
      <c r="DYJ80" s="211"/>
      <c r="DYK80" s="211"/>
      <c r="DYL80" s="211"/>
      <c r="DYM80" s="211"/>
      <c r="DYN80" s="211"/>
      <c r="DYO80" s="211"/>
      <c r="DYP80" s="211"/>
      <c r="DYQ80" s="211"/>
      <c r="DYR80" s="211"/>
      <c r="DYS80" s="211"/>
      <c r="DYT80" s="211"/>
      <c r="DYU80" s="211"/>
      <c r="DYV80" s="211"/>
      <c r="DYW80" s="211"/>
      <c r="DYX80" s="211"/>
      <c r="DYY80" s="211"/>
      <c r="DYZ80" s="211"/>
      <c r="DZA80" s="211"/>
      <c r="DZB80" s="211"/>
      <c r="DZC80" s="211"/>
      <c r="DZD80" s="211"/>
      <c r="DZE80" s="211"/>
      <c r="DZF80" s="211"/>
      <c r="DZG80" s="211"/>
      <c r="DZH80" s="211"/>
      <c r="DZI80" s="211"/>
      <c r="DZJ80" s="211"/>
      <c r="DZK80" s="211"/>
      <c r="DZL80" s="211"/>
      <c r="DZM80" s="211"/>
      <c r="DZN80" s="211"/>
      <c r="DZO80" s="211"/>
      <c r="DZP80" s="211"/>
      <c r="DZQ80" s="211"/>
      <c r="DZR80" s="211"/>
      <c r="DZS80" s="211"/>
      <c r="DZT80" s="211"/>
      <c r="DZU80" s="211"/>
      <c r="DZV80" s="211"/>
      <c r="DZW80" s="211"/>
      <c r="DZX80" s="211"/>
      <c r="DZY80" s="211"/>
      <c r="DZZ80" s="211"/>
      <c r="EAA80" s="211"/>
      <c r="EAB80" s="211"/>
      <c r="EAC80" s="211"/>
      <c r="EAD80" s="211"/>
      <c r="EAE80" s="211"/>
      <c r="EAF80" s="211"/>
      <c r="EAG80" s="211"/>
      <c r="EAH80" s="211"/>
      <c r="EAI80" s="211"/>
      <c r="EAJ80" s="211"/>
      <c r="EAK80" s="211"/>
      <c r="EAL80" s="211"/>
      <c r="EAM80" s="211"/>
      <c r="EAN80" s="211"/>
      <c r="EAO80" s="211"/>
      <c r="EAP80" s="211"/>
      <c r="EAQ80" s="211"/>
      <c r="EAR80" s="211"/>
      <c r="EAS80" s="211"/>
      <c r="EAT80" s="211"/>
      <c r="EAU80" s="211"/>
      <c r="EAV80" s="211"/>
      <c r="EAW80" s="211"/>
      <c r="EAX80" s="211"/>
      <c r="EAY80" s="211"/>
      <c r="EAZ80" s="211"/>
      <c r="EBA80" s="211"/>
      <c r="EBB80" s="211"/>
      <c r="EBC80" s="211"/>
      <c r="EBD80" s="211"/>
      <c r="EBE80" s="211"/>
      <c r="EBF80" s="211"/>
      <c r="EBG80" s="211"/>
      <c r="EBH80" s="211"/>
      <c r="EBI80" s="211"/>
      <c r="EBJ80" s="211"/>
      <c r="EBK80" s="211"/>
      <c r="EBL80" s="211"/>
      <c r="EBM80" s="211"/>
      <c r="EBN80" s="211"/>
      <c r="EBO80" s="211"/>
      <c r="EBP80" s="211"/>
      <c r="EBQ80" s="211"/>
      <c r="EBR80" s="211"/>
      <c r="EBS80" s="211"/>
      <c r="EBT80" s="211"/>
      <c r="EBU80" s="211"/>
      <c r="EBV80" s="211"/>
      <c r="EBW80" s="211"/>
      <c r="EBX80" s="211"/>
      <c r="EBY80" s="211"/>
      <c r="EBZ80" s="211"/>
      <c r="ECA80" s="211"/>
      <c r="ECB80" s="211"/>
      <c r="ECC80" s="211"/>
      <c r="ECD80" s="211"/>
      <c r="ECE80" s="211"/>
      <c r="ECF80" s="211"/>
      <c r="ECG80" s="211"/>
      <c r="ECH80" s="211"/>
      <c r="ECI80" s="211"/>
      <c r="ECJ80" s="211"/>
      <c r="ECK80" s="211"/>
      <c r="ECL80" s="211"/>
      <c r="ECM80" s="211"/>
      <c r="ECN80" s="211"/>
      <c r="ECO80" s="211"/>
      <c r="ECP80" s="211"/>
      <c r="ECQ80" s="211"/>
      <c r="ECR80" s="211"/>
      <c r="ECS80" s="211"/>
      <c r="ECT80" s="211"/>
      <c r="ECU80" s="211"/>
      <c r="ECV80" s="211"/>
      <c r="ECW80" s="211"/>
      <c r="ECX80" s="211"/>
      <c r="ECY80" s="211"/>
      <c r="ECZ80" s="211"/>
      <c r="EDA80" s="211"/>
      <c r="EDB80" s="211"/>
      <c r="EDC80" s="211"/>
      <c r="EDD80" s="211"/>
      <c r="EDE80" s="211"/>
      <c r="EDF80" s="211"/>
      <c r="EDG80" s="211"/>
      <c r="EDH80" s="211"/>
      <c r="EDI80" s="211"/>
      <c r="EDJ80" s="211"/>
      <c r="EDK80" s="211"/>
      <c r="EDL80" s="211"/>
      <c r="EDM80" s="211"/>
      <c r="EDN80" s="211"/>
      <c r="EDO80" s="211"/>
      <c r="EDP80" s="211"/>
      <c r="EDQ80" s="211"/>
      <c r="EDR80" s="211"/>
      <c r="EDS80" s="211"/>
      <c r="EDT80" s="211"/>
      <c r="EDU80" s="211"/>
      <c r="EDV80" s="211"/>
      <c r="EDW80" s="211"/>
      <c r="EDX80" s="211"/>
      <c r="EDY80" s="211"/>
      <c r="EDZ80" s="211"/>
      <c r="EEA80" s="211"/>
      <c r="EEB80" s="211"/>
      <c r="EEC80" s="211"/>
      <c r="EED80" s="211"/>
      <c r="EEE80" s="211"/>
      <c r="EEF80" s="211"/>
      <c r="EEG80" s="211"/>
      <c r="EEH80" s="211"/>
      <c r="EEI80" s="211"/>
      <c r="EEJ80" s="211"/>
      <c r="EEK80" s="211"/>
      <c r="EEL80" s="211"/>
      <c r="EEM80" s="211"/>
      <c r="EEN80" s="211"/>
      <c r="EEO80" s="211"/>
      <c r="EEP80" s="211"/>
      <c r="EEQ80" s="211"/>
      <c r="EER80" s="211"/>
      <c r="EES80" s="211"/>
      <c r="EET80" s="211"/>
      <c r="EEU80" s="211"/>
      <c r="EEV80" s="211"/>
      <c r="EEW80" s="211"/>
      <c r="EEX80" s="211"/>
      <c r="EEY80" s="211"/>
      <c r="EEZ80" s="211"/>
      <c r="EFA80" s="211"/>
      <c r="EFB80" s="211"/>
      <c r="EFC80" s="211"/>
      <c r="EFD80" s="211"/>
      <c r="EFE80" s="211"/>
      <c r="EFF80" s="211"/>
      <c r="EFG80" s="211"/>
      <c r="EFH80" s="211"/>
      <c r="EFI80" s="211"/>
      <c r="EFJ80" s="211"/>
      <c r="EFK80" s="211"/>
      <c r="EFL80" s="211"/>
      <c r="EFM80" s="211"/>
      <c r="EFN80" s="211"/>
      <c r="EFO80" s="211"/>
      <c r="EFP80" s="211"/>
      <c r="EFQ80" s="211"/>
      <c r="EFR80" s="211"/>
      <c r="EFS80" s="211"/>
      <c r="EFT80" s="211"/>
      <c r="EFU80" s="211"/>
      <c r="EFV80" s="211"/>
      <c r="EFW80" s="211"/>
      <c r="EFX80" s="211"/>
      <c r="EFY80" s="211"/>
      <c r="EFZ80" s="211"/>
      <c r="EGA80" s="211"/>
      <c r="EGB80" s="211"/>
      <c r="EGC80" s="211"/>
      <c r="EGD80" s="211"/>
      <c r="EGE80" s="211"/>
      <c r="EGF80" s="211"/>
      <c r="EGG80" s="211"/>
      <c r="EGH80" s="211"/>
      <c r="EGI80" s="211"/>
      <c r="EGJ80" s="211"/>
      <c r="EGK80" s="211"/>
      <c r="EGL80" s="211"/>
      <c r="EGM80" s="211"/>
      <c r="EGN80" s="211"/>
      <c r="EGO80" s="211"/>
      <c r="EGP80" s="211"/>
      <c r="EGQ80" s="211"/>
      <c r="EGR80" s="211"/>
      <c r="EGS80" s="211"/>
      <c r="EGT80" s="211"/>
      <c r="EGU80" s="211"/>
      <c r="EGV80" s="211"/>
      <c r="EGW80" s="211"/>
      <c r="EGX80" s="211"/>
      <c r="EGY80" s="211"/>
      <c r="EGZ80" s="211"/>
      <c r="EHA80" s="211"/>
      <c r="EHB80" s="211"/>
      <c r="EHC80" s="211"/>
      <c r="EHD80" s="211"/>
      <c r="EHE80" s="211"/>
      <c r="EHF80" s="211"/>
      <c r="EHG80" s="211"/>
      <c r="EHH80" s="211"/>
      <c r="EHI80" s="211"/>
      <c r="EHJ80" s="211"/>
      <c r="EHK80" s="211"/>
      <c r="EHL80" s="211"/>
      <c r="EHM80" s="211"/>
      <c r="EHN80" s="211"/>
      <c r="EHO80" s="211"/>
      <c r="EHP80" s="211"/>
      <c r="EHQ80" s="211"/>
      <c r="EHR80" s="211"/>
      <c r="EHS80" s="211"/>
      <c r="EHT80" s="211"/>
      <c r="EHU80" s="211"/>
      <c r="EHV80" s="211"/>
      <c r="EHW80" s="211"/>
      <c r="EHX80" s="211"/>
      <c r="EHY80" s="211"/>
      <c r="EHZ80" s="211"/>
      <c r="EIA80" s="211"/>
      <c r="EIB80" s="211"/>
      <c r="EIC80" s="211"/>
      <c r="EID80" s="211"/>
      <c r="EIE80" s="211"/>
      <c r="EIF80" s="211"/>
      <c r="EIG80" s="211"/>
      <c r="EIH80" s="211"/>
      <c r="EII80" s="211"/>
      <c r="EIJ80" s="211"/>
      <c r="EIK80" s="211"/>
      <c r="EIL80" s="211"/>
      <c r="EIM80" s="211"/>
      <c r="EIN80" s="211"/>
      <c r="EIO80" s="211"/>
      <c r="EIP80" s="211"/>
      <c r="EIQ80" s="211"/>
      <c r="EIR80" s="211"/>
      <c r="EIS80" s="211"/>
      <c r="EIT80" s="211"/>
      <c r="EIU80" s="211"/>
      <c r="EIV80" s="211"/>
      <c r="EIW80" s="211"/>
      <c r="EIX80" s="211"/>
      <c r="EIY80" s="211"/>
      <c r="EIZ80" s="211"/>
      <c r="EJA80" s="211"/>
      <c r="EJB80" s="211"/>
      <c r="EJC80" s="211"/>
      <c r="EJD80" s="211"/>
      <c r="EJE80" s="211"/>
      <c r="EJF80" s="211"/>
      <c r="EJG80" s="211"/>
      <c r="EJH80" s="211"/>
      <c r="EJI80" s="211"/>
      <c r="EJJ80" s="211"/>
      <c r="EJK80" s="211"/>
      <c r="EJL80" s="211"/>
      <c r="EJM80" s="211"/>
      <c r="EJN80" s="211"/>
      <c r="EJO80" s="211"/>
      <c r="EJP80" s="211"/>
      <c r="EJQ80" s="211"/>
      <c r="EJR80" s="211"/>
      <c r="EJS80" s="211"/>
      <c r="EJT80" s="211"/>
      <c r="EJU80" s="211"/>
      <c r="EJV80" s="211"/>
      <c r="EJW80" s="211"/>
      <c r="EJX80" s="211"/>
      <c r="EJY80" s="211"/>
      <c r="EJZ80" s="211"/>
      <c r="EKA80" s="211"/>
      <c r="EKB80" s="211"/>
      <c r="EKC80" s="211"/>
      <c r="EKD80" s="211"/>
      <c r="EKE80" s="211"/>
      <c r="EKF80" s="211"/>
      <c r="EKG80" s="211"/>
      <c r="EKH80" s="211"/>
      <c r="EKI80" s="211"/>
      <c r="EKJ80" s="211"/>
      <c r="EKK80" s="211"/>
      <c r="EKL80" s="211"/>
      <c r="EKM80" s="211"/>
      <c r="EKN80" s="211"/>
      <c r="EKO80" s="211"/>
      <c r="EKP80" s="211"/>
      <c r="EKQ80" s="211"/>
      <c r="EKR80" s="211"/>
      <c r="EKS80" s="211"/>
      <c r="EKT80" s="211"/>
      <c r="EKU80" s="211"/>
      <c r="EKV80" s="211"/>
      <c r="EKW80" s="211"/>
      <c r="EKX80" s="211"/>
      <c r="EKY80" s="211"/>
      <c r="EKZ80" s="211"/>
      <c r="ELA80" s="211"/>
      <c r="ELB80" s="211"/>
      <c r="ELC80" s="211"/>
      <c r="ELD80" s="211"/>
      <c r="ELE80" s="211"/>
      <c r="ELF80" s="211"/>
      <c r="ELG80" s="211"/>
      <c r="ELH80" s="211"/>
      <c r="ELI80" s="211"/>
      <c r="ELJ80" s="211"/>
      <c r="ELK80" s="211"/>
      <c r="ELL80" s="211"/>
      <c r="ELM80" s="211"/>
      <c r="ELN80" s="211"/>
      <c r="ELO80" s="211"/>
      <c r="ELP80" s="211"/>
      <c r="ELQ80" s="211"/>
      <c r="ELR80" s="211"/>
      <c r="ELS80" s="211"/>
      <c r="ELT80" s="211"/>
      <c r="ELU80" s="211"/>
      <c r="ELV80" s="211"/>
      <c r="ELW80" s="211"/>
      <c r="ELX80" s="211"/>
      <c r="ELY80" s="211"/>
      <c r="ELZ80" s="211"/>
      <c r="EMA80" s="211"/>
      <c r="EMB80" s="211"/>
      <c r="EMC80" s="211"/>
      <c r="EMD80" s="211"/>
      <c r="EME80" s="211"/>
      <c r="EMF80" s="211"/>
      <c r="EMG80" s="211"/>
      <c r="EMH80" s="211"/>
      <c r="EMI80" s="211"/>
      <c r="EMJ80" s="211"/>
      <c r="EMK80" s="211"/>
      <c r="EML80" s="211"/>
      <c r="EMM80" s="211"/>
      <c r="EMN80" s="211"/>
      <c r="EMO80" s="211"/>
      <c r="EMP80" s="211"/>
      <c r="EMQ80" s="211"/>
      <c r="EMR80" s="211"/>
      <c r="EMS80" s="211"/>
      <c r="EMT80" s="211"/>
      <c r="EMU80" s="211"/>
      <c r="EMV80" s="211"/>
      <c r="EMW80" s="211"/>
      <c r="EMX80" s="211"/>
      <c r="EMY80" s="211"/>
      <c r="EMZ80" s="211"/>
      <c r="ENA80" s="211"/>
      <c r="ENB80" s="211"/>
      <c r="ENC80" s="211"/>
      <c r="END80" s="211"/>
      <c r="ENE80" s="211"/>
      <c r="ENF80" s="211"/>
      <c r="ENG80" s="211"/>
      <c r="ENH80" s="211"/>
      <c r="ENI80" s="211"/>
      <c r="ENJ80" s="211"/>
      <c r="ENK80" s="211"/>
      <c r="ENL80" s="211"/>
      <c r="ENM80" s="211"/>
      <c r="ENN80" s="211"/>
      <c r="ENO80" s="211"/>
      <c r="ENP80" s="211"/>
      <c r="ENQ80" s="211"/>
      <c r="ENR80" s="211"/>
      <c r="ENS80" s="211"/>
      <c r="ENT80" s="211"/>
      <c r="ENU80" s="211"/>
      <c r="ENV80" s="211"/>
      <c r="ENW80" s="211"/>
      <c r="ENX80" s="211"/>
      <c r="ENY80" s="211"/>
      <c r="ENZ80" s="211"/>
      <c r="EOA80" s="211"/>
      <c r="EOB80" s="211"/>
      <c r="EOC80" s="211"/>
      <c r="EOD80" s="211"/>
      <c r="EOE80" s="211"/>
      <c r="EOF80" s="211"/>
      <c r="EOG80" s="211"/>
      <c r="EOH80" s="211"/>
      <c r="EOI80" s="211"/>
      <c r="EOJ80" s="211"/>
      <c r="EOK80" s="211"/>
      <c r="EOL80" s="211"/>
      <c r="EOM80" s="211"/>
      <c r="EON80" s="211"/>
      <c r="EOO80" s="211"/>
      <c r="EOP80" s="211"/>
      <c r="EOQ80" s="211"/>
      <c r="EOR80" s="211"/>
      <c r="EOS80" s="211"/>
      <c r="EOT80" s="211"/>
      <c r="EOU80" s="211"/>
      <c r="EOV80" s="211"/>
      <c r="EOW80" s="211"/>
      <c r="EOX80" s="211"/>
      <c r="EOY80" s="211"/>
      <c r="EOZ80" s="211"/>
      <c r="EPA80" s="211"/>
      <c r="EPB80" s="211"/>
      <c r="EPC80" s="211"/>
      <c r="EPD80" s="211"/>
      <c r="EPE80" s="211"/>
      <c r="EPF80" s="211"/>
      <c r="EPG80" s="211"/>
      <c r="EPH80" s="211"/>
      <c r="EPI80" s="211"/>
      <c r="EPJ80" s="211"/>
      <c r="EPK80" s="211"/>
      <c r="EPL80" s="211"/>
      <c r="EPM80" s="211"/>
      <c r="EPN80" s="211"/>
      <c r="EPO80" s="211"/>
      <c r="EPP80" s="211"/>
      <c r="EPQ80" s="211"/>
      <c r="EPR80" s="211"/>
      <c r="EPS80" s="211"/>
      <c r="EPT80" s="211"/>
      <c r="EPU80" s="211"/>
      <c r="EPV80" s="211"/>
      <c r="EPW80" s="211"/>
      <c r="EPX80" s="211"/>
      <c r="EPY80" s="211"/>
      <c r="EPZ80" s="211"/>
      <c r="EQA80" s="211"/>
      <c r="EQB80" s="211"/>
      <c r="EQC80" s="211"/>
      <c r="EQD80" s="211"/>
      <c r="EQE80" s="211"/>
      <c r="EQF80" s="211"/>
      <c r="EQG80" s="211"/>
      <c r="EQH80" s="211"/>
      <c r="EQI80" s="211"/>
      <c r="EQJ80" s="211"/>
      <c r="EQK80" s="211"/>
      <c r="EQL80" s="211"/>
      <c r="EQM80" s="211"/>
      <c r="EQN80" s="211"/>
      <c r="EQO80" s="211"/>
      <c r="EQP80" s="211"/>
      <c r="EQQ80" s="211"/>
      <c r="EQR80" s="211"/>
      <c r="EQS80" s="211"/>
      <c r="EQT80" s="211"/>
      <c r="EQU80" s="211"/>
      <c r="EQV80" s="211"/>
      <c r="EQW80" s="211"/>
      <c r="EQX80" s="211"/>
      <c r="EQY80" s="211"/>
      <c r="EQZ80" s="211"/>
      <c r="ERA80" s="211"/>
      <c r="ERB80" s="211"/>
      <c r="ERC80" s="211"/>
      <c r="ERD80" s="211"/>
      <c r="ERE80" s="211"/>
      <c r="ERF80" s="211"/>
      <c r="ERG80" s="211"/>
      <c r="ERH80" s="211"/>
      <c r="ERI80" s="211"/>
      <c r="ERJ80" s="211"/>
      <c r="ERK80" s="211"/>
      <c r="ERL80" s="211"/>
      <c r="ERM80" s="211"/>
      <c r="ERN80" s="211"/>
      <c r="ERO80" s="211"/>
      <c r="ERP80" s="211"/>
      <c r="ERQ80" s="211"/>
      <c r="ERR80" s="211"/>
      <c r="ERS80" s="211"/>
      <c r="ERT80" s="211"/>
      <c r="ERU80" s="211"/>
      <c r="ERV80" s="211"/>
      <c r="ERW80" s="211"/>
      <c r="ERX80" s="211"/>
      <c r="ERY80" s="211"/>
      <c r="ERZ80" s="211"/>
      <c r="ESA80" s="211"/>
      <c r="ESB80" s="211"/>
      <c r="ESC80" s="211"/>
      <c r="ESD80" s="211"/>
      <c r="ESE80" s="211"/>
      <c r="ESF80" s="211"/>
      <c r="ESG80" s="211"/>
      <c r="ESH80" s="211"/>
      <c r="ESI80" s="211"/>
      <c r="ESJ80" s="211"/>
      <c r="ESK80" s="211"/>
      <c r="ESL80" s="211"/>
      <c r="ESM80" s="211"/>
      <c r="ESN80" s="211"/>
      <c r="ESO80" s="211"/>
      <c r="ESP80" s="211"/>
      <c r="ESQ80" s="211"/>
      <c r="ESR80" s="211"/>
      <c r="ESS80" s="211"/>
      <c r="EST80" s="211"/>
      <c r="ESU80" s="211"/>
      <c r="ESV80" s="211"/>
      <c r="ESW80" s="211"/>
      <c r="ESX80" s="211"/>
      <c r="ESY80" s="211"/>
      <c r="ESZ80" s="211"/>
      <c r="ETA80" s="211"/>
      <c r="ETB80" s="211"/>
      <c r="ETC80" s="211"/>
      <c r="ETD80" s="211"/>
      <c r="ETE80" s="211"/>
      <c r="ETF80" s="211"/>
      <c r="ETG80" s="211"/>
      <c r="ETH80" s="211"/>
      <c r="ETI80" s="211"/>
      <c r="ETJ80" s="211"/>
      <c r="ETK80" s="211"/>
      <c r="ETL80" s="211"/>
      <c r="ETM80" s="211"/>
      <c r="ETN80" s="211"/>
      <c r="ETO80" s="211"/>
      <c r="ETP80" s="211"/>
      <c r="ETQ80" s="211"/>
      <c r="ETR80" s="211"/>
      <c r="ETS80" s="211"/>
      <c r="ETT80" s="211"/>
      <c r="ETU80" s="211"/>
      <c r="ETV80" s="211"/>
      <c r="ETW80" s="211"/>
      <c r="ETX80" s="211"/>
      <c r="ETY80" s="211"/>
      <c r="ETZ80" s="211"/>
      <c r="EUA80" s="211"/>
      <c r="EUB80" s="211"/>
      <c r="EUC80" s="211"/>
      <c r="EUD80" s="211"/>
      <c r="EUE80" s="211"/>
      <c r="EUF80" s="211"/>
      <c r="EUG80" s="211"/>
      <c r="EUH80" s="211"/>
      <c r="EUI80" s="211"/>
      <c r="EUJ80" s="211"/>
      <c r="EUK80" s="211"/>
      <c r="EUL80" s="211"/>
      <c r="EUM80" s="211"/>
      <c r="EUN80" s="211"/>
      <c r="EUO80" s="211"/>
      <c r="EUP80" s="211"/>
      <c r="EUQ80" s="211"/>
      <c r="EUR80" s="211"/>
      <c r="EUS80" s="211"/>
      <c r="EUT80" s="211"/>
      <c r="EUU80" s="211"/>
      <c r="EUV80" s="211"/>
      <c r="EUW80" s="211"/>
      <c r="EUX80" s="211"/>
      <c r="EUY80" s="211"/>
      <c r="EUZ80" s="211"/>
      <c r="EVA80" s="211"/>
      <c r="EVB80" s="211"/>
      <c r="EVC80" s="211"/>
      <c r="EVD80" s="211"/>
      <c r="EVE80" s="211"/>
      <c r="EVF80" s="211"/>
      <c r="EVG80" s="211"/>
      <c r="EVH80" s="211"/>
      <c r="EVI80" s="211"/>
      <c r="EVJ80" s="211"/>
      <c r="EVK80" s="211"/>
      <c r="EVL80" s="211"/>
      <c r="EVM80" s="211"/>
      <c r="EVN80" s="211"/>
      <c r="EVO80" s="211"/>
      <c r="EVP80" s="211"/>
      <c r="EVQ80" s="211"/>
      <c r="EVR80" s="211"/>
      <c r="EVS80" s="211"/>
      <c r="EVT80" s="211"/>
      <c r="EVU80" s="211"/>
      <c r="EVV80" s="211"/>
      <c r="EVW80" s="211"/>
      <c r="EVX80" s="211"/>
      <c r="EVY80" s="211"/>
      <c r="EVZ80" s="211"/>
      <c r="EWA80" s="211"/>
      <c r="EWB80" s="211"/>
      <c r="EWC80" s="211"/>
      <c r="EWD80" s="211"/>
      <c r="EWE80" s="211"/>
      <c r="EWF80" s="211"/>
      <c r="EWG80" s="211"/>
      <c r="EWH80" s="211"/>
      <c r="EWI80" s="211"/>
      <c r="EWJ80" s="211"/>
      <c r="EWK80" s="211"/>
      <c r="EWL80" s="211"/>
      <c r="EWM80" s="211"/>
      <c r="EWN80" s="211"/>
      <c r="EWO80" s="211"/>
      <c r="EWP80" s="211"/>
      <c r="EWQ80" s="211"/>
      <c r="EWR80" s="211"/>
      <c r="EWS80" s="211"/>
      <c r="EWT80" s="211"/>
      <c r="EWU80" s="211"/>
      <c r="EWV80" s="211"/>
      <c r="EWW80" s="211"/>
      <c r="EWX80" s="211"/>
      <c r="EWY80" s="211"/>
      <c r="EWZ80" s="211"/>
      <c r="EXA80" s="211"/>
      <c r="EXB80" s="211"/>
      <c r="EXC80" s="211"/>
      <c r="EXD80" s="211"/>
      <c r="EXE80" s="211"/>
      <c r="EXF80" s="211"/>
      <c r="EXG80" s="211"/>
      <c r="EXH80" s="211"/>
      <c r="EXI80" s="211"/>
      <c r="EXJ80" s="211"/>
      <c r="EXK80" s="211"/>
      <c r="EXL80" s="211"/>
      <c r="EXM80" s="211"/>
      <c r="EXN80" s="211"/>
      <c r="EXO80" s="211"/>
      <c r="EXP80" s="211"/>
      <c r="EXQ80" s="211"/>
      <c r="EXR80" s="211"/>
      <c r="EXS80" s="211"/>
      <c r="EXT80" s="211"/>
      <c r="EXU80" s="211"/>
      <c r="EXV80" s="211"/>
      <c r="EXW80" s="211"/>
      <c r="EXX80" s="211"/>
      <c r="EXY80" s="211"/>
      <c r="EXZ80" s="211"/>
      <c r="EYA80" s="211"/>
      <c r="EYB80" s="211"/>
      <c r="EYC80" s="211"/>
      <c r="EYD80" s="211"/>
      <c r="EYE80" s="211"/>
      <c r="EYF80" s="211"/>
      <c r="EYG80" s="211"/>
      <c r="EYH80" s="211"/>
      <c r="EYI80" s="211"/>
      <c r="EYJ80" s="211"/>
      <c r="EYK80" s="211"/>
      <c r="EYL80" s="211"/>
      <c r="EYM80" s="211"/>
      <c r="EYN80" s="211"/>
      <c r="EYO80" s="211"/>
      <c r="EYP80" s="211"/>
      <c r="EYQ80" s="211"/>
      <c r="EYR80" s="211"/>
      <c r="EYS80" s="211"/>
      <c r="EYT80" s="211"/>
      <c r="EYU80" s="211"/>
      <c r="EYV80" s="211"/>
      <c r="EYW80" s="211"/>
      <c r="EYX80" s="211"/>
      <c r="EYY80" s="211"/>
      <c r="EYZ80" s="211"/>
      <c r="EZA80" s="211"/>
      <c r="EZB80" s="211"/>
      <c r="EZC80" s="211"/>
      <c r="EZD80" s="211"/>
      <c r="EZE80" s="211"/>
      <c r="EZF80" s="211"/>
      <c r="EZG80" s="211"/>
      <c r="EZH80" s="211"/>
      <c r="EZI80" s="211"/>
      <c r="EZJ80" s="211"/>
      <c r="EZK80" s="211"/>
      <c r="EZL80" s="211"/>
      <c r="EZM80" s="211"/>
      <c r="EZN80" s="211"/>
      <c r="EZO80" s="211"/>
      <c r="EZP80" s="211"/>
      <c r="EZQ80" s="211"/>
      <c r="EZR80" s="211"/>
      <c r="EZS80" s="211"/>
      <c r="EZT80" s="211"/>
      <c r="EZU80" s="211"/>
      <c r="EZV80" s="211"/>
      <c r="EZW80" s="211"/>
      <c r="EZX80" s="211"/>
      <c r="EZY80" s="211"/>
      <c r="EZZ80" s="211"/>
      <c r="FAA80" s="211"/>
      <c r="FAB80" s="211"/>
      <c r="FAC80" s="211"/>
      <c r="FAD80" s="211"/>
      <c r="FAE80" s="211"/>
      <c r="FAF80" s="211"/>
      <c r="FAG80" s="211"/>
      <c r="FAH80" s="211"/>
      <c r="FAI80" s="211"/>
      <c r="FAJ80" s="211"/>
      <c r="FAK80" s="211"/>
      <c r="FAL80" s="211"/>
      <c r="FAM80" s="211"/>
      <c r="FAN80" s="211"/>
      <c r="FAO80" s="211"/>
      <c r="FAP80" s="211"/>
      <c r="FAQ80" s="211"/>
      <c r="FAR80" s="211"/>
      <c r="FAS80" s="211"/>
      <c r="FAT80" s="211"/>
      <c r="FAU80" s="211"/>
      <c r="FAV80" s="211"/>
      <c r="FAW80" s="211"/>
      <c r="FAX80" s="211"/>
      <c r="FAY80" s="211"/>
      <c r="FAZ80" s="211"/>
      <c r="FBA80" s="211"/>
      <c r="FBB80" s="211"/>
      <c r="FBC80" s="211"/>
      <c r="FBD80" s="211"/>
      <c r="FBE80" s="211"/>
      <c r="FBF80" s="211"/>
      <c r="FBG80" s="211"/>
      <c r="FBH80" s="211"/>
      <c r="FBI80" s="211"/>
      <c r="FBJ80" s="211"/>
      <c r="FBK80" s="211"/>
      <c r="FBL80" s="211"/>
      <c r="FBM80" s="211"/>
      <c r="FBN80" s="211"/>
      <c r="FBO80" s="211"/>
      <c r="FBP80" s="211"/>
      <c r="FBQ80" s="211"/>
      <c r="FBR80" s="211"/>
      <c r="FBS80" s="211"/>
      <c r="FBT80" s="211"/>
      <c r="FBU80" s="211"/>
      <c r="FBV80" s="211"/>
      <c r="FBW80" s="211"/>
      <c r="FBX80" s="211"/>
      <c r="FBY80" s="211"/>
      <c r="FBZ80" s="211"/>
      <c r="FCA80" s="211"/>
      <c r="FCB80" s="211"/>
      <c r="FCC80" s="211"/>
      <c r="FCD80" s="211"/>
      <c r="FCE80" s="211"/>
      <c r="FCF80" s="211"/>
      <c r="FCG80" s="211"/>
      <c r="FCH80" s="211"/>
      <c r="FCI80" s="211"/>
      <c r="FCJ80" s="211"/>
      <c r="FCK80" s="211"/>
      <c r="FCL80" s="211"/>
      <c r="FCM80" s="211"/>
      <c r="FCN80" s="211"/>
      <c r="FCO80" s="211"/>
      <c r="FCP80" s="211"/>
      <c r="FCQ80" s="211"/>
      <c r="FCR80" s="211"/>
      <c r="FCS80" s="211"/>
      <c r="FCT80" s="211"/>
      <c r="FCU80" s="211"/>
      <c r="FCV80" s="211"/>
      <c r="FCW80" s="211"/>
      <c r="FCX80" s="211"/>
      <c r="FCY80" s="211"/>
      <c r="FCZ80" s="211"/>
      <c r="FDA80" s="211"/>
      <c r="FDB80" s="211"/>
      <c r="FDC80" s="211"/>
      <c r="FDD80" s="211"/>
      <c r="FDE80" s="211"/>
      <c r="FDF80" s="211"/>
      <c r="FDG80" s="211"/>
      <c r="FDH80" s="211"/>
      <c r="FDI80" s="211"/>
      <c r="FDJ80" s="211"/>
      <c r="FDK80" s="211"/>
      <c r="FDL80" s="211"/>
      <c r="FDM80" s="211"/>
      <c r="FDN80" s="211"/>
      <c r="FDO80" s="211"/>
      <c r="FDP80" s="211"/>
      <c r="FDQ80" s="211"/>
      <c r="FDR80" s="211"/>
      <c r="FDS80" s="211"/>
      <c r="FDT80" s="211"/>
      <c r="FDU80" s="211"/>
      <c r="FDV80" s="211"/>
      <c r="FDW80" s="211"/>
      <c r="FDX80" s="211"/>
      <c r="FDY80" s="211"/>
      <c r="FDZ80" s="211"/>
      <c r="FEA80" s="211"/>
      <c r="FEB80" s="211"/>
      <c r="FEC80" s="211"/>
      <c r="FED80" s="211"/>
      <c r="FEE80" s="211"/>
      <c r="FEF80" s="211"/>
      <c r="FEG80" s="211"/>
      <c r="FEH80" s="211"/>
      <c r="FEI80" s="211"/>
      <c r="FEJ80" s="211"/>
      <c r="FEK80" s="211"/>
      <c r="FEL80" s="211"/>
      <c r="FEM80" s="211"/>
      <c r="FEN80" s="211"/>
      <c r="FEO80" s="211"/>
      <c r="FEP80" s="211"/>
      <c r="FEQ80" s="211"/>
      <c r="FER80" s="211"/>
      <c r="FES80" s="211"/>
      <c r="FET80" s="211"/>
      <c r="FEU80" s="211"/>
      <c r="FEV80" s="211"/>
      <c r="FEW80" s="211"/>
      <c r="FEX80" s="211"/>
      <c r="FEY80" s="211"/>
      <c r="FEZ80" s="211"/>
      <c r="FFA80" s="211"/>
      <c r="FFB80" s="211"/>
      <c r="FFC80" s="211"/>
      <c r="FFD80" s="211"/>
      <c r="FFE80" s="211"/>
      <c r="FFF80" s="211"/>
      <c r="FFG80" s="211"/>
      <c r="FFH80" s="211"/>
      <c r="FFI80" s="211"/>
      <c r="FFJ80" s="211"/>
      <c r="FFK80" s="211"/>
      <c r="FFL80" s="211"/>
      <c r="FFM80" s="211"/>
      <c r="FFN80" s="211"/>
      <c r="FFO80" s="211"/>
      <c r="FFP80" s="211"/>
      <c r="FFQ80" s="211"/>
      <c r="FFR80" s="211"/>
      <c r="FFS80" s="211"/>
      <c r="FFT80" s="211"/>
      <c r="FFU80" s="211"/>
      <c r="FFV80" s="211"/>
      <c r="FFW80" s="211"/>
      <c r="FFX80" s="211"/>
      <c r="FFY80" s="211"/>
      <c r="FFZ80" s="211"/>
      <c r="FGA80" s="211"/>
      <c r="FGB80" s="211"/>
      <c r="FGC80" s="211"/>
      <c r="FGD80" s="211"/>
      <c r="FGE80" s="211"/>
      <c r="FGF80" s="211"/>
      <c r="FGG80" s="211"/>
      <c r="FGH80" s="211"/>
      <c r="FGI80" s="211"/>
      <c r="FGJ80" s="211"/>
      <c r="FGK80" s="211"/>
      <c r="FGL80" s="211"/>
      <c r="FGM80" s="211"/>
      <c r="FGN80" s="211"/>
      <c r="FGO80" s="211"/>
      <c r="FGP80" s="211"/>
      <c r="FGQ80" s="211"/>
      <c r="FGR80" s="211"/>
      <c r="FGS80" s="211"/>
      <c r="FGT80" s="211"/>
      <c r="FGU80" s="211"/>
      <c r="FGV80" s="211"/>
      <c r="FGW80" s="211"/>
      <c r="FGX80" s="211"/>
      <c r="FGY80" s="211"/>
      <c r="FGZ80" s="211"/>
      <c r="FHA80" s="211"/>
      <c r="FHB80" s="211"/>
      <c r="FHC80" s="211"/>
      <c r="FHD80" s="211"/>
      <c r="FHE80" s="211"/>
      <c r="FHF80" s="211"/>
      <c r="FHG80" s="211"/>
      <c r="FHH80" s="211"/>
      <c r="FHI80" s="211"/>
      <c r="FHJ80" s="211"/>
      <c r="FHK80" s="211"/>
      <c r="FHL80" s="211"/>
      <c r="FHM80" s="211"/>
      <c r="FHN80" s="211"/>
      <c r="FHO80" s="211"/>
      <c r="FHP80" s="211"/>
      <c r="FHQ80" s="211"/>
      <c r="FHR80" s="211"/>
      <c r="FHS80" s="211"/>
      <c r="FHT80" s="211"/>
      <c r="FHU80" s="211"/>
      <c r="FHV80" s="211"/>
      <c r="FHW80" s="211"/>
      <c r="FHX80" s="211"/>
      <c r="FHY80" s="211"/>
      <c r="FHZ80" s="211"/>
      <c r="FIA80" s="211"/>
      <c r="FIB80" s="211"/>
      <c r="FIC80" s="211"/>
      <c r="FID80" s="211"/>
      <c r="FIE80" s="211"/>
      <c r="FIF80" s="211"/>
      <c r="FIG80" s="211"/>
      <c r="FIH80" s="211"/>
      <c r="FII80" s="211"/>
      <c r="FIJ80" s="211"/>
      <c r="FIK80" s="211"/>
      <c r="FIL80" s="211"/>
      <c r="FIM80" s="211"/>
      <c r="FIN80" s="211"/>
      <c r="FIO80" s="211"/>
      <c r="FIP80" s="211"/>
      <c r="FIQ80" s="211"/>
      <c r="FIR80" s="211"/>
      <c r="FIS80" s="211"/>
      <c r="FIT80" s="211"/>
      <c r="FIU80" s="211"/>
      <c r="FIV80" s="211"/>
      <c r="FIW80" s="211"/>
      <c r="FIX80" s="211"/>
      <c r="FIY80" s="211"/>
      <c r="FIZ80" s="211"/>
      <c r="FJA80" s="211"/>
      <c r="FJB80" s="211"/>
      <c r="FJC80" s="211"/>
      <c r="FJD80" s="211"/>
      <c r="FJE80" s="211"/>
      <c r="FJF80" s="211"/>
      <c r="FJG80" s="211"/>
      <c r="FJH80" s="211"/>
      <c r="FJI80" s="211"/>
      <c r="FJJ80" s="211"/>
      <c r="FJK80" s="211"/>
      <c r="FJL80" s="211"/>
      <c r="FJM80" s="211"/>
      <c r="FJN80" s="211"/>
      <c r="FJO80" s="211"/>
      <c r="FJP80" s="211"/>
      <c r="FJQ80" s="211"/>
      <c r="FJR80" s="211"/>
      <c r="FJS80" s="211"/>
      <c r="FJT80" s="211"/>
      <c r="FJU80" s="211"/>
      <c r="FJV80" s="211"/>
      <c r="FJW80" s="211"/>
      <c r="FJX80" s="211"/>
      <c r="FJY80" s="211"/>
      <c r="FJZ80" s="211"/>
      <c r="FKA80" s="211"/>
      <c r="FKB80" s="211"/>
      <c r="FKC80" s="211"/>
      <c r="FKD80" s="211"/>
      <c r="FKE80" s="211"/>
      <c r="FKF80" s="211"/>
      <c r="FKG80" s="211"/>
      <c r="FKH80" s="211"/>
      <c r="FKI80" s="211"/>
      <c r="FKJ80" s="211"/>
      <c r="FKK80" s="211"/>
      <c r="FKL80" s="211"/>
      <c r="FKM80" s="211"/>
      <c r="FKN80" s="211"/>
      <c r="FKO80" s="211"/>
      <c r="FKP80" s="211"/>
      <c r="FKQ80" s="211"/>
      <c r="FKR80" s="211"/>
      <c r="FKS80" s="211"/>
      <c r="FKT80" s="211"/>
      <c r="FKU80" s="211"/>
      <c r="FKV80" s="211"/>
      <c r="FKW80" s="211"/>
      <c r="FKX80" s="211"/>
      <c r="FKY80" s="211"/>
      <c r="FKZ80" s="211"/>
      <c r="FLA80" s="211"/>
      <c r="FLB80" s="211"/>
      <c r="FLC80" s="211"/>
      <c r="FLD80" s="211"/>
      <c r="FLE80" s="211"/>
      <c r="FLF80" s="211"/>
      <c r="FLG80" s="211"/>
      <c r="FLH80" s="211"/>
      <c r="FLI80" s="211"/>
      <c r="FLJ80" s="211"/>
      <c r="FLK80" s="211"/>
      <c r="FLL80" s="211"/>
      <c r="FLM80" s="211"/>
      <c r="FLN80" s="211"/>
      <c r="FLO80" s="211"/>
      <c r="FLP80" s="211"/>
      <c r="FLQ80" s="211"/>
      <c r="FLR80" s="211"/>
      <c r="FLS80" s="211"/>
      <c r="FLT80" s="211"/>
      <c r="FLU80" s="211"/>
      <c r="FLV80" s="211"/>
      <c r="FLW80" s="211"/>
      <c r="FLX80" s="211"/>
      <c r="FLY80" s="211"/>
      <c r="FLZ80" s="211"/>
      <c r="FMA80" s="211"/>
      <c r="FMB80" s="211"/>
      <c r="FMC80" s="211"/>
      <c r="FMD80" s="211"/>
      <c r="FME80" s="211"/>
      <c r="FMF80" s="211"/>
      <c r="FMG80" s="211"/>
      <c r="FMH80" s="211"/>
      <c r="FMI80" s="211"/>
      <c r="FMJ80" s="211"/>
      <c r="FMK80" s="211"/>
      <c r="FML80" s="211"/>
      <c r="FMM80" s="211"/>
      <c r="FMN80" s="211"/>
      <c r="FMO80" s="211"/>
      <c r="FMP80" s="211"/>
      <c r="FMQ80" s="211"/>
      <c r="FMR80" s="211"/>
      <c r="FMS80" s="211"/>
      <c r="FMT80" s="211"/>
      <c r="FMU80" s="211"/>
      <c r="FMV80" s="211"/>
      <c r="FMW80" s="211"/>
      <c r="FMX80" s="211"/>
      <c r="FMY80" s="211"/>
      <c r="FMZ80" s="211"/>
      <c r="FNA80" s="211"/>
      <c r="FNB80" s="211"/>
      <c r="FNC80" s="211"/>
      <c r="FND80" s="211"/>
      <c r="FNE80" s="211"/>
      <c r="FNF80" s="211"/>
      <c r="FNG80" s="211"/>
      <c r="FNH80" s="211"/>
      <c r="FNI80" s="211"/>
      <c r="FNJ80" s="211"/>
      <c r="FNK80" s="211"/>
      <c r="FNL80" s="211"/>
      <c r="FNM80" s="211"/>
      <c r="FNN80" s="211"/>
      <c r="FNO80" s="211"/>
      <c r="FNP80" s="211"/>
      <c r="FNQ80" s="211"/>
      <c r="FNR80" s="211"/>
      <c r="FNS80" s="211"/>
      <c r="FNT80" s="211"/>
      <c r="FNU80" s="211"/>
      <c r="FNV80" s="211"/>
      <c r="FNW80" s="211"/>
      <c r="FNX80" s="211"/>
      <c r="FNY80" s="211"/>
      <c r="FNZ80" s="211"/>
      <c r="FOA80" s="211"/>
      <c r="FOB80" s="211"/>
      <c r="FOC80" s="211"/>
      <c r="FOD80" s="211"/>
      <c r="FOE80" s="211"/>
      <c r="FOF80" s="211"/>
      <c r="FOG80" s="211"/>
      <c r="FOH80" s="211"/>
      <c r="FOI80" s="211"/>
      <c r="FOJ80" s="211"/>
      <c r="FOK80" s="211"/>
      <c r="FOL80" s="211"/>
      <c r="FOM80" s="211"/>
      <c r="FON80" s="211"/>
      <c r="FOO80" s="211"/>
      <c r="FOP80" s="211"/>
      <c r="FOQ80" s="211"/>
      <c r="FOR80" s="211"/>
      <c r="FOS80" s="211"/>
      <c r="FOT80" s="211"/>
      <c r="FOU80" s="211"/>
      <c r="FOV80" s="211"/>
      <c r="FOW80" s="211"/>
      <c r="FOX80" s="211"/>
      <c r="FOY80" s="211"/>
      <c r="FOZ80" s="211"/>
      <c r="FPA80" s="211"/>
      <c r="FPB80" s="211"/>
      <c r="FPC80" s="211"/>
      <c r="FPD80" s="211"/>
      <c r="FPE80" s="211"/>
      <c r="FPF80" s="211"/>
      <c r="FPG80" s="211"/>
      <c r="FPH80" s="211"/>
      <c r="FPI80" s="211"/>
      <c r="FPJ80" s="211"/>
      <c r="FPK80" s="211"/>
      <c r="FPL80" s="211"/>
      <c r="FPM80" s="211"/>
      <c r="FPN80" s="211"/>
      <c r="FPO80" s="211"/>
      <c r="FPP80" s="211"/>
      <c r="FPQ80" s="211"/>
      <c r="FPR80" s="211"/>
      <c r="FPS80" s="211"/>
      <c r="FPT80" s="211"/>
      <c r="FPU80" s="211"/>
      <c r="FPV80" s="211"/>
      <c r="FPW80" s="211"/>
      <c r="FPX80" s="211"/>
      <c r="FPY80" s="211"/>
      <c r="FPZ80" s="211"/>
      <c r="FQA80" s="211"/>
      <c r="FQB80" s="211"/>
      <c r="FQC80" s="211"/>
      <c r="FQD80" s="211"/>
      <c r="FQE80" s="211"/>
      <c r="FQF80" s="211"/>
      <c r="FQG80" s="211"/>
      <c r="FQH80" s="211"/>
      <c r="FQI80" s="211"/>
      <c r="FQJ80" s="211"/>
      <c r="FQK80" s="211"/>
      <c r="FQL80" s="211"/>
      <c r="FQM80" s="211"/>
      <c r="FQN80" s="211"/>
      <c r="FQO80" s="211"/>
      <c r="FQP80" s="211"/>
      <c r="FQQ80" s="211"/>
      <c r="FQR80" s="211"/>
      <c r="FQS80" s="211"/>
      <c r="FQT80" s="211"/>
      <c r="FQU80" s="211"/>
      <c r="FQV80" s="211"/>
      <c r="FQW80" s="211"/>
      <c r="FQX80" s="211"/>
      <c r="FQY80" s="211"/>
      <c r="FQZ80" s="211"/>
      <c r="FRA80" s="211"/>
      <c r="FRB80" s="211"/>
      <c r="FRC80" s="211"/>
      <c r="FRD80" s="211"/>
      <c r="FRE80" s="211"/>
      <c r="FRF80" s="211"/>
      <c r="FRG80" s="211"/>
      <c r="FRH80" s="211"/>
      <c r="FRI80" s="211"/>
      <c r="FRJ80" s="211"/>
      <c r="FRK80" s="211"/>
      <c r="FRL80" s="211"/>
      <c r="FRM80" s="211"/>
      <c r="FRN80" s="211"/>
      <c r="FRO80" s="211"/>
      <c r="FRP80" s="211"/>
      <c r="FRQ80" s="211"/>
      <c r="FRR80" s="211"/>
      <c r="FRS80" s="211"/>
      <c r="FRT80" s="211"/>
      <c r="FRU80" s="211"/>
      <c r="FRV80" s="211"/>
      <c r="FRW80" s="211"/>
      <c r="FRX80" s="211"/>
      <c r="FRY80" s="211"/>
      <c r="FRZ80" s="211"/>
      <c r="FSA80" s="211"/>
      <c r="FSB80" s="211"/>
      <c r="FSC80" s="211"/>
      <c r="FSD80" s="211"/>
      <c r="FSE80" s="211"/>
      <c r="FSF80" s="211"/>
      <c r="FSG80" s="211"/>
      <c r="FSH80" s="211"/>
      <c r="FSI80" s="211"/>
      <c r="FSJ80" s="211"/>
      <c r="FSK80" s="211"/>
      <c r="FSL80" s="211"/>
      <c r="FSM80" s="211"/>
      <c r="FSN80" s="211"/>
      <c r="FSO80" s="211"/>
      <c r="FSP80" s="211"/>
      <c r="FSQ80" s="211"/>
      <c r="FSR80" s="211"/>
      <c r="FSS80" s="211"/>
      <c r="FST80" s="211"/>
      <c r="FSU80" s="211"/>
      <c r="FSV80" s="211"/>
      <c r="FSW80" s="211"/>
      <c r="FSX80" s="211"/>
      <c r="FSY80" s="211"/>
      <c r="FSZ80" s="211"/>
      <c r="FTA80" s="211"/>
      <c r="FTB80" s="211"/>
      <c r="FTC80" s="211"/>
      <c r="FTD80" s="211"/>
      <c r="FTE80" s="211"/>
      <c r="FTF80" s="211"/>
      <c r="FTG80" s="211"/>
      <c r="FTH80" s="211"/>
      <c r="FTI80" s="211"/>
      <c r="FTJ80" s="211"/>
      <c r="FTK80" s="211"/>
      <c r="FTL80" s="211"/>
      <c r="FTM80" s="211"/>
      <c r="FTN80" s="211"/>
      <c r="FTO80" s="211"/>
      <c r="FTP80" s="211"/>
      <c r="FTQ80" s="211"/>
      <c r="FTR80" s="211"/>
      <c r="FTS80" s="211"/>
      <c r="FTT80" s="211"/>
      <c r="FTU80" s="211"/>
      <c r="FTV80" s="211"/>
      <c r="FTW80" s="211"/>
      <c r="FTX80" s="211"/>
      <c r="FTY80" s="211"/>
      <c r="FTZ80" s="211"/>
      <c r="FUA80" s="211"/>
      <c r="FUB80" s="211"/>
      <c r="FUC80" s="211"/>
      <c r="FUD80" s="211"/>
      <c r="FUE80" s="211"/>
      <c r="FUF80" s="211"/>
      <c r="FUG80" s="211"/>
      <c r="FUH80" s="211"/>
      <c r="FUI80" s="211"/>
      <c r="FUJ80" s="211"/>
      <c r="FUK80" s="211"/>
      <c r="FUL80" s="211"/>
      <c r="FUM80" s="211"/>
      <c r="FUN80" s="211"/>
      <c r="FUO80" s="211"/>
      <c r="FUP80" s="211"/>
      <c r="FUQ80" s="211"/>
      <c r="FUR80" s="211"/>
      <c r="FUS80" s="211"/>
      <c r="FUT80" s="211"/>
      <c r="FUU80" s="211"/>
      <c r="FUV80" s="211"/>
      <c r="FUW80" s="211"/>
      <c r="FUX80" s="211"/>
      <c r="FUY80" s="211"/>
      <c r="FUZ80" s="211"/>
      <c r="FVA80" s="211"/>
      <c r="FVB80" s="211"/>
      <c r="FVC80" s="211"/>
      <c r="FVD80" s="211"/>
      <c r="FVE80" s="211"/>
      <c r="FVF80" s="211"/>
      <c r="FVG80" s="211"/>
      <c r="FVH80" s="211"/>
      <c r="FVI80" s="211"/>
      <c r="FVJ80" s="211"/>
      <c r="FVK80" s="211"/>
      <c r="FVL80" s="211"/>
      <c r="FVM80" s="211"/>
      <c r="FVN80" s="211"/>
      <c r="FVO80" s="211"/>
      <c r="FVP80" s="211"/>
      <c r="FVQ80" s="211"/>
      <c r="FVR80" s="211"/>
      <c r="FVS80" s="211"/>
      <c r="FVT80" s="211"/>
      <c r="FVU80" s="211"/>
      <c r="FVV80" s="211"/>
      <c r="FVW80" s="211"/>
      <c r="FVX80" s="211"/>
      <c r="FVY80" s="211"/>
      <c r="FVZ80" s="211"/>
      <c r="FWA80" s="211"/>
      <c r="FWB80" s="211"/>
      <c r="FWC80" s="211"/>
      <c r="FWD80" s="211"/>
      <c r="FWE80" s="211"/>
      <c r="FWF80" s="211"/>
      <c r="FWG80" s="211"/>
      <c r="FWH80" s="211"/>
      <c r="FWI80" s="211"/>
      <c r="FWJ80" s="211"/>
      <c r="FWK80" s="211"/>
      <c r="FWL80" s="211"/>
      <c r="FWM80" s="211"/>
      <c r="FWN80" s="211"/>
      <c r="FWO80" s="211"/>
      <c r="FWP80" s="211"/>
      <c r="FWQ80" s="211"/>
      <c r="FWR80" s="211"/>
      <c r="FWS80" s="211"/>
      <c r="FWT80" s="211"/>
      <c r="FWU80" s="211"/>
      <c r="FWV80" s="211"/>
      <c r="FWW80" s="211"/>
      <c r="FWX80" s="211"/>
      <c r="FWY80" s="211"/>
      <c r="FWZ80" s="211"/>
      <c r="FXA80" s="211"/>
      <c r="FXB80" s="211"/>
      <c r="FXC80" s="211"/>
      <c r="FXD80" s="211"/>
      <c r="FXE80" s="211"/>
      <c r="FXF80" s="211"/>
      <c r="FXG80" s="211"/>
      <c r="FXH80" s="211"/>
      <c r="FXI80" s="211"/>
      <c r="FXJ80" s="211"/>
      <c r="FXK80" s="211"/>
      <c r="FXL80" s="211"/>
      <c r="FXM80" s="211"/>
      <c r="FXN80" s="211"/>
      <c r="FXO80" s="211"/>
      <c r="FXP80" s="211"/>
      <c r="FXQ80" s="211"/>
      <c r="FXR80" s="211"/>
      <c r="FXS80" s="211"/>
      <c r="FXT80" s="211"/>
      <c r="FXU80" s="211"/>
      <c r="FXV80" s="211"/>
      <c r="FXW80" s="211"/>
      <c r="FXX80" s="211"/>
      <c r="FXY80" s="211"/>
      <c r="FXZ80" s="211"/>
      <c r="FYA80" s="211"/>
      <c r="FYB80" s="211"/>
      <c r="FYC80" s="211"/>
      <c r="FYD80" s="211"/>
      <c r="FYE80" s="211"/>
      <c r="FYF80" s="211"/>
      <c r="FYG80" s="211"/>
      <c r="FYH80" s="211"/>
      <c r="FYI80" s="211"/>
      <c r="FYJ80" s="211"/>
      <c r="FYK80" s="211"/>
      <c r="FYL80" s="211"/>
      <c r="FYM80" s="211"/>
      <c r="FYN80" s="211"/>
      <c r="FYO80" s="211"/>
      <c r="FYP80" s="211"/>
      <c r="FYQ80" s="211"/>
      <c r="FYR80" s="211"/>
      <c r="FYS80" s="211"/>
      <c r="FYT80" s="211"/>
      <c r="FYU80" s="211"/>
      <c r="FYV80" s="211"/>
      <c r="FYW80" s="211"/>
      <c r="FYX80" s="211"/>
      <c r="FYY80" s="211"/>
      <c r="FYZ80" s="211"/>
      <c r="FZA80" s="211"/>
      <c r="FZB80" s="211"/>
      <c r="FZC80" s="211"/>
      <c r="FZD80" s="211"/>
      <c r="FZE80" s="211"/>
      <c r="FZF80" s="211"/>
      <c r="FZG80" s="211"/>
      <c r="FZH80" s="211"/>
      <c r="FZI80" s="211"/>
      <c r="FZJ80" s="211"/>
      <c r="FZK80" s="211"/>
      <c r="FZL80" s="211"/>
      <c r="FZM80" s="211"/>
      <c r="FZN80" s="211"/>
      <c r="FZO80" s="211"/>
      <c r="FZP80" s="211"/>
      <c r="FZQ80" s="211"/>
      <c r="FZR80" s="211"/>
      <c r="FZS80" s="211"/>
      <c r="FZT80" s="211"/>
      <c r="FZU80" s="211"/>
      <c r="FZV80" s="211"/>
      <c r="FZW80" s="211"/>
      <c r="FZX80" s="211"/>
      <c r="FZY80" s="211"/>
      <c r="FZZ80" s="211"/>
      <c r="GAA80" s="211"/>
      <c r="GAB80" s="211"/>
      <c r="GAC80" s="211"/>
      <c r="GAD80" s="211"/>
      <c r="GAE80" s="211"/>
      <c r="GAF80" s="211"/>
      <c r="GAG80" s="211"/>
      <c r="GAH80" s="211"/>
      <c r="GAI80" s="211"/>
      <c r="GAJ80" s="211"/>
      <c r="GAK80" s="211"/>
      <c r="GAL80" s="211"/>
      <c r="GAM80" s="211"/>
      <c r="GAN80" s="211"/>
      <c r="GAO80" s="211"/>
      <c r="GAP80" s="211"/>
      <c r="GAQ80" s="211"/>
      <c r="GAR80" s="211"/>
      <c r="GAS80" s="211"/>
      <c r="GAT80" s="211"/>
      <c r="GAU80" s="211"/>
      <c r="GAV80" s="211"/>
      <c r="GAW80" s="211"/>
      <c r="GAX80" s="211"/>
      <c r="GAY80" s="211"/>
      <c r="GAZ80" s="211"/>
      <c r="GBA80" s="211"/>
      <c r="GBB80" s="211"/>
      <c r="GBC80" s="211"/>
      <c r="GBD80" s="211"/>
      <c r="GBE80" s="211"/>
      <c r="GBF80" s="211"/>
      <c r="GBG80" s="211"/>
      <c r="GBH80" s="211"/>
      <c r="GBI80" s="211"/>
      <c r="GBJ80" s="211"/>
      <c r="GBK80" s="211"/>
      <c r="GBL80" s="211"/>
      <c r="GBM80" s="211"/>
      <c r="GBN80" s="211"/>
      <c r="GBO80" s="211"/>
      <c r="GBP80" s="211"/>
      <c r="GBQ80" s="211"/>
      <c r="GBR80" s="211"/>
      <c r="GBS80" s="211"/>
      <c r="GBT80" s="211"/>
      <c r="GBU80" s="211"/>
      <c r="GBV80" s="211"/>
      <c r="GBW80" s="211"/>
      <c r="GBX80" s="211"/>
      <c r="GBY80" s="211"/>
      <c r="GBZ80" s="211"/>
      <c r="GCA80" s="211"/>
      <c r="GCB80" s="211"/>
      <c r="GCC80" s="211"/>
      <c r="GCD80" s="211"/>
      <c r="GCE80" s="211"/>
      <c r="GCF80" s="211"/>
      <c r="GCG80" s="211"/>
      <c r="GCH80" s="211"/>
      <c r="GCI80" s="211"/>
      <c r="GCJ80" s="211"/>
      <c r="GCK80" s="211"/>
      <c r="GCL80" s="211"/>
      <c r="GCM80" s="211"/>
      <c r="GCN80" s="211"/>
      <c r="GCO80" s="211"/>
      <c r="GCP80" s="211"/>
      <c r="GCQ80" s="211"/>
      <c r="GCR80" s="211"/>
      <c r="GCS80" s="211"/>
      <c r="GCT80" s="211"/>
      <c r="GCU80" s="211"/>
      <c r="GCV80" s="211"/>
      <c r="GCW80" s="211"/>
      <c r="GCX80" s="211"/>
      <c r="GCY80" s="211"/>
      <c r="GCZ80" s="211"/>
      <c r="GDA80" s="211"/>
      <c r="GDB80" s="211"/>
      <c r="GDC80" s="211"/>
      <c r="GDD80" s="211"/>
      <c r="GDE80" s="211"/>
      <c r="GDF80" s="211"/>
      <c r="GDG80" s="211"/>
      <c r="GDH80" s="211"/>
      <c r="GDI80" s="211"/>
      <c r="GDJ80" s="211"/>
      <c r="GDK80" s="211"/>
      <c r="GDL80" s="211"/>
      <c r="GDM80" s="211"/>
      <c r="GDN80" s="211"/>
      <c r="GDO80" s="211"/>
      <c r="GDP80" s="211"/>
      <c r="GDQ80" s="211"/>
      <c r="GDR80" s="211"/>
      <c r="GDS80" s="211"/>
      <c r="GDT80" s="211"/>
      <c r="GDU80" s="211"/>
      <c r="GDV80" s="211"/>
      <c r="GDW80" s="211"/>
      <c r="GDX80" s="211"/>
      <c r="GDY80" s="211"/>
      <c r="GDZ80" s="211"/>
      <c r="GEA80" s="211"/>
      <c r="GEB80" s="211"/>
      <c r="GEC80" s="211"/>
      <c r="GED80" s="211"/>
      <c r="GEE80" s="211"/>
      <c r="GEF80" s="211"/>
      <c r="GEG80" s="211"/>
      <c r="GEH80" s="211"/>
      <c r="GEI80" s="211"/>
      <c r="GEJ80" s="211"/>
      <c r="GEK80" s="211"/>
      <c r="GEL80" s="211"/>
      <c r="GEM80" s="211"/>
      <c r="GEN80" s="211"/>
      <c r="GEO80" s="211"/>
      <c r="GEP80" s="211"/>
      <c r="GEQ80" s="211"/>
      <c r="GER80" s="211"/>
      <c r="GES80" s="211"/>
      <c r="GET80" s="211"/>
      <c r="GEU80" s="211"/>
      <c r="GEV80" s="211"/>
      <c r="GEW80" s="211"/>
      <c r="GEX80" s="211"/>
      <c r="GEY80" s="211"/>
      <c r="GEZ80" s="211"/>
      <c r="GFA80" s="211"/>
      <c r="GFB80" s="211"/>
      <c r="GFC80" s="211"/>
      <c r="GFD80" s="211"/>
      <c r="GFE80" s="211"/>
      <c r="GFF80" s="211"/>
      <c r="GFG80" s="211"/>
      <c r="GFH80" s="211"/>
      <c r="GFI80" s="211"/>
      <c r="GFJ80" s="211"/>
      <c r="GFK80" s="211"/>
      <c r="GFL80" s="211"/>
      <c r="GFM80" s="211"/>
      <c r="GFN80" s="211"/>
      <c r="GFO80" s="211"/>
      <c r="GFP80" s="211"/>
      <c r="GFQ80" s="211"/>
      <c r="GFR80" s="211"/>
      <c r="GFS80" s="211"/>
      <c r="GFT80" s="211"/>
      <c r="GFU80" s="211"/>
      <c r="GFV80" s="211"/>
      <c r="GFW80" s="211"/>
      <c r="GFX80" s="211"/>
      <c r="GFY80" s="211"/>
      <c r="GFZ80" s="211"/>
      <c r="GGA80" s="211"/>
      <c r="GGB80" s="211"/>
      <c r="GGC80" s="211"/>
      <c r="GGD80" s="211"/>
      <c r="GGE80" s="211"/>
      <c r="GGF80" s="211"/>
      <c r="GGG80" s="211"/>
      <c r="GGH80" s="211"/>
      <c r="GGI80" s="211"/>
      <c r="GGJ80" s="211"/>
      <c r="GGK80" s="211"/>
      <c r="GGL80" s="211"/>
      <c r="GGM80" s="211"/>
      <c r="GGN80" s="211"/>
      <c r="GGO80" s="211"/>
      <c r="GGP80" s="211"/>
      <c r="GGQ80" s="211"/>
      <c r="GGR80" s="211"/>
      <c r="GGS80" s="211"/>
      <c r="GGT80" s="211"/>
      <c r="GGU80" s="211"/>
      <c r="GGV80" s="211"/>
      <c r="GGW80" s="211"/>
      <c r="GGX80" s="211"/>
      <c r="GGY80" s="211"/>
      <c r="GGZ80" s="211"/>
      <c r="GHA80" s="211"/>
      <c r="GHB80" s="211"/>
      <c r="GHC80" s="211"/>
      <c r="GHD80" s="211"/>
      <c r="GHE80" s="211"/>
      <c r="GHF80" s="211"/>
      <c r="GHG80" s="211"/>
      <c r="GHH80" s="211"/>
      <c r="GHI80" s="211"/>
      <c r="GHJ80" s="211"/>
      <c r="GHK80" s="211"/>
      <c r="GHL80" s="211"/>
      <c r="GHM80" s="211"/>
      <c r="GHN80" s="211"/>
      <c r="GHO80" s="211"/>
      <c r="GHP80" s="211"/>
      <c r="GHQ80" s="211"/>
      <c r="GHR80" s="211"/>
      <c r="GHS80" s="211"/>
      <c r="GHT80" s="211"/>
      <c r="GHU80" s="211"/>
      <c r="GHV80" s="211"/>
      <c r="GHW80" s="211"/>
      <c r="GHX80" s="211"/>
      <c r="GHY80" s="211"/>
      <c r="GHZ80" s="211"/>
      <c r="GIA80" s="211"/>
      <c r="GIB80" s="211"/>
      <c r="GIC80" s="211"/>
      <c r="GID80" s="211"/>
      <c r="GIE80" s="211"/>
      <c r="GIF80" s="211"/>
      <c r="GIG80" s="211"/>
      <c r="GIH80" s="211"/>
      <c r="GII80" s="211"/>
      <c r="GIJ80" s="211"/>
      <c r="GIK80" s="211"/>
      <c r="GIL80" s="211"/>
      <c r="GIM80" s="211"/>
      <c r="GIN80" s="211"/>
      <c r="GIO80" s="211"/>
      <c r="GIP80" s="211"/>
      <c r="GIQ80" s="211"/>
      <c r="GIR80" s="211"/>
      <c r="GIS80" s="211"/>
      <c r="GIT80" s="211"/>
      <c r="GIU80" s="211"/>
      <c r="GIV80" s="211"/>
      <c r="GIW80" s="211"/>
      <c r="GIX80" s="211"/>
      <c r="GIY80" s="211"/>
      <c r="GIZ80" s="211"/>
      <c r="GJA80" s="211"/>
      <c r="GJB80" s="211"/>
      <c r="GJC80" s="211"/>
      <c r="GJD80" s="211"/>
      <c r="GJE80" s="211"/>
      <c r="GJF80" s="211"/>
      <c r="GJG80" s="211"/>
      <c r="GJH80" s="211"/>
      <c r="GJI80" s="211"/>
      <c r="GJJ80" s="211"/>
      <c r="GJK80" s="211"/>
      <c r="GJL80" s="211"/>
      <c r="GJM80" s="211"/>
      <c r="GJN80" s="211"/>
      <c r="GJO80" s="211"/>
      <c r="GJP80" s="211"/>
      <c r="GJQ80" s="211"/>
      <c r="GJR80" s="211"/>
      <c r="GJS80" s="211"/>
      <c r="GJT80" s="211"/>
      <c r="GJU80" s="211"/>
      <c r="GJV80" s="211"/>
      <c r="GJW80" s="211"/>
      <c r="GJX80" s="211"/>
      <c r="GJY80" s="211"/>
      <c r="GJZ80" s="211"/>
      <c r="GKA80" s="211"/>
      <c r="GKB80" s="211"/>
      <c r="GKC80" s="211"/>
      <c r="GKD80" s="211"/>
      <c r="GKE80" s="211"/>
      <c r="GKF80" s="211"/>
      <c r="GKG80" s="211"/>
      <c r="GKH80" s="211"/>
      <c r="GKI80" s="211"/>
      <c r="GKJ80" s="211"/>
      <c r="GKK80" s="211"/>
      <c r="GKL80" s="211"/>
      <c r="GKM80" s="211"/>
      <c r="GKN80" s="211"/>
      <c r="GKO80" s="211"/>
      <c r="GKP80" s="211"/>
      <c r="GKQ80" s="211"/>
      <c r="GKR80" s="211"/>
      <c r="GKS80" s="211"/>
      <c r="GKT80" s="211"/>
      <c r="GKU80" s="211"/>
      <c r="GKV80" s="211"/>
      <c r="GKW80" s="211"/>
      <c r="GKX80" s="211"/>
      <c r="GKY80" s="211"/>
      <c r="GKZ80" s="211"/>
      <c r="GLA80" s="211"/>
      <c r="GLB80" s="211"/>
      <c r="GLC80" s="211"/>
      <c r="GLD80" s="211"/>
      <c r="GLE80" s="211"/>
      <c r="GLF80" s="211"/>
      <c r="GLG80" s="211"/>
      <c r="GLH80" s="211"/>
      <c r="GLI80" s="211"/>
      <c r="GLJ80" s="211"/>
      <c r="GLK80" s="211"/>
      <c r="GLL80" s="211"/>
      <c r="GLM80" s="211"/>
      <c r="GLN80" s="211"/>
      <c r="GLO80" s="211"/>
      <c r="GLP80" s="211"/>
      <c r="GLQ80" s="211"/>
      <c r="GLR80" s="211"/>
      <c r="GLS80" s="211"/>
      <c r="GLT80" s="211"/>
      <c r="GLU80" s="211"/>
      <c r="GLV80" s="211"/>
      <c r="GLW80" s="211"/>
      <c r="GLX80" s="211"/>
      <c r="GLY80" s="211"/>
      <c r="GLZ80" s="211"/>
      <c r="GMA80" s="211"/>
      <c r="GMB80" s="211"/>
      <c r="GMC80" s="211"/>
      <c r="GMD80" s="211"/>
      <c r="GME80" s="211"/>
      <c r="GMF80" s="211"/>
      <c r="GMG80" s="211"/>
      <c r="GMH80" s="211"/>
      <c r="GMI80" s="211"/>
      <c r="GMJ80" s="211"/>
      <c r="GMK80" s="211"/>
      <c r="GML80" s="211"/>
      <c r="GMM80" s="211"/>
      <c r="GMN80" s="211"/>
      <c r="GMO80" s="211"/>
      <c r="GMP80" s="211"/>
      <c r="GMQ80" s="211"/>
      <c r="GMR80" s="211"/>
      <c r="GMS80" s="211"/>
      <c r="GMT80" s="211"/>
      <c r="GMU80" s="211"/>
      <c r="GMV80" s="211"/>
      <c r="GMW80" s="211"/>
      <c r="GMX80" s="211"/>
      <c r="GMY80" s="211"/>
      <c r="GMZ80" s="211"/>
      <c r="GNA80" s="211"/>
      <c r="GNB80" s="211"/>
      <c r="GNC80" s="211"/>
      <c r="GND80" s="211"/>
      <c r="GNE80" s="211"/>
      <c r="GNF80" s="211"/>
      <c r="GNG80" s="211"/>
      <c r="GNH80" s="211"/>
      <c r="GNI80" s="211"/>
      <c r="GNJ80" s="211"/>
      <c r="GNK80" s="211"/>
      <c r="GNL80" s="211"/>
      <c r="GNM80" s="211"/>
      <c r="GNN80" s="211"/>
      <c r="GNO80" s="211"/>
      <c r="GNP80" s="211"/>
      <c r="GNQ80" s="211"/>
      <c r="GNR80" s="211"/>
      <c r="GNS80" s="211"/>
      <c r="GNT80" s="211"/>
      <c r="GNU80" s="211"/>
      <c r="GNV80" s="211"/>
      <c r="GNW80" s="211"/>
      <c r="GNX80" s="211"/>
      <c r="GNY80" s="211"/>
      <c r="GNZ80" s="211"/>
      <c r="GOA80" s="211"/>
      <c r="GOB80" s="211"/>
      <c r="GOC80" s="211"/>
      <c r="GOD80" s="211"/>
      <c r="GOE80" s="211"/>
      <c r="GOF80" s="211"/>
      <c r="GOG80" s="211"/>
      <c r="GOH80" s="211"/>
      <c r="GOI80" s="211"/>
      <c r="GOJ80" s="211"/>
      <c r="GOK80" s="211"/>
      <c r="GOL80" s="211"/>
      <c r="GOM80" s="211"/>
      <c r="GON80" s="211"/>
      <c r="GOO80" s="211"/>
      <c r="GOP80" s="211"/>
      <c r="GOQ80" s="211"/>
      <c r="GOR80" s="211"/>
      <c r="GOS80" s="211"/>
      <c r="GOT80" s="211"/>
      <c r="GOU80" s="211"/>
      <c r="GOV80" s="211"/>
      <c r="GOW80" s="211"/>
      <c r="GOX80" s="211"/>
      <c r="GOY80" s="211"/>
      <c r="GOZ80" s="211"/>
      <c r="GPA80" s="211"/>
      <c r="GPB80" s="211"/>
      <c r="GPC80" s="211"/>
      <c r="GPD80" s="211"/>
      <c r="GPE80" s="211"/>
      <c r="GPF80" s="211"/>
      <c r="GPG80" s="211"/>
      <c r="GPH80" s="211"/>
      <c r="GPI80" s="211"/>
      <c r="GPJ80" s="211"/>
      <c r="GPK80" s="211"/>
      <c r="GPL80" s="211"/>
      <c r="GPM80" s="211"/>
      <c r="GPN80" s="211"/>
      <c r="GPO80" s="211"/>
      <c r="GPP80" s="211"/>
      <c r="GPQ80" s="211"/>
      <c r="GPR80" s="211"/>
      <c r="GPS80" s="211"/>
      <c r="GPT80" s="211"/>
      <c r="GPU80" s="211"/>
      <c r="GPV80" s="211"/>
      <c r="GPW80" s="211"/>
      <c r="GPX80" s="211"/>
      <c r="GPY80" s="211"/>
      <c r="GPZ80" s="211"/>
      <c r="GQA80" s="211"/>
      <c r="GQB80" s="211"/>
      <c r="GQC80" s="211"/>
      <c r="GQD80" s="211"/>
      <c r="GQE80" s="211"/>
      <c r="GQF80" s="211"/>
      <c r="GQG80" s="211"/>
      <c r="GQH80" s="211"/>
      <c r="GQI80" s="211"/>
      <c r="GQJ80" s="211"/>
      <c r="GQK80" s="211"/>
      <c r="GQL80" s="211"/>
      <c r="GQM80" s="211"/>
      <c r="GQN80" s="211"/>
      <c r="GQO80" s="211"/>
      <c r="GQP80" s="211"/>
      <c r="GQQ80" s="211"/>
      <c r="GQR80" s="211"/>
      <c r="GQS80" s="211"/>
      <c r="GQT80" s="211"/>
      <c r="GQU80" s="211"/>
      <c r="GQV80" s="211"/>
      <c r="GQW80" s="211"/>
      <c r="GQX80" s="211"/>
      <c r="GQY80" s="211"/>
      <c r="GQZ80" s="211"/>
      <c r="GRA80" s="211"/>
      <c r="GRB80" s="211"/>
      <c r="GRC80" s="211"/>
      <c r="GRD80" s="211"/>
      <c r="GRE80" s="211"/>
      <c r="GRF80" s="211"/>
      <c r="GRG80" s="211"/>
      <c r="GRH80" s="211"/>
      <c r="GRI80" s="211"/>
      <c r="GRJ80" s="211"/>
      <c r="GRK80" s="211"/>
      <c r="GRL80" s="211"/>
      <c r="GRM80" s="211"/>
      <c r="GRN80" s="211"/>
      <c r="GRO80" s="211"/>
      <c r="GRP80" s="211"/>
      <c r="GRQ80" s="211"/>
      <c r="GRR80" s="211"/>
      <c r="GRS80" s="211"/>
      <c r="GRT80" s="211"/>
      <c r="GRU80" s="211"/>
      <c r="GRV80" s="211"/>
      <c r="GRW80" s="211"/>
      <c r="GRX80" s="211"/>
      <c r="GRY80" s="211"/>
      <c r="GRZ80" s="211"/>
      <c r="GSA80" s="211"/>
      <c r="GSB80" s="211"/>
      <c r="GSC80" s="211"/>
      <c r="GSD80" s="211"/>
      <c r="GSE80" s="211"/>
      <c r="GSF80" s="211"/>
      <c r="GSG80" s="211"/>
      <c r="GSH80" s="211"/>
      <c r="GSI80" s="211"/>
      <c r="GSJ80" s="211"/>
      <c r="GSK80" s="211"/>
      <c r="GSL80" s="211"/>
      <c r="GSM80" s="211"/>
      <c r="GSN80" s="211"/>
      <c r="GSO80" s="211"/>
      <c r="GSP80" s="211"/>
      <c r="GSQ80" s="211"/>
      <c r="GSR80" s="211"/>
      <c r="GSS80" s="211"/>
      <c r="GST80" s="211"/>
      <c r="GSU80" s="211"/>
      <c r="GSV80" s="211"/>
      <c r="GSW80" s="211"/>
      <c r="GSX80" s="211"/>
      <c r="GSY80" s="211"/>
      <c r="GSZ80" s="211"/>
      <c r="GTA80" s="211"/>
      <c r="GTB80" s="211"/>
      <c r="GTC80" s="211"/>
      <c r="GTD80" s="211"/>
      <c r="GTE80" s="211"/>
      <c r="GTF80" s="211"/>
      <c r="GTG80" s="211"/>
      <c r="GTH80" s="211"/>
      <c r="GTI80" s="211"/>
      <c r="GTJ80" s="211"/>
      <c r="GTK80" s="211"/>
      <c r="GTL80" s="211"/>
      <c r="GTM80" s="211"/>
      <c r="GTN80" s="211"/>
      <c r="GTO80" s="211"/>
      <c r="GTP80" s="211"/>
      <c r="GTQ80" s="211"/>
      <c r="GTR80" s="211"/>
      <c r="GTS80" s="211"/>
      <c r="GTT80" s="211"/>
      <c r="GTU80" s="211"/>
      <c r="GTV80" s="211"/>
      <c r="GTW80" s="211"/>
      <c r="GTX80" s="211"/>
      <c r="GTY80" s="211"/>
      <c r="GTZ80" s="211"/>
      <c r="GUA80" s="211"/>
      <c r="GUB80" s="211"/>
      <c r="GUC80" s="211"/>
      <c r="GUD80" s="211"/>
      <c r="GUE80" s="211"/>
      <c r="GUF80" s="211"/>
      <c r="GUG80" s="211"/>
      <c r="GUH80" s="211"/>
      <c r="GUI80" s="211"/>
      <c r="GUJ80" s="211"/>
      <c r="GUK80" s="211"/>
      <c r="GUL80" s="211"/>
      <c r="GUM80" s="211"/>
      <c r="GUN80" s="211"/>
      <c r="GUO80" s="211"/>
      <c r="GUP80" s="211"/>
      <c r="GUQ80" s="211"/>
      <c r="GUR80" s="211"/>
      <c r="GUS80" s="211"/>
      <c r="GUT80" s="211"/>
      <c r="GUU80" s="211"/>
      <c r="GUV80" s="211"/>
      <c r="GUW80" s="211"/>
      <c r="GUX80" s="211"/>
      <c r="GUY80" s="211"/>
      <c r="GUZ80" s="211"/>
      <c r="GVA80" s="211"/>
      <c r="GVB80" s="211"/>
      <c r="GVC80" s="211"/>
      <c r="GVD80" s="211"/>
      <c r="GVE80" s="211"/>
      <c r="GVF80" s="211"/>
      <c r="GVG80" s="211"/>
      <c r="GVH80" s="211"/>
      <c r="GVI80" s="211"/>
      <c r="GVJ80" s="211"/>
      <c r="GVK80" s="211"/>
      <c r="GVL80" s="211"/>
      <c r="GVM80" s="211"/>
      <c r="GVN80" s="211"/>
      <c r="GVO80" s="211"/>
      <c r="GVP80" s="211"/>
      <c r="GVQ80" s="211"/>
      <c r="GVR80" s="211"/>
      <c r="GVS80" s="211"/>
      <c r="GVT80" s="211"/>
      <c r="GVU80" s="211"/>
      <c r="GVV80" s="211"/>
      <c r="GVW80" s="211"/>
      <c r="GVX80" s="211"/>
      <c r="GVY80" s="211"/>
      <c r="GVZ80" s="211"/>
      <c r="GWA80" s="211"/>
      <c r="GWB80" s="211"/>
      <c r="GWC80" s="211"/>
      <c r="GWD80" s="211"/>
      <c r="GWE80" s="211"/>
      <c r="GWF80" s="211"/>
      <c r="GWG80" s="211"/>
      <c r="GWH80" s="211"/>
      <c r="GWI80" s="211"/>
      <c r="GWJ80" s="211"/>
      <c r="GWK80" s="211"/>
      <c r="GWL80" s="211"/>
      <c r="GWM80" s="211"/>
      <c r="GWN80" s="211"/>
      <c r="GWO80" s="211"/>
      <c r="GWP80" s="211"/>
      <c r="GWQ80" s="211"/>
      <c r="GWR80" s="211"/>
      <c r="GWS80" s="211"/>
      <c r="GWT80" s="211"/>
      <c r="GWU80" s="211"/>
      <c r="GWV80" s="211"/>
      <c r="GWW80" s="211"/>
      <c r="GWX80" s="211"/>
      <c r="GWY80" s="211"/>
      <c r="GWZ80" s="211"/>
      <c r="GXA80" s="211"/>
      <c r="GXB80" s="211"/>
      <c r="GXC80" s="211"/>
      <c r="GXD80" s="211"/>
      <c r="GXE80" s="211"/>
      <c r="GXF80" s="211"/>
      <c r="GXG80" s="211"/>
      <c r="GXH80" s="211"/>
      <c r="GXI80" s="211"/>
      <c r="GXJ80" s="211"/>
      <c r="GXK80" s="211"/>
      <c r="GXL80" s="211"/>
      <c r="GXM80" s="211"/>
      <c r="GXN80" s="211"/>
      <c r="GXO80" s="211"/>
      <c r="GXP80" s="211"/>
      <c r="GXQ80" s="211"/>
      <c r="GXR80" s="211"/>
      <c r="GXS80" s="211"/>
      <c r="GXT80" s="211"/>
      <c r="GXU80" s="211"/>
      <c r="GXV80" s="211"/>
      <c r="GXW80" s="211"/>
      <c r="GXX80" s="211"/>
      <c r="GXY80" s="211"/>
      <c r="GXZ80" s="211"/>
      <c r="GYA80" s="211"/>
      <c r="GYB80" s="211"/>
      <c r="GYC80" s="211"/>
      <c r="GYD80" s="211"/>
      <c r="GYE80" s="211"/>
      <c r="GYF80" s="211"/>
      <c r="GYG80" s="211"/>
      <c r="GYH80" s="211"/>
      <c r="GYI80" s="211"/>
      <c r="GYJ80" s="211"/>
      <c r="GYK80" s="211"/>
      <c r="GYL80" s="211"/>
      <c r="GYM80" s="211"/>
      <c r="GYN80" s="211"/>
      <c r="GYO80" s="211"/>
      <c r="GYP80" s="211"/>
      <c r="GYQ80" s="211"/>
      <c r="GYR80" s="211"/>
      <c r="GYS80" s="211"/>
      <c r="GYT80" s="211"/>
      <c r="GYU80" s="211"/>
      <c r="GYV80" s="211"/>
      <c r="GYW80" s="211"/>
      <c r="GYX80" s="211"/>
      <c r="GYY80" s="211"/>
      <c r="GYZ80" s="211"/>
      <c r="GZA80" s="211"/>
      <c r="GZB80" s="211"/>
      <c r="GZC80" s="211"/>
      <c r="GZD80" s="211"/>
      <c r="GZE80" s="211"/>
      <c r="GZF80" s="211"/>
      <c r="GZG80" s="211"/>
      <c r="GZH80" s="211"/>
      <c r="GZI80" s="211"/>
      <c r="GZJ80" s="211"/>
      <c r="GZK80" s="211"/>
      <c r="GZL80" s="211"/>
      <c r="GZM80" s="211"/>
      <c r="GZN80" s="211"/>
      <c r="GZO80" s="211"/>
      <c r="GZP80" s="211"/>
      <c r="GZQ80" s="211"/>
      <c r="GZR80" s="211"/>
      <c r="GZS80" s="211"/>
      <c r="GZT80" s="211"/>
      <c r="GZU80" s="211"/>
      <c r="GZV80" s="211"/>
      <c r="GZW80" s="211"/>
      <c r="GZX80" s="211"/>
      <c r="GZY80" s="211"/>
      <c r="GZZ80" s="211"/>
      <c r="HAA80" s="211"/>
      <c r="HAB80" s="211"/>
      <c r="HAC80" s="211"/>
      <c r="HAD80" s="211"/>
      <c r="HAE80" s="211"/>
      <c r="HAF80" s="211"/>
      <c r="HAG80" s="211"/>
      <c r="HAH80" s="211"/>
      <c r="HAI80" s="211"/>
      <c r="HAJ80" s="211"/>
      <c r="HAK80" s="211"/>
      <c r="HAL80" s="211"/>
      <c r="HAM80" s="211"/>
      <c r="HAN80" s="211"/>
      <c r="HAO80" s="211"/>
      <c r="HAP80" s="211"/>
      <c r="HAQ80" s="211"/>
      <c r="HAR80" s="211"/>
      <c r="HAS80" s="211"/>
      <c r="HAT80" s="211"/>
      <c r="HAU80" s="211"/>
      <c r="HAV80" s="211"/>
      <c r="HAW80" s="211"/>
      <c r="HAX80" s="211"/>
      <c r="HAY80" s="211"/>
      <c r="HAZ80" s="211"/>
      <c r="HBA80" s="211"/>
      <c r="HBB80" s="211"/>
      <c r="HBC80" s="211"/>
      <c r="HBD80" s="211"/>
      <c r="HBE80" s="211"/>
      <c r="HBF80" s="211"/>
      <c r="HBG80" s="211"/>
      <c r="HBH80" s="211"/>
      <c r="HBI80" s="211"/>
      <c r="HBJ80" s="211"/>
      <c r="HBK80" s="211"/>
      <c r="HBL80" s="211"/>
      <c r="HBM80" s="211"/>
      <c r="HBN80" s="211"/>
      <c r="HBO80" s="211"/>
      <c r="HBP80" s="211"/>
      <c r="HBQ80" s="211"/>
      <c r="HBR80" s="211"/>
      <c r="HBS80" s="211"/>
      <c r="HBT80" s="211"/>
      <c r="HBU80" s="211"/>
      <c r="HBV80" s="211"/>
      <c r="HBW80" s="211"/>
      <c r="HBX80" s="211"/>
      <c r="HBY80" s="211"/>
      <c r="HBZ80" s="211"/>
      <c r="HCA80" s="211"/>
      <c r="HCB80" s="211"/>
      <c r="HCC80" s="211"/>
      <c r="HCD80" s="211"/>
      <c r="HCE80" s="211"/>
      <c r="HCF80" s="211"/>
      <c r="HCG80" s="211"/>
      <c r="HCH80" s="211"/>
      <c r="HCI80" s="211"/>
      <c r="HCJ80" s="211"/>
      <c r="HCK80" s="211"/>
      <c r="HCL80" s="211"/>
      <c r="HCM80" s="211"/>
      <c r="HCN80" s="211"/>
      <c r="HCO80" s="211"/>
      <c r="HCP80" s="211"/>
      <c r="HCQ80" s="211"/>
      <c r="HCR80" s="211"/>
      <c r="HCS80" s="211"/>
      <c r="HCT80" s="211"/>
      <c r="HCU80" s="211"/>
      <c r="HCV80" s="211"/>
      <c r="HCW80" s="211"/>
      <c r="HCX80" s="211"/>
      <c r="HCY80" s="211"/>
      <c r="HCZ80" s="211"/>
      <c r="HDA80" s="211"/>
      <c r="HDB80" s="211"/>
      <c r="HDC80" s="211"/>
      <c r="HDD80" s="211"/>
      <c r="HDE80" s="211"/>
      <c r="HDF80" s="211"/>
      <c r="HDG80" s="211"/>
      <c r="HDH80" s="211"/>
      <c r="HDI80" s="211"/>
      <c r="HDJ80" s="211"/>
      <c r="HDK80" s="211"/>
      <c r="HDL80" s="211"/>
      <c r="HDM80" s="211"/>
      <c r="HDN80" s="211"/>
      <c r="HDO80" s="211"/>
      <c r="HDP80" s="211"/>
      <c r="HDQ80" s="211"/>
      <c r="HDR80" s="211"/>
      <c r="HDS80" s="211"/>
      <c r="HDT80" s="211"/>
      <c r="HDU80" s="211"/>
      <c r="HDV80" s="211"/>
      <c r="HDW80" s="211"/>
      <c r="HDX80" s="211"/>
      <c r="HDY80" s="211"/>
      <c r="HDZ80" s="211"/>
      <c r="HEA80" s="211"/>
      <c r="HEB80" s="211"/>
      <c r="HEC80" s="211"/>
      <c r="HED80" s="211"/>
      <c r="HEE80" s="211"/>
      <c r="HEF80" s="211"/>
      <c r="HEG80" s="211"/>
      <c r="HEH80" s="211"/>
      <c r="HEI80" s="211"/>
      <c r="HEJ80" s="211"/>
      <c r="HEK80" s="211"/>
      <c r="HEL80" s="211"/>
      <c r="HEM80" s="211"/>
      <c r="HEN80" s="211"/>
      <c r="HEO80" s="211"/>
      <c r="HEP80" s="211"/>
      <c r="HEQ80" s="211"/>
      <c r="HER80" s="211"/>
      <c r="HES80" s="211"/>
      <c r="HET80" s="211"/>
      <c r="HEU80" s="211"/>
      <c r="HEV80" s="211"/>
      <c r="HEW80" s="211"/>
      <c r="HEX80" s="211"/>
      <c r="HEY80" s="211"/>
      <c r="HEZ80" s="211"/>
      <c r="HFA80" s="211"/>
      <c r="HFB80" s="211"/>
      <c r="HFC80" s="211"/>
      <c r="HFD80" s="211"/>
      <c r="HFE80" s="211"/>
      <c r="HFF80" s="211"/>
      <c r="HFG80" s="211"/>
      <c r="HFH80" s="211"/>
      <c r="HFI80" s="211"/>
      <c r="HFJ80" s="211"/>
      <c r="HFK80" s="211"/>
      <c r="HFL80" s="211"/>
      <c r="HFM80" s="211"/>
      <c r="HFN80" s="211"/>
      <c r="HFO80" s="211"/>
      <c r="HFP80" s="211"/>
      <c r="HFQ80" s="211"/>
      <c r="HFR80" s="211"/>
      <c r="HFS80" s="211"/>
      <c r="HFT80" s="211"/>
      <c r="HFU80" s="211"/>
      <c r="HFV80" s="211"/>
      <c r="HFW80" s="211"/>
      <c r="HFX80" s="211"/>
      <c r="HFY80" s="211"/>
      <c r="HFZ80" s="211"/>
      <c r="HGA80" s="211"/>
      <c r="HGB80" s="211"/>
      <c r="HGC80" s="211"/>
      <c r="HGD80" s="211"/>
      <c r="HGE80" s="211"/>
      <c r="HGF80" s="211"/>
      <c r="HGG80" s="211"/>
      <c r="HGH80" s="211"/>
      <c r="HGI80" s="211"/>
      <c r="HGJ80" s="211"/>
      <c r="HGK80" s="211"/>
      <c r="HGL80" s="211"/>
      <c r="HGM80" s="211"/>
      <c r="HGN80" s="211"/>
      <c r="HGO80" s="211"/>
      <c r="HGP80" s="211"/>
      <c r="HGQ80" s="211"/>
      <c r="HGR80" s="211"/>
      <c r="HGS80" s="211"/>
      <c r="HGT80" s="211"/>
      <c r="HGU80" s="211"/>
      <c r="HGV80" s="211"/>
      <c r="HGW80" s="211"/>
      <c r="HGX80" s="211"/>
      <c r="HGY80" s="211"/>
      <c r="HGZ80" s="211"/>
      <c r="HHA80" s="211"/>
      <c r="HHB80" s="211"/>
      <c r="HHC80" s="211"/>
      <c r="HHD80" s="211"/>
      <c r="HHE80" s="211"/>
      <c r="HHF80" s="211"/>
      <c r="HHG80" s="211"/>
      <c r="HHH80" s="211"/>
      <c r="HHI80" s="211"/>
      <c r="HHJ80" s="211"/>
      <c r="HHK80" s="211"/>
      <c r="HHL80" s="211"/>
      <c r="HHM80" s="211"/>
      <c r="HHN80" s="211"/>
      <c r="HHO80" s="211"/>
      <c r="HHP80" s="211"/>
      <c r="HHQ80" s="211"/>
      <c r="HHR80" s="211"/>
      <c r="HHS80" s="211"/>
      <c r="HHT80" s="211"/>
      <c r="HHU80" s="211"/>
      <c r="HHV80" s="211"/>
      <c r="HHW80" s="211"/>
      <c r="HHX80" s="211"/>
      <c r="HHY80" s="211"/>
      <c r="HHZ80" s="211"/>
      <c r="HIA80" s="211"/>
      <c r="HIB80" s="211"/>
      <c r="HIC80" s="211"/>
      <c r="HID80" s="211"/>
      <c r="HIE80" s="211"/>
      <c r="HIF80" s="211"/>
      <c r="HIG80" s="211"/>
      <c r="HIH80" s="211"/>
      <c r="HII80" s="211"/>
      <c r="HIJ80" s="211"/>
      <c r="HIK80" s="211"/>
      <c r="HIL80" s="211"/>
      <c r="HIM80" s="211"/>
      <c r="HIN80" s="211"/>
      <c r="HIO80" s="211"/>
      <c r="HIP80" s="211"/>
      <c r="HIQ80" s="211"/>
      <c r="HIR80" s="211"/>
      <c r="HIS80" s="211"/>
      <c r="HIT80" s="211"/>
      <c r="HIU80" s="211"/>
      <c r="HIV80" s="211"/>
      <c r="HIW80" s="211"/>
      <c r="HIX80" s="211"/>
      <c r="HIY80" s="211"/>
      <c r="HIZ80" s="211"/>
      <c r="HJA80" s="211"/>
      <c r="HJB80" s="211"/>
      <c r="HJC80" s="211"/>
      <c r="HJD80" s="211"/>
      <c r="HJE80" s="211"/>
      <c r="HJF80" s="211"/>
      <c r="HJG80" s="211"/>
      <c r="HJH80" s="211"/>
      <c r="HJI80" s="211"/>
      <c r="HJJ80" s="211"/>
      <c r="HJK80" s="211"/>
      <c r="HJL80" s="211"/>
      <c r="HJM80" s="211"/>
      <c r="HJN80" s="211"/>
      <c r="HJO80" s="211"/>
      <c r="HJP80" s="211"/>
      <c r="HJQ80" s="211"/>
      <c r="HJR80" s="211"/>
      <c r="HJS80" s="211"/>
      <c r="HJT80" s="211"/>
      <c r="HJU80" s="211"/>
      <c r="HJV80" s="211"/>
      <c r="HJW80" s="211"/>
      <c r="HJX80" s="211"/>
      <c r="HJY80" s="211"/>
      <c r="HJZ80" s="211"/>
      <c r="HKA80" s="211"/>
      <c r="HKB80" s="211"/>
      <c r="HKC80" s="211"/>
      <c r="HKD80" s="211"/>
      <c r="HKE80" s="211"/>
      <c r="HKF80" s="211"/>
      <c r="HKG80" s="211"/>
      <c r="HKH80" s="211"/>
      <c r="HKI80" s="211"/>
      <c r="HKJ80" s="211"/>
      <c r="HKK80" s="211"/>
      <c r="HKL80" s="211"/>
      <c r="HKM80" s="211"/>
      <c r="HKN80" s="211"/>
      <c r="HKO80" s="211"/>
      <c r="HKP80" s="211"/>
      <c r="HKQ80" s="211"/>
      <c r="HKR80" s="211"/>
      <c r="HKS80" s="211"/>
      <c r="HKT80" s="211"/>
      <c r="HKU80" s="211"/>
      <c r="HKV80" s="211"/>
      <c r="HKW80" s="211"/>
      <c r="HKX80" s="211"/>
      <c r="HKY80" s="211"/>
      <c r="HKZ80" s="211"/>
      <c r="HLA80" s="211"/>
      <c r="HLB80" s="211"/>
      <c r="HLC80" s="211"/>
      <c r="HLD80" s="211"/>
      <c r="HLE80" s="211"/>
      <c r="HLF80" s="211"/>
      <c r="HLG80" s="211"/>
      <c r="HLH80" s="211"/>
      <c r="HLI80" s="211"/>
      <c r="HLJ80" s="211"/>
      <c r="HLK80" s="211"/>
      <c r="HLL80" s="211"/>
      <c r="HLM80" s="211"/>
      <c r="HLN80" s="211"/>
      <c r="HLO80" s="211"/>
      <c r="HLP80" s="211"/>
      <c r="HLQ80" s="211"/>
      <c r="HLR80" s="211"/>
      <c r="HLS80" s="211"/>
      <c r="HLT80" s="211"/>
      <c r="HLU80" s="211"/>
      <c r="HLV80" s="211"/>
      <c r="HLW80" s="211"/>
      <c r="HLX80" s="211"/>
      <c r="HLY80" s="211"/>
      <c r="HLZ80" s="211"/>
      <c r="HMA80" s="211"/>
      <c r="HMB80" s="211"/>
      <c r="HMC80" s="211"/>
      <c r="HMD80" s="211"/>
      <c r="HME80" s="211"/>
      <c r="HMF80" s="211"/>
      <c r="HMG80" s="211"/>
      <c r="HMH80" s="211"/>
      <c r="HMI80" s="211"/>
      <c r="HMJ80" s="211"/>
      <c r="HMK80" s="211"/>
      <c r="HML80" s="211"/>
      <c r="HMM80" s="211"/>
      <c r="HMN80" s="211"/>
      <c r="HMO80" s="211"/>
      <c r="HMP80" s="211"/>
      <c r="HMQ80" s="211"/>
      <c r="HMR80" s="211"/>
      <c r="HMS80" s="211"/>
      <c r="HMT80" s="211"/>
      <c r="HMU80" s="211"/>
      <c r="HMV80" s="211"/>
      <c r="HMW80" s="211"/>
      <c r="HMX80" s="211"/>
      <c r="HMY80" s="211"/>
      <c r="HMZ80" s="211"/>
      <c r="HNA80" s="211"/>
      <c r="HNB80" s="211"/>
      <c r="HNC80" s="211"/>
      <c r="HND80" s="211"/>
      <c r="HNE80" s="211"/>
      <c r="HNF80" s="211"/>
      <c r="HNG80" s="211"/>
      <c r="HNH80" s="211"/>
      <c r="HNI80" s="211"/>
      <c r="HNJ80" s="211"/>
      <c r="HNK80" s="211"/>
      <c r="HNL80" s="211"/>
      <c r="HNM80" s="211"/>
      <c r="HNN80" s="211"/>
      <c r="HNO80" s="211"/>
      <c r="HNP80" s="211"/>
      <c r="HNQ80" s="211"/>
      <c r="HNR80" s="211"/>
      <c r="HNS80" s="211"/>
      <c r="HNT80" s="211"/>
      <c r="HNU80" s="211"/>
      <c r="HNV80" s="211"/>
      <c r="HNW80" s="211"/>
      <c r="HNX80" s="211"/>
      <c r="HNY80" s="211"/>
      <c r="HNZ80" s="211"/>
      <c r="HOA80" s="211"/>
      <c r="HOB80" s="211"/>
      <c r="HOC80" s="211"/>
      <c r="HOD80" s="211"/>
      <c r="HOE80" s="211"/>
      <c r="HOF80" s="211"/>
      <c r="HOG80" s="211"/>
      <c r="HOH80" s="211"/>
      <c r="HOI80" s="211"/>
      <c r="HOJ80" s="211"/>
      <c r="HOK80" s="211"/>
      <c r="HOL80" s="211"/>
      <c r="HOM80" s="211"/>
      <c r="HON80" s="211"/>
      <c r="HOO80" s="211"/>
      <c r="HOP80" s="211"/>
      <c r="HOQ80" s="211"/>
      <c r="HOR80" s="211"/>
      <c r="HOS80" s="211"/>
      <c r="HOT80" s="211"/>
      <c r="HOU80" s="211"/>
      <c r="HOV80" s="211"/>
      <c r="HOW80" s="211"/>
      <c r="HOX80" s="211"/>
      <c r="HOY80" s="211"/>
      <c r="HOZ80" s="211"/>
      <c r="HPA80" s="211"/>
      <c r="HPB80" s="211"/>
      <c r="HPC80" s="211"/>
      <c r="HPD80" s="211"/>
      <c r="HPE80" s="211"/>
      <c r="HPF80" s="211"/>
      <c r="HPG80" s="211"/>
      <c r="HPH80" s="211"/>
      <c r="HPI80" s="211"/>
      <c r="HPJ80" s="211"/>
      <c r="HPK80" s="211"/>
      <c r="HPL80" s="211"/>
      <c r="HPM80" s="211"/>
      <c r="HPN80" s="211"/>
      <c r="HPO80" s="211"/>
      <c r="HPP80" s="211"/>
      <c r="HPQ80" s="211"/>
      <c r="HPR80" s="211"/>
      <c r="HPS80" s="211"/>
      <c r="HPT80" s="211"/>
      <c r="HPU80" s="211"/>
      <c r="HPV80" s="211"/>
      <c r="HPW80" s="211"/>
      <c r="HPX80" s="211"/>
      <c r="HPY80" s="211"/>
      <c r="HPZ80" s="211"/>
      <c r="HQA80" s="211"/>
      <c r="HQB80" s="211"/>
      <c r="HQC80" s="211"/>
      <c r="HQD80" s="211"/>
      <c r="HQE80" s="211"/>
      <c r="HQF80" s="211"/>
      <c r="HQG80" s="211"/>
      <c r="HQH80" s="211"/>
      <c r="HQI80" s="211"/>
      <c r="HQJ80" s="211"/>
      <c r="HQK80" s="211"/>
      <c r="HQL80" s="211"/>
      <c r="HQM80" s="211"/>
      <c r="HQN80" s="211"/>
      <c r="HQO80" s="211"/>
      <c r="HQP80" s="211"/>
      <c r="HQQ80" s="211"/>
      <c r="HQR80" s="211"/>
      <c r="HQS80" s="211"/>
      <c r="HQT80" s="211"/>
      <c r="HQU80" s="211"/>
      <c r="HQV80" s="211"/>
      <c r="HQW80" s="211"/>
      <c r="HQX80" s="211"/>
      <c r="HQY80" s="211"/>
      <c r="HQZ80" s="211"/>
      <c r="HRA80" s="211"/>
      <c r="HRB80" s="211"/>
      <c r="HRC80" s="211"/>
      <c r="HRD80" s="211"/>
      <c r="HRE80" s="211"/>
      <c r="HRF80" s="211"/>
      <c r="HRG80" s="211"/>
      <c r="HRH80" s="211"/>
      <c r="HRI80" s="211"/>
      <c r="HRJ80" s="211"/>
      <c r="HRK80" s="211"/>
      <c r="HRL80" s="211"/>
      <c r="HRM80" s="211"/>
      <c r="HRN80" s="211"/>
      <c r="HRO80" s="211"/>
      <c r="HRP80" s="211"/>
      <c r="HRQ80" s="211"/>
      <c r="HRR80" s="211"/>
      <c r="HRS80" s="211"/>
      <c r="HRT80" s="211"/>
      <c r="HRU80" s="211"/>
      <c r="HRV80" s="211"/>
      <c r="HRW80" s="211"/>
      <c r="HRX80" s="211"/>
      <c r="HRY80" s="211"/>
      <c r="HRZ80" s="211"/>
      <c r="HSA80" s="211"/>
      <c r="HSB80" s="211"/>
      <c r="HSC80" s="211"/>
      <c r="HSD80" s="211"/>
      <c r="HSE80" s="211"/>
      <c r="HSF80" s="211"/>
      <c r="HSG80" s="211"/>
      <c r="HSH80" s="211"/>
      <c r="HSI80" s="211"/>
      <c r="HSJ80" s="211"/>
      <c r="HSK80" s="211"/>
      <c r="HSL80" s="211"/>
      <c r="HSM80" s="211"/>
      <c r="HSN80" s="211"/>
      <c r="HSO80" s="211"/>
      <c r="HSP80" s="211"/>
      <c r="HSQ80" s="211"/>
      <c r="HSR80" s="211"/>
      <c r="HSS80" s="211"/>
      <c r="HST80" s="211"/>
      <c r="HSU80" s="211"/>
      <c r="HSV80" s="211"/>
      <c r="HSW80" s="211"/>
      <c r="HSX80" s="211"/>
      <c r="HSY80" s="211"/>
      <c r="HSZ80" s="211"/>
      <c r="HTA80" s="211"/>
      <c r="HTB80" s="211"/>
      <c r="HTC80" s="211"/>
      <c r="HTD80" s="211"/>
      <c r="HTE80" s="211"/>
      <c r="HTF80" s="211"/>
      <c r="HTG80" s="211"/>
      <c r="HTH80" s="211"/>
      <c r="HTI80" s="211"/>
      <c r="HTJ80" s="211"/>
      <c r="HTK80" s="211"/>
      <c r="HTL80" s="211"/>
      <c r="HTM80" s="211"/>
      <c r="HTN80" s="211"/>
      <c r="HTO80" s="211"/>
      <c r="HTP80" s="211"/>
      <c r="HTQ80" s="211"/>
      <c r="HTR80" s="211"/>
      <c r="HTS80" s="211"/>
      <c r="HTT80" s="211"/>
      <c r="HTU80" s="211"/>
      <c r="HTV80" s="211"/>
      <c r="HTW80" s="211"/>
      <c r="HTX80" s="211"/>
      <c r="HTY80" s="211"/>
      <c r="HTZ80" s="211"/>
      <c r="HUA80" s="211"/>
      <c r="HUB80" s="211"/>
      <c r="HUC80" s="211"/>
      <c r="HUD80" s="211"/>
      <c r="HUE80" s="211"/>
      <c r="HUF80" s="211"/>
      <c r="HUG80" s="211"/>
      <c r="HUH80" s="211"/>
      <c r="HUI80" s="211"/>
      <c r="HUJ80" s="211"/>
      <c r="HUK80" s="211"/>
      <c r="HUL80" s="211"/>
      <c r="HUM80" s="211"/>
      <c r="HUN80" s="211"/>
      <c r="HUO80" s="211"/>
      <c r="HUP80" s="211"/>
      <c r="HUQ80" s="211"/>
      <c r="HUR80" s="211"/>
      <c r="HUS80" s="211"/>
      <c r="HUT80" s="211"/>
      <c r="HUU80" s="211"/>
      <c r="HUV80" s="211"/>
      <c r="HUW80" s="211"/>
      <c r="HUX80" s="211"/>
      <c r="HUY80" s="211"/>
      <c r="HUZ80" s="211"/>
      <c r="HVA80" s="211"/>
      <c r="HVB80" s="211"/>
      <c r="HVC80" s="211"/>
      <c r="HVD80" s="211"/>
      <c r="HVE80" s="211"/>
      <c r="HVF80" s="211"/>
      <c r="HVG80" s="211"/>
      <c r="HVH80" s="211"/>
      <c r="HVI80" s="211"/>
      <c r="HVJ80" s="211"/>
      <c r="HVK80" s="211"/>
      <c r="HVL80" s="211"/>
      <c r="HVM80" s="211"/>
      <c r="HVN80" s="211"/>
      <c r="HVO80" s="211"/>
      <c r="HVP80" s="211"/>
      <c r="HVQ80" s="211"/>
      <c r="HVR80" s="211"/>
      <c r="HVS80" s="211"/>
      <c r="HVT80" s="211"/>
      <c r="HVU80" s="211"/>
      <c r="HVV80" s="211"/>
      <c r="HVW80" s="211"/>
      <c r="HVX80" s="211"/>
      <c r="HVY80" s="211"/>
      <c r="HVZ80" s="211"/>
      <c r="HWA80" s="211"/>
      <c r="HWB80" s="211"/>
      <c r="HWC80" s="211"/>
      <c r="HWD80" s="211"/>
      <c r="HWE80" s="211"/>
      <c r="HWF80" s="211"/>
      <c r="HWG80" s="211"/>
      <c r="HWH80" s="211"/>
      <c r="HWI80" s="211"/>
      <c r="HWJ80" s="211"/>
      <c r="HWK80" s="211"/>
      <c r="HWL80" s="211"/>
      <c r="HWM80" s="211"/>
      <c r="HWN80" s="211"/>
      <c r="HWO80" s="211"/>
      <c r="HWP80" s="211"/>
      <c r="HWQ80" s="211"/>
      <c r="HWR80" s="211"/>
      <c r="HWS80" s="211"/>
      <c r="HWT80" s="211"/>
      <c r="HWU80" s="211"/>
      <c r="HWV80" s="211"/>
      <c r="HWW80" s="211"/>
      <c r="HWX80" s="211"/>
      <c r="HWY80" s="211"/>
      <c r="HWZ80" s="211"/>
      <c r="HXA80" s="211"/>
      <c r="HXB80" s="211"/>
      <c r="HXC80" s="211"/>
      <c r="HXD80" s="211"/>
      <c r="HXE80" s="211"/>
      <c r="HXF80" s="211"/>
      <c r="HXG80" s="211"/>
      <c r="HXH80" s="211"/>
      <c r="HXI80" s="211"/>
      <c r="HXJ80" s="211"/>
      <c r="HXK80" s="211"/>
      <c r="HXL80" s="211"/>
      <c r="HXM80" s="211"/>
      <c r="HXN80" s="211"/>
      <c r="HXO80" s="211"/>
      <c r="HXP80" s="211"/>
      <c r="HXQ80" s="211"/>
      <c r="HXR80" s="211"/>
      <c r="HXS80" s="211"/>
      <c r="HXT80" s="211"/>
      <c r="HXU80" s="211"/>
      <c r="HXV80" s="211"/>
      <c r="HXW80" s="211"/>
      <c r="HXX80" s="211"/>
      <c r="HXY80" s="211"/>
      <c r="HXZ80" s="211"/>
      <c r="HYA80" s="211"/>
      <c r="HYB80" s="211"/>
      <c r="HYC80" s="211"/>
      <c r="HYD80" s="211"/>
      <c r="HYE80" s="211"/>
      <c r="HYF80" s="211"/>
      <c r="HYG80" s="211"/>
      <c r="HYH80" s="211"/>
      <c r="HYI80" s="211"/>
      <c r="HYJ80" s="211"/>
      <c r="HYK80" s="211"/>
      <c r="HYL80" s="211"/>
      <c r="HYM80" s="211"/>
      <c r="HYN80" s="211"/>
      <c r="HYO80" s="211"/>
      <c r="HYP80" s="211"/>
      <c r="HYQ80" s="211"/>
      <c r="HYR80" s="211"/>
      <c r="HYS80" s="211"/>
      <c r="HYT80" s="211"/>
      <c r="HYU80" s="211"/>
      <c r="HYV80" s="211"/>
      <c r="HYW80" s="211"/>
      <c r="HYX80" s="211"/>
      <c r="HYY80" s="211"/>
      <c r="HYZ80" s="211"/>
      <c r="HZA80" s="211"/>
      <c r="HZB80" s="211"/>
      <c r="HZC80" s="211"/>
      <c r="HZD80" s="211"/>
      <c r="HZE80" s="211"/>
      <c r="HZF80" s="211"/>
      <c r="HZG80" s="211"/>
      <c r="HZH80" s="211"/>
      <c r="HZI80" s="211"/>
      <c r="HZJ80" s="211"/>
      <c r="HZK80" s="211"/>
      <c r="HZL80" s="211"/>
      <c r="HZM80" s="211"/>
      <c r="HZN80" s="211"/>
      <c r="HZO80" s="211"/>
      <c r="HZP80" s="211"/>
      <c r="HZQ80" s="211"/>
      <c r="HZR80" s="211"/>
      <c r="HZS80" s="211"/>
      <c r="HZT80" s="211"/>
      <c r="HZU80" s="211"/>
      <c r="HZV80" s="211"/>
      <c r="HZW80" s="211"/>
      <c r="HZX80" s="211"/>
      <c r="HZY80" s="211"/>
      <c r="HZZ80" s="211"/>
      <c r="IAA80" s="211"/>
      <c r="IAB80" s="211"/>
      <c r="IAC80" s="211"/>
      <c r="IAD80" s="211"/>
      <c r="IAE80" s="211"/>
      <c r="IAF80" s="211"/>
      <c r="IAG80" s="211"/>
      <c r="IAH80" s="211"/>
      <c r="IAI80" s="211"/>
      <c r="IAJ80" s="211"/>
      <c r="IAK80" s="211"/>
      <c r="IAL80" s="211"/>
      <c r="IAM80" s="211"/>
      <c r="IAN80" s="211"/>
      <c r="IAO80" s="211"/>
      <c r="IAP80" s="211"/>
      <c r="IAQ80" s="211"/>
      <c r="IAR80" s="211"/>
      <c r="IAS80" s="211"/>
      <c r="IAT80" s="211"/>
      <c r="IAU80" s="211"/>
      <c r="IAV80" s="211"/>
      <c r="IAW80" s="211"/>
      <c r="IAX80" s="211"/>
      <c r="IAY80" s="211"/>
      <c r="IAZ80" s="211"/>
      <c r="IBA80" s="211"/>
      <c r="IBB80" s="211"/>
      <c r="IBC80" s="211"/>
      <c r="IBD80" s="211"/>
      <c r="IBE80" s="211"/>
      <c r="IBF80" s="211"/>
      <c r="IBG80" s="211"/>
      <c r="IBH80" s="211"/>
      <c r="IBI80" s="211"/>
      <c r="IBJ80" s="211"/>
      <c r="IBK80" s="211"/>
      <c r="IBL80" s="211"/>
      <c r="IBM80" s="211"/>
      <c r="IBN80" s="211"/>
      <c r="IBO80" s="211"/>
      <c r="IBP80" s="211"/>
      <c r="IBQ80" s="211"/>
      <c r="IBR80" s="211"/>
      <c r="IBS80" s="211"/>
      <c r="IBT80" s="211"/>
      <c r="IBU80" s="211"/>
      <c r="IBV80" s="211"/>
      <c r="IBW80" s="211"/>
      <c r="IBX80" s="211"/>
      <c r="IBY80" s="211"/>
      <c r="IBZ80" s="211"/>
      <c r="ICA80" s="211"/>
      <c r="ICB80" s="211"/>
      <c r="ICC80" s="211"/>
      <c r="ICD80" s="211"/>
      <c r="ICE80" s="211"/>
      <c r="ICF80" s="211"/>
      <c r="ICG80" s="211"/>
      <c r="ICH80" s="211"/>
      <c r="ICI80" s="211"/>
      <c r="ICJ80" s="211"/>
      <c r="ICK80" s="211"/>
      <c r="ICL80" s="211"/>
      <c r="ICM80" s="211"/>
      <c r="ICN80" s="211"/>
      <c r="ICO80" s="211"/>
      <c r="ICP80" s="211"/>
      <c r="ICQ80" s="211"/>
      <c r="ICR80" s="211"/>
      <c r="ICS80" s="211"/>
      <c r="ICT80" s="211"/>
      <c r="ICU80" s="211"/>
      <c r="ICV80" s="211"/>
      <c r="ICW80" s="211"/>
      <c r="ICX80" s="211"/>
      <c r="ICY80" s="211"/>
      <c r="ICZ80" s="211"/>
      <c r="IDA80" s="211"/>
      <c r="IDB80" s="211"/>
      <c r="IDC80" s="211"/>
      <c r="IDD80" s="211"/>
      <c r="IDE80" s="211"/>
      <c r="IDF80" s="211"/>
      <c r="IDG80" s="211"/>
      <c r="IDH80" s="211"/>
      <c r="IDI80" s="211"/>
      <c r="IDJ80" s="211"/>
      <c r="IDK80" s="211"/>
      <c r="IDL80" s="211"/>
      <c r="IDM80" s="211"/>
      <c r="IDN80" s="211"/>
      <c r="IDO80" s="211"/>
      <c r="IDP80" s="211"/>
      <c r="IDQ80" s="211"/>
      <c r="IDR80" s="211"/>
      <c r="IDS80" s="211"/>
      <c r="IDT80" s="211"/>
      <c r="IDU80" s="211"/>
      <c r="IDV80" s="211"/>
      <c r="IDW80" s="211"/>
      <c r="IDX80" s="211"/>
      <c r="IDY80" s="211"/>
      <c r="IDZ80" s="211"/>
      <c r="IEA80" s="211"/>
      <c r="IEB80" s="211"/>
      <c r="IEC80" s="211"/>
      <c r="IED80" s="211"/>
      <c r="IEE80" s="211"/>
      <c r="IEF80" s="211"/>
      <c r="IEG80" s="211"/>
      <c r="IEH80" s="211"/>
      <c r="IEI80" s="211"/>
      <c r="IEJ80" s="211"/>
      <c r="IEK80" s="211"/>
      <c r="IEL80" s="211"/>
      <c r="IEM80" s="211"/>
      <c r="IEN80" s="211"/>
      <c r="IEO80" s="211"/>
      <c r="IEP80" s="211"/>
      <c r="IEQ80" s="211"/>
      <c r="IER80" s="211"/>
      <c r="IES80" s="211"/>
      <c r="IET80" s="211"/>
      <c r="IEU80" s="211"/>
      <c r="IEV80" s="211"/>
      <c r="IEW80" s="211"/>
      <c r="IEX80" s="211"/>
      <c r="IEY80" s="211"/>
      <c r="IEZ80" s="211"/>
      <c r="IFA80" s="211"/>
      <c r="IFB80" s="211"/>
      <c r="IFC80" s="211"/>
      <c r="IFD80" s="211"/>
      <c r="IFE80" s="211"/>
      <c r="IFF80" s="211"/>
      <c r="IFG80" s="211"/>
      <c r="IFH80" s="211"/>
      <c r="IFI80" s="211"/>
      <c r="IFJ80" s="211"/>
      <c r="IFK80" s="211"/>
      <c r="IFL80" s="211"/>
      <c r="IFM80" s="211"/>
      <c r="IFN80" s="211"/>
      <c r="IFO80" s="211"/>
      <c r="IFP80" s="211"/>
      <c r="IFQ80" s="211"/>
      <c r="IFR80" s="211"/>
      <c r="IFS80" s="211"/>
      <c r="IFT80" s="211"/>
      <c r="IFU80" s="211"/>
      <c r="IFV80" s="211"/>
      <c r="IFW80" s="211"/>
      <c r="IFX80" s="211"/>
      <c r="IFY80" s="211"/>
      <c r="IFZ80" s="211"/>
      <c r="IGA80" s="211"/>
      <c r="IGB80" s="211"/>
      <c r="IGC80" s="211"/>
      <c r="IGD80" s="211"/>
      <c r="IGE80" s="211"/>
      <c r="IGF80" s="211"/>
      <c r="IGG80" s="211"/>
      <c r="IGH80" s="211"/>
      <c r="IGI80" s="211"/>
      <c r="IGJ80" s="211"/>
      <c r="IGK80" s="211"/>
      <c r="IGL80" s="211"/>
      <c r="IGM80" s="211"/>
      <c r="IGN80" s="211"/>
      <c r="IGO80" s="211"/>
      <c r="IGP80" s="211"/>
      <c r="IGQ80" s="211"/>
      <c r="IGR80" s="211"/>
      <c r="IGS80" s="211"/>
      <c r="IGT80" s="211"/>
      <c r="IGU80" s="211"/>
      <c r="IGV80" s="211"/>
      <c r="IGW80" s="211"/>
      <c r="IGX80" s="211"/>
      <c r="IGY80" s="211"/>
      <c r="IGZ80" s="211"/>
      <c r="IHA80" s="211"/>
      <c r="IHB80" s="211"/>
      <c r="IHC80" s="211"/>
      <c r="IHD80" s="211"/>
      <c r="IHE80" s="211"/>
      <c r="IHF80" s="211"/>
      <c r="IHG80" s="211"/>
      <c r="IHH80" s="211"/>
      <c r="IHI80" s="211"/>
      <c r="IHJ80" s="211"/>
      <c r="IHK80" s="211"/>
      <c r="IHL80" s="211"/>
      <c r="IHM80" s="211"/>
      <c r="IHN80" s="211"/>
      <c r="IHO80" s="211"/>
      <c r="IHP80" s="211"/>
      <c r="IHQ80" s="211"/>
      <c r="IHR80" s="211"/>
      <c r="IHS80" s="211"/>
      <c r="IHT80" s="211"/>
      <c r="IHU80" s="211"/>
      <c r="IHV80" s="211"/>
      <c r="IHW80" s="211"/>
      <c r="IHX80" s="211"/>
      <c r="IHY80" s="211"/>
      <c r="IHZ80" s="211"/>
      <c r="IIA80" s="211"/>
      <c r="IIB80" s="211"/>
      <c r="IIC80" s="211"/>
      <c r="IID80" s="211"/>
      <c r="IIE80" s="211"/>
      <c r="IIF80" s="211"/>
      <c r="IIG80" s="211"/>
      <c r="IIH80" s="211"/>
      <c r="III80" s="211"/>
      <c r="IIJ80" s="211"/>
      <c r="IIK80" s="211"/>
      <c r="IIL80" s="211"/>
      <c r="IIM80" s="211"/>
      <c r="IIN80" s="211"/>
      <c r="IIO80" s="211"/>
      <c r="IIP80" s="211"/>
      <c r="IIQ80" s="211"/>
      <c r="IIR80" s="211"/>
      <c r="IIS80" s="211"/>
      <c r="IIT80" s="211"/>
      <c r="IIU80" s="211"/>
      <c r="IIV80" s="211"/>
      <c r="IIW80" s="211"/>
      <c r="IIX80" s="211"/>
      <c r="IIY80" s="211"/>
      <c r="IIZ80" s="211"/>
      <c r="IJA80" s="211"/>
      <c r="IJB80" s="211"/>
      <c r="IJC80" s="211"/>
      <c r="IJD80" s="211"/>
      <c r="IJE80" s="211"/>
      <c r="IJF80" s="211"/>
      <c r="IJG80" s="211"/>
      <c r="IJH80" s="211"/>
      <c r="IJI80" s="211"/>
      <c r="IJJ80" s="211"/>
      <c r="IJK80" s="211"/>
      <c r="IJL80" s="211"/>
      <c r="IJM80" s="211"/>
      <c r="IJN80" s="211"/>
      <c r="IJO80" s="211"/>
      <c r="IJP80" s="211"/>
      <c r="IJQ80" s="211"/>
      <c r="IJR80" s="211"/>
      <c r="IJS80" s="211"/>
      <c r="IJT80" s="211"/>
      <c r="IJU80" s="211"/>
      <c r="IJV80" s="211"/>
      <c r="IJW80" s="211"/>
      <c r="IJX80" s="211"/>
      <c r="IJY80" s="211"/>
      <c r="IJZ80" s="211"/>
      <c r="IKA80" s="211"/>
      <c r="IKB80" s="211"/>
      <c r="IKC80" s="211"/>
      <c r="IKD80" s="211"/>
      <c r="IKE80" s="211"/>
      <c r="IKF80" s="211"/>
      <c r="IKG80" s="211"/>
      <c r="IKH80" s="211"/>
      <c r="IKI80" s="211"/>
      <c r="IKJ80" s="211"/>
      <c r="IKK80" s="211"/>
      <c r="IKL80" s="211"/>
      <c r="IKM80" s="211"/>
      <c r="IKN80" s="211"/>
      <c r="IKO80" s="211"/>
      <c r="IKP80" s="211"/>
      <c r="IKQ80" s="211"/>
      <c r="IKR80" s="211"/>
      <c r="IKS80" s="211"/>
      <c r="IKT80" s="211"/>
      <c r="IKU80" s="211"/>
      <c r="IKV80" s="211"/>
      <c r="IKW80" s="211"/>
      <c r="IKX80" s="211"/>
      <c r="IKY80" s="211"/>
      <c r="IKZ80" s="211"/>
      <c r="ILA80" s="211"/>
      <c r="ILB80" s="211"/>
      <c r="ILC80" s="211"/>
      <c r="ILD80" s="211"/>
      <c r="ILE80" s="211"/>
      <c r="ILF80" s="211"/>
      <c r="ILG80" s="211"/>
      <c r="ILH80" s="211"/>
      <c r="ILI80" s="211"/>
      <c r="ILJ80" s="211"/>
      <c r="ILK80" s="211"/>
      <c r="ILL80" s="211"/>
      <c r="ILM80" s="211"/>
      <c r="ILN80" s="211"/>
      <c r="ILO80" s="211"/>
      <c r="ILP80" s="211"/>
      <c r="ILQ80" s="211"/>
      <c r="ILR80" s="211"/>
      <c r="ILS80" s="211"/>
      <c r="ILT80" s="211"/>
      <c r="ILU80" s="211"/>
      <c r="ILV80" s="211"/>
      <c r="ILW80" s="211"/>
      <c r="ILX80" s="211"/>
      <c r="ILY80" s="211"/>
      <c r="ILZ80" s="211"/>
      <c r="IMA80" s="211"/>
      <c r="IMB80" s="211"/>
      <c r="IMC80" s="211"/>
      <c r="IMD80" s="211"/>
      <c r="IME80" s="211"/>
      <c r="IMF80" s="211"/>
      <c r="IMG80" s="211"/>
      <c r="IMH80" s="211"/>
      <c r="IMI80" s="211"/>
      <c r="IMJ80" s="211"/>
      <c r="IMK80" s="211"/>
      <c r="IML80" s="211"/>
      <c r="IMM80" s="211"/>
      <c r="IMN80" s="211"/>
      <c r="IMO80" s="211"/>
      <c r="IMP80" s="211"/>
      <c r="IMQ80" s="211"/>
      <c r="IMR80" s="211"/>
      <c r="IMS80" s="211"/>
      <c r="IMT80" s="211"/>
      <c r="IMU80" s="211"/>
      <c r="IMV80" s="211"/>
      <c r="IMW80" s="211"/>
      <c r="IMX80" s="211"/>
      <c r="IMY80" s="211"/>
      <c r="IMZ80" s="211"/>
      <c r="INA80" s="211"/>
      <c r="INB80" s="211"/>
      <c r="INC80" s="211"/>
      <c r="IND80" s="211"/>
      <c r="INE80" s="211"/>
      <c r="INF80" s="211"/>
      <c r="ING80" s="211"/>
      <c r="INH80" s="211"/>
      <c r="INI80" s="211"/>
      <c r="INJ80" s="211"/>
      <c r="INK80" s="211"/>
      <c r="INL80" s="211"/>
      <c r="INM80" s="211"/>
      <c r="INN80" s="211"/>
      <c r="INO80" s="211"/>
      <c r="INP80" s="211"/>
      <c r="INQ80" s="211"/>
      <c r="INR80" s="211"/>
      <c r="INS80" s="211"/>
      <c r="INT80" s="211"/>
      <c r="INU80" s="211"/>
      <c r="INV80" s="211"/>
      <c r="INW80" s="211"/>
      <c r="INX80" s="211"/>
      <c r="INY80" s="211"/>
      <c r="INZ80" s="211"/>
      <c r="IOA80" s="211"/>
      <c r="IOB80" s="211"/>
      <c r="IOC80" s="211"/>
      <c r="IOD80" s="211"/>
      <c r="IOE80" s="211"/>
      <c r="IOF80" s="211"/>
      <c r="IOG80" s="211"/>
      <c r="IOH80" s="211"/>
      <c r="IOI80" s="211"/>
      <c r="IOJ80" s="211"/>
      <c r="IOK80" s="211"/>
      <c r="IOL80" s="211"/>
      <c r="IOM80" s="211"/>
      <c r="ION80" s="211"/>
      <c r="IOO80" s="211"/>
      <c r="IOP80" s="211"/>
      <c r="IOQ80" s="211"/>
      <c r="IOR80" s="211"/>
      <c r="IOS80" s="211"/>
      <c r="IOT80" s="211"/>
      <c r="IOU80" s="211"/>
      <c r="IOV80" s="211"/>
      <c r="IOW80" s="211"/>
      <c r="IOX80" s="211"/>
      <c r="IOY80" s="211"/>
      <c r="IOZ80" s="211"/>
      <c r="IPA80" s="211"/>
      <c r="IPB80" s="211"/>
      <c r="IPC80" s="211"/>
      <c r="IPD80" s="211"/>
      <c r="IPE80" s="211"/>
      <c r="IPF80" s="211"/>
      <c r="IPG80" s="211"/>
      <c r="IPH80" s="211"/>
      <c r="IPI80" s="211"/>
      <c r="IPJ80" s="211"/>
      <c r="IPK80" s="211"/>
      <c r="IPL80" s="211"/>
      <c r="IPM80" s="211"/>
      <c r="IPN80" s="211"/>
      <c r="IPO80" s="211"/>
      <c r="IPP80" s="211"/>
      <c r="IPQ80" s="211"/>
      <c r="IPR80" s="211"/>
      <c r="IPS80" s="211"/>
      <c r="IPT80" s="211"/>
      <c r="IPU80" s="211"/>
      <c r="IPV80" s="211"/>
      <c r="IPW80" s="211"/>
      <c r="IPX80" s="211"/>
      <c r="IPY80" s="211"/>
      <c r="IPZ80" s="211"/>
      <c r="IQA80" s="211"/>
      <c r="IQB80" s="211"/>
      <c r="IQC80" s="211"/>
      <c r="IQD80" s="211"/>
      <c r="IQE80" s="211"/>
      <c r="IQF80" s="211"/>
      <c r="IQG80" s="211"/>
      <c r="IQH80" s="211"/>
      <c r="IQI80" s="211"/>
      <c r="IQJ80" s="211"/>
      <c r="IQK80" s="211"/>
      <c r="IQL80" s="211"/>
      <c r="IQM80" s="211"/>
      <c r="IQN80" s="211"/>
      <c r="IQO80" s="211"/>
      <c r="IQP80" s="211"/>
      <c r="IQQ80" s="211"/>
      <c r="IQR80" s="211"/>
      <c r="IQS80" s="211"/>
      <c r="IQT80" s="211"/>
      <c r="IQU80" s="211"/>
      <c r="IQV80" s="211"/>
      <c r="IQW80" s="211"/>
      <c r="IQX80" s="211"/>
      <c r="IQY80" s="211"/>
      <c r="IQZ80" s="211"/>
      <c r="IRA80" s="211"/>
      <c r="IRB80" s="211"/>
      <c r="IRC80" s="211"/>
      <c r="IRD80" s="211"/>
      <c r="IRE80" s="211"/>
      <c r="IRF80" s="211"/>
      <c r="IRG80" s="211"/>
      <c r="IRH80" s="211"/>
      <c r="IRI80" s="211"/>
      <c r="IRJ80" s="211"/>
      <c r="IRK80" s="211"/>
      <c r="IRL80" s="211"/>
      <c r="IRM80" s="211"/>
      <c r="IRN80" s="211"/>
      <c r="IRO80" s="211"/>
      <c r="IRP80" s="211"/>
      <c r="IRQ80" s="211"/>
      <c r="IRR80" s="211"/>
      <c r="IRS80" s="211"/>
      <c r="IRT80" s="211"/>
      <c r="IRU80" s="211"/>
      <c r="IRV80" s="211"/>
      <c r="IRW80" s="211"/>
      <c r="IRX80" s="211"/>
      <c r="IRY80" s="211"/>
      <c r="IRZ80" s="211"/>
      <c r="ISA80" s="211"/>
      <c r="ISB80" s="211"/>
      <c r="ISC80" s="211"/>
      <c r="ISD80" s="211"/>
      <c r="ISE80" s="211"/>
      <c r="ISF80" s="211"/>
      <c r="ISG80" s="211"/>
      <c r="ISH80" s="211"/>
      <c r="ISI80" s="211"/>
      <c r="ISJ80" s="211"/>
      <c r="ISK80" s="211"/>
      <c r="ISL80" s="211"/>
      <c r="ISM80" s="211"/>
      <c r="ISN80" s="211"/>
      <c r="ISO80" s="211"/>
      <c r="ISP80" s="211"/>
      <c r="ISQ80" s="211"/>
      <c r="ISR80" s="211"/>
      <c r="ISS80" s="211"/>
      <c r="IST80" s="211"/>
      <c r="ISU80" s="211"/>
      <c r="ISV80" s="211"/>
      <c r="ISW80" s="211"/>
      <c r="ISX80" s="211"/>
      <c r="ISY80" s="211"/>
      <c r="ISZ80" s="211"/>
      <c r="ITA80" s="211"/>
      <c r="ITB80" s="211"/>
      <c r="ITC80" s="211"/>
      <c r="ITD80" s="211"/>
      <c r="ITE80" s="211"/>
      <c r="ITF80" s="211"/>
      <c r="ITG80" s="211"/>
      <c r="ITH80" s="211"/>
      <c r="ITI80" s="211"/>
      <c r="ITJ80" s="211"/>
      <c r="ITK80" s="211"/>
      <c r="ITL80" s="211"/>
      <c r="ITM80" s="211"/>
      <c r="ITN80" s="211"/>
      <c r="ITO80" s="211"/>
      <c r="ITP80" s="211"/>
      <c r="ITQ80" s="211"/>
      <c r="ITR80" s="211"/>
      <c r="ITS80" s="211"/>
      <c r="ITT80" s="211"/>
      <c r="ITU80" s="211"/>
      <c r="ITV80" s="211"/>
      <c r="ITW80" s="211"/>
      <c r="ITX80" s="211"/>
      <c r="ITY80" s="211"/>
      <c r="ITZ80" s="211"/>
      <c r="IUA80" s="211"/>
      <c r="IUB80" s="211"/>
      <c r="IUC80" s="211"/>
      <c r="IUD80" s="211"/>
      <c r="IUE80" s="211"/>
      <c r="IUF80" s="211"/>
      <c r="IUG80" s="211"/>
      <c r="IUH80" s="211"/>
      <c r="IUI80" s="211"/>
      <c r="IUJ80" s="211"/>
      <c r="IUK80" s="211"/>
      <c r="IUL80" s="211"/>
      <c r="IUM80" s="211"/>
      <c r="IUN80" s="211"/>
      <c r="IUO80" s="211"/>
      <c r="IUP80" s="211"/>
      <c r="IUQ80" s="211"/>
      <c r="IUR80" s="211"/>
      <c r="IUS80" s="211"/>
      <c r="IUT80" s="211"/>
      <c r="IUU80" s="211"/>
      <c r="IUV80" s="211"/>
      <c r="IUW80" s="211"/>
      <c r="IUX80" s="211"/>
      <c r="IUY80" s="211"/>
      <c r="IUZ80" s="211"/>
      <c r="IVA80" s="211"/>
      <c r="IVB80" s="211"/>
      <c r="IVC80" s="211"/>
      <c r="IVD80" s="211"/>
      <c r="IVE80" s="211"/>
      <c r="IVF80" s="211"/>
      <c r="IVG80" s="211"/>
      <c r="IVH80" s="211"/>
      <c r="IVI80" s="211"/>
      <c r="IVJ80" s="211"/>
      <c r="IVK80" s="211"/>
      <c r="IVL80" s="211"/>
      <c r="IVM80" s="211"/>
      <c r="IVN80" s="211"/>
      <c r="IVO80" s="211"/>
      <c r="IVP80" s="211"/>
      <c r="IVQ80" s="211"/>
      <c r="IVR80" s="211"/>
      <c r="IVS80" s="211"/>
      <c r="IVT80" s="211"/>
      <c r="IVU80" s="211"/>
      <c r="IVV80" s="211"/>
      <c r="IVW80" s="211"/>
      <c r="IVX80" s="211"/>
      <c r="IVY80" s="211"/>
      <c r="IVZ80" s="211"/>
      <c r="IWA80" s="211"/>
      <c r="IWB80" s="211"/>
      <c r="IWC80" s="211"/>
      <c r="IWD80" s="211"/>
      <c r="IWE80" s="211"/>
      <c r="IWF80" s="211"/>
      <c r="IWG80" s="211"/>
      <c r="IWH80" s="211"/>
      <c r="IWI80" s="211"/>
      <c r="IWJ80" s="211"/>
      <c r="IWK80" s="211"/>
      <c r="IWL80" s="211"/>
      <c r="IWM80" s="211"/>
      <c r="IWN80" s="211"/>
      <c r="IWO80" s="211"/>
      <c r="IWP80" s="211"/>
      <c r="IWQ80" s="211"/>
      <c r="IWR80" s="211"/>
      <c r="IWS80" s="211"/>
      <c r="IWT80" s="211"/>
      <c r="IWU80" s="211"/>
      <c r="IWV80" s="211"/>
      <c r="IWW80" s="211"/>
      <c r="IWX80" s="211"/>
      <c r="IWY80" s="211"/>
      <c r="IWZ80" s="211"/>
      <c r="IXA80" s="211"/>
      <c r="IXB80" s="211"/>
      <c r="IXC80" s="211"/>
      <c r="IXD80" s="211"/>
      <c r="IXE80" s="211"/>
      <c r="IXF80" s="211"/>
      <c r="IXG80" s="211"/>
      <c r="IXH80" s="211"/>
      <c r="IXI80" s="211"/>
      <c r="IXJ80" s="211"/>
      <c r="IXK80" s="211"/>
      <c r="IXL80" s="211"/>
      <c r="IXM80" s="211"/>
      <c r="IXN80" s="211"/>
      <c r="IXO80" s="211"/>
      <c r="IXP80" s="211"/>
      <c r="IXQ80" s="211"/>
      <c r="IXR80" s="211"/>
      <c r="IXS80" s="211"/>
      <c r="IXT80" s="211"/>
      <c r="IXU80" s="211"/>
      <c r="IXV80" s="211"/>
      <c r="IXW80" s="211"/>
      <c r="IXX80" s="211"/>
      <c r="IXY80" s="211"/>
      <c r="IXZ80" s="211"/>
      <c r="IYA80" s="211"/>
      <c r="IYB80" s="211"/>
      <c r="IYC80" s="211"/>
      <c r="IYD80" s="211"/>
      <c r="IYE80" s="211"/>
      <c r="IYF80" s="211"/>
      <c r="IYG80" s="211"/>
      <c r="IYH80" s="211"/>
      <c r="IYI80" s="211"/>
      <c r="IYJ80" s="211"/>
      <c r="IYK80" s="211"/>
      <c r="IYL80" s="211"/>
      <c r="IYM80" s="211"/>
      <c r="IYN80" s="211"/>
      <c r="IYO80" s="211"/>
      <c r="IYP80" s="211"/>
      <c r="IYQ80" s="211"/>
      <c r="IYR80" s="211"/>
      <c r="IYS80" s="211"/>
      <c r="IYT80" s="211"/>
      <c r="IYU80" s="211"/>
      <c r="IYV80" s="211"/>
      <c r="IYW80" s="211"/>
      <c r="IYX80" s="211"/>
      <c r="IYY80" s="211"/>
      <c r="IYZ80" s="211"/>
      <c r="IZA80" s="211"/>
      <c r="IZB80" s="211"/>
      <c r="IZC80" s="211"/>
      <c r="IZD80" s="211"/>
      <c r="IZE80" s="211"/>
      <c r="IZF80" s="211"/>
      <c r="IZG80" s="211"/>
      <c r="IZH80" s="211"/>
      <c r="IZI80" s="211"/>
      <c r="IZJ80" s="211"/>
      <c r="IZK80" s="211"/>
      <c r="IZL80" s="211"/>
      <c r="IZM80" s="211"/>
      <c r="IZN80" s="211"/>
      <c r="IZO80" s="211"/>
      <c r="IZP80" s="211"/>
      <c r="IZQ80" s="211"/>
      <c r="IZR80" s="211"/>
      <c r="IZS80" s="211"/>
      <c r="IZT80" s="211"/>
      <c r="IZU80" s="211"/>
      <c r="IZV80" s="211"/>
      <c r="IZW80" s="211"/>
      <c r="IZX80" s="211"/>
      <c r="IZY80" s="211"/>
      <c r="IZZ80" s="211"/>
      <c r="JAA80" s="211"/>
      <c r="JAB80" s="211"/>
      <c r="JAC80" s="211"/>
      <c r="JAD80" s="211"/>
      <c r="JAE80" s="211"/>
      <c r="JAF80" s="211"/>
      <c r="JAG80" s="211"/>
      <c r="JAH80" s="211"/>
      <c r="JAI80" s="211"/>
      <c r="JAJ80" s="211"/>
      <c r="JAK80" s="211"/>
      <c r="JAL80" s="211"/>
      <c r="JAM80" s="211"/>
      <c r="JAN80" s="211"/>
      <c r="JAO80" s="211"/>
      <c r="JAP80" s="211"/>
      <c r="JAQ80" s="211"/>
      <c r="JAR80" s="211"/>
      <c r="JAS80" s="211"/>
      <c r="JAT80" s="211"/>
      <c r="JAU80" s="211"/>
      <c r="JAV80" s="211"/>
      <c r="JAW80" s="211"/>
      <c r="JAX80" s="211"/>
      <c r="JAY80" s="211"/>
      <c r="JAZ80" s="211"/>
      <c r="JBA80" s="211"/>
      <c r="JBB80" s="211"/>
      <c r="JBC80" s="211"/>
      <c r="JBD80" s="211"/>
      <c r="JBE80" s="211"/>
      <c r="JBF80" s="211"/>
      <c r="JBG80" s="211"/>
      <c r="JBH80" s="211"/>
      <c r="JBI80" s="211"/>
      <c r="JBJ80" s="211"/>
      <c r="JBK80" s="211"/>
      <c r="JBL80" s="211"/>
      <c r="JBM80" s="211"/>
      <c r="JBN80" s="211"/>
      <c r="JBO80" s="211"/>
      <c r="JBP80" s="211"/>
      <c r="JBQ80" s="211"/>
      <c r="JBR80" s="211"/>
      <c r="JBS80" s="211"/>
      <c r="JBT80" s="211"/>
      <c r="JBU80" s="211"/>
      <c r="JBV80" s="211"/>
      <c r="JBW80" s="211"/>
      <c r="JBX80" s="211"/>
      <c r="JBY80" s="211"/>
      <c r="JBZ80" s="211"/>
      <c r="JCA80" s="211"/>
      <c r="JCB80" s="211"/>
      <c r="JCC80" s="211"/>
      <c r="JCD80" s="211"/>
      <c r="JCE80" s="211"/>
      <c r="JCF80" s="211"/>
      <c r="JCG80" s="211"/>
      <c r="JCH80" s="211"/>
      <c r="JCI80" s="211"/>
      <c r="JCJ80" s="211"/>
      <c r="JCK80" s="211"/>
      <c r="JCL80" s="211"/>
      <c r="JCM80" s="211"/>
      <c r="JCN80" s="211"/>
      <c r="JCO80" s="211"/>
      <c r="JCP80" s="211"/>
      <c r="JCQ80" s="211"/>
      <c r="JCR80" s="211"/>
      <c r="JCS80" s="211"/>
      <c r="JCT80" s="211"/>
      <c r="JCU80" s="211"/>
      <c r="JCV80" s="211"/>
      <c r="JCW80" s="211"/>
      <c r="JCX80" s="211"/>
      <c r="JCY80" s="211"/>
      <c r="JCZ80" s="211"/>
      <c r="JDA80" s="211"/>
      <c r="JDB80" s="211"/>
      <c r="JDC80" s="211"/>
      <c r="JDD80" s="211"/>
      <c r="JDE80" s="211"/>
      <c r="JDF80" s="211"/>
      <c r="JDG80" s="211"/>
      <c r="JDH80" s="211"/>
      <c r="JDI80" s="211"/>
      <c r="JDJ80" s="211"/>
      <c r="JDK80" s="211"/>
      <c r="JDL80" s="211"/>
      <c r="JDM80" s="211"/>
      <c r="JDN80" s="211"/>
      <c r="JDO80" s="211"/>
      <c r="JDP80" s="211"/>
      <c r="JDQ80" s="211"/>
      <c r="JDR80" s="211"/>
      <c r="JDS80" s="211"/>
      <c r="JDT80" s="211"/>
      <c r="JDU80" s="211"/>
      <c r="JDV80" s="211"/>
      <c r="JDW80" s="211"/>
      <c r="JDX80" s="211"/>
      <c r="JDY80" s="211"/>
      <c r="JDZ80" s="211"/>
      <c r="JEA80" s="211"/>
      <c r="JEB80" s="211"/>
      <c r="JEC80" s="211"/>
      <c r="JED80" s="211"/>
      <c r="JEE80" s="211"/>
      <c r="JEF80" s="211"/>
      <c r="JEG80" s="211"/>
      <c r="JEH80" s="211"/>
      <c r="JEI80" s="211"/>
      <c r="JEJ80" s="211"/>
      <c r="JEK80" s="211"/>
      <c r="JEL80" s="211"/>
      <c r="JEM80" s="211"/>
      <c r="JEN80" s="211"/>
      <c r="JEO80" s="211"/>
      <c r="JEP80" s="211"/>
      <c r="JEQ80" s="211"/>
      <c r="JER80" s="211"/>
      <c r="JES80" s="211"/>
      <c r="JET80" s="211"/>
      <c r="JEU80" s="211"/>
      <c r="JEV80" s="211"/>
      <c r="JEW80" s="211"/>
      <c r="JEX80" s="211"/>
      <c r="JEY80" s="211"/>
      <c r="JEZ80" s="211"/>
      <c r="JFA80" s="211"/>
      <c r="JFB80" s="211"/>
      <c r="JFC80" s="211"/>
      <c r="JFD80" s="211"/>
      <c r="JFE80" s="211"/>
      <c r="JFF80" s="211"/>
      <c r="JFG80" s="211"/>
      <c r="JFH80" s="211"/>
      <c r="JFI80" s="211"/>
      <c r="JFJ80" s="211"/>
      <c r="JFK80" s="211"/>
      <c r="JFL80" s="211"/>
      <c r="JFM80" s="211"/>
      <c r="JFN80" s="211"/>
      <c r="JFO80" s="211"/>
      <c r="JFP80" s="211"/>
      <c r="JFQ80" s="211"/>
      <c r="JFR80" s="211"/>
      <c r="JFS80" s="211"/>
      <c r="JFT80" s="211"/>
      <c r="JFU80" s="211"/>
      <c r="JFV80" s="211"/>
      <c r="JFW80" s="211"/>
      <c r="JFX80" s="211"/>
      <c r="JFY80" s="211"/>
      <c r="JFZ80" s="211"/>
      <c r="JGA80" s="211"/>
      <c r="JGB80" s="211"/>
      <c r="JGC80" s="211"/>
      <c r="JGD80" s="211"/>
      <c r="JGE80" s="211"/>
      <c r="JGF80" s="211"/>
      <c r="JGG80" s="211"/>
      <c r="JGH80" s="211"/>
      <c r="JGI80" s="211"/>
      <c r="JGJ80" s="211"/>
      <c r="JGK80" s="211"/>
      <c r="JGL80" s="211"/>
      <c r="JGM80" s="211"/>
      <c r="JGN80" s="211"/>
      <c r="JGO80" s="211"/>
      <c r="JGP80" s="211"/>
      <c r="JGQ80" s="211"/>
      <c r="JGR80" s="211"/>
      <c r="JGS80" s="211"/>
      <c r="JGT80" s="211"/>
      <c r="JGU80" s="211"/>
      <c r="JGV80" s="211"/>
      <c r="JGW80" s="211"/>
      <c r="JGX80" s="211"/>
      <c r="JGY80" s="211"/>
      <c r="JGZ80" s="211"/>
      <c r="JHA80" s="211"/>
      <c r="JHB80" s="211"/>
      <c r="JHC80" s="211"/>
      <c r="JHD80" s="211"/>
      <c r="JHE80" s="211"/>
      <c r="JHF80" s="211"/>
      <c r="JHG80" s="211"/>
      <c r="JHH80" s="211"/>
      <c r="JHI80" s="211"/>
      <c r="JHJ80" s="211"/>
      <c r="JHK80" s="211"/>
      <c r="JHL80" s="211"/>
      <c r="JHM80" s="211"/>
      <c r="JHN80" s="211"/>
      <c r="JHO80" s="211"/>
      <c r="JHP80" s="211"/>
      <c r="JHQ80" s="211"/>
      <c r="JHR80" s="211"/>
      <c r="JHS80" s="211"/>
      <c r="JHT80" s="211"/>
      <c r="JHU80" s="211"/>
      <c r="JHV80" s="211"/>
      <c r="JHW80" s="211"/>
      <c r="JHX80" s="211"/>
      <c r="JHY80" s="211"/>
      <c r="JHZ80" s="211"/>
      <c r="JIA80" s="211"/>
      <c r="JIB80" s="211"/>
      <c r="JIC80" s="211"/>
      <c r="JID80" s="211"/>
      <c r="JIE80" s="211"/>
      <c r="JIF80" s="211"/>
      <c r="JIG80" s="211"/>
      <c r="JIH80" s="211"/>
      <c r="JII80" s="211"/>
      <c r="JIJ80" s="211"/>
      <c r="JIK80" s="211"/>
      <c r="JIL80" s="211"/>
      <c r="JIM80" s="211"/>
      <c r="JIN80" s="211"/>
      <c r="JIO80" s="211"/>
      <c r="JIP80" s="211"/>
      <c r="JIQ80" s="211"/>
      <c r="JIR80" s="211"/>
      <c r="JIS80" s="211"/>
      <c r="JIT80" s="211"/>
      <c r="JIU80" s="211"/>
      <c r="JIV80" s="211"/>
      <c r="JIW80" s="211"/>
      <c r="JIX80" s="211"/>
      <c r="JIY80" s="211"/>
      <c r="JIZ80" s="211"/>
      <c r="JJA80" s="211"/>
      <c r="JJB80" s="211"/>
      <c r="JJC80" s="211"/>
      <c r="JJD80" s="211"/>
      <c r="JJE80" s="211"/>
      <c r="JJF80" s="211"/>
      <c r="JJG80" s="211"/>
      <c r="JJH80" s="211"/>
      <c r="JJI80" s="211"/>
      <c r="JJJ80" s="211"/>
      <c r="JJK80" s="211"/>
      <c r="JJL80" s="211"/>
      <c r="JJM80" s="211"/>
      <c r="JJN80" s="211"/>
      <c r="JJO80" s="211"/>
      <c r="JJP80" s="211"/>
      <c r="JJQ80" s="211"/>
      <c r="JJR80" s="211"/>
      <c r="JJS80" s="211"/>
      <c r="JJT80" s="211"/>
      <c r="JJU80" s="211"/>
      <c r="JJV80" s="211"/>
      <c r="JJW80" s="211"/>
      <c r="JJX80" s="211"/>
      <c r="JJY80" s="211"/>
      <c r="JJZ80" s="211"/>
      <c r="JKA80" s="211"/>
      <c r="JKB80" s="211"/>
      <c r="JKC80" s="211"/>
      <c r="JKD80" s="211"/>
      <c r="JKE80" s="211"/>
      <c r="JKF80" s="211"/>
      <c r="JKG80" s="211"/>
      <c r="JKH80" s="211"/>
      <c r="JKI80" s="211"/>
      <c r="JKJ80" s="211"/>
      <c r="JKK80" s="211"/>
      <c r="JKL80" s="211"/>
      <c r="JKM80" s="211"/>
      <c r="JKN80" s="211"/>
      <c r="JKO80" s="211"/>
      <c r="JKP80" s="211"/>
      <c r="JKQ80" s="211"/>
      <c r="JKR80" s="211"/>
      <c r="JKS80" s="211"/>
      <c r="JKT80" s="211"/>
      <c r="JKU80" s="211"/>
      <c r="JKV80" s="211"/>
      <c r="JKW80" s="211"/>
      <c r="JKX80" s="211"/>
      <c r="JKY80" s="211"/>
      <c r="JKZ80" s="211"/>
      <c r="JLA80" s="211"/>
      <c r="JLB80" s="211"/>
      <c r="JLC80" s="211"/>
      <c r="JLD80" s="211"/>
      <c r="JLE80" s="211"/>
      <c r="JLF80" s="211"/>
      <c r="JLG80" s="211"/>
      <c r="JLH80" s="211"/>
      <c r="JLI80" s="211"/>
      <c r="JLJ80" s="211"/>
      <c r="JLK80" s="211"/>
      <c r="JLL80" s="211"/>
      <c r="JLM80" s="211"/>
      <c r="JLN80" s="211"/>
      <c r="JLO80" s="211"/>
      <c r="JLP80" s="211"/>
      <c r="JLQ80" s="211"/>
      <c r="JLR80" s="211"/>
      <c r="JLS80" s="211"/>
      <c r="JLT80" s="211"/>
      <c r="JLU80" s="211"/>
      <c r="JLV80" s="211"/>
      <c r="JLW80" s="211"/>
      <c r="JLX80" s="211"/>
      <c r="JLY80" s="211"/>
      <c r="JLZ80" s="211"/>
      <c r="JMA80" s="211"/>
      <c r="JMB80" s="211"/>
      <c r="JMC80" s="211"/>
      <c r="JMD80" s="211"/>
      <c r="JME80" s="211"/>
      <c r="JMF80" s="211"/>
      <c r="JMG80" s="211"/>
      <c r="JMH80" s="211"/>
      <c r="JMI80" s="211"/>
      <c r="JMJ80" s="211"/>
      <c r="JMK80" s="211"/>
      <c r="JML80" s="211"/>
      <c r="JMM80" s="211"/>
      <c r="JMN80" s="211"/>
      <c r="JMO80" s="211"/>
      <c r="JMP80" s="211"/>
      <c r="JMQ80" s="211"/>
      <c r="JMR80" s="211"/>
      <c r="JMS80" s="211"/>
      <c r="JMT80" s="211"/>
      <c r="JMU80" s="211"/>
      <c r="JMV80" s="211"/>
      <c r="JMW80" s="211"/>
      <c r="JMX80" s="211"/>
      <c r="JMY80" s="211"/>
      <c r="JMZ80" s="211"/>
      <c r="JNA80" s="211"/>
      <c r="JNB80" s="211"/>
      <c r="JNC80" s="211"/>
      <c r="JND80" s="211"/>
      <c r="JNE80" s="211"/>
      <c r="JNF80" s="211"/>
      <c r="JNG80" s="211"/>
      <c r="JNH80" s="211"/>
      <c r="JNI80" s="211"/>
      <c r="JNJ80" s="211"/>
      <c r="JNK80" s="211"/>
      <c r="JNL80" s="211"/>
      <c r="JNM80" s="211"/>
      <c r="JNN80" s="211"/>
      <c r="JNO80" s="211"/>
      <c r="JNP80" s="211"/>
      <c r="JNQ80" s="211"/>
      <c r="JNR80" s="211"/>
      <c r="JNS80" s="211"/>
      <c r="JNT80" s="211"/>
      <c r="JNU80" s="211"/>
      <c r="JNV80" s="211"/>
      <c r="JNW80" s="211"/>
      <c r="JNX80" s="211"/>
      <c r="JNY80" s="211"/>
      <c r="JNZ80" s="211"/>
      <c r="JOA80" s="211"/>
      <c r="JOB80" s="211"/>
      <c r="JOC80" s="211"/>
      <c r="JOD80" s="211"/>
      <c r="JOE80" s="211"/>
      <c r="JOF80" s="211"/>
      <c r="JOG80" s="211"/>
      <c r="JOH80" s="211"/>
      <c r="JOI80" s="211"/>
      <c r="JOJ80" s="211"/>
      <c r="JOK80" s="211"/>
      <c r="JOL80" s="211"/>
      <c r="JOM80" s="211"/>
      <c r="JON80" s="211"/>
      <c r="JOO80" s="211"/>
      <c r="JOP80" s="211"/>
      <c r="JOQ80" s="211"/>
      <c r="JOR80" s="211"/>
      <c r="JOS80" s="211"/>
      <c r="JOT80" s="211"/>
      <c r="JOU80" s="211"/>
      <c r="JOV80" s="211"/>
      <c r="JOW80" s="211"/>
      <c r="JOX80" s="211"/>
      <c r="JOY80" s="211"/>
      <c r="JOZ80" s="211"/>
      <c r="JPA80" s="211"/>
      <c r="JPB80" s="211"/>
      <c r="JPC80" s="211"/>
      <c r="JPD80" s="211"/>
      <c r="JPE80" s="211"/>
      <c r="JPF80" s="211"/>
      <c r="JPG80" s="211"/>
      <c r="JPH80" s="211"/>
      <c r="JPI80" s="211"/>
      <c r="JPJ80" s="211"/>
      <c r="JPK80" s="211"/>
      <c r="JPL80" s="211"/>
      <c r="JPM80" s="211"/>
      <c r="JPN80" s="211"/>
      <c r="JPO80" s="211"/>
      <c r="JPP80" s="211"/>
      <c r="JPQ80" s="211"/>
      <c r="JPR80" s="211"/>
      <c r="JPS80" s="211"/>
      <c r="JPT80" s="211"/>
      <c r="JPU80" s="211"/>
      <c r="JPV80" s="211"/>
      <c r="JPW80" s="211"/>
      <c r="JPX80" s="211"/>
      <c r="JPY80" s="211"/>
      <c r="JPZ80" s="211"/>
      <c r="JQA80" s="211"/>
      <c r="JQB80" s="211"/>
      <c r="JQC80" s="211"/>
      <c r="JQD80" s="211"/>
      <c r="JQE80" s="211"/>
      <c r="JQF80" s="211"/>
      <c r="JQG80" s="211"/>
      <c r="JQH80" s="211"/>
      <c r="JQI80" s="211"/>
      <c r="JQJ80" s="211"/>
      <c r="JQK80" s="211"/>
      <c r="JQL80" s="211"/>
      <c r="JQM80" s="211"/>
      <c r="JQN80" s="211"/>
      <c r="JQO80" s="211"/>
      <c r="JQP80" s="211"/>
      <c r="JQQ80" s="211"/>
      <c r="JQR80" s="211"/>
      <c r="JQS80" s="211"/>
      <c r="JQT80" s="211"/>
      <c r="JQU80" s="211"/>
      <c r="JQV80" s="211"/>
      <c r="JQW80" s="211"/>
      <c r="JQX80" s="211"/>
      <c r="JQY80" s="211"/>
      <c r="JQZ80" s="211"/>
      <c r="JRA80" s="211"/>
      <c r="JRB80" s="211"/>
      <c r="JRC80" s="211"/>
      <c r="JRD80" s="211"/>
      <c r="JRE80" s="211"/>
      <c r="JRF80" s="211"/>
      <c r="JRG80" s="211"/>
      <c r="JRH80" s="211"/>
      <c r="JRI80" s="211"/>
      <c r="JRJ80" s="211"/>
      <c r="JRK80" s="211"/>
      <c r="JRL80" s="211"/>
      <c r="JRM80" s="211"/>
      <c r="JRN80" s="211"/>
      <c r="JRO80" s="211"/>
      <c r="JRP80" s="211"/>
      <c r="JRQ80" s="211"/>
      <c r="JRR80" s="211"/>
      <c r="JRS80" s="211"/>
      <c r="JRT80" s="211"/>
      <c r="JRU80" s="211"/>
      <c r="JRV80" s="211"/>
      <c r="JRW80" s="211"/>
      <c r="JRX80" s="211"/>
      <c r="JRY80" s="211"/>
      <c r="JRZ80" s="211"/>
      <c r="JSA80" s="211"/>
      <c r="JSB80" s="211"/>
      <c r="JSC80" s="211"/>
      <c r="JSD80" s="211"/>
      <c r="JSE80" s="211"/>
      <c r="JSF80" s="211"/>
      <c r="JSG80" s="211"/>
      <c r="JSH80" s="211"/>
      <c r="JSI80" s="211"/>
      <c r="JSJ80" s="211"/>
      <c r="JSK80" s="211"/>
      <c r="JSL80" s="211"/>
      <c r="JSM80" s="211"/>
      <c r="JSN80" s="211"/>
      <c r="JSO80" s="211"/>
      <c r="JSP80" s="211"/>
      <c r="JSQ80" s="211"/>
      <c r="JSR80" s="211"/>
      <c r="JSS80" s="211"/>
      <c r="JST80" s="211"/>
      <c r="JSU80" s="211"/>
      <c r="JSV80" s="211"/>
      <c r="JSW80" s="211"/>
      <c r="JSX80" s="211"/>
      <c r="JSY80" s="211"/>
      <c r="JSZ80" s="211"/>
      <c r="JTA80" s="211"/>
      <c r="JTB80" s="211"/>
      <c r="JTC80" s="211"/>
      <c r="JTD80" s="211"/>
      <c r="JTE80" s="211"/>
      <c r="JTF80" s="211"/>
      <c r="JTG80" s="211"/>
      <c r="JTH80" s="211"/>
      <c r="JTI80" s="211"/>
      <c r="JTJ80" s="211"/>
      <c r="JTK80" s="211"/>
      <c r="JTL80" s="211"/>
      <c r="JTM80" s="211"/>
      <c r="JTN80" s="211"/>
      <c r="JTO80" s="211"/>
      <c r="JTP80" s="211"/>
      <c r="JTQ80" s="211"/>
      <c r="JTR80" s="211"/>
      <c r="JTS80" s="211"/>
      <c r="JTT80" s="211"/>
      <c r="JTU80" s="211"/>
      <c r="JTV80" s="211"/>
      <c r="JTW80" s="211"/>
      <c r="JTX80" s="211"/>
      <c r="JTY80" s="211"/>
      <c r="JTZ80" s="211"/>
      <c r="JUA80" s="211"/>
      <c r="JUB80" s="211"/>
      <c r="JUC80" s="211"/>
      <c r="JUD80" s="211"/>
      <c r="JUE80" s="211"/>
      <c r="JUF80" s="211"/>
      <c r="JUG80" s="211"/>
      <c r="JUH80" s="211"/>
      <c r="JUI80" s="211"/>
      <c r="JUJ80" s="211"/>
      <c r="JUK80" s="211"/>
      <c r="JUL80" s="211"/>
      <c r="JUM80" s="211"/>
      <c r="JUN80" s="211"/>
      <c r="JUO80" s="211"/>
      <c r="JUP80" s="211"/>
      <c r="JUQ80" s="211"/>
      <c r="JUR80" s="211"/>
      <c r="JUS80" s="211"/>
      <c r="JUT80" s="211"/>
      <c r="JUU80" s="211"/>
      <c r="JUV80" s="211"/>
      <c r="JUW80" s="211"/>
      <c r="JUX80" s="211"/>
      <c r="JUY80" s="211"/>
      <c r="JUZ80" s="211"/>
      <c r="JVA80" s="211"/>
      <c r="JVB80" s="211"/>
      <c r="JVC80" s="211"/>
      <c r="JVD80" s="211"/>
      <c r="JVE80" s="211"/>
      <c r="JVF80" s="211"/>
      <c r="JVG80" s="211"/>
      <c r="JVH80" s="211"/>
      <c r="JVI80" s="211"/>
      <c r="JVJ80" s="211"/>
      <c r="JVK80" s="211"/>
      <c r="JVL80" s="211"/>
      <c r="JVM80" s="211"/>
      <c r="JVN80" s="211"/>
      <c r="JVO80" s="211"/>
      <c r="JVP80" s="211"/>
      <c r="JVQ80" s="211"/>
      <c r="JVR80" s="211"/>
      <c r="JVS80" s="211"/>
      <c r="JVT80" s="211"/>
      <c r="JVU80" s="211"/>
      <c r="JVV80" s="211"/>
      <c r="JVW80" s="211"/>
      <c r="JVX80" s="211"/>
      <c r="JVY80" s="211"/>
      <c r="JVZ80" s="211"/>
      <c r="JWA80" s="211"/>
      <c r="JWB80" s="211"/>
      <c r="JWC80" s="211"/>
      <c r="JWD80" s="211"/>
      <c r="JWE80" s="211"/>
      <c r="JWF80" s="211"/>
      <c r="JWG80" s="211"/>
      <c r="JWH80" s="211"/>
      <c r="JWI80" s="211"/>
      <c r="JWJ80" s="211"/>
      <c r="JWK80" s="211"/>
      <c r="JWL80" s="211"/>
      <c r="JWM80" s="211"/>
      <c r="JWN80" s="211"/>
      <c r="JWO80" s="211"/>
      <c r="JWP80" s="211"/>
      <c r="JWQ80" s="211"/>
      <c r="JWR80" s="211"/>
      <c r="JWS80" s="211"/>
      <c r="JWT80" s="211"/>
      <c r="JWU80" s="211"/>
      <c r="JWV80" s="211"/>
      <c r="JWW80" s="211"/>
      <c r="JWX80" s="211"/>
      <c r="JWY80" s="211"/>
      <c r="JWZ80" s="211"/>
      <c r="JXA80" s="211"/>
      <c r="JXB80" s="211"/>
      <c r="JXC80" s="211"/>
      <c r="JXD80" s="211"/>
      <c r="JXE80" s="211"/>
      <c r="JXF80" s="211"/>
      <c r="JXG80" s="211"/>
      <c r="JXH80" s="211"/>
      <c r="JXI80" s="211"/>
      <c r="JXJ80" s="211"/>
      <c r="JXK80" s="211"/>
      <c r="JXL80" s="211"/>
      <c r="JXM80" s="211"/>
      <c r="JXN80" s="211"/>
      <c r="JXO80" s="211"/>
      <c r="JXP80" s="211"/>
      <c r="JXQ80" s="211"/>
      <c r="JXR80" s="211"/>
      <c r="JXS80" s="211"/>
      <c r="JXT80" s="211"/>
      <c r="JXU80" s="211"/>
      <c r="JXV80" s="211"/>
      <c r="JXW80" s="211"/>
      <c r="JXX80" s="211"/>
      <c r="JXY80" s="211"/>
      <c r="JXZ80" s="211"/>
      <c r="JYA80" s="211"/>
      <c r="JYB80" s="211"/>
      <c r="JYC80" s="211"/>
      <c r="JYD80" s="211"/>
      <c r="JYE80" s="211"/>
      <c r="JYF80" s="211"/>
      <c r="JYG80" s="211"/>
      <c r="JYH80" s="211"/>
      <c r="JYI80" s="211"/>
      <c r="JYJ80" s="211"/>
      <c r="JYK80" s="211"/>
      <c r="JYL80" s="211"/>
      <c r="JYM80" s="211"/>
      <c r="JYN80" s="211"/>
      <c r="JYO80" s="211"/>
      <c r="JYP80" s="211"/>
      <c r="JYQ80" s="211"/>
      <c r="JYR80" s="211"/>
      <c r="JYS80" s="211"/>
      <c r="JYT80" s="211"/>
      <c r="JYU80" s="211"/>
      <c r="JYV80" s="211"/>
      <c r="JYW80" s="211"/>
      <c r="JYX80" s="211"/>
      <c r="JYY80" s="211"/>
      <c r="JYZ80" s="211"/>
      <c r="JZA80" s="211"/>
      <c r="JZB80" s="211"/>
      <c r="JZC80" s="211"/>
      <c r="JZD80" s="211"/>
      <c r="JZE80" s="211"/>
      <c r="JZF80" s="211"/>
      <c r="JZG80" s="211"/>
      <c r="JZH80" s="211"/>
      <c r="JZI80" s="211"/>
      <c r="JZJ80" s="211"/>
      <c r="JZK80" s="211"/>
      <c r="JZL80" s="211"/>
      <c r="JZM80" s="211"/>
      <c r="JZN80" s="211"/>
      <c r="JZO80" s="211"/>
      <c r="JZP80" s="211"/>
      <c r="JZQ80" s="211"/>
      <c r="JZR80" s="211"/>
      <c r="JZS80" s="211"/>
      <c r="JZT80" s="211"/>
      <c r="JZU80" s="211"/>
      <c r="JZV80" s="211"/>
      <c r="JZW80" s="211"/>
      <c r="JZX80" s="211"/>
      <c r="JZY80" s="211"/>
      <c r="JZZ80" s="211"/>
      <c r="KAA80" s="211"/>
      <c r="KAB80" s="211"/>
      <c r="KAC80" s="211"/>
      <c r="KAD80" s="211"/>
      <c r="KAE80" s="211"/>
      <c r="KAF80" s="211"/>
      <c r="KAG80" s="211"/>
      <c r="KAH80" s="211"/>
      <c r="KAI80" s="211"/>
      <c r="KAJ80" s="211"/>
      <c r="KAK80" s="211"/>
      <c r="KAL80" s="211"/>
      <c r="KAM80" s="211"/>
      <c r="KAN80" s="211"/>
      <c r="KAO80" s="211"/>
      <c r="KAP80" s="211"/>
      <c r="KAQ80" s="211"/>
      <c r="KAR80" s="211"/>
      <c r="KAS80" s="211"/>
      <c r="KAT80" s="211"/>
      <c r="KAU80" s="211"/>
      <c r="KAV80" s="211"/>
      <c r="KAW80" s="211"/>
      <c r="KAX80" s="211"/>
      <c r="KAY80" s="211"/>
      <c r="KAZ80" s="211"/>
      <c r="KBA80" s="211"/>
      <c r="KBB80" s="211"/>
      <c r="KBC80" s="211"/>
      <c r="KBD80" s="211"/>
      <c r="KBE80" s="211"/>
      <c r="KBF80" s="211"/>
      <c r="KBG80" s="211"/>
      <c r="KBH80" s="211"/>
      <c r="KBI80" s="211"/>
      <c r="KBJ80" s="211"/>
      <c r="KBK80" s="211"/>
      <c r="KBL80" s="211"/>
      <c r="KBM80" s="211"/>
      <c r="KBN80" s="211"/>
      <c r="KBO80" s="211"/>
      <c r="KBP80" s="211"/>
      <c r="KBQ80" s="211"/>
      <c r="KBR80" s="211"/>
      <c r="KBS80" s="211"/>
      <c r="KBT80" s="211"/>
      <c r="KBU80" s="211"/>
      <c r="KBV80" s="211"/>
      <c r="KBW80" s="211"/>
      <c r="KBX80" s="211"/>
      <c r="KBY80" s="211"/>
      <c r="KBZ80" s="211"/>
      <c r="KCA80" s="211"/>
      <c r="KCB80" s="211"/>
      <c r="KCC80" s="211"/>
      <c r="KCD80" s="211"/>
      <c r="KCE80" s="211"/>
      <c r="KCF80" s="211"/>
      <c r="KCG80" s="211"/>
      <c r="KCH80" s="211"/>
      <c r="KCI80" s="211"/>
      <c r="KCJ80" s="211"/>
      <c r="KCK80" s="211"/>
      <c r="KCL80" s="211"/>
      <c r="KCM80" s="211"/>
      <c r="KCN80" s="211"/>
      <c r="KCO80" s="211"/>
      <c r="KCP80" s="211"/>
      <c r="KCQ80" s="211"/>
      <c r="KCR80" s="211"/>
      <c r="KCS80" s="211"/>
      <c r="KCT80" s="211"/>
      <c r="KCU80" s="211"/>
      <c r="KCV80" s="211"/>
      <c r="KCW80" s="211"/>
      <c r="KCX80" s="211"/>
      <c r="KCY80" s="211"/>
      <c r="KCZ80" s="211"/>
      <c r="KDA80" s="211"/>
      <c r="KDB80" s="211"/>
      <c r="KDC80" s="211"/>
      <c r="KDD80" s="211"/>
      <c r="KDE80" s="211"/>
      <c r="KDF80" s="211"/>
      <c r="KDG80" s="211"/>
      <c r="KDH80" s="211"/>
      <c r="KDI80" s="211"/>
      <c r="KDJ80" s="211"/>
      <c r="KDK80" s="211"/>
      <c r="KDL80" s="211"/>
      <c r="KDM80" s="211"/>
      <c r="KDN80" s="211"/>
      <c r="KDO80" s="211"/>
      <c r="KDP80" s="211"/>
      <c r="KDQ80" s="211"/>
      <c r="KDR80" s="211"/>
      <c r="KDS80" s="211"/>
      <c r="KDT80" s="211"/>
      <c r="KDU80" s="211"/>
      <c r="KDV80" s="211"/>
      <c r="KDW80" s="211"/>
      <c r="KDX80" s="211"/>
      <c r="KDY80" s="211"/>
      <c r="KDZ80" s="211"/>
      <c r="KEA80" s="211"/>
      <c r="KEB80" s="211"/>
      <c r="KEC80" s="211"/>
      <c r="KED80" s="211"/>
      <c r="KEE80" s="211"/>
      <c r="KEF80" s="211"/>
      <c r="KEG80" s="211"/>
      <c r="KEH80" s="211"/>
      <c r="KEI80" s="211"/>
      <c r="KEJ80" s="211"/>
      <c r="KEK80" s="211"/>
      <c r="KEL80" s="211"/>
      <c r="KEM80" s="211"/>
      <c r="KEN80" s="211"/>
      <c r="KEO80" s="211"/>
      <c r="KEP80" s="211"/>
      <c r="KEQ80" s="211"/>
      <c r="KER80" s="211"/>
      <c r="KES80" s="211"/>
      <c r="KET80" s="211"/>
      <c r="KEU80" s="211"/>
      <c r="KEV80" s="211"/>
      <c r="KEW80" s="211"/>
      <c r="KEX80" s="211"/>
      <c r="KEY80" s="211"/>
      <c r="KEZ80" s="211"/>
      <c r="KFA80" s="211"/>
      <c r="KFB80" s="211"/>
      <c r="KFC80" s="211"/>
      <c r="KFD80" s="211"/>
      <c r="KFE80" s="211"/>
      <c r="KFF80" s="211"/>
      <c r="KFG80" s="211"/>
      <c r="KFH80" s="211"/>
      <c r="KFI80" s="211"/>
      <c r="KFJ80" s="211"/>
      <c r="KFK80" s="211"/>
      <c r="KFL80" s="211"/>
      <c r="KFM80" s="211"/>
      <c r="KFN80" s="211"/>
      <c r="KFO80" s="211"/>
      <c r="KFP80" s="211"/>
      <c r="KFQ80" s="211"/>
      <c r="KFR80" s="211"/>
      <c r="KFS80" s="211"/>
      <c r="KFT80" s="211"/>
      <c r="KFU80" s="211"/>
      <c r="KFV80" s="211"/>
      <c r="KFW80" s="211"/>
      <c r="KFX80" s="211"/>
      <c r="KFY80" s="211"/>
      <c r="KFZ80" s="211"/>
      <c r="KGA80" s="211"/>
      <c r="KGB80" s="211"/>
      <c r="KGC80" s="211"/>
      <c r="KGD80" s="211"/>
      <c r="KGE80" s="211"/>
      <c r="KGF80" s="211"/>
      <c r="KGG80" s="211"/>
      <c r="KGH80" s="211"/>
      <c r="KGI80" s="211"/>
      <c r="KGJ80" s="211"/>
      <c r="KGK80" s="211"/>
      <c r="KGL80" s="211"/>
      <c r="KGM80" s="211"/>
      <c r="KGN80" s="211"/>
      <c r="KGO80" s="211"/>
      <c r="KGP80" s="211"/>
      <c r="KGQ80" s="211"/>
      <c r="KGR80" s="211"/>
      <c r="KGS80" s="211"/>
      <c r="KGT80" s="211"/>
      <c r="KGU80" s="211"/>
      <c r="KGV80" s="211"/>
      <c r="KGW80" s="211"/>
      <c r="KGX80" s="211"/>
      <c r="KGY80" s="211"/>
      <c r="KGZ80" s="211"/>
      <c r="KHA80" s="211"/>
      <c r="KHB80" s="211"/>
      <c r="KHC80" s="211"/>
      <c r="KHD80" s="211"/>
      <c r="KHE80" s="211"/>
      <c r="KHF80" s="211"/>
      <c r="KHG80" s="211"/>
      <c r="KHH80" s="211"/>
      <c r="KHI80" s="211"/>
      <c r="KHJ80" s="211"/>
      <c r="KHK80" s="211"/>
      <c r="KHL80" s="211"/>
      <c r="KHM80" s="211"/>
      <c r="KHN80" s="211"/>
      <c r="KHO80" s="211"/>
      <c r="KHP80" s="211"/>
      <c r="KHQ80" s="211"/>
      <c r="KHR80" s="211"/>
      <c r="KHS80" s="211"/>
      <c r="KHT80" s="211"/>
      <c r="KHU80" s="211"/>
      <c r="KHV80" s="211"/>
      <c r="KHW80" s="211"/>
      <c r="KHX80" s="211"/>
      <c r="KHY80" s="211"/>
      <c r="KHZ80" s="211"/>
      <c r="KIA80" s="211"/>
      <c r="KIB80" s="211"/>
      <c r="KIC80" s="211"/>
      <c r="KID80" s="211"/>
      <c r="KIE80" s="211"/>
      <c r="KIF80" s="211"/>
      <c r="KIG80" s="211"/>
      <c r="KIH80" s="211"/>
      <c r="KII80" s="211"/>
      <c r="KIJ80" s="211"/>
      <c r="KIK80" s="211"/>
      <c r="KIL80" s="211"/>
      <c r="KIM80" s="211"/>
      <c r="KIN80" s="211"/>
      <c r="KIO80" s="211"/>
      <c r="KIP80" s="211"/>
      <c r="KIQ80" s="211"/>
      <c r="KIR80" s="211"/>
      <c r="KIS80" s="211"/>
      <c r="KIT80" s="211"/>
      <c r="KIU80" s="211"/>
      <c r="KIV80" s="211"/>
      <c r="KIW80" s="211"/>
      <c r="KIX80" s="211"/>
      <c r="KIY80" s="211"/>
      <c r="KIZ80" s="211"/>
      <c r="KJA80" s="211"/>
      <c r="KJB80" s="211"/>
      <c r="KJC80" s="211"/>
      <c r="KJD80" s="211"/>
      <c r="KJE80" s="211"/>
      <c r="KJF80" s="211"/>
      <c r="KJG80" s="211"/>
      <c r="KJH80" s="211"/>
      <c r="KJI80" s="211"/>
      <c r="KJJ80" s="211"/>
      <c r="KJK80" s="211"/>
      <c r="KJL80" s="211"/>
      <c r="KJM80" s="211"/>
      <c r="KJN80" s="211"/>
      <c r="KJO80" s="211"/>
      <c r="KJP80" s="211"/>
      <c r="KJQ80" s="211"/>
      <c r="KJR80" s="211"/>
      <c r="KJS80" s="211"/>
      <c r="KJT80" s="211"/>
      <c r="KJU80" s="211"/>
      <c r="KJV80" s="211"/>
      <c r="KJW80" s="211"/>
      <c r="KJX80" s="211"/>
      <c r="KJY80" s="211"/>
      <c r="KJZ80" s="211"/>
      <c r="KKA80" s="211"/>
      <c r="KKB80" s="211"/>
      <c r="KKC80" s="211"/>
      <c r="KKD80" s="211"/>
      <c r="KKE80" s="211"/>
      <c r="KKF80" s="211"/>
      <c r="KKG80" s="211"/>
      <c r="KKH80" s="211"/>
      <c r="KKI80" s="211"/>
      <c r="KKJ80" s="211"/>
      <c r="KKK80" s="211"/>
      <c r="KKL80" s="211"/>
      <c r="KKM80" s="211"/>
      <c r="KKN80" s="211"/>
      <c r="KKO80" s="211"/>
      <c r="KKP80" s="211"/>
      <c r="KKQ80" s="211"/>
      <c r="KKR80" s="211"/>
      <c r="KKS80" s="211"/>
      <c r="KKT80" s="211"/>
      <c r="KKU80" s="211"/>
      <c r="KKV80" s="211"/>
      <c r="KKW80" s="211"/>
      <c r="KKX80" s="211"/>
      <c r="KKY80" s="211"/>
      <c r="KKZ80" s="211"/>
      <c r="KLA80" s="211"/>
      <c r="KLB80" s="211"/>
      <c r="KLC80" s="211"/>
      <c r="KLD80" s="211"/>
      <c r="KLE80" s="211"/>
      <c r="KLF80" s="211"/>
      <c r="KLG80" s="211"/>
      <c r="KLH80" s="211"/>
      <c r="KLI80" s="211"/>
      <c r="KLJ80" s="211"/>
      <c r="KLK80" s="211"/>
      <c r="KLL80" s="211"/>
      <c r="KLM80" s="211"/>
      <c r="KLN80" s="211"/>
      <c r="KLO80" s="211"/>
      <c r="KLP80" s="211"/>
      <c r="KLQ80" s="211"/>
      <c r="KLR80" s="211"/>
      <c r="KLS80" s="211"/>
      <c r="KLT80" s="211"/>
      <c r="KLU80" s="211"/>
      <c r="KLV80" s="211"/>
      <c r="KLW80" s="211"/>
      <c r="KLX80" s="211"/>
      <c r="KLY80" s="211"/>
      <c r="KLZ80" s="211"/>
      <c r="KMA80" s="211"/>
      <c r="KMB80" s="211"/>
      <c r="KMC80" s="211"/>
      <c r="KMD80" s="211"/>
      <c r="KME80" s="211"/>
      <c r="KMF80" s="211"/>
      <c r="KMG80" s="211"/>
      <c r="KMH80" s="211"/>
      <c r="KMI80" s="211"/>
      <c r="KMJ80" s="211"/>
      <c r="KMK80" s="211"/>
      <c r="KML80" s="211"/>
      <c r="KMM80" s="211"/>
      <c r="KMN80" s="211"/>
      <c r="KMO80" s="211"/>
      <c r="KMP80" s="211"/>
      <c r="KMQ80" s="211"/>
      <c r="KMR80" s="211"/>
      <c r="KMS80" s="211"/>
      <c r="KMT80" s="211"/>
      <c r="KMU80" s="211"/>
      <c r="KMV80" s="211"/>
      <c r="KMW80" s="211"/>
      <c r="KMX80" s="211"/>
      <c r="KMY80" s="211"/>
      <c r="KMZ80" s="211"/>
      <c r="KNA80" s="211"/>
      <c r="KNB80" s="211"/>
      <c r="KNC80" s="211"/>
      <c r="KND80" s="211"/>
      <c r="KNE80" s="211"/>
      <c r="KNF80" s="211"/>
      <c r="KNG80" s="211"/>
      <c r="KNH80" s="211"/>
      <c r="KNI80" s="211"/>
      <c r="KNJ80" s="211"/>
      <c r="KNK80" s="211"/>
      <c r="KNL80" s="211"/>
      <c r="KNM80" s="211"/>
      <c r="KNN80" s="211"/>
      <c r="KNO80" s="211"/>
      <c r="KNP80" s="211"/>
      <c r="KNQ80" s="211"/>
      <c r="KNR80" s="211"/>
      <c r="KNS80" s="211"/>
      <c r="KNT80" s="211"/>
      <c r="KNU80" s="211"/>
      <c r="KNV80" s="211"/>
      <c r="KNW80" s="211"/>
      <c r="KNX80" s="211"/>
      <c r="KNY80" s="211"/>
      <c r="KNZ80" s="211"/>
      <c r="KOA80" s="211"/>
      <c r="KOB80" s="211"/>
      <c r="KOC80" s="211"/>
      <c r="KOD80" s="211"/>
      <c r="KOE80" s="211"/>
      <c r="KOF80" s="211"/>
      <c r="KOG80" s="211"/>
      <c r="KOH80" s="211"/>
      <c r="KOI80" s="211"/>
      <c r="KOJ80" s="211"/>
      <c r="KOK80" s="211"/>
      <c r="KOL80" s="211"/>
      <c r="KOM80" s="211"/>
      <c r="KON80" s="211"/>
      <c r="KOO80" s="211"/>
      <c r="KOP80" s="211"/>
      <c r="KOQ80" s="211"/>
      <c r="KOR80" s="211"/>
      <c r="KOS80" s="211"/>
      <c r="KOT80" s="211"/>
      <c r="KOU80" s="211"/>
      <c r="KOV80" s="211"/>
      <c r="KOW80" s="211"/>
      <c r="KOX80" s="211"/>
      <c r="KOY80" s="211"/>
      <c r="KOZ80" s="211"/>
      <c r="KPA80" s="211"/>
      <c r="KPB80" s="211"/>
      <c r="KPC80" s="211"/>
      <c r="KPD80" s="211"/>
      <c r="KPE80" s="211"/>
      <c r="KPF80" s="211"/>
      <c r="KPG80" s="211"/>
      <c r="KPH80" s="211"/>
      <c r="KPI80" s="211"/>
      <c r="KPJ80" s="211"/>
      <c r="KPK80" s="211"/>
      <c r="KPL80" s="211"/>
      <c r="KPM80" s="211"/>
      <c r="KPN80" s="211"/>
      <c r="KPO80" s="211"/>
      <c r="KPP80" s="211"/>
      <c r="KPQ80" s="211"/>
      <c r="KPR80" s="211"/>
      <c r="KPS80" s="211"/>
      <c r="KPT80" s="211"/>
      <c r="KPU80" s="211"/>
      <c r="KPV80" s="211"/>
      <c r="KPW80" s="211"/>
      <c r="KPX80" s="211"/>
      <c r="KPY80" s="211"/>
      <c r="KPZ80" s="211"/>
      <c r="KQA80" s="211"/>
      <c r="KQB80" s="211"/>
      <c r="KQC80" s="211"/>
      <c r="KQD80" s="211"/>
      <c r="KQE80" s="211"/>
      <c r="KQF80" s="211"/>
      <c r="KQG80" s="211"/>
      <c r="KQH80" s="211"/>
      <c r="KQI80" s="211"/>
      <c r="KQJ80" s="211"/>
      <c r="KQK80" s="211"/>
      <c r="KQL80" s="211"/>
      <c r="KQM80" s="211"/>
      <c r="KQN80" s="211"/>
      <c r="KQO80" s="211"/>
      <c r="KQP80" s="211"/>
      <c r="KQQ80" s="211"/>
      <c r="KQR80" s="211"/>
      <c r="KQS80" s="211"/>
      <c r="KQT80" s="211"/>
      <c r="KQU80" s="211"/>
      <c r="KQV80" s="211"/>
      <c r="KQW80" s="211"/>
      <c r="KQX80" s="211"/>
      <c r="KQY80" s="211"/>
      <c r="KQZ80" s="211"/>
      <c r="KRA80" s="211"/>
      <c r="KRB80" s="211"/>
      <c r="KRC80" s="211"/>
      <c r="KRD80" s="211"/>
      <c r="KRE80" s="211"/>
      <c r="KRF80" s="211"/>
      <c r="KRG80" s="211"/>
      <c r="KRH80" s="211"/>
      <c r="KRI80" s="211"/>
      <c r="KRJ80" s="211"/>
      <c r="KRK80" s="211"/>
      <c r="KRL80" s="211"/>
      <c r="KRM80" s="211"/>
      <c r="KRN80" s="211"/>
      <c r="KRO80" s="211"/>
      <c r="KRP80" s="211"/>
      <c r="KRQ80" s="211"/>
      <c r="KRR80" s="211"/>
      <c r="KRS80" s="211"/>
      <c r="KRT80" s="211"/>
      <c r="KRU80" s="211"/>
      <c r="KRV80" s="211"/>
      <c r="KRW80" s="211"/>
      <c r="KRX80" s="211"/>
      <c r="KRY80" s="211"/>
      <c r="KRZ80" s="211"/>
      <c r="KSA80" s="211"/>
      <c r="KSB80" s="211"/>
      <c r="KSC80" s="211"/>
      <c r="KSD80" s="211"/>
      <c r="KSE80" s="211"/>
      <c r="KSF80" s="211"/>
      <c r="KSG80" s="211"/>
      <c r="KSH80" s="211"/>
      <c r="KSI80" s="211"/>
      <c r="KSJ80" s="211"/>
      <c r="KSK80" s="211"/>
      <c r="KSL80" s="211"/>
      <c r="KSM80" s="211"/>
      <c r="KSN80" s="211"/>
      <c r="KSO80" s="211"/>
      <c r="KSP80" s="211"/>
      <c r="KSQ80" s="211"/>
      <c r="KSR80" s="211"/>
      <c r="KSS80" s="211"/>
      <c r="KST80" s="211"/>
      <c r="KSU80" s="211"/>
      <c r="KSV80" s="211"/>
      <c r="KSW80" s="211"/>
      <c r="KSX80" s="211"/>
      <c r="KSY80" s="211"/>
      <c r="KSZ80" s="211"/>
      <c r="KTA80" s="211"/>
      <c r="KTB80" s="211"/>
      <c r="KTC80" s="211"/>
      <c r="KTD80" s="211"/>
      <c r="KTE80" s="211"/>
      <c r="KTF80" s="211"/>
      <c r="KTG80" s="211"/>
      <c r="KTH80" s="211"/>
      <c r="KTI80" s="211"/>
      <c r="KTJ80" s="211"/>
      <c r="KTK80" s="211"/>
      <c r="KTL80" s="211"/>
      <c r="KTM80" s="211"/>
      <c r="KTN80" s="211"/>
      <c r="KTO80" s="211"/>
      <c r="KTP80" s="211"/>
      <c r="KTQ80" s="211"/>
      <c r="KTR80" s="211"/>
      <c r="KTS80" s="211"/>
      <c r="KTT80" s="211"/>
      <c r="KTU80" s="211"/>
      <c r="KTV80" s="211"/>
      <c r="KTW80" s="211"/>
      <c r="KTX80" s="211"/>
      <c r="KTY80" s="211"/>
      <c r="KTZ80" s="211"/>
      <c r="KUA80" s="211"/>
      <c r="KUB80" s="211"/>
      <c r="KUC80" s="211"/>
      <c r="KUD80" s="211"/>
      <c r="KUE80" s="211"/>
      <c r="KUF80" s="211"/>
      <c r="KUG80" s="211"/>
      <c r="KUH80" s="211"/>
      <c r="KUI80" s="211"/>
      <c r="KUJ80" s="211"/>
      <c r="KUK80" s="211"/>
      <c r="KUL80" s="211"/>
      <c r="KUM80" s="211"/>
      <c r="KUN80" s="211"/>
      <c r="KUO80" s="211"/>
      <c r="KUP80" s="211"/>
      <c r="KUQ80" s="211"/>
      <c r="KUR80" s="211"/>
      <c r="KUS80" s="211"/>
      <c r="KUT80" s="211"/>
      <c r="KUU80" s="211"/>
      <c r="KUV80" s="211"/>
      <c r="KUW80" s="211"/>
      <c r="KUX80" s="211"/>
      <c r="KUY80" s="211"/>
      <c r="KUZ80" s="211"/>
      <c r="KVA80" s="211"/>
      <c r="KVB80" s="211"/>
      <c r="KVC80" s="211"/>
      <c r="KVD80" s="211"/>
      <c r="KVE80" s="211"/>
      <c r="KVF80" s="211"/>
      <c r="KVG80" s="211"/>
      <c r="KVH80" s="211"/>
      <c r="KVI80" s="211"/>
      <c r="KVJ80" s="211"/>
      <c r="KVK80" s="211"/>
      <c r="KVL80" s="211"/>
      <c r="KVM80" s="211"/>
      <c r="KVN80" s="211"/>
      <c r="KVO80" s="211"/>
      <c r="KVP80" s="211"/>
      <c r="KVQ80" s="211"/>
      <c r="KVR80" s="211"/>
      <c r="KVS80" s="211"/>
      <c r="KVT80" s="211"/>
      <c r="KVU80" s="211"/>
      <c r="KVV80" s="211"/>
      <c r="KVW80" s="211"/>
      <c r="KVX80" s="211"/>
      <c r="KVY80" s="211"/>
      <c r="KVZ80" s="211"/>
      <c r="KWA80" s="211"/>
      <c r="KWB80" s="211"/>
      <c r="KWC80" s="211"/>
      <c r="KWD80" s="211"/>
      <c r="KWE80" s="211"/>
      <c r="KWF80" s="211"/>
      <c r="KWG80" s="211"/>
      <c r="KWH80" s="211"/>
      <c r="KWI80" s="211"/>
      <c r="KWJ80" s="211"/>
      <c r="KWK80" s="211"/>
      <c r="KWL80" s="211"/>
      <c r="KWM80" s="211"/>
      <c r="KWN80" s="211"/>
      <c r="KWO80" s="211"/>
      <c r="KWP80" s="211"/>
      <c r="KWQ80" s="211"/>
      <c r="KWR80" s="211"/>
      <c r="KWS80" s="211"/>
      <c r="KWT80" s="211"/>
      <c r="KWU80" s="211"/>
      <c r="KWV80" s="211"/>
      <c r="KWW80" s="211"/>
      <c r="KWX80" s="211"/>
      <c r="KWY80" s="211"/>
      <c r="KWZ80" s="211"/>
      <c r="KXA80" s="211"/>
      <c r="KXB80" s="211"/>
      <c r="KXC80" s="211"/>
      <c r="KXD80" s="211"/>
      <c r="KXE80" s="211"/>
      <c r="KXF80" s="211"/>
      <c r="KXG80" s="211"/>
      <c r="KXH80" s="211"/>
      <c r="KXI80" s="211"/>
      <c r="KXJ80" s="211"/>
      <c r="KXK80" s="211"/>
      <c r="KXL80" s="211"/>
      <c r="KXM80" s="211"/>
      <c r="KXN80" s="211"/>
      <c r="KXO80" s="211"/>
      <c r="KXP80" s="211"/>
      <c r="KXQ80" s="211"/>
      <c r="KXR80" s="211"/>
      <c r="KXS80" s="211"/>
      <c r="KXT80" s="211"/>
      <c r="KXU80" s="211"/>
      <c r="KXV80" s="211"/>
      <c r="KXW80" s="211"/>
      <c r="KXX80" s="211"/>
      <c r="KXY80" s="211"/>
      <c r="KXZ80" s="211"/>
      <c r="KYA80" s="211"/>
      <c r="KYB80" s="211"/>
      <c r="KYC80" s="211"/>
      <c r="KYD80" s="211"/>
      <c r="KYE80" s="211"/>
      <c r="KYF80" s="211"/>
      <c r="KYG80" s="211"/>
      <c r="KYH80" s="211"/>
      <c r="KYI80" s="211"/>
      <c r="KYJ80" s="211"/>
      <c r="KYK80" s="211"/>
      <c r="KYL80" s="211"/>
      <c r="KYM80" s="211"/>
      <c r="KYN80" s="211"/>
      <c r="KYO80" s="211"/>
      <c r="KYP80" s="211"/>
      <c r="KYQ80" s="211"/>
      <c r="KYR80" s="211"/>
      <c r="KYS80" s="211"/>
      <c r="KYT80" s="211"/>
      <c r="KYU80" s="211"/>
      <c r="KYV80" s="211"/>
      <c r="KYW80" s="211"/>
      <c r="KYX80" s="211"/>
      <c r="KYY80" s="211"/>
      <c r="KYZ80" s="211"/>
      <c r="KZA80" s="211"/>
      <c r="KZB80" s="211"/>
      <c r="KZC80" s="211"/>
      <c r="KZD80" s="211"/>
      <c r="KZE80" s="211"/>
      <c r="KZF80" s="211"/>
      <c r="KZG80" s="211"/>
      <c r="KZH80" s="211"/>
      <c r="KZI80" s="211"/>
      <c r="KZJ80" s="211"/>
      <c r="KZK80" s="211"/>
      <c r="KZL80" s="211"/>
      <c r="KZM80" s="211"/>
      <c r="KZN80" s="211"/>
      <c r="KZO80" s="211"/>
      <c r="KZP80" s="211"/>
      <c r="KZQ80" s="211"/>
      <c r="KZR80" s="211"/>
      <c r="KZS80" s="211"/>
      <c r="KZT80" s="211"/>
      <c r="KZU80" s="211"/>
      <c r="KZV80" s="211"/>
      <c r="KZW80" s="211"/>
      <c r="KZX80" s="211"/>
      <c r="KZY80" s="211"/>
      <c r="KZZ80" s="211"/>
      <c r="LAA80" s="211"/>
      <c r="LAB80" s="211"/>
      <c r="LAC80" s="211"/>
      <c r="LAD80" s="211"/>
      <c r="LAE80" s="211"/>
      <c r="LAF80" s="211"/>
      <c r="LAG80" s="211"/>
      <c r="LAH80" s="211"/>
      <c r="LAI80" s="211"/>
      <c r="LAJ80" s="211"/>
      <c r="LAK80" s="211"/>
      <c r="LAL80" s="211"/>
      <c r="LAM80" s="211"/>
      <c r="LAN80" s="211"/>
      <c r="LAO80" s="211"/>
      <c r="LAP80" s="211"/>
      <c r="LAQ80" s="211"/>
      <c r="LAR80" s="211"/>
      <c r="LAS80" s="211"/>
      <c r="LAT80" s="211"/>
      <c r="LAU80" s="211"/>
      <c r="LAV80" s="211"/>
      <c r="LAW80" s="211"/>
      <c r="LAX80" s="211"/>
      <c r="LAY80" s="211"/>
      <c r="LAZ80" s="211"/>
      <c r="LBA80" s="211"/>
      <c r="LBB80" s="211"/>
      <c r="LBC80" s="211"/>
      <c r="LBD80" s="211"/>
      <c r="LBE80" s="211"/>
      <c r="LBF80" s="211"/>
      <c r="LBG80" s="211"/>
      <c r="LBH80" s="211"/>
      <c r="LBI80" s="211"/>
      <c r="LBJ80" s="211"/>
      <c r="LBK80" s="211"/>
      <c r="LBL80" s="211"/>
      <c r="LBM80" s="211"/>
      <c r="LBN80" s="211"/>
      <c r="LBO80" s="211"/>
      <c r="LBP80" s="211"/>
      <c r="LBQ80" s="211"/>
      <c r="LBR80" s="211"/>
      <c r="LBS80" s="211"/>
      <c r="LBT80" s="211"/>
      <c r="LBU80" s="211"/>
      <c r="LBV80" s="211"/>
      <c r="LBW80" s="211"/>
      <c r="LBX80" s="211"/>
      <c r="LBY80" s="211"/>
      <c r="LBZ80" s="211"/>
      <c r="LCA80" s="211"/>
      <c r="LCB80" s="211"/>
      <c r="LCC80" s="211"/>
      <c r="LCD80" s="211"/>
      <c r="LCE80" s="211"/>
      <c r="LCF80" s="211"/>
      <c r="LCG80" s="211"/>
      <c r="LCH80" s="211"/>
      <c r="LCI80" s="211"/>
      <c r="LCJ80" s="211"/>
      <c r="LCK80" s="211"/>
      <c r="LCL80" s="211"/>
      <c r="LCM80" s="211"/>
      <c r="LCN80" s="211"/>
      <c r="LCO80" s="211"/>
      <c r="LCP80" s="211"/>
      <c r="LCQ80" s="211"/>
      <c r="LCR80" s="211"/>
      <c r="LCS80" s="211"/>
      <c r="LCT80" s="211"/>
      <c r="LCU80" s="211"/>
      <c r="LCV80" s="211"/>
      <c r="LCW80" s="211"/>
      <c r="LCX80" s="211"/>
      <c r="LCY80" s="211"/>
      <c r="LCZ80" s="211"/>
      <c r="LDA80" s="211"/>
      <c r="LDB80" s="211"/>
      <c r="LDC80" s="211"/>
      <c r="LDD80" s="211"/>
      <c r="LDE80" s="211"/>
      <c r="LDF80" s="211"/>
      <c r="LDG80" s="211"/>
      <c r="LDH80" s="211"/>
      <c r="LDI80" s="211"/>
      <c r="LDJ80" s="211"/>
      <c r="LDK80" s="211"/>
      <c r="LDL80" s="211"/>
      <c r="LDM80" s="211"/>
      <c r="LDN80" s="211"/>
      <c r="LDO80" s="211"/>
      <c r="LDP80" s="211"/>
      <c r="LDQ80" s="211"/>
      <c r="LDR80" s="211"/>
      <c r="LDS80" s="211"/>
      <c r="LDT80" s="211"/>
      <c r="LDU80" s="211"/>
      <c r="LDV80" s="211"/>
      <c r="LDW80" s="211"/>
      <c r="LDX80" s="211"/>
      <c r="LDY80" s="211"/>
      <c r="LDZ80" s="211"/>
      <c r="LEA80" s="211"/>
      <c r="LEB80" s="211"/>
      <c r="LEC80" s="211"/>
      <c r="LED80" s="211"/>
      <c r="LEE80" s="211"/>
      <c r="LEF80" s="211"/>
      <c r="LEG80" s="211"/>
      <c r="LEH80" s="211"/>
      <c r="LEI80" s="211"/>
      <c r="LEJ80" s="211"/>
      <c r="LEK80" s="211"/>
      <c r="LEL80" s="211"/>
      <c r="LEM80" s="211"/>
      <c r="LEN80" s="211"/>
      <c r="LEO80" s="211"/>
      <c r="LEP80" s="211"/>
      <c r="LEQ80" s="211"/>
      <c r="LER80" s="211"/>
      <c r="LES80" s="211"/>
      <c r="LET80" s="211"/>
      <c r="LEU80" s="211"/>
      <c r="LEV80" s="211"/>
      <c r="LEW80" s="211"/>
      <c r="LEX80" s="211"/>
      <c r="LEY80" s="211"/>
      <c r="LEZ80" s="211"/>
      <c r="LFA80" s="211"/>
      <c r="LFB80" s="211"/>
      <c r="LFC80" s="211"/>
      <c r="LFD80" s="211"/>
      <c r="LFE80" s="211"/>
      <c r="LFF80" s="211"/>
      <c r="LFG80" s="211"/>
      <c r="LFH80" s="211"/>
      <c r="LFI80" s="211"/>
      <c r="LFJ80" s="211"/>
      <c r="LFK80" s="211"/>
      <c r="LFL80" s="211"/>
      <c r="LFM80" s="211"/>
      <c r="LFN80" s="211"/>
      <c r="LFO80" s="211"/>
      <c r="LFP80" s="211"/>
      <c r="LFQ80" s="211"/>
      <c r="LFR80" s="211"/>
      <c r="LFS80" s="211"/>
      <c r="LFT80" s="211"/>
      <c r="LFU80" s="211"/>
      <c r="LFV80" s="211"/>
      <c r="LFW80" s="211"/>
      <c r="LFX80" s="211"/>
      <c r="LFY80" s="211"/>
      <c r="LFZ80" s="211"/>
      <c r="LGA80" s="211"/>
      <c r="LGB80" s="211"/>
      <c r="LGC80" s="211"/>
      <c r="LGD80" s="211"/>
      <c r="LGE80" s="211"/>
      <c r="LGF80" s="211"/>
      <c r="LGG80" s="211"/>
      <c r="LGH80" s="211"/>
      <c r="LGI80" s="211"/>
      <c r="LGJ80" s="211"/>
      <c r="LGK80" s="211"/>
      <c r="LGL80" s="211"/>
      <c r="LGM80" s="211"/>
      <c r="LGN80" s="211"/>
      <c r="LGO80" s="211"/>
      <c r="LGP80" s="211"/>
      <c r="LGQ80" s="211"/>
      <c r="LGR80" s="211"/>
      <c r="LGS80" s="211"/>
      <c r="LGT80" s="211"/>
      <c r="LGU80" s="211"/>
      <c r="LGV80" s="211"/>
      <c r="LGW80" s="211"/>
      <c r="LGX80" s="211"/>
      <c r="LGY80" s="211"/>
      <c r="LGZ80" s="211"/>
      <c r="LHA80" s="211"/>
      <c r="LHB80" s="211"/>
      <c r="LHC80" s="211"/>
      <c r="LHD80" s="211"/>
      <c r="LHE80" s="211"/>
      <c r="LHF80" s="211"/>
      <c r="LHG80" s="211"/>
      <c r="LHH80" s="211"/>
      <c r="LHI80" s="211"/>
      <c r="LHJ80" s="211"/>
      <c r="LHK80" s="211"/>
      <c r="LHL80" s="211"/>
      <c r="LHM80" s="211"/>
      <c r="LHN80" s="211"/>
      <c r="LHO80" s="211"/>
      <c r="LHP80" s="211"/>
      <c r="LHQ80" s="211"/>
      <c r="LHR80" s="211"/>
      <c r="LHS80" s="211"/>
      <c r="LHT80" s="211"/>
      <c r="LHU80" s="211"/>
      <c r="LHV80" s="211"/>
      <c r="LHW80" s="211"/>
      <c r="LHX80" s="211"/>
      <c r="LHY80" s="211"/>
      <c r="LHZ80" s="211"/>
      <c r="LIA80" s="211"/>
      <c r="LIB80" s="211"/>
      <c r="LIC80" s="211"/>
      <c r="LID80" s="211"/>
      <c r="LIE80" s="211"/>
      <c r="LIF80" s="211"/>
      <c r="LIG80" s="211"/>
      <c r="LIH80" s="211"/>
      <c r="LII80" s="211"/>
      <c r="LIJ80" s="211"/>
      <c r="LIK80" s="211"/>
      <c r="LIL80" s="211"/>
      <c r="LIM80" s="211"/>
      <c r="LIN80" s="211"/>
      <c r="LIO80" s="211"/>
      <c r="LIP80" s="211"/>
      <c r="LIQ80" s="211"/>
      <c r="LIR80" s="211"/>
      <c r="LIS80" s="211"/>
      <c r="LIT80" s="211"/>
      <c r="LIU80" s="211"/>
      <c r="LIV80" s="211"/>
      <c r="LIW80" s="211"/>
      <c r="LIX80" s="211"/>
      <c r="LIY80" s="211"/>
      <c r="LIZ80" s="211"/>
      <c r="LJA80" s="211"/>
      <c r="LJB80" s="211"/>
      <c r="LJC80" s="211"/>
      <c r="LJD80" s="211"/>
      <c r="LJE80" s="211"/>
      <c r="LJF80" s="211"/>
      <c r="LJG80" s="211"/>
      <c r="LJH80" s="211"/>
      <c r="LJI80" s="211"/>
      <c r="LJJ80" s="211"/>
      <c r="LJK80" s="211"/>
      <c r="LJL80" s="211"/>
      <c r="LJM80" s="211"/>
      <c r="LJN80" s="211"/>
      <c r="LJO80" s="211"/>
      <c r="LJP80" s="211"/>
      <c r="LJQ80" s="211"/>
      <c r="LJR80" s="211"/>
      <c r="LJS80" s="211"/>
      <c r="LJT80" s="211"/>
      <c r="LJU80" s="211"/>
      <c r="LJV80" s="211"/>
      <c r="LJW80" s="211"/>
      <c r="LJX80" s="211"/>
      <c r="LJY80" s="211"/>
      <c r="LJZ80" s="211"/>
      <c r="LKA80" s="211"/>
      <c r="LKB80" s="211"/>
      <c r="LKC80" s="211"/>
      <c r="LKD80" s="211"/>
      <c r="LKE80" s="211"/>
      <c r="LKF80" s="211"/>
      <c r="LKG80" s="211"/>
      <c r="LKH80" s="211"/>
      <c r="LKI80" s="211"/>
      <c r="LKJ80" s="211"/>
      <c r="LKK80" s="211"/>
      <c r="LKL80" s="211"/>
      <c r="LKM80" s="211"/>
      <c r="LKN80" s="211"/>
      <c r="LKO80" s="211"/>
      <c r="LKP80" s="211"/>
      <c r="LKQ80" s="211"/>
      <c r="LKR80" s="211"/>
      <c r="LKS80" s="211"/>
      <c r="LKT80" s="211"/>
      <c r="LKU80" s="211"/>
      <c r="LKV80" s="211"/>
      <c r="LKW80" s="211"/>
      <c r="LKX80" s="211"/>
      <c r="LKY80" s="211"/>
      <c r="LKZ80" s="211"/>
      <c r="LLA80" s="211"/>
      <c r="LLB80" s="211"/>
      <c r="LLC80" s="211"/>
      <c r="LLD80" s="211"/>
      <c r="LLE80" s="211"/>
      <c r="LLF80" s="211"/>
      <c r="LLG80" s="211"/>
      <c r="LLH80" s="211"/>
      <c r="LLI80" s="211"/>
      <c r="LLJ80" s="211"/>
      <c r="LLK80" s="211"/>
      <c r="LLL80" s="211"/>
      <c r="LLM80" s="211"/>
      <c r="LLN80" s="211"/>
      <c r="LLO80" s="211"/>
      <c r="LLP80" s="211"/>
      <c r="LLQ80" s="211"/>
      <c r="LLR80" s="211"/>
      <c r="LLS80" s="211"/>
      <c r="LLT80" s="211"/>
      <c r="LLU80" s="211"/>
      <c r="LLV80" s="211"/>
      <c r="LLW80" s="211"/>
      <c r="LLX80" s="211"/>
      <c r="LLY80" s="211"/>
      <c r="LLZ80" s="211"/>
      <c r="LMA80" s="211"/>
      <c r="LMB80" s="211"/>
      <c r="LMC80" s="211"/>
      <c r="LMD80" s="211"/>
      <c r="LME80" s="211"/>
      <c r="LMF80" s="211"/>
      <c r="LMG80" s="211"/>
      <c r="LMH80" s="211"/>
      <c r="LMI80" s="211"/>
      <c r="LMJ80" s="211"/>
      <c r="LMK80" s="211"/>
      <c r="LML80" s="211"/>
      <c r="LMM80" s="211"/>
      <c r="LMN80" s="211"/>
      <c r="LMO80" s="211"/>
      <c r="LMP80" s="211"/>
      <c r="LMQ80" s="211"/>
      <c r="LMR80" s="211"/>
      <c r="LMS80" s="211"/>
      <c r="LMT80" s="211"/>
      <c r="LMU80" s="211"/>
      <c r="LMV80" s="211"/>
      <c r="LMW80" s="211"/>
      <c r="LMX80" s="211"/>
      <c r="LMY80" s="211"/>
      <c r="LMZ80" s="211"/>
      <c r="LNA80" s="211"/>
      <c r="LNB80" s="211"/>
      <c r="LNC80" s="211"/>
      <c r="LND80" s="211"/>
      <c r="LNE80" s="211"/>
      <c r="LNF80" s="211"/>
      <c r="LNG80" s="211"/>
      <c r="LNH80" s="211"/>
      <c r="LNI80" s="211"/>
      <c r="LNJ80" s="211"/>
      <c r="LNK80" s="211"/>
      <c r="LNL80" s="211"/>
      <c r="LNM80" s="211"/>
      <c r="LNN80" s="211"/>
      <c r="LNO80" s="211"/>
      <c r="LNP80" s="211"/>
      <c r="LNQ80" s="211"/>
      <c r="LNR80" s="211"/>
      <c r="LNS80" s="211"/>
      <c r="LNT80" s="211"/>
      <c r="LNU80" s="211"/>
      <c r="LNV80" s="211"/>
      <c r="LNW80" s="211"/>
      <c r="LNX80" s="211"/>
      <c r="LNY80" s="211"/>
      <c r="LNZ80" s="211"/>
      <c r="LOA80" s="211"/>
      <c r="LOB80" s="211"/>
      <c r="LOC80" s="211"/>
      <c r="LOD80" s="211"/>
      <c r="LOE80" s="211"/>
      <c r="LOF80" s="211"/>
      <c r="LOG80" s="211"/>
      <c r="LOH80" s="211"/>
      <c r="LOI80" s="211"/>
      <c r="LOJ80" s="211"/>
      <c r="LOK80" s="211"/>
      <c r="LOL80" s="211"/>
      <c r="LOM80" s="211"/>
      <c r="LON80" s="211"/>
      <c r="LOO80" s="211"/>
      <c r="LOP80" s="211"/>
      <c r="LOQ80" s="211"/>
      <c r="LOR80" s="211"/>
      <c r="LOS80" s="211"/>
      <c r="LOT80" s="211"/>
      <c r="LOU80" s="211"/>
      <c r="LOV80" s="211"/>
      <c r="LOW80" s="211"/>
      <c r="LOX80" s="211"/>
      <c r="LOY80" s="211"/>
      <c r="LOZ80" s="211"/>
      <c r="LPA80" s="211"/>
      <c r="LPB80" s="211"/>
      <c r="LPC80" s="211"/>
      <c r="LPD80" s="211"/>
      <c r="LPE80" s="211"/>
      <c r="LPF80" s="211"/>
      <c r="LPG80" s="211"/>
      <c r="LPH80" s="211"/>
      <c r="LPI80" s="211"/>
      <c r="LPJ80" s="211"/>
      <c r="LPK80" s="211"/>
      <c r="LPL80" s="211"/>
      <c r="LPM80" s="211"/>
      <c r="LPN80" s="211"/>
      <c r="LPO80" s="211"/>
      <c r="LPP80" s="211"/>
      <c r="LPQ80" s="211"/>
      <c r="LPR80" s="211"/>
      <c r="LPS80" s="211"/>
      <c r="LPT80" s="211"/>
      <c r="LPU80" s="211"/>
      <c r="LPV80" s="211"/>
      <c r="LPW80" s="211"/>
      <c r="LPX80" s="211"/>
      <c r="LPY80" s="211"/>
      <c r="LPZ80" s="211"/>
      <c r="LQA80" s="211"/>
      <c r="LQB80" s="211"/>
      <c r="LQC80" s="211"/>
      <c r="LQD80" s="211"/>
      <c r="LQE80" s="211"/>
      <c r="LQF80" s="211"/>
      <c r="LQG80" s="211"/>
      <c r="LQH80" s="211"/>
      <c r="LQI80" s="211"/>
      <c r="LQJ80" s="211"/>
      <c r="LQK80" s="211"/>
      <c r="LQL80" s="211"/>
      <c r="LQM80" s="211"/>
      <c r="LQN80" s="211"/>
      <c r="LQO80" s="211"/>
      <c r="LQP80" s="211"/>
      <c r="LQQ80" s="211"/>
      <c r="LQR80" s="211"/>
      <c r="LQS80" s="211"/>
      <c r="LQT80" s="211"/>
      <c r="LQU80" s="211"/>
      <c r="LQV80" s="211"/>
      <c r="LQW80" s="211"/>
      <c r="LQX80" s="211"/>
      <c r="LQY80" s="211"/>
      <c r="LQZ80" s="211"/>
      <c r="LRA80" s="211"/>
      <c r="LRB80" s="211"/>
      <c r="LRC80" s="211"/>
      <c r="LRD80" s="211"/>
      <c r="LRE80" s="211"/>
      <c r="LRF80" s="211"/>
      <c r="LRG80" s="211"/>
      <c r="LRH80" s="211"/>
      <c r="LRI80" s="211"/>
      <c r="LRJ80" s="211"/>
      <c r="LRK80" s="211"/>
      <c r="LRL80" s="211"/>
      <c r="LRM80" s="211"/>
      <c r="LRN80" s="211"/>
      <c r="LRO80" s="211"/>
      <c r="LRP80" s="211"/>
      <c r="LRQ80" s="211"/>
      <c r="LRR80" s="211"/>
      <c r="LRS80" s="211"/>
      <c r="LRT80" s="211"/>
      <c r="LRU80" s="211"/>
      <c r="LRV80" s="211"/>
      <c r="LRW80" s="211"/>
      <c r="LRX80" s="211"/>
      <c r="LRY80" s="211"/>
      <c r="LRZ80" s="211"/>
      <c r="LSA80" s="211"/>
      <c r="LSB80" s="211"/>
      <c r="LSC80" s="211"/>
      <c r="LSD80" s="211"/>
      <c r="LSE80" s="211"/>
      <c r="LSF80" s="211"/>
      <c r="LSG80" s="211"/>
      <c r="LSH80" s="211"/>
      <c r="LSI80" s="211"/>
      <c r="LSJ80" s="211"/>
      <c r="LSK80" s="211"/>
      <c r="LSL80" s="211"/>
      <c r="LSM80" s="211"/>
      <c r="LSN80" s="211"/>
      <c r="LSO80" s="211"/>
      <c r="LSP80" s="211"/>
      <c r="LSQ80" s="211"/>
      <c r="LSR80" s="211"/>
      <c r="LSS80" s="211"/>
      <c r="LST80" s="211"/>
      <c r="LSU80" s="211"/>
      <c r="LSV80" s="211"/>
      <c r="LSW80" s="211"/>
      <c r="LSX80" s="211"/>
      <c r="LSY80" s="211"/>
      <c r="LSZ80" s="211"/>
      <c r="LTA80" s="211"/>
      <c r="LTB80" s="211"/>
      <c r="LTC80" s="211"/>
      <c r="LTD80" s="211"/>
      <c r="LTE80" s="211"/>
      <c r="LTF80" s="211"/>
      <c r="LTG80" s="211"/>
      <c r="LTH80" s="211"/>
      <c r="LTI80" s="211"/>
      <c r="LTJ80" s="211"/>
      <c r="LTK80" s="211"/>
      <c r="LTL80" s="211"/>
      <c r="LTM80" s="211"/>
      <c r="LTN80" s="211"/>
      <c r="LTO80" s="211"/>
      <c r="LTP80" s="211"/>
      <c r="LTQ80" s="211"/>
      <c r="LTR80" s="211"/>
      <c r="LTS80" s="211"/>
      <c r="LTT80" s="211"/>
      <c r="LTU80" s="211"/>
      <c r="LTV80" s="211"/>
      <c r="LTW80" s="211"/>
      <c r="LTX80" s="211"/>
      <c r="LTY80" s="211"/>
      <c r="LTZ80" s="211"/>
      <c r="LUA80" s="211"/>
      <c r="LUB80" s="211"/>
      <c r="LUC80" s="211"/>
      <c r="LUD80" s="211"/>
      <c r="LUE80" s="211"/>
      <c r="LUF80" s="211"/>
      <c r="LUG80" s="211"/>
      <c r="LUH80" s="211"/>
      <c r="LUI80" s="211"/>
      <c r="LUJ80" s="211"/>
      <c r="LUK80" s="211"/>
      <c r="LUL80" s="211"/>
      <c r="LUM80" s="211"/>
      <c r="LUN80" s="211"/>
      <c r="LUO80" s="211"/>
      <c r="LUP80" s="211"/>
      <c r="LUQ80" s="211"/>
      <c r="LUR80" s="211"/>
      <c r="LUS80" s="211"/>
      <c r="LUT80" s="211"/>
      <c r="LUU80" s="211"/>
      <c r="LUV80" s="211"/>
      <c r="LUW80" s="211"/>
      <c r="LUX80" s="211"/>
      <c r="LUY80" s="211"/>
      <c r="LUZ80" s="211"/>
      <c r="LVA80" s="211"/>
      <c r="LVB80" s="211"/>
      <c r="LVC80" s="211"/>
      <c r="LVD80" s="211"/>
      <c r="LVE80" s="211"/>
      <c r="LVF80" s="211"/>
      <c r="LVG80" s="211"/>
      <c r="LVH80" s="211"/>
      <c r="LVI80" s="211"/>
      <c r="LVJ80" s="211"/>
      <c r="LVK80" s="211"/>
      <c r="LVL80" s="211"/>
      <c r="LVM80" s="211"/>
      <c r="LVN80" s="211"/>
      <c r="LVO80" s="211"/>
      <c r="LVP80" s="211"/>
      <c r="LVQ80" s="211"/>
      <c r="LVR80" s="211"/>
      <c r="LVS80" s="211"/>
      <c r="LVT80" s="211"/>
      <c r="LVU80" s="211"/>
      <c r="LVV80" s="211"/>
      <c r="LVW80" s="211"/>
      <c r="LVX80" s="211"/>
      <c r="LVY80" s="211"/>
      <c r="LVZ80" s="211"/>
      <c r="LWA80" s="211"/>
      <c r="LWB80" s="211"/>
      <c r="LWC80" s="211"/>
      <c r="LWD80" s="211"/>
      <c r="LWE80" s="211"/>
      <c r="LWF80" s="211"/>
      <c r="LWG80" s="211"/>
      <c r="LWH80" s="211"/>
      <c r="LWI80" s="211"/>
      <c r="LWJ80" s="211"/>
      <c r="LWK80" s="211"/>
      <c r="LWL80" s="211"/>
      <c r="LWM80" s="211"/>
      <c r="LWN80" s="211"/>
      <c r="LWO80" s="211"/>
      <c r="LWP80" s="211"/>
      <c r="LWQ80" s="211"/>
      <c r="LWR80" s="211"/>
      <c r="LWS80" s="211"/>
      <c r="LWT80" s="211"/>
      <c r="LWU80" s="211"/>
      <c r="LWV80" s="211"/>
      <c r="LWW80" s="211"/>
      <c r="LWX80" s="211"/>
      <c r="LWY80" s="211"/>
      <c r="LWZ80" s="211"/>
      <c r="LXA80" s="211"/>
      <c r="LXB80" s="211"/>
      <c r="LXC80" s="211"/>
      <c r="LXD80" s="211"/>
      <c r="LXE80" s="211"/>
      <c r="LXF80" s="211"/>
      <c r="LXG80" s="211"/>
      <c r="LXH80" s="211"/>
      <c r="LXI80" s="211"/>
      <c r="LXJ80" s="211"/>
      <c r="LXK80" s="211"/>
      <c r="LXL80" s="211"/>
      <c r="LXM80" s="211"/>
      <c r="LXN80" s="211"/>
      <c r="LXO80" s="211"/>
      <c r="LXP80" s="211"/>
      <c r="LXQ80" s="211"/>
      <c r="LXR80" s="211"/>
      <c r="LXS80" s="211"/>
      <c r="LXT80" s="211"/>
      <c r="LXU80" s="211"/>
      <c r="LXV80" s="211"/>
      <c r="LXW80" s="211"/>
      <c r="LXX80" s="211"/>
      <c r="LXY80" s="211"/>
      <c r="LXZ80" s="211"/>
      <c r="LYA80" s="211"/>
      <c r="LYB80" s="211"/>
      <c r="LYC80" s="211"/>
      <c r="LYD80" s="211"/>
      <c r="LYE80" s="211"/>
      <c r="LYF80" s="211"/>
      <c r="LYG80" s="211"/>
      <c r="LYH80" s="211"/>
      <c r="LYI80" s="211"/>
      <c r="LYJ80" s="211"/>
      <c r="LYK80" s="211"/>
      <c r="LYL80" s="211"/>
      <c r="LYM80" s="211"/>
      <c r="LYN80" s="211"/>
      <c r="LYO80" s="211"/>
      <c r="LYP80" s="211"/>
      <c r="LYQ80" s="211"/>
      <c r="LYR80" s="211"/>
      <c r="LYS80" s="211"/>
      <c r="LYT80" s="211"/>
      <c r="LYU80" s="211"/>
      <c r="LYV80" s="211"/>
      <c r="LYW80" s="211"/>
      <c r="LYX80" s="211"/>
      <c r="LYY80" s="211"/>
      <c r="LYZ80" s="211"/>
      <c r="LZA80" s="211"/>
      <c r="LZB80" s="211"/>
      <c r="LZC80" s="211"/>
      <c r="LZD80" s="211"/>
      <c r="LZE80" s="211"/>
      <c r="LZF80" s="211"/>
      <c r="LZG80" s="211"/>
      <c r="LZH80" s="211"/>
      <c r="LZI80" s="211"/>
      <c r="LZJ80" s="211"/>
      <c r="LZK80" s="211"/>
      <c r="LZL80" s="211"/>
      <c r="LZM80" s="211"/>
      <c r="LZN80" s="211"/>
      <c r="LZO80" s="211"/>
      <c r="LZP80" s="211"/>
      <c r="LZQ80" s="211"/>
      <c r="LZR80" s="211"/>
      <c r="LZS80" s="211"/>
      <c r="LZT80" s="211"/>
      <c r="LZU80" s="211"/>
      <c r="LZV80" s="211"/>
      <c r="LZW80" s="211"/>
      <c r="LZX80" s="211"/>
      <c r="LZY80" s="211"/>
      <c r="LZZ80" s="211"/>
      <c r="MAA80" s="211"/>
      <c r="MAB80" s="211"/>
      <c r="MAC80" s="211"/>
      <c r="MAD80" s="211"/>
      <c r="MAE80" s="211"/>
      <c r="MAF80" s="211"/>
      <c r="MAG80" s="211"/>
      <c r="MAH80" s="211"/>
      <c r="MAI80" s="211"/>
      <c r="MAJ80" s="211"/>
      <c r="MAK80" s="211"/>
      <c r="MAL80" s="211"/>
      <c r="MAM80" s="211"/>
      <c r="MAN80" s="211"/>
      <c r="MAO80" s="211"/>
      <c r="MAP80" s="211"/>
      <c r="MAQ80" s="211"/>
      <c r="MAR80" s="211"/>
      <c r="MAS80" s="211"/>
      <c r="MAT80" s="211"/>
      <c r="MAU80" s="211"/>
      <c r="MAV80" s="211"/>
      <c r="MAW80" s="211"/>
      <c r="MAX80" s="211"/>
      <c r="MAY80" s="211"/>
      <c r="MAZ80" s="211"/>
      <c r="MBA80" s="211"/>
      <c r="MBB80" s="211"/>
      <c r="MBC80" s="211"/>
      <c r="MBD80" s="211"/>
      <c r="MBE80" s="211"/>
      <c r="MBF80" s="211"/>
      <c r="MBG80" s="211"/>
      <c r="MBH80" s="211"/>
      <c r="MBI80" s="211"/>
      <c r="MBJ80" s="211"/>
      <c r="MBK80" s="211"/>
      <c r="MBL80" s="211"/>
      <c r="MBM80" s="211"/>
      <c r="MBN80" s="211"/>
      <c r="MBO80" s="211"/>
      <c r="MBP80" s="211"/>
      <c r="MBQ80" s="211"/>
      <c r="MBR80" s="211"/>
      <c r="MBS80" s="211"/>
      <c r="MBT80" s="211"/>
      <c r="MBU80" s="211"/>
      <c r="MBV80" s="211"/>
      <c r="MBW80" s="211"/>
      <c r="MBX80" s="211"/>
      <c r="MBY80" s="211"/>
      <c r="MBZ80" s="211"/>
      <c r="MCA80" s="211"/>
      <c r="MCB80" s="211"/>
      <c r="MCC80" s="211"/>
      <c r="MCD80" s="211"/>
      <c r="MCE80" s="211"/>
      <c r="MCF80" s="211"/>
      <c r="MCG80" s="211"/>
      <c r="MCH80" s="211"/>
      <c r="MCI80" s="211"/>
      <c r="MCJ80" s="211"/>
      <c r="MCK80" s="211"/>
      <c r="MCL80" s="211"/>
      <c r="MCM80" s="211"/>
      <c r="MCN80" s="211"/>
      <c r="MCO80" s="211"/>
      <c r="MCP80" s="211"/>
      <c r="MCQ80" s="211"/>
      <c r="MCR80" s="211"/>
      <c r="MCS80" s="211"/>
      <c r="MCT80" s="211"/>
      <c r="MCU80" s="211"/>
      <c r="MCV80" s="211"/>
      <c r="MCW80" s="211"/>
      <c r="MCX80" s="211"/>
      <c r="MCY80" s="211"/>
      <c r="MCZ80" s="211"/>
      <c r="MDA80" s="211"/>
      <c r="MDB80" s="211"/>
      <c r="MDC80" s="211"/>
      <c r="MDD80" s="211"/>
      <c r="MDE80" s="211"/>
      <c r="MDF80" s="211"/>
      <c r="MDG80" s="211"/>
      <c r="MDH80" s="211"/>
      <c r="MDI80" s="211"/>
      <c r="MDJ80" s="211"/>
      <c r="MDK80" s="211"/>
      <c r="MDL80" s="211"/>
      <c r="MDM80" s="211"/>
      <c r="MDN80" s="211"/>
      <c r="MDO80" s="211"/>
      <c r="MDP80" s="211"/>
      <c r="MDQ80" s="211"/>
      <c r="MDR80" s="211"/>
      <c r="MDS80" s="211"/>
      <c r="MDT80" s="211"/>
      <c r="MDU80" s="211"/>
      <c r="MDV80" s="211"/>
      <c r="MDW80" s="211"/>
      <c r="MDX80" s="211"/>
      <c r="MDY80" s="211"/>
      <c r="MDZ80" s="211"/>
      <c r="MEA80" s="211"/>
      <c r="MEB80" s="211"/>
      <c r="MEC80" s="211"/>
      <c r="MED80" s="211"/>
      <c r="MEE80" s="211"/>
      <c r="MEF80" s="211"/>
      <c r="MEG80" s="211"/>
      <c r="MEH80" s="211"/>
      <c r="MEI80" s="211"/>
      <c r="MEJ80" s="211"/>
      <c r="MEK80" s="211"/>
      <c r="MEL80" s="211"/>
      <c r="MEM80" s="211"/>
      <c r="MEN80" s="211"/>
      <c r="MEO80" s="211"/>
      <c r="MEP80" s="211"/>
      <c r="MEQ80" s="211"/>
      <c r="MER80" s="211"/>
      <c r="MES80" s="211"/>
      <c r="MET80" s="211"/>
      <c r="MEU80" s="211"/>
      <c r="MEV80" s="211"/>
      <c r="MEW80" s="211"/>
      <c r="MEX80" s="211"/>
      <c r="MEY80" s="211"/>
      <c r="MEZ80" s="211"/>
      <c r="MFA80" s="211"/>
      <c r="MFB80" s="211"/>
      <c r="MFC80" s="211"/>
      <c r="MFD80" s="211"/>
      <c r="MFE80" s="211"/>
      <c r="MFF80" s="211"/>
      <c r="MFG80" s="211"/>
      <c r="MFH80" s="211"/>
      <c r="MFI80" s="211"/>
      <c r="MFJ80" s="211"/>
      <c r="MFK80" s="211"/>
      <c r="MFL80" s="211"/>
      <c r="MFM80" s="211"/>
      <c r="MFN80" s="211"/>
      <c r="MFO80" s="211"/>
      <c r="MFP80" s="211"/>
      <c r="MFQ80" s="211"/>
      <c r="MFR80" s="211"/>
      <c r="MFS80" s="211"/>
      <c r="MFT80" s="211"/>
      <c r="MFU80" s="211"/>
      <c r="MFV80" s="211"/>
      <c r="MFW80" s="211"/>
      <c r="MFX80" s="211"/>
      <c r="MFY80" s="211"/>
      <c r="MFZ80" s="211"/>
      <c r="MGA80" s="211"/>
      <c r="MGB80" s="211"/>
      <c r="MGC80" s="211"/>
      <c r="MGD80" s="211"/>
      <c r="MGE80" s="211"/>
      <c r="MGF80" s="211"/>
      <c r="MGG80" s="211"/>
      <c r="MGH80" s="211"/>
      <c r="MGI80" s="211"/>
      <c r="MGJ80" s="211"/>
      <c r="MGK80" s="211"/>
      <c r="MGL80" s="211"/>
      <c r="MGM80" s="211"/>
      <c r="MGN80" s="211"/>
      <c r="MGO80" s="211"/>
      <c r="MGP80" s="211"/>
      <c r="MGQ80" s="211"/>
      <c r="MGR80" s="211"/>
      <c r="MGS80" s="211"/>
      <c r="MGT80" s="211"/>
      <c r="MGU80" s="211"/>
      <c r="MGV80" s="211"/>
      <c r="MGW80" s="211"/>
      <c r="MGX80" s="211"/>
      <c r="MGY80" s="211"/>
      <c r="MGZ80" s="211"/>
      <c r="MHA80" s="211"/>
      <c r="MHB80" s="211"/>
      <c r="MHC80" s="211"/>
      <c r="MHD80" s="211"/>
      <c r="MHE80" s="211"/>
      <c r="MHF80" s="211"/>
      <c r="MHG80" s="211"/>
      <c r="MHH80" s="211"/>
      <c r="MHI80" s="211"/>
      <c r="MHJ80" s="211"/>
      <c r="MHK80" s="211"/>
      <c r="MHL80" s="211"/>
      <c r="MHM80" s="211"/>
      <c r="MHN80" s="211"/>
      <c r="MHO80" s="211"/>
      <c r="MHP80" s="211"/>
      <c r="MHQ80" s="211"/>
      <c r="MHR80" s="211"/>
      <c r="MHS80" s="211"/>
      <c r="MHT80" s="211"/>
      <c r="MHU80" s="211"/>
      <c r="MHV80" s="211"/>
      <c r="MHW80" s="211"/>
      <c r="MHX80" s="211"/>
      <c r="MHY80" s="211"/>
      <c r="MHZ80" s="211"/>
      <c r="MIA80" s="211"/>
      <c r="MIB80" s="211"/>
      <c r="MIC80" s="211"/>
      <c r="MID80" s="211"/>
      <c r="MIE80" s="211"/>
      <c r="MIF80" s="211"/>
      <c r="MIG80" s="211"/>
      <c r="MIH80" s="211"/>
      <c r="MII80" s="211"/>
      <c r="MIJ80" s="211"/>
      <c r="MIK80" s="211"/>
      <c r="MIL80" s="211"/>
      <c r="MIM80" s="211"/>
      <c r="MIN80" s="211"/>
      <c r="MIO80" s="211"/>
      <c r="MIP80" s="211"/>
      <c r="MIQ80" s="211"/>
      <c r="MIR80" s="211"/>
      <c r="MIS80" s="211"/>
      <c r="MIT80" s="211"/>
      <c r="MIU80" s="211"/>
      <c r="MIV80" s="211"/>
      <c r="MIW80" s="211"/>
      <c r="MIX80" s="211"/>
      <c r="MIY80" s="211"/>
      <c r="MIZ80" s="211"/>
      <c r="MJA80" s="211"/>
      <c r="MJB80" s="211"/>
      <c r="MJC80" s="211"/>
      <c r="MJD80" s="211"/>
      <c r="MJE80" s="211"/>
      <c r="MJF80" s="211"/>
      <c r="MJG80" s="211"/>
      <c r="MJH80" s="211"/>
      <c r="MJI80" s="211"/>
      <c r="MJJ80" s="211"/>
      <c r="MJK80" s="211"/>
      <c r="MJL80" s="211"/>
      <c r="MJM80" s="211"/>
      <c r="MJN80" s="211"/>
      <c r="MJO80" s="211"/>
      <c r="MJP80" s="211"/>
      <c r="MJQ80" s="211"/>
      <c r="MJR80" s="211"/>
      <c r="MJS80" s="211"/>
      <c r="MJT80" s="211"/>
      <c r="MJU80" s="211"/>
      <c r="MJV80" s="211"/>
      <c r="MJW80" s="211"/>
      <c r="MJX80" s="211"/>
      <c r="MJY80" s="211"/>
      <c r="MJZ80" s="211"/>
      <c r="MKA80" s="211"/>
      <c r="MKB80" s="211"/>
      <c r="MKC80" s="211"/>
      <c r="MKD80" s="211"/>
      <c r="MKE80" s="211"/>
      <c r="MKF80" s="211"/>
      <c r="MKG80" s="211"/>
      <c r="MKH80" s="211"/>
      <c r="MKI80" s="211"/>
      <c r="MKJ80" s="211"/>
      <c r="MKK80" s="211"/>
      <c r="MKL80" s="211"/>
      <c r="MKM80" s="211"/>
      <c r="MKN80" s="211"/>
      <c r="MKO80" s="211"/>
      <c r="MKP80" s="211"/>
      <c r="MKQ80" s="211"/>
      <c r="MKR80" s="211"/>
      <c r="MKS80" s="211"/>
      <c r="MKT80" s="211"/>
      <c r="MKU80" s="211"/>
      <c r="MKV80" s="211"/>
      <c r="MKW80" s="211"/>
      <c r="MKX80" s="211"/>
      <c r="MKY80" s="211"/>
      <c r="MKZ80" s="211"/>
      <c r="MLA80" s="211"/>
      <c r="MLB80" s="211"/>
      <c r="MLC80" s="211"/>
      <c r="MLD80" s="211"/>
      <c r="MLE80" s="211"/>
      <c r="MLF80" s="211"/>
      <c r="MLG80" s="211"/>
      <c r="MLH80" s="211"/>
      <c r="MLI80" s="211"/>
      <c r="MLJ80" s="211"/>
      <c r="MLK80" s="211"/>
      <c r="MLL80" s="211"/>
      <c r="MLM80" s="211"/>
      <c r="MLN80" s="211"/>
      <c r="MLO80" s="211"/>
      <c r="MLP80" s="211"/>
      <c r="MLQ80" s="211"/>
      <c r="MLR80" s="211"/>
      <c r="MLS80" s="211"/>
      <c r="MLT80" s="211"/>
      <c r="MLU80" s="211"/>
      <c r="MLV80" s="211"/>
      <c r="MLW80" s="211"/>
      <c r="MLX80" s="211"/>
      <c r="MLY80" s="211"/>
      <c r="MLZ80" s="211"/>
      <c r="MMA80" s="211"/>
      <c r="MMB80" s="211"/>
      <c r="MMC80" s="211"/>
      <c r="MMD80" s="211"/>
      <c r="MME80" s="211"/>
      <c r="MMF80" s="211"/>
      <c r="MMG80" s="211"/>
      <c r="MMH80" s="211"/>
      <c r="MMI80" s="211"/>
      <c r="MMJ80" s="211"/>
      <c r="MMK80" s="211"/>
      <c r="MML80" s="211"/>
      <c r="MMM80" s="211"/>
      <c r="MMN80" s="211"/>
      <c r="MMO80" s="211"/>
      <c r="MMP80" s="211"/>
      <c r="MMQ80" s="211"/>
      <c r="MMR80" s="211"/>
      <c r="MMS80" s="211"/>
      <c r="MMT80" s="211"/>
      <c r="MMU80" s="211"/>
      <c r="MMV80" s="211"/>
      <c r="MMW80" s="211"/>
      <c r="MMX80" s="211"/>
      <c r="MMY80" s="211"/>
      <c r="MMZ80" s="211"/>
      <c r="MNA80" s="211"/>
      <c r="MNB80" s="211"/>
      <c r="MNC80" s="211"/>
      <c r="MND80" s="211"/>
      <c r="MNE80" s="211"/>
      <c r="MNF80" s="211"/>
      <c r="MNG80" s="211"/>
      <c r="MNH80" s="211"/>
      <c r="MNI80" s="211"/>
      <c r="MNJ80" s="211"/>
      <c r="MNK80" s="211"/>
      <c r="MNL80" s="211"/>
      <c r="MNM80" s="211"/>
      <c r="MNN80" s="211"/>
      <c r="MNO80" s="211"/>
      <c r="MNP80" s="211"/>
      <c r="MNQ80" s="211"/>
      <c r="MNR80" s="211"/>
      <c r="MNS80" s="211"/>
      <c r="MNT80" s="211"/>
      <c r="MNU80" s="211"/>
      <c r="MNV80" s="211"/>
      <c r="MNW80" s="211"/>
      <c r="MNX80" s="211"/>
      <c r="MNY80" s="211"/>
      <c r="MNZ80" s="211"/>
      <c r="MOA80" s="211"/>
      <c r="MOB80" s="211"/>
      <c r="MOC80" s="211"/>
      <c r="MOD80" s="211"/>
      <c r="MOE80" s="211"/>
      <c r="MOF80" s="211"/>
      <c r="MOG80" s="211"/>
      <c r="MOH80" s="211"/>
      <c r="MOI80" s="211"/>
      <c r="MOJ80" s="211"/>
      <c r="MOK80" s="211"/>
      <c r="MOL80" s="211"/>
      <c r="MOM80" s="211"/>
      <c r="MON80" s="211"/>
      <c r="MOO80" s="211"/>
      <c r="MOP80" s="211"/>
      <c r="MOQ80" s="211"/>
      <c r="MOR80" s="211"/>
      <c r="MOS80" s="211"/>
      <c r="MOT80" s="211"/>
      <c r="MOU80" s="211"/>
      <c r="MOV80" s="211"/>
      <c r="MOW80" s="211"/>
      <c r="MOX80" s="211"/>
      <c r="MOY80" s="211"/>
      <c r="MOZ80" s="211"/>
      <c r="MPA80" s="211"/>
      <c r="MPB80" s="211"/>
      <c r="MPC80" s="211"/>
      <c r="MPD80" s="211"/>
      <c r="MPE80" s="211"/>
      <c r="MPF80" s="211"/>
      <c r="MPG80" s="211"/>
      <c r="MPH80" s="211"/>
      <c r="MPI80" s="211"/>
      <c r="MPJ80" s="211"/>
      <c r="MPK80" s="211"/>
      <c r="MPL80" s="211"/>
      <c r="MPM80" s="211"/>
      <c r="MPN80" s="211"/>
      <c r="MPO80" s="211"/>
      <c r="MPP80" s="211"/>
      <c r="MPQ80" s="211"/>
      <c r="MPR80" s="211"/>
      <c r="MPS80" s="211"/>
      <c r="MPT80" s="211"/>
      <c r="MPU80" s="211"/>
      <c r="MPV80" s="211"/>
      <c r="MPW80" s="211"/>
      <c r="MPX80" s="211"/>
      <c r="MPY80" s="211"/>
      <c r="MPZ80" s="211"/>
      <c r="MQA80" s="211"/>
      <c r="MQB80" s="211"/>
      <c r="MQC80" s="211"/>
      <c r="MQD80" s="211"/>
      <c r="MQE80" s="211"/>
      <c r="MQF80" s="211"/>
      <c r="MQG80" s="211"/>
      <c r="MQH80" s="211"/>
      <c r="MQI80" s="211"/>
      <c r="MQJ80" s="211"/>
      <c r="MQK80" s="211"/>
      <c r="MQL80" s="211"/>
      <c r="MQM80" s="211"/>
      <c r="MQN80" s="211"/>
      <c r="MQO80" s="211"/>
      <c r="MQP80" s="211"/>
      <c r="MQQ80" s="211"/>
      <c r="MQR80" s="211"/>
      <c r="MQS80" s="211"/>
      <c r="MQT80" s="211"/>
      <c r="MQU80" s="211"/>
      <c r="MQV80" s="211"/>
      <c r="MQW80" s="211"/>
      <c r="MQX80" s="211"/>
      <c r="MQY80" s="211"/>
      <c r="MQZ80" s="211"/>
      <c r="MRA80" s="211"/>
      <c r="MRB80" s="211"/>
      <c r="MRC80" s="211"/>
      <c r="MRD80" s="211"/>
      <c r="MRE80" s="211"/>
      <c r="MRF80" s="211"/>
      <c r="MRG80" s="211"/>
      <c r="MRH80" s="211"/>
      <c r="MRI80" s="211"/>
      <c r="MRJ80" s="211"/>
      <c r="MRK80" s="211"/>
      <c r="MRL80" s="211"/>
      <c r="MRM80" s="211"/>
      <c r="MRN80" s="211"/>
      <c r="MRO80" s="211"/>
      <c r="MRP80" s="211"/>
      <c r="MRQ80" s="211"/>
      <c r="MRR80" s="211"/>
      <c r="MRS80" s="211"/>
      <c r="MRT80" s="211"/>
      <c r="MRU80" s="211"/>
      <c r="MRV80" s="211"/>
      <c r="MRW80" s="211"/>
      <c r="MRX80" s="211"/>
      <c r="MRY80" s="211"/>
      <c r="MRZ80" s="211"/>
      <c r="MSA80" s="211"/>
      <c r="MSB80" s="211"/>
      <c r="MSC80" s="211"/>
      <c r="MSD80" s="211"/>
      <c r="MSE80" s="211"/>
      <c r="MSF80" s="211"/>
      <c r="MSG80" s="211"/>
      <c r="MSH80" s="211"/>
      <c r="MSI80" s="211"/>
      <c r="MSJ80" s="211"/>
      <c r="MSK80" s="211"/>
      <c r="MSL80" s="211"/>
      <c r="MSM80" s="211"/>
      <c r="MSN80" s="211"/>
      <c r="MSO80" s="211"/>
      <c r="MSP80" s="211"/>
      <c r="MSQ80" s="211"/>
      <c r="MSR80" s="211"/>
      <c r="MSS80" s="211"/>
      <c r="MST80" s="211"/>
      <c r="MSU80" s="211"/>
      <c r="MSV80" s="211"/>
      <c r="MSW80" s="211"/>
      <c r="MSX80" s="211"/>
      <c r="MSY80" s="211"/>
      <c r="MSZ80" s="211"/>
      <c r="MTA80" s="211"/>
      <c r="MTB80" s="211"/>
      <c r="MTC80" s="211"/>
      <c r="MTD80" s="211"/>
      <c r="MTE80" s="211"/>
      <c r="MTF80" s="211"/>
      <c r="MTG80" s="211"/>
      <c r="MTH80" s="211"/>
      <c r="MTI80" s="211"/>
      <c r="MTJ80" s="211"/>
      <c r="MTK80" s="211"/>
      <c r="MTL80" s="211"/>
      <c r="MTM80" s="211"/>
      <c r="MTN80" s="211"/>
      <c r="MTO80" s="211"/>
      <c r="MTP80" s="211"/>
      <c r="MTQ80" s="211"/>
      <c r="MTR80" s="211"/>
      <c r="MTS80" s="211"/>
      <c r="MTT80" s="211"/>
      <c r="MTU80" s="211"/>
      <c r="MTV80" s="211"/>
      <c r="MTW80" s="211"/>
      <c r="MTX80" s="211"/>
      <c r="MTY80" s="211"/>
      <c r="MTZ80" s="211"/>
      <c r="MUA80" s="211"/>
      <c r="MUB80" s="211"/>
      <c r="MUC80" s="211"/>
      <c r="MUD80" s="211"/>
      <c r="MUE80" s="211"/>
      <c r="MUF80" s="211"/>
      <c r="MUG80" s="211"/>
      <c r="MUH80" s="211"/>
      <c r="MUI80" s="211"/>
      <c r="MUJ80" s="211"/>
      <c r="MUK80" s="211"/>
      <c r="MUL80" s="211"/>
      <c r="MUM80" s="211"/>
      <c r="MUN80" s="211"/>
      <c r="MUO80" s="211"/>
      <c r="MUP80" s="211"/>
      <c r="MUQ80" s="211"/>
      <c r="MUR80" s="211"/>
      <c r="MUS80" s="211"/>
      <c r="MUT80" s="211"/>
      <c r="MUU80" s="211"/>
      <c r="MUV80" s="211"/>
      <c r="MUW80" s="211"/>
      <c r="MUX80" s="211"/>
      <c r="MUY80" s="211"/>
      <c r="MUZ80" s="211"/>
      <c r="MVA80" s="211"/>
      <c r="MVB80" s="211"/>
      <c r="MVC80" s="211"/>
      <c r="MVD80" s="211"/>
      <c r="MVE80" s="211"/>
      <c r="MVF80" s="211"/>
      <c r="MVG80" s="211"/>
      <c r="MVH80" s="211"/>
      <c r="MVI80" s="211"/>
      <c r="MVJ80" s="211"/>
      <c r="MVK80" s="211"/>
      <c r="MVL80" s="211"/>
      <c r="MVM80" s="211"/>
      <c r="MVN80" s="211"/>
      <c r="MVO80" s="211"/>
      <c r="MVP80" s="211"/>
      <c r="MVQ80" s="211"/>
      <c r="MVR80" s="211"/>
      <c r="MVS80" s="211"/>
      <c r="MVT80" s="211"/>
      <c r="MVU80" s="211"/>
      <c r="MVV80" s="211"/>
      <c r="MVW80" s="211"/>
      <c r="MVX80" s="211"/>
      <c r="MVY80" s="211"/>
      <c r="MVZ80" s="211"/>
      <c r="MWA80" s="211"/>
      <c r="MWB80" s="211"/>
      <c r="MWC80" s="211"/>
      <c r="MWD80" s="211"/>
      <c r="MWE80" s="211"/>
      <c r="MWF80" s="211"/>
      <c r="MWG80" s="211"/>
      <c r="MWH80" s="211"/>
      <c r="MWI80" s="211"/>
      <c r="MWJ80" s="211"/>
      <c r="MWK80" s="211"/>
      <c r="MWL80" s="211"/>
      <c r="MWM80" s="211"/>
      <c r="MWN80" s="211"/>
      <c r="MWO80" s="211"/>
      <c r="MWP80" s="211"/>
      <c r="MWQ80" s="211"/>
      <c r="MWR80" s="211"/>
      <c r="MWS80" s="211"/>
      <c r="MWT80" s="211"/>
      <c r="MWU80" s="211"/>
      <c r="MWV80" s="211"/>
      <c r="MWW80" s="211"/>
      <c r="MWX80" s="211"/>
      <c r="MWY80" s="211"/>
      <c r="MWZ80" s="211"/>
      <c r="MXA80" s="211"/>
      <c r="MXB80" s="211"/>
      <c r="MXC80" s="211"/>
      <c r="MXD80" s="211"/>
      <c r="MXE80" s="211"/>
      <c r="MXF80" s="211"/>
      <c r="MXG80" s="211"/>
      <c r="MXH80" s="211"/>
      <c r="MXI80" s="211"/>
      <c r="MXJ80" s="211"/>
      <c r="MXK80" s="211"/>
      <c r="MXL80" s="211"/>
      <c r="MXM80" s="211"/>
      <c r="MXN80" s="211"/>
      <c r="MXO80" s="211"/>
      <c r="MXP80" s="211"/>
      <c r="MXQ80" s="211"/>
      <c r="MXR80" s="211"/>
      <c r="MXS80" s="211"/>
      <c r="MXT80" s="211"/>
      <c r="MXU80" s="211"/>
      <c r="MXV80" s="211"/>
      <c r="MXW80" s="211"/>
      <c r="MXX80" s="211"/>
      <c r="MXY80" s="211"/>
      <c r="MXZ80" s="211"/>
      <c r="MYA80" s="211"/>
      <c r="MYB80" s="211"/>
      <c r="MYC80" s="211"/>
      <c r="MYD80" s="211"/>
      <c r="MYE80" s="211"/>
      <c r="MYF80" s="211"/>
      <c r="MYG80" s="211"/>
      <c r="MYH80" s="211"/>
      <c r="MYI80" s="211"/>
      <c r="MYJ80" s="211"/>
      <c r="MYK80" s="211"/>
      <c r="MYL80" s="211"/>
      <c r="MYM80" s="211"/>
      <c r="MYN80" s="211"/>
      <c r="MYO80" s="211"/>
      <c r="MYP80" s="211"/>
      <c r="MYQ80" s="211"/>
      <c r="MYR80" s="211"/>
      <c r="MYS80" s="211"/>
      <c r="MYT80" s="211"/>
      <c r="MYU80" s="211"/>
      <c r="MYV80" s="211"/>
      <c r="MYW80" s="211"/>
      <c r="MYX80" s="211"/>
      <c r="MYY80" s="211"/>
      <c r="MYZ80" s="211"/>
      <c r="MZA80" s="211"/>
      <c r="MZB80" s="211"/>
      <c r="MZC80" s="211"/>
      <c r="MZD80" s="211"/>
      <c r="MZE80" s="211"/>
      <c r="MZF80" s="211"/>
      <c r="MZG80" s="211"/>
      <c r="MZH80" s="211"/>
      <c r="MZI80" s="211"/>
      <c r="MZJ80" s="211"/>
      <c r="MZK80" s="211"/>
      <c r="MZL80" s="211"/>
      <c r="MZM80" s="211"/>
      <c r="MZN80" s="211"/>
      <c r="MZO80" s="211"/>
      <c r="MZP80" s="211"/>
      <c r="MZQ80" s="211"/>
      <c r="MZR80" s="211"/>
      <c r="MZS80" s="211"/>
      <c r="MZT80" s="211"/>
      <c r="MZU80" s="211"/>
      <c r="MZV80" s="211"/>
      <c r="MZW80" s="211"/>
      <c r="MZX80" s="211"/>
      <c r="MZY80" s="211"/>
      <c r="MZZ80" s="211"/>
      <c r="NAA80" s="211"/>
      <c r="NAB80" s="211"/>
      <c r="NAC80" s="211"/>
      <c r="NAD80" s="211"/>
      <c r="NAE80" s="211"/>
      <c r="NAF80" s="211"/>
      <c r="NAG80" s="211"/>
      <c r="NAH80" s="211"/>
      <c r="NAI80" s="211"/>
      <c r="NAJ80" s="211"/>
      <c r="NAK80" s="211"/>
      <c r="NAL80" s="211"/>
      <c r="NAM80" s="211"/>
      <c r="NAN80" s="211"/>
      <c r="NAO80" s="211"/>
      <c r="NAP80" s="211"/>
      <c r="NAQ80" s="211"/>
      <c r="NAR80" s="211"/>
      <c r="NAS80" s="211"/>
      <c r="NAT80" s="211"/>
      <c r="NAU80" s="211"/>
      <c r="NAV80" s="211"/>
      <c r="NAW80" s="211"/>
      <c r="NAX80" s="211"/>
      <c r="NAY80" s="211"/>
      <c r="NAZ80" s="211"/>
      <c r="NBA80" s="211"/>
      <c r="NBB80" s="211"/>
      <c r="NBC80" s="211"/>
      <c r="NBD80" s="211"/>
      <c r="NBE80" s="211"/>
      <c r="NBF80" s="211"/>
      <c r="NBG80" s="211"/>
      <c r="NBH80" s="211"/>
      <c r="NBI80" s="211"/>
      <c r="NBJ80" s="211"/>
      <c r="NBK80" s="211"/>
      <c r="NBL80" s="211"/>
      <c r="NBM80" s="211"/>
      <c r="NBN80" s="211"/>
      <c r="NBO80" s="211"/>
      <c r="NBP80" s="211"/>
      <c r="NBQ80" s="211"/>
      <c r="NBR80" s="211"/>
      <c r="NBS80" s="211"/>
      <c r="NBT80" s="211"/>
      <c r="NBU80" s="211"/>
      <c r="NBV80" s="211"/>
      <c r="NBW80" s="211"/>
      <c r="NBX80" s="211"/>
      <c r="NBY80" s="211"/>
      <c r="NBZ80" s="211"/>
      <c r="NCA80" s="211"/>
      <c r="NCB80" s="211"/>
      <c r="NCC80" s="211"/>
      <c r="NCD80" s="211"/>
      <c r="NCE80" s="211"/>
      <c r="NCF80" s="211"/>
      <c r="NCG80" s="211"/>
      <c r="NCH80" s="211"/>
      <c r="NCI80" s="211"/>
      <c r="NCJ80" s="211"/>
      <c r="NCK80" s="211"/>
      <c r="NCL80" s="211"/>
      <c r="NCM80" s="211"/>
      <c r="NCN80" s="211"/>
      <c r="NCO80" s="211"/>
      <c r="NCP80" s="211"/>
      <c r="NCQ80" s="211"/>
      <c r="NCR80" s="211"/>
      <c r="NCS80" s="211"/>
      <c r="NCT80" s="211"/>
      <c r="NCU80" s="211"/>
      <c r="NCV80" s="211"/>
      <c r="NCW80" s="211"/>
      <c r="NCX80" s="211"/>
      <c r="NCY80" s="211"/>
      <c r="NCZ80" s="211"/>
      <c r="NDA80" s="211"/>
      <c r="NDB80" s="211"/>
      <c r="NDC80" s="211"/>
      <c r="NDD80" s="211"/>
      <c r="NDE80" s="211"/>
      <c r="NDF80" s="211"/>
      <c r="NDG80" s="211"/>
      <c r="NDH80" s="211"/>
      <c r="NDI80" s="211"/>
      <c r="NDJ80" s="211"/>
      <c r="NDK80" s="211"/>
      <c r="NDL80" s="211"/>
      <c r="NDM80" s="211"/>
      <c r="NDN80" s="211"/>
      <c r="NDO80" s="211"/>
      <c r="NDP80" s="211"/>
      <c r="NDQ80" s="211"/>
      <c r="NDR80" s="211"/>
      <c r="NDS80" s="211"/>
      <c r="NDT80" s="211"/>
      <c r="NDU80" s="211"/>
      <c r="NDV80" s="211"/>
      <c r="NDW80" s="211"/>
      <c r="NDX80" s="211"/>
      <c r="NDY80" s="211"/>
      <c r="NDZ80" s="211"/>
      <c r="NEA80" s="211"/>
      <c r="NEB80" s="211"/>
      <c r="NEC80" s="211"/>
      <c r="NED80" s="211"/>
      <c r="NEE80" s="211"/>
      <c r="NEF80" s="211"/>
      <c r="NEG80" s="211"/>
      <c r="NEH80" s="211"/>
      <c r="NEI80" s="211"/>
      <c r="NEJ80" s="211"/>
      <c r="NEK80" s="211"/>
      <c r="NEL80" s="211"/>
      <c r="NEM80" s="211"/>
      <c r="NEN80" s="211"/>
      <c r="NEO80" s="211"/>
      <c r="NEP80" s="211"/>
      <c r="NEQ80" s="211"/>
      <c r="NER80" s="211"/>
      <c r="NES80" s="211"/>
      <c r="NET80" s="211"/>
      <c r="NEU80" s="211"/>
      <c r="NEV80" s="211"/>
      <c r="NEW80" s="211"/>
      <c r="NEX80" s="211"/>
      <c r="NEY80" s="211"/>
      <c r="NEZ80" s="211"/>
      <c r="NFA80" s="211"/>
      <c r="NFB80" s="211"/>
      <c r="NFC80" s="211"/>
      <c r="NFD80" s="211"/>
      <c r="NFE80" s="211"/>
      <c r="NFF80" s="211"/>
      <c r="NFG80" s="211"/>
      <c r="NFH80" s="211"/>
      <c r="NFI80" s="211"/>
      <c r="NFJ80" s="211"/>
      <c r="NFK80" s="211"/>
      <c r="NFL80" s="211"/>
      <c r="NFM80" s="211"/>
      <c r="NFN80" s="211"/>
      <c r="NFO80" s="211"/>
      <c r="NFP80" s="211"/>
      <c r="NFQ80" s="211"/>
      <c r="NFR80" s="211"/>
      <c r="NFS80" s="211"/>
      <c r="NFT80" s="211"/>
      <c r="NFU80" s="211"/>
      <c r="NFV80" s="211"/>
      <c r="NFW80" s="211"/>
      <c r="NFX80" s="211"/>
      <c r="NFY80" s="211"/>
      <c r="NFZ80" s="211"/>
      <c r="NGA80" s="211"/>
      <c r="NGB80" s="211"/>
      <c r="NGC80" s="211"/>
      <c r="NGD80" s="211"/>
      <c r="NGE80" s="211"/>
      <c r="NGF80" s="211"/>
      <c r="NGG80" s="211"/>
      <c r="NGH80" s="211"/>
      <c r="NGI80" s="211"/>
      <c r="NGJ80" s="211"/>
      <c r="NGK80" s="211"/>
      <c r="NGL80" s="211"/>
      <c r="NGM80" s="211"/>
      <c r="NGN80" s="211"/>
      <c r="NGO80" s="211"/>
      <c r="NGP80" s="211"/>
      <c r="NGQ80" s="211"/>
      <c r="NGR80" s="211"/>
      <c r="NGS80" s="211"/>
      <c r="NGT80" s="211"/>
      <c r="NGU80" s="211"/>
      <c r="NGV80" s="211"/>
      <c r="NGW80" s="211"/>
      <c r="NGX80" s="211"/>
      <c r="NGY80" s="211"/>
      <c r="NGZ80" s="211"/>
      <c r="NHA80" s="211"/>
      <c r="NHB80" s="211"/>
      <c r="NHC80" s="211"/>
      <c r="NHD80" s="211"/>
      <c r="NHE80" s="211"/>
      <c r="NHF80" s="211"/>
      <c r="NHG80" s="211"/>
      <c r="NHH80" s="211"/>
      <c r="NHI80" s="211"/>
      <c r="NHJ80" s="211"/>
      <c r="NHK80" s="211"/>
      <c r="NHL80" s="211"/>
      <c r="NHM80" s="211"/>
      <c r="NHN80" s="211"/>
      <c r="NHO80" s="211"/>
      <c r="NHP80" s="211"/>
      <c r="NHQ80" s="211"/>
      <c r="NHR80" s="211"/>
      <c r="NHS80" s="211"/>
      <c r="NHT80" s="211"/>
      <c r="NHU80" s="211"/>
      <c r="NHV80" s="211"/>
      <c r="NHW80" s="211"/>
      <c r="NHX80" s="211"/>
      <c r="NHY80" s="211"/>
      <c r="NHZ80" s="211"/>
      <c r="NIA80" s="211"/>
      <c r="NIB80" s="211"/>
      <c r="NIC80" s="211"/>
      <c r="NID80" s="211"/>
      <c r="NIE80" s="211"/>
      <c r="NIF80" s="211"/>
      <c r="NIG80" s="211"/>
      <c r="NIH80" s="211"/>
      <c r="NII80" s="211"/>
      <c r="NIJ80" s="211"/>
      <c r="NIK80" s="211"/>
      <c r="NIL80" s="211"/>
      <c r="NIM80" s="211"/>
      <c r="NIN80" s="211"/>
      <c r="NIO80" s="211"/>
      <c r="NIP80" s="211"/>
      <c r="NIQ80" s="211"/>
      <c r="NIR80" s="211"/>
      <c r="NIS80" s="211"/>
      <c r="NIT80" s="211"/>
      <c r="NIU80" s="211"/>
      <c r="NIV80" s="211"/>
      <c r="NIW80" s="211"/>
      <c r="NIX80" s="211"/>
      <c r="NIY80" s="211"/>
      <c r="NIZ80" s="211"/>
      <c r="NJA80" s="211"/>
      <c r="NJB80" s="211"/>
      <c r="NJC80" s="211"/>
      <c r="NJD80" s="211"/>
      <c r="NJE80" s="211"/>
      <c r="NJF80" s="211"/>
      <c r="NJG80" s="211"/>
      <c r="NJH80" s="211"/>
      <c r="NJI80" s="211"/>
      <c r="NJJ80" s="211"/>
      <c r="NJK80" s="211"/>
      <c r="NJL80" s="211"/>
      <c r="NJM80" s="211"/>
      <c r="NJN80" s="211"/>
      <c r="NJO80" s="211"/>
      <c r="NJP80" s="211"/>
      <c r="NJQ80" s="211"/>
      <c r="NJR80" s="211"/>
      <c r="NJS80" s="211"/>
      <c r="NJT80" s="211"/>
      <c r="NJU80" s="211"/>
      <c r="NJV80" s="211"/>
      <c r="NJW80" s="211"/>
      <c r="NJX80" s="211"/>
      <c r="NJY80" s="211"/>
      <c r="NJZ80" s="211"/>
      <c r="NKA80" s="211"/>
      <c r="NKB80" s="211"/>
      <c r="NKC80" s="211"/>
      <c r="NKD80" s="211"/>
      <c r="NKE80" s="211"/>
      <c r="NKF80" s="211"/>
      <c r="NKG80" s="211"/>
      <c r="NKH80" s="211"/>
      <c r="NKI80" s="211"/>
      <c r="NKJ80" s="211"/>
      <c r="NKK80" s="211"/>
      <c r="NKL80" s="211"/>
      <c r="NKM80" s="211"/>
      <c r="NKN80" s="211"/>
      <c r="NKO80" s="211"/>
      <c r="NKP80" s="211"/>
      <c r="NKQ80" s="211"/>
      <c r="NKR80" s="211"/>
      <c r="NKS80" s="211"/>
      <c r="NKT80" s="211"/>
      <c r="NKU80" s="211"/>
      <c r="NKV80" s="211"/>
      <c r="NKW80" s="211"/>
      <c r="NKX80" s="211"/>
      <c r="NKY80" s="211"/>
      <c r="NKZ80" s="211"/>
      <c r="NLA80" s="211"/>
      <c r="NLB80" s="211"/>
      <c r="NLC80" s="211"/>
      <c r="NLD80" s="211"/>
      <c r="NLE80" s="211"/>
      <c r="NLF80" s="211"/>
      <c r="NLG80" s="211"/>
      <c r="NLH80" s="211"/>
      <c r="NLI80" s="211"/>
      <c r="NLJ80" s="211"/>
      <c r="NLK80" s="211"/>
      <c r="NLL80" s="211"/>
      <c r="NLM80" s="211"/>
      <c r="NLN80" s="211"/>
      <c r="NLO80" s="211"/>
      <c r="NLP80" s="211"/>
      <c r="NLQ80" s="211"/>
      <c r="NLR80" s="211"/>
      <c r="NLS80" s="211"/>
      <c r="NLT80" s="211"/>
      <c r="NLU80" s="211"/>
      <c r="NLV80" s="211"/>
      <c r="NLW80" s="211"/>
      <c r="NLX80" s="211"/>
      <c r="NLY80" s="211"/>
      <c r="NLZ80" s="211"/>
      <c r="NMA80" s="211"/>
      <c r="NMB80" s="211"/>
      <c r="NMC80" s="211"/>
      <c r="NMD80" s="211"/>
      <c r="NME80" s="211"/>
      <c r="NMF80" s="211"/>
      <c r="NMG80" s="211"/>
      <c r="NMH80" s="211"/>
      <c r="NMI80" s="211"/>
      <c r="NMJ80" s="211"/>
      <c r="NMK80" s="211"/>
      <c r="NML80" s="211"/>
      <c r="NMM80" s="211"/>
      <c r="NMN80" s="211"/>
      <c r="NMO80" s="211"/>
      <c r="NMP80" s="211"/>
      <c r="NMQ80" s="211"/>
      <c r="NMR80" s="211"/>
      <c r="NMS80" s="211"/>
      <c r="NMT80" s="211"/>
      <c r="NMU80" s="211"/>
      <c r="NMV80" s="211"/>
      <c r="NMW80" s="211"/>
      <c r="NMX80" s="211"/>
      <c r="NMY80" s="211"/>
      <c r="NMZ80" s="211"/>
      <c r="NNA80" s="211"/>
      <c r="NNB80" s="211"/>
      <c r="NNC80" s="211"/>
      <c r="NND80" s="211"/>
      <c r="NNE80" s="211"/>
      <c r="NNF80" s="211"/>
      <c r="NNG80" s="211"/>
      <c r="NNH80" s="211"/>
      <c r="NNI80" s="211"/>
      <c r="NNJ80" s="211"/>
      <c r="NNK80" s="211"/>
      <c r="NNL80" s="211"/>
      <c r="NNM80" s="211"/>
      <c r="NNN80" s="211"/>
      <c r="NNO80" s="211"/>
      <c r="NNP80" s="211"/>
      <c r="NNQ80" s="211"/>
      <c r="NNR80" s="211"/>
      <c r="NNS80" s="211"/>
      <c r="NNT80" s="211"/>
      <c r="NNU80" s="211"/>
      <c r="NNV80" s="211"/>
      <c r="NNW80" s="211"/>
      <c r="NNX80" s="211"/>
      <c r="NNY80" s="211"/>
      <c r="NNZ80" s="211"/>
      <c r="NOA80" s="211"/>
      <c r="NOB80" s="211"/>
      <c r="NOC80" s="211"/>
      <c r="NOD80" s="211"/>
      <c r="NOE80" s="211"/>
      <c r="NOF80" s="211"/>
      <c r="NOG80" s="211"/>
      <c r="NOH80" s="211"/>
      <c r="NOI80" s="211"/>
      <c r="NOJ80" s="211"/>
      <c r="NOK80" s="211"/>
      <c r="NOL80" s="211"/>
      <c r="NOM80" s="211"/>
      <c r="NON80" s="211"/>
      <c r="NOO80" s="211"/>
      <c r="NOP80" s="211"/>
      <c r="NOQ80" s="211"/>
      <c r="NOR80" s="211"/>
      <c r="NOS80" s="211"/>
      <c r="NOT80" s="211"/>
      <c r="NOU80" s="211"/>
      <c r="NOV80" s="211"/>
      <c r="NOW80" s="211"/>
      <c r="NOX80" s="211"/>
      <c r="NOY80" s="211"/>
      <c r="NOZ80" s="211"/>
      <c r="NPA80" s="211"/>
      <c r="NPB80" s="211"/>
      <c r="NPC80" s="211"/>
      <c r="NPD80" s="211"/>
      <c r="NPE80" s="211"/>
      <c r="NPF80" s="211"/>
      <c r="NPG80" s="211"/>
      <c r="NPH80" s="211"/>
      <c r="NPI80" s="211"/>
      <c r="NPJ80" s="211"/>
      <c r="NPK80" s="211"/>
      <c r="NPL80" s="211"/>
      <c r="NPM80" s="211"/>
      <c r="NPN80" s="211"/>
      <c r="NPO80" s="211"/>
      <c r="NPP80" s="211"/>
      <c r="NPQ80" s="211"/>
      <c r="NPR80" s="211"/>
      <c r="NPS80" s="211"/>
      <c r="NPT80" s="211"/>
      <c r="NPU80" s="211"/>
      <c r="NPV80" s="211"/>
      <c r="NPW80" s="211"/>
      <c r="NPX80" s="211"/>
      <c r="NPY80" s="211"/>
      <c r="NPZ80" s="211"/>
      <c r="NQA80" s="211"/>
      <c r="NQB80" s="211"/>
      <c r="NQC80" s="211"/>
      <c r="NQD80" s="211"/>
      <c r="NQE80" s="211"/>
      <c r="NQF80" s="211"/>
      <c r="NQG80" s="211"/>
      <c r="NQH80" s="211"/>
      <c r="NQI80" s="211"/>
      <c r="NQJ80" s="211"/>
      <c r="NQK80" s="211"/>
      <c r="NQL80" s="211"/>
      <c r="NQM80" s="211"/>
      <c r="NQN80" s="211"/>
      <c r="NQO80" s="211"/>
      <c r="NQP80" s="211"/>
      <c r="NQQ80" s="211"/>
      <c r="NQR80" s="211"/>
      <c r="NQS80" s="211"/>
      <c r="NQT80" s="211"/>
      <c r="NQU80" s="211"/>
      <c r="NQV80" s="211"/>
      <c r="NQW80" s="211"/>
      <c r="NQX80" s="211"/>
      <c r="NQY80" s="211"/>
      <c r="NQZ80" s="211"/>
      <c r="NRA80" s="211"/>
      <c r="NRB80" s="211"/>
      <c r="NRC80" s="211"/>
      <c r="NRD80" s="211"/>
      <c r="NRE80" s="211"/>
      <c r="NRF80" s="211"/>
      <c r="NRG80" s="211"/>
      <c r="NRH80" s="211"/>
      <c r="NRI80" s="211"/>
      <c r="NRJ80" s="211"/>
      <c r="NRK80" s="211"/>
      <c r="NRL80" s="211"/>
      <c r="NRM80" s="211"/>
      <c r="NRN80" s="211"/>
      <c r="NRO80" s="211"/>
      <c r="NRP80" s="211"/>
      <c r="NRQ80" s="211"/>
      <c r="NRR80" s="211"/>
      <c r="NRS80" s="211"/>
      <c r="NRT80" s="211"/>
      <c r="NRU80" s="211"/>
      <c r="NRV80" s="211"/>
      <c r="NRW80" s="211"/>
      <c r="NRX80" s="211"/>
      <c r="NRY80" s="211"/>
      <c r="NRZ80" s="211"/>
      <c r="NSA80" s="211"/>
      <c r="NSB80" s="211"/>
      <c r="NSC80" s="211"/>
      <c r="NSD80" s="211"/>
      <c r="NSE80" s="211"/>
      <c r="NSF80" s="211"/>
      <c r="NSG80" s="211"/>
      <c r="NSH80" s="211"/>
      <c r="NSI80" s="211"/>
      <c r="NSJ80" s="211"/>
      <c r="NSK80" s="211"/>
      <c r="NSL80" s="211"/>
      <c r="NSM80" s="211"/>
      <c r="NSN80" s="211"/>
      <c r="NSO80" s="211"/>
      <c r="NSP80" s="211"/>
      <c r="NSQ80" s="211"/>
      <c r="NSR80" s="211"/>
      <c r="NSS80" s="211"/>
      <c r="NST80" s="211"/>
      <c r="NSU80" s="211"/>
      <c r="NSV80" s="211"/>
      <c r="NSW80" s="211"/>
      <c r="NSX80" s="211"/>
      <c r="NSY80" s="211"/>
      <c r="NSZ80" s="211"/>
      <c r="NTA80" s="211"/>
      <c r="NTB80" s="211"/>
      <c r="NTC80" s="211"/>
      <c r="NTD80" s="211"/>
      <c r="NTE80" s="211"/>
      <c r="NTF80" s="211"/>
      <c r="NTG80" s="211"/>
      <c r="NTH80" s="211"/>
      <c r="NTI80" s="211"/>
      <c r="NTJ80" s="211"/>
      <c r="NTK80" s="211"/>
      <c r="NTL80" s="211"/>
      <c r="NTM80" s="211"/>
      <c r="NTN80" s="211"/>
      <c r="NTO80" s="211"/>
      <c r="NTP80" s="211"/>
      <c r="NTQ80" s="211"/>
      <c r="NTR80" s="211"/>
      <c r="NTS80" s="211"/>
      <c r="NTT80" s="211"/>
      <c r="NTU80" s="211"/>
      <c r="NTV80" s="211"/>
      <c r="NTW80" s="211"/>
      <c r="NTX80" s="211"/>
      <c r="NTY80" s="211"/>
      <c r="NTZ80" s="211"/>
      <c r="NUA80" s="211"/>
      <c r="NUB80" s="211"/>
      <c r="NUC80" s="211"/>
      <c r="NUD80" s="211"/>
      <c r="NUE80" s="211"/>
      <c r="NUF80" s="211"/>
      <c r="NUG80" s="211"/>
      <c r="NUH80" s="211"/>
      <c r="NUI80" s="211"/>
      <c r="NUJ80" s="211"/>
      <c r="NUK80" s="211"/>
      <c r="NUL80" s="211"/>
      <c r="NUM80" s="211"/>
      <c r="NUN80" s="211"/>
      <c r="NUO80" s="211"/>
      <c r="NUP80" s="211"/>
      <c r="NUQ80" s="211"/>
      <c r="NUR80" s="211"/>
      <c r="NUS80" s="211"/>
      <c r="NUT80" s="211"/>
      <c r="NUU80" s="211"/>
      <c r="NUV80" s="211"/>
      <c r="NUW80" s="211"/>
      <c r="NUX80" s="211"/>
      <c r="NUY80" s="211"/>
      <c r="NUZ80" s="211"/>
      <c r="NVA80" s="211"/>
      <c r="NVB80" s="211"/>
      <c r="NVC80" s="211"/>
      <c r="NVD80" s="211"/>
      <c r="NVE80" s="211"/>
      <c r="NVF80" s="211"/>
      <c r="NVG80" s="211"/>
      <c r="NVH80" s="211"/>
      <c r="NVI80" s="211"/>
      <c r="NVJ80" s="211"/>
      <c r="NVK80" s="211"/>
      <c r="NVL80" s="211"/>
      <c r="NVM80" s="211"/>
      <c r="NVN80" s="211"/>
      <c r="NVO80" s="211"/>
      <c r="NVP80" s="211"/>
      <c r="NVQ80" s="211"/>
      <c r="NVR80" s="211"/>
      <c r="NVS80" s="211"/>
      <c r="NVT80" s="211"/>
      <c r="NVU80" s="211"/>
      <c r="NVV80" s="211"/>
      <c r="NVW80" s="211"/>
      <c r="NVX80" s="211"/>
      <c r="NVY80" s="211"/>
      <c r="NVZ80" s="211"/>
      <c r="NWA80" s="211"/>
      <c r="NWB80" s="211"/>
      <c r="NWC80" s="211"/>
      <c r="NWD80" s="211"/>
      <c r="NWE80" s="211"/>
      <c r="NWF80" s="211"/>
      <c r="NWG80" s="211"/>
      <c r="NWH80" s="211"/>
      <c r="NWI80" s="211"/>
      <c r="NWJ80" s="211"/>
      <c r="NWK80" s="211"/>
      <c r="NWL80" s="211"/>
      <c r="NWM80" s="211"/>
      <c r="NWN80" s="211"/>
      <c r="NWO80" s="211"/>
      <c r="NWP80" s="211"/>
      <c r="NWQ80" s="211"/>
      <c r="NWR80" s="211"/>
      <c r="NWS80" s="211"/>
      <c r="NWT80" s="211"/>
      <c r="NWU80" s="211"/>
      <c r="NWV80" s="211"/>
      <c r="NWW80" s="211"/>
      <c r="NWX80" s="211"/>
      <c r="NWY80" s="211"/>
      <c r="NWZ80" s="211"/>
      <c r="NXA80" s="211"/>
      <c r="NXB80" s="211"/>
      <c r="NXC80" s="211"/>
      <c r="NXD80" s="211"/>
      <c r="NXE80" s="211"/>
      <c r="NXF80" s="211"/>
      <c r="NXG80" s="211"/>
      <c r="NXH80" s="211"/>
      <c r="NXI80" s="211"/>
      <c r="NXJ80" s="211"/>
      <c r="NXK80" s="211"/>
      <c r="NXL80" s="211"/>
      <c r="NXM80" s="211"/>
      <c r="NXN80" s="211"/>
      <c r="NXO80" s="211"/>
      <c r="NXP80" s="211"/>
      <c r="NXQ80" s="211"/>
      <c r="NXR80" s="211"/>
      <c r="NXS80" s="211"/>
      <c r="NXT80" s="211"/>
      <c r="NXU80" s="211"/>
      <c r="NXV80" s="211"/>
      <c r="NXW80" s="211"/>
      <c r="NXX80" s="211"/>
      <c r="NXY80" s="211"/>
      <c r="NXZ80" s="211"/>
      <c r="NYA80" s="211"/>
      <c r="NYB80" s="211"/>
      <c r="NYC80" s="211"/>
      <c r="NYD80" s="211"/>
      <c r="NYE80" s="211"/>
      <c r="NYF80" s="211"/>
      <c r="NYG80" s="211"/>
      <c r="NYH80" s="211"/>
      <c r="NYI80" s="211"/>
      <c r="NYJ80" s="211"/>
      <c r="NYK80" s="211"/>
      <c r="NYL80" s="211"/>
      <c r="NYM80" s="211"/>
      <c r="NYN80" s="211"/>
      <c r="NYO80" s="211"/>
      <c r="NYP80" s="211"/>
      <c r="NYQ80" s="211"/>
      <c r="NYR80" s="211"/>
      <c r="NYS80" s="211"/>
      <c r="NYT80" s="211"/>
      <c r="NYU80" s="211"/>
      <c r="NYV80" s="211"/>
      <c r="NYW80" s="211"/>
      <c r="NYX80" s="211"/>
      <c r="NYY80" s="211"/>
      <c r="NYZ80" s="211"/>
      <c r="NZA80" s="211"/>
      <c r="NZB80" s="211"/>
      <c r="NZC80" s="211"/>
      <c r="NZD80" s="211"/>
      <c r="NZE80" s="211"/>
      <c r="NZF80" s="211"/>
      <c r="NZG80" s="211"/>
      <c r="NZH80" s="211"/>
      <c r="NZI80" s="211"/>
      <c r="NZJ80" s="211"/>
      <c r="NZK80" s="211"/>
      <c r="NZL80" s="211"/>
      <c r="NZM80" s="211"/>
      <c r="NZN80" s="211"/>
      <c r="NZO80" s="211"/>
      <c r="NZP80" s="211"/>
      <c r="NZQ80" s="211"/>
      <c r="NZR80" s="211"/>
      <c r="NZS80" s="211"/>
      <c r="NZT80" s="211"/>
      <c r="NZU80" s="211"/>
      <c r="NZV80" s="211"/>
      <c r="NZW80" s="211"/>
      <c r="NZX80" s="211"/>
      <c r="NZY80" s="211"/>
      <c r="NZZ80" s="211"/>
      <c r="OAA80" s="211"/>
      <c r="OAB80" s="211"/>
      <c r="OAC80" s="211"/>
      <c r="OAD80" s="211"/>
      <c r="OAE80" s="211"/>
      <c r="OAF80" s="211"/>
      <c r="OAG80" s="211"/>
      <c r="OAH80" s="211"/>
      <c r="OAI80" s="211"/>
      <c r="OAJ80" s="211"/>
      <c r="OAK80" s="211"/>
      <c r="OAL80" s="211"/>
      <c r="OAM80" s="211"/>
      <c r="OAN80" s="211"/>
      <c r="OAO80" s="211"/>
      <c r="OAP80" s="211"/>
      <c r="OAQ80" s="211"/>
      <c r="OAR80" s="211"/>
      <c r="OAS80" s="211"/>
      <c r="OAT80" s="211"/>
      <c r="OAU80" s="211"/>
      <c r="OAV80" s="211"/>
      <c r="OAW80" s="211"/>
      <c r="OAX80" s="211"/>
      <c r="OAY80" s="211"/>
      <c r="OAZ80" s="211"/>
      <c r="OBA80" s="211"/>
      <c r="OBB80" s="211"/>
      <c r="OBC80" s="211"/>
      <c r="OBD80" s="211"/>
      <c r="OBE80" s="211"/>
      <c r="OBF80" s="211"/>
      <c r="OBG80" s="211"/>
      <c r="OBH80" s="211"/>
      <c r="OBI80" s="211"/>
      <c r="OBJ80" s="211"/>
      <c r="OBK80" s="211"/>
      <c r="OBL80" s="211"/>
      <c r="OBM80" s="211"/>
      <c r="OBN80" s="211"/>
      <c r="OBO80" s="211"/>
      <c r="OBP80" s="211"/>
      <c r="OBQ80" s="211"/>
      <c r="OBR80" s="211"/>
      <c r="OBS80" s="211"/>
      <c r="OBT80" s="211"/>
      <c r="OBU80" s="211"/>
      <c r="OBV80" s="211"/>
      <c r="OBW80" s="211"/>
      <c r="OBX80" s="211"/>
      <c r="OBY80" s="211"/>
      <c r="OBZ80" s="211"/>
      <c r="OCA80" s="211"/>
      <c r="OCB80" s="211"/>
      <c r="OCC80" s="211"/>
      <c r="OCD80" s="211"/>
      <c r="OCE80" s="211"/>
      <c r="OCF80" s="211"/>
      <c r="OCG80" s="211"/>
      <c r="OCH80" s="211"/>
      <c r="OCI80" s="211"/>
      <c r="OCJ80" s="211"/>
      <c r="OCK80" s="211"/>
      <c r="OCL80" s="211"/>
      <c r="OCM80" s="211"/>
      <c r="OCN80" s="211"/>
      <c r="OCO80" s="211"/>
      <c r="OCP80" s="211"/>
      <c r="OCQ80" s="211"/>
      <c r="OCR80" s="211"/>
      <c r="OCS80" s="211"/>
      <c r="OCT80" s="211"/>
      <c r="OCU80" s="211"/>
      <c r="OCV80" s="211"/>
      <c r="OCW80" s="211"/>
      <c r="OCX80" s="211"/>
      <c r="OCY80" s="211"/>
      <c r="OCZ80" s="211"/>
      <c r="ODA80" s="211"/>
      <c r="ODB80" s="211"/>
      <c r="ODC80" s="211"/>
      <c r="ODD80" s="211"/>
      <c r="ODE80" s="211"/>
      <c r="ODF80" s="211"/>
      <c r="ODG80" s="211"/>
      <c r="ODH80" s="211"/>
      <c r="ODI80" s="211"/>
      <c r="ODJ80" s="211"/>
      <c r="ODK80" s="211"/>
      <c r="ODL80" s="211"/>
      <c r="ODM80" s="211"/>
      <c r="ODN80" s="211"/>
      <c r="ODO80" s="211"/>
      <c r="ODP80" s="211"/>
      <c r="ODQ80" s="211"/>
      <c r="ODR80" s="211"/>
      <c r="ODS80" s="211"/>
      <c r="ODT80" s="211"/>
      <c r="ODU80" s="211"/>
      <c r="ODV80" s="211"/>
      <c r="ODW80" s="211"/>
      <c r="ODX80" s="211"/>
      <c r="ODY80" s="211"/>
      <c r="ODZ80" s="211"/>
      <c r="OEA80" s="211"/>
      <c r="OEB80" s="211"/>
      <c r="OEC80" s="211"/>
      <c r="OED80" s="211"/>
      <c r="OEE80" s="211"/>
      <c r="OEF80" s="211"/>
      <c r="OEG80" s="211"/>
      <c r="OEH80" s="211"/>
      <c r="OEI80" s="211"/>
      <c r="OEJ80" s="211"/>
      <c r="OEK80" s="211"/>
      <c r="OEL80" s="211"/>
      <c r="OEM80" s="211"/>
      <c r="OEN80" s="211"/>
      <c r="OEO80" s="211"/>
      <c r="OEP80" s="211"/>
      <c r="OEQ80" s="211"/>
      <c r="OER80" s="211"/>
      <c r="OES80" s="211"/>
      <c r="OET80" s="211"/>
      <c r="OEU80" s="211"/>
      <c r="OEV80" s="211"/>
      <c r="OEW80" s="211"/>
      <c r="OEX80" s="211"/>
      <c r="OEY80" s="211"/>
      <c r="OEZ80" s="211"/>
      <c r="OFA80" s="211"/>
      <c r="OFB80" s="211"/>
      <c r="OFC80" s="211"/>
      <c r="OFD80" s="211"/>
      <c r="OFE80" s="211"/>
      <c r="OFF80" s="211"/>
      <c r="OFG80" s="211"/>
      <c r="OFH80" s="211"/>
      <c r="OFI80" s="211"/>
      <c r="OFJ80" s="211"/>
      <c r="OFK80" s="211"/>
      <c r="OFL80" s="211"/>
      <c r="OFM80" s="211"/>
      <c r="OFN80" s="211"/>
      <c r="OFO80" s="211"/>
      <c r="OFP80" s="211"/>
      <c r="OFQ80" s="211"/>
      <c r="OFR80" s="211"/>
      <c r="OFS80" s="211"/>
      <c r="OFT80" s="211"/>
      <c r="OFU80" s="211"/>
      <c r="OFV80" s="211"/>
      <c r="OFW80" s="211"/>
      <c r="OFX80" s="211"/>
      <c r="OFY80" s="211"/>
      <c r="OFZ80" s="211"/>
      <c r="OGA80" s="211"/>
      <c r="OGB80" s="211"/>
      <c r="OGC80" s="211"/>
      <c r="OGD80" s="211"/>
      <c r="OGE80" s="211"/>
      <c r="OGF80" s="211"/>
      <c r="OGG80" s="211"/>
      <c r="OGH80" s="211"/>
      <c r="OGI80" s="211"/>
      <c r="OGJ80" s="211"/>
      <c r="OGK80" s="211"/>
      <c r="OGL80" s="211"/>
      <c r="OGM80" s="211"/>
      <c r="OGN80" s="211"/>
      <c r="OGO80" s="211"/>
      <c r="OGP80" s="211"/>
      <c r="OGQ80" s="211"/>
      <c r="OGR80" s="211"/>
      <c r="OGS80" s="211"/>
      <c r="OGT80" s="211"/>
      <c r="OGU80" s="211"/>
      <c r="OGV80" s="211"/>
      <c r="OGW80" s="211"/>
      <c r="OGX80" s="211"/>
      <c r="OGY80" s="211"/>
      <c r="OGZ80" s="211"/>
      <c r="OHA80" s="211"/>
      <c r="OHB80" s="211"/>
      <c r="OHC80" s="211"/>
      <c r="OHD80" s="211"/>
      <c r="OHE80" s="211"/>
      <c r="OHF80" s="211"/>
      <c r="OHG80" s="211"/>
      <c r="OHH80" s="211"/>
      <c r="OHI80" s="211"/>
      <c r="OHJ80" s="211"/>
      <c r="OHK80" s="211"/>
      <c r="OHL80" s="211"/>
      <c r="OHM80" s="211"/>
      <c r="OHN80" s="211"/>
      <c r="OHO80" s="211"/>
      <c r="OHP80" s="211"/>
      <c r="OHQ80" s="211"/>
      <c r="OHR80" s="211"/>
      <c r="OHS80" s="211"/>
      <c r="OHT80" s="211"/>
      <c r="OHU80" s="211"/>
      <c r="OHV80" s="211"/>
      <c r="OHW80" s="211"/>
      <c r="OHX80" s="211"/>
      <c r="OHY80" s="211"/>
      <c r="OHZ80" s="211"/>
      <c r="OIA80" s="211"/>
      <c r="OIB80" s="211"/>
      <c r="OIC80" s="211"/>
      <c r="OID80" s="211"/>
      <c r="OIE80" s="211"/>
      <c r="OIF80" s="211"/>
      <c r="OIG80" s="211"/>
      <c r="OIH80" s="211"/>
      <c r="OII80" s="211"/>
      <c r="OIJ80" s="211"/>
      <c r="OIK80" s="211"/>
      <c r="OIL80" s="211"/>
      <c r="OIM80" s="211"/>
      <c r="OIN80" s="211"/>
      <c r="OIO80" s="211"/>
      <c r="OIP80" s="211"/>
      <c r="OIQ80" s="211"/>
      <c r="OIR80" s="211"/>
      <c r="OIS80" s="211"/>
      <c r="OIT80" s="211"/>
      <c r="OIU80" s="211"/>
      <c r="OIV80" s="211"/>
      <c r="OIW80" s="211"/>
      <c r="OIX80" s="211"/>
      <c r="OIY80" s="211"/>
      <c r="OIZ80" s="211"/>
      <c r="OJA80" s="211"/>
      <c r="OJB80" s="211"/>
      <c r="OJC80" s="211"/>
      <c r="OJD80" s="211"/>
      <c r="OJE80" s="211"/>
      <c r="OJF80" s="211"/>
      <c r="OJG80" s="211"/>
      <c r="OJH80" s="211"/>
      <c r="OJI80" s="211"/>
      <c r="OJJ80" s="211"/>
      <c r="OJK80" s="211"/>
      <c r="OJL80" s="211"/>
      <c r="OJM80" s="211"/>
      <c r="OJN80" s="211"/>
      <c r="OJO80" s="211"/>
      <c r="OJP80" s="211"/>
      <c r="OJQ80" s="211"/>
      <c r="OJR80" s="211"/>
      <c r="OJS80" s="211"/>
      <c r="OJT80" s="211"/>
      <c r="OJU80" s="211"/>
      <c r="OJV80" s="211"/>
      <c r="OJW80" s="211"/>
      <c r="OJX80" s="211"/>
      <c r="OJY80" s="211"/>
      <c r="OJZ80" s="211"/>
      <c r="OKA80" s="211"/>
      <c r="OKB80" s="211"/>
      <c r="OKC80" s="211"/>
      <c r="OKD80" s="211"/>
      <c r="OKE80" s="211"/>
      <c r="OKF80" s="211"/>
      <c r="OKG80" s="211"/>
      <c r="OKH80" s="211"/>
      <c r="OKI80" s="211"/>
      <c r="OKJ80" s="211"/>
      <c r="OKK80" s="211"/>
      <c r="OKL80" s="211"/>
      <c r="OKM80" s="211"/>
      <c r="OKN80" s="211"/>
      <c r="OKO80" s="211"/>
      <c r="OKP80" s="211"/>
      <c r="OKQ80" s="211"/>
      <c r="OKR80" s="211"/>
      <c r="OKS80" s="211"/>
      <c r="OKT80" s="211"/>
      <c r="OKU80" s="211"/>
      <c r="OKV80" s="211"/>
      <c r="OKW80" s="211"/>
      <c r="OKX80" s="211"/>
      <c r="OKY80" s="211"/>
      <c r="OKZ80" s="211"/>
      <c r="OLA80" s="211"/>
      <c r="OLB80" s="211"/>
      <c r="OLC80" s="211"/>
      <c r="OLD80" s="211"/>
      <c r="OLE80" s="211"/>
      <c r="OLF80" s="211"/>
      <c r="OLG80" s="211"/>
      <c r="OLH80" s="211"/>
      <c r="OLI80" s="211"/>
      <c r="OLJ80" s="211"/>
      <c r="OLK80" s="211"/>
      <c r="OLL80" s="211"/>
      <c r="OLM80" s="211"/>
      <c r="OLN80" s="211"/>
      <c r="OLO80" s="211"/>
      <c r="OLP80" s="211"/>
      <c r="OLQ80" s="211"/>
      <c r="OLR80" s="211"/>
      <c r="OLS80" s="211"/>
      <c r="OLT80" s="211"/>
      <c r="OLU80" s="211"/>
      <c r="OLV80" s="211"/>
      <c r="OLW80" s="211"/>
      <c r="OLX80" s="211"/>
      <c r="OLY80" s="211"/>
      <c r="OLZ80" s="211"/>
      <c r="OMA80" s="211"/>
      <c r="OMB80" s="211"/>
      <c r="OMC80" s="211"/>
      <c r="OMD80" s="211"/>
      <c r="OME80" s="211"/>
      <c r="OMF80" s="211"/>
      <c r="OMG80" s="211"/>
      <c r="OMH80" s="211"/>
      <c r="OMI80" s="211"/>
      <c r="OMJ80" s="211"/>
      <c r="OMK80" s="211"/>
      <c r="OML80" s="211"/>
      <c r="OMM80" s="211"/>
      <c r="OMN80" s="211"/>
      <c r="OMO80" s="211"/>
      <c r="OMP80" s="211"/>
      <c r="OMQ80" s="211"/>
      <c r="OMR80" s="211"/>
      <c r="OMS80" s="211"/>
      <c r="OMT80" s="211"/>
      <c r="OMU80" s="211"/>
      <c r="OMV80" s="211"/>
      <c r="OMW80" s="211"/>
      <c r="OMX80" s="211"/>
      <c r="OMY80" s="211"/>
      <c r="OMZ80" s="211"/>
      <c r="ONA80" s="211"/>
      <c r="ONB80" s="211"/>
      <c r="ONC80" s="211"/>
      <c r="OND80" s="211"/>
      <c r="ONE80" s="211"/>
      <c r="ONF80" s="211"/>
      <c r="ONG80" s="211"/>
      <c r="ONH80" s="211"/>
      <c r="ONI80" s="211"/>
      <c r="ONJ80" s="211"/>
      <c r="ONK80" s="211"/>
      <c r="ONL80" s="211"/>
      <c r="ONM80" s="211"/>
      <c r="ONN80" s="211"/>
      <c r="ONO80" s="211"/>
      <c r="ONP80" s="211"/>
      <c r="ONQ80" s="211"/>
      <c r="ONR80" s="211"/>
      <c r="ONS80" s="211"/>
      <c r="ONT80" s="211"/>
      <c r="ONU80" s="211"/>
      <c r="ONV80" s="211"/>
      <c r="ONW80" s="211"/>
      <c r="ONX80" s="211"/>
      <c r="ONY80" s="211"/>
      <c r="ONZ80" s="211"/>
      <c r="OOA80" s="211"/>
      <c r="OOB80" s="211"/>
      <c r="OOC80" s="211"/>
      <c r="OOD80" s="211"/>
      <c r="OOE80" s="211"/>
      <c r="OOF80" s="211"/>
      <c r="OOG80" s="211"/>
      <c r="OOH80" s="211"/>
      <c r="OOI80" s="211"/>
      <c r="OOJ80" s="211"/>
      <c r="OOK80" s="211"/>
      <c r="OOL80" s="211"/>
      <c r="OOM80" s="211"/>
      <c r="OON80" s="211"/>
      <c r="OOO80" s="211"/>
      <c r="OOP80" s="211"/>
      <c r="OOQ80" s="211"/>
      <c r="OOR80" s="211"/>
      <c r="OOS80" s="211"/>
      <c r="OOT80" s="211"/>
      <c r="OOU80" s="211"/>
      <c r="OOV80" s="211"/>
      <c r="OOW80" s="211"/>
      <c r="OOX80" s="211"/>
      <c r="OOY80" s="211"/>
      <c r="OOZ80" s="211"/>
      <c r="OPA80" s="211"/>
      <c r="OPB80" s="211"/>
      <c r="OPC80" s="211"/>
      <c r="OPD80" s="211"/>
      <c r="OPE80" s="211"/>
      <c r="OPF80" s="211"/>
      <c r="OPG80" s="211"/>
      <c r="OPH80" s="211"/>
      <c r="OPI80" s="211"/>
      <c r="OPJ80" s="211"/>
      <c r="OPK80" s="211"/>
      <c r="OPL80" s="211"/>
      <c r="OPM80" s="211"/>
      <c r="OPN80" s="211"/>
      <c r="OPO80" s="211"/>
      <c r="OPP80" s="211"/>
      <c r="OPQ80" s="211"/>
      <c r="OPR80" s="211"/>
      <c r="OPS80" s="211"/>
      <c r="OPT80" s="211"/>
      <c r="OPU80" s="211"/>
      <c r="OPV80" s="211"/>
      <c r="OPW80" s="211"/>
      <c r="OPX80" s="211"/>
      <c r="OPY80" s="211"/>
      <c r="OPZ80" s="211"/>
      <c r="OQA80" s="211"/>
      <c r="OQB80" s="211"/>
      <c r="OQC80" s="211"/>
      <c r="OQD80" s="211"/>
      <c r="OQE80" s="211"/>
      <c r="OQF80" s="211"/>
      <c r="OQG80" s="211"/>
      <c r="OQH80" s="211"/>
      <c r="OQI80" s="211"/>
      <c r="OQJ80" s="211"/>
      <c r="OQK80" s="211"/>
      <c r="OQL80" s="211"/>
      <c r="OQM80" s="211"/>
      <c r="OQN80" s="211"/>
      <c r="OQO80" s="211"/>
      <c r="OQP80" s="211"/>
      <c r="OQQ80" s="211"/>
      <c r="OQR80" s="211"/>
      <c r="OQS80" s="211"/>
      <c r="OQT80" s="211"/>
      <c r="OQU80" s="211"/>
      <c r="OQV80" s="211"/>
      <c r="OQW80" s="211"/>
      <c r="OQX80" s="211"/>
      <c r="OQY80" s="211"/>
      <c r="OQZ80" s="211"/>
      <c r="ORA80" s="211"/>
      <c r="ORB80" s="211"/>
      <c r="ORC80" s="211"/>
      <c r="ORD80" s="211"/>
      <c r="ORE80" s="211"/>
      <c r="ORF80" s="211"/>
      <c r="ORG80" s="211"/>
      <c r="ORH80" s="211"/>
      <c r="ORI80" s="211"/>
      <c r="ORJ80" s="211"/>
      <c r="ORK80" s="211"/>
      <c r="ORL80" s="211"/>
      <c r="ORM80" s="211"/>
      <c r="ORN80" s="211"/>
      <c r="ORO80" s="211"/>
      <c r="ORP80" s="211"/>
      <c r="ORQ80" s="211"/>
      <c r="ORR80" s="211"/>
      <c r="ORS80" s="211"/>
      <c r="ORT80" s="211"/>
      <c r="ORU80" s="211"/>
      <c r="ORV80" s="211"/>
      <c r="ORW80" s="211"/>
      <c r="ORX80" s="211"/>
      <c r="ORY80" s="211"/>
      <c r="ORZ80" s="211"/>
      <c r="OSA80" s="211"/>
      <c r="OSB80" s="211"/>
      <c r="OSC80" s="211"/>
      <c r="OSD80" s="211"/>
      <c r="OSE80" s="211"/>
      <c r="OSF80" s="211"/>
      <c r="OSG80" s="211"/>
      <c r="OSH80" s="211"/>
      <c r="OSI80" s="211"/>
      <c r="OSJ80" s="211"/>
      <c r="OSK80" s="211"/>
      <c r="OSL80" s="211"/>
      <c r="OSM80" s="211"/>
      <c r="OSN80" s="211"/>
      <c r="OSO80" s="211"/>
      <c r="OSP80" s="211"/>
      <c r="OSQ80" s="211"/>
      <c r="OSR80" s="211"/>
      <c r="OSS80" s="211"/>
      <c r="OST80" s="211"/>
      <c r="OSU80" s="211"/>
      <c r="OSV80" s="211"/>
      <c r="OSW80" s="211"/>
      <c r="OSX80" s="211"/>
      <c r="OSY80" s="211"/>
      <c r="OSZ80" s="211"/>
      <c r="OTA80" s="211"/>
      <c r="OTB80" s="211"/>
      <c r="OTC80" s="211"/>
      <c r="OTD80" s="211"/>
      <c r="OTE80" s="211"/>
      <c r="OTF80" s="211"/>
      <c r="OTG80" s="211"/>
      <c r="OTH80" s="211"/>
      <c r="OTI80" s="211"/>
      <c r="OTJ80" s="211"/>
      <c r="OTK80" s="211"/>
      <c r="OTL80" s="211"/>
      <c r="OTM80" s="211"/>
      <c r="OTN80" s="211"/>
      <c r="OTO80" s="211"/>
      <c r="OTP80" s="211"/>
      <c r="OTQ80" s="211"/>
      <c r="OTR80" s="211"/>
      <c r="OTS80" s="211"/>
      <c r="OTT80" s="211"/>
      <c r="OTU80" s="211"/>
      <c r="OTV80" s="211"/>
      <c r="OTW80" s="211"/>
      <c r="OTX80" s="211"/>
      <c r="OTY80" s="211"/>
      <c r="OTZ80" s="211"/>
      <c r="OUA80" s="211"/>
      <c r="OUB80" s="211"/>
      <c r="OUC80" s="211"/>
      <c r="OUD80" s="211"/>
      <c r="OUE80" s="211"/>
      <c r="OUF80" s="211"/>
      <c r="OUG80" s="211"/>
      <c r="OUH80" s="211"/>
      <c r="OUI80" s="211"/>
      <c r="OUJ80" s="211"/>
      <c r="OUK80" s="211"/>
      <c r="OUL80" s="211"/>
      <c r="OUM80" s="211"/>
      <c r="OUN80" s="211"/>
      <c r="OUO80" s="211"/>
      <c r="OUP80" s="211"/>
      <c r="OUQ80" s="211"/>
      <c r="OUR80" s="211"/>
      <c r="OUS80" s="211"/>
      <c r="OUT80" s="211"/>
      <c r="OUU80" s="211"/>
      <c r="OUV80" s="211"/>
      <c r="OUW80" s="211"/>
      <c r="OUX80" s="211"/>
      <c r="OUY80" s="211"/>
      <c r="OUZ80" s="211"/>
      <c r="OVA80" s="211"/>
      <c r="OVB80" s="211"/>
      <c r="OVC80" s="211"/>
      <c r="OVD80" s="211"/>
      <c r="OVE80" s="211"/>
      <c r="OVF80" s="211"/>
      <c r="OVG80" s="211"/>
      <c r="OVH80" s="211"/>
      <c r="OVI80" s="211"/>
      <c r="OVJ80" s="211"/>
      <c r="OVK80" s="211"/>
      <c r="OVL80" s="211"/>
      <c r="OVM80" s="211"/>
      <c r="OVN80" s="211"/>
      <c r="OVO80" s="211"/>
      <c r="OVP80" s="211"/>
      <c r="OVQ80" s="211"/>
      <c r="OVR80" s="211"/>
      <c r="OVS80" s="211"/>
      <c r="OVT80" s="211"/>
      <c r="OVU80" s="211"/>
      <c r="OVV80" s="211"/>
      <c r="OVW80" s="211"/>
      <c r="OVX80" s="211"/>
      <c r="OVY80" s="211"/>
      <c r="OVZ80" s="211"/>
      <c r="OWA80" s="211"/>
      <c r="OWB80" s="211"/>
      <c r="OWC80" s="211"/>
      <c r="OWD80" s="211"/>
      <c r="OWE80" s="211"/>
      <c r="OWF80" s="211"/>
      <c r="OWG80" s="211"/>
      <c r="OWH80" s="211"/>
      <c r="OWI80" s="211"/>
      <c r="OWJ80" s="211"/>
      <c r="OWK80" s="211"/>
      <c r="OWL80" s="211"/>
      <c r="OWM80" s="211"/>
      <c r="OWN80" s="211"/>
      <c r="OWO80" s="211"/>
      <c r="OWP80" s="211"/>
      <c r="OWQ80" s="211"/>
      <c r="OWR80" s="211"/>
      <c r="OWS80" s="211"/>
      <c r="OWT80" s="211"/>
      <c r="OWU80" s="211"/>
      <c r="OWV80" s="211"/>
      <c r="OWW80" s="211"/>
      <c r="OWX80" s="211"/>
      <c r="OWY80" s="211"/>
      <c r="OWZ80" s="211"/>
      <c r="OXA80" s="211"/>
      <c r="OXB80" s="211"/>
      <c r="OXC80" s="211"/>
      <c r="OXD80" s="211"/>
      <c r="OXE80" s="211"/>
      <c r="OXF80" s="211"/>
      <c r="OXG80" s="211"/>
      <c r="OXH80" s="211"/>
      <c r="OXI80" s="211"/>
      <c r="OXJ80" s="211"/>
      <c r="OXK80" s="211"/>
      <c r="OXL80" s="211"/>
      <c r="OXM80" s="211"/>
      <c r="OXN80" s="211"/>
      <c r="OXO80" s="211"/>
      <c r="OXP80" s="211"/>
      <c r="OXQ80" s="211"/>
      <c r="OXR80" s="211"/>
      <c r="OXS80" s="211"/>
      <c r="OXT80" s="211"/>
      <c r="OXU80" s="211"/>
      <c r="OXV80" s="211"/>
      <c r="OXW80" s="211"/>
      <c r="OXX80" s="211"/>
      <c r="OXY80" s="211"/>
      <c r="OXZ80" s="211"/>
      <c r="OYA80" s="211"/>
      <c r="OYB80" s="211"/>
      <c r="OYC80" s="211"/>
      <c r="OYD80" s="211"/>
      <c r="OYE80" s="211"/>
      <c r="OYF80" s="211"/>
      <c r="OYG80" s="211"/>
      <c r="OYH80" s="211"/>
      <c r="OYI80" s="211"/>
      <c r="OYJ80" s="211"/>
      <c r="OYK80" s="211"/>
      <c r="OYL80" s="211"/>
      <c r="OYM80" s="211"/>
      <c r="OYN80" s="211"/>
      <c r="OYO80" s="211"/>
      <c r="OYP80" s="211"/>
      <c r="OYQ80" s="211"/>
      <c r="OYR80" s="211"/>
      <c r="OYS80" s="211"/>
      <c r="OYT80" s="211"/>
      <c r="OYU80" s="211"/>
      <c r="OYV80" s="211"/>
      <c r="OYW80" s="211"/>
      <c r="OYX80" s="211"/>
      <c r="OYY80" s="211"/>
      <c r="OYZ80" s="211"/>
      <c r="OZA80" s="211"/>
      <c r="OZB80" s="211"/>
      <c r="OZC80" s="211"/>
      <c r="OZD80" s="211"/>
      <c r="OZE80" s="211"/>
      <c r="OZF80" s="211"/>
      <c r="OZG80" s="211"/>
      <c r="OZH80" s="211"/>
      <c r="OZI80" s="211"/>
      <c r="OZJ80" s="211"/>
      <c r="OZK80" s="211"/>
      <c r="OZL80" s="211"/>
      <c r="OZM80" s="211"/>
      <c r="OZN80" s="211"/>
      <c r="OZO80" s="211"/>
      <c r="OZP80" s="211"/>
      <c r="OZQ80" s="211"/>
      <c r="OZR80" s="211"/>
      <c r="OZS80" s="211"/>
      <c r="OZT80" s="211"/>
      <c r="OZU80" s="211"/>
      <c r="OZV80" s="211"/>
      <c r="OZW80" s="211"/>
      <c r="OZX80" s="211"/>
      <c r="OZY80" s="211"/>
      <c r="OZZ80" s="211"/>
      <c r="PAA80" s="211"/>
      <c r="PAB80" s="211"/>
      <c r="PAC80" s="211"/>
      <c r="PAD80" s="211"/>
      <c r="PAE80" s="211"/>
      <c r="PAF80" s="211"/>
      <c r="PAG80" s="211"/>
      <c r="PAH80" s="211"/>
      <c r="PAI80" s="211"/>
      <c r="PAJ80" s="211"/>
      <c r="PAK80" s="211"/>
      <c r="PAL80" s="211"/>
      <c r="PAM80" s="211"/>
      <c r="PAN80" s="211"/>
      <c r="PAO80" s="211"/>
      <c r="PAP80" s="211"/>
      <c r="PAQ80" s="211"/>
      <c r="PAR80" s="211"/>
      <c r="PAS80" s="211"/>
      <c r="PAT80" s="211"/>
      <c r="PAU80" s="211"/>
      <c r="PAV80" s="211"/>
      <c r="PAW80" s="211"/>
      <c r="PAX80" s="211"/>
      <c r="PAY80" s="211"/>
      <c r="PAZ80" s="211"/>
      <c r="PBA80" s="211"/>
      <c r="PBB80" s="211"/>
      <c r="PBC80" s="211"/>
      <c r="PBD80" s="211"/>
      <c r="PBE80" s="211"/>
      <c r="PBF80" s="211"/>
      <c r="PBG80" s="211"/>
      <c r="PBH80" s="211"/>
      <c r="PBI80" s="211"/>
      <c r="PBJ80" s="211"/>
      <c r="PBK80" s="211"/>
      <c r="PBL80" s="211"/>
      <c r="PBM80" s="211"/>
      <c r="PBN80" s="211"/>
      <c r="PBO80" s="211"/>
      <c r="PBP80" s="211"/>
      <c r="PBQ80" s="211"/>
      <c r="PBR80" s="211"/>
      <c r="PBS80" s="211"/>
      <c r="PBT80" s="211"/>
      <c r="PBU80" s="211"/>
      <c r="PBV80" s="211"/>
      <c r="PBW80" s="211"/>
      <c r="PBX80" s="211"/>
      <c r="PBY80" s="211"/>
      <c r="PBZ80" s="211"/>
      <c r="PCA80" s="211"/>
      <c r="PCB80" s="211"/>
      <c r="PCC80" s="211"/>
      <c r="PCD80" s="211"/>
      <c r="PCE80" s="211"/>
      <c r="PCF80" s="211"/>
      <c r="PCG80" s="211"/>
      <c r="PCH80" s="211"/>
      <c r="PCI80" s="211"/>
      <c r="PCJ80" s="211"/>
      <c r="PCK80" s="211"/>
      <c r="PCL80" s="211"/>
      <c r="PCM80" s="211"/>
      <c r="PCN80" s="211"/>
      <c r="PCO80" s="211"/>
      <c r="PCP80" s="211"/>
      <c r="PCQ80" s="211"/>
      <c r="PCR80" s="211"/>
      <c r="PCS80" s="211"/>
      <c r="PCT80" s="211"/>
      <c r="PCU80" s="211"/>
      <c r="PCV80" s="211"/>
      <c r="PCW80" s="211"/>
      <c r="PCX80" s="211"/>
      <c r="PCY80" s="211"/>
      <c r="PCZ80" s="211"/>
      <c r="PDA80" s="211"/>
      <c r="PDB80" s="211"/>
      <c r="PDC80" s="211"/>
      <c r="PDD80" s="211"/>
      <c r="PDE80" s="211"/>
      <c r="PDF80" s="211"/>
      <c r="PDG80" s="211"/>
      <c r="PDH80" s="211"/>
      <c r="PDI80" s="211"/>
      <c r="PDJ80" s="211"/>
      <c r="PDK80" s="211"/>
      <c r="PDL80" s="211"/>
      <c r="PDM80" s="211"/>
      <c r="PDN80" s="211"/>
      <c r="PDO80" s="211"/>
      <c r="PDP80" s="211"/>
      <c r="PDQ80" s="211"/>
      <c r="PDR80" s="211"/>
      <c r="PDS80" s="211"/>
      <c r="PDT80" s="211"/>
      <c r="PDU80" s="211"/>
      <c r="PDV80" s="211"/>
      <c r="PDW80" s="211"/>
      <c r="PDX80" s="211"/>
      <c r="PDY80" s="211"/>
      <c r="PDZ80" s="211"/>
      <c r="PEA80" s="211"/>
      <c r="PEB80" s="211"/>
      <c r="PEC80" s="211"/>
      <c r="PED80" s="211"/>
      <c r="PEE80" s="211"/>
      <c r="PEF80" s="211"/>
      <c r="PEG80" s="211"/>
      <c r="PEH80" s="211"/>
      <c r="PEI80" s="211"/>
      <c r="PEJ80" s="211"/>
      <c r="PEK80" s="211"/>
      <c r="PEL80" s="211"/>
      <c r="PEM80" s="211"/>
      <c r="PEN80" s="211"/>
      <c r="PEO80" s="211"/>
      <c r="PEP80" s="211"/>
      <c r="PEQ80" s="211"/>
      <c r="PER80" s="211"/>
      <c r="PES80" s="211"/>
      <c r="PET80" s="211"/>
      <c r="PEU80" s="211"/>
      <c r="PEV80" s="211"/>
      <c r="PEW80" s="211"/>
      <c r="PEX80" s="211"/>
      <c r="PEY80" s="211"/>
      <c r="PEZ80" s="211"/>
      <c r="PFA80" s="211"/>
      <c r="PFB80" s="211"/>
      <c r="PFC80" s="211"/>
      <c r="PFD80" s="211"/>
      <c r="PFE80" s="211"/>
      <c r="PFF80" s="211"/>
      <c r="PFG80" s="211"/>
      <c r="PFH80" s="211"/>
      <c r="PFI80" s="211"/>
      <c r="PFJ80" s="211"/>
      <c r="PFK80" s="211"/>
      <c r="PFL80" s="211"/>
      <c r="PFM80" s="211"/>
      <c r="PFN80" s="211"/>
      <c r="PFO80" s="211"/>
      <c r="PFP80" s="211"/>
      <c r="PFQ80" s="211"/>
      <c r="PFR80" s="211"/>
      <c r="PFS80" s="211"/>
      <c r="PFT80" s="211"/>
      <c r="PFU80" s="211"/>
      <c r="PFV80" s="211"/>
      <c r="PFW80" s="211"/>
      <c r="PFX80" s="211"/>
      <c r="PFY80" s="211"/>
      <c r="PFZ80" s="211"/>
      <c r="PGA80" s="211"/>
      <c r="PGB80" s="211"/>
      <c r="PGC80" s="211"/>
      <c r="PGD80" s="211"/>
      <c r="PGE80" s="211"/>
      <c r="PGF80" s="211"/>
      <c r="PGG80" s="211"/>
      <c r="PGH80" s="211"/>
      <c r="PGI80" s="211"/>
      <c r="PGJ80" s="211"/>
      <c r="PGK80" s="211"/>
      <c r="PGL80" s="211"/>
      <c r="PGM80" s="211"/>
      <c r="PGN80" s="211"/>
      <c r="PGO80" s="211"/>
      <c r="PGP80" s="211"/>
      <c r="PGQ80" s="211"/>
      <c r="PGR80" s="211"/>
      <c r="PGS80" s="211"/>
      <c r="PGT80" s="211"/>
      <c r="PGU80" s="211"/>
      <c r="PGV80" s="211"/>
      <c r="PGW80" s="211"/>
      <c r="PGX80" s="211"/>
      <c r="PGY80" s="211"/>
      <c r="PGZ80" s="211"/>
      <c r="PHA80" s="211"/>
      <c r="PHB80" s="211"/>
      <c r="PHC80" s="211"/>
      <c r="PHD80" s="211"/>
      <c r="PHE80" s="211"/>
      <c r="PHF80" s="211"/>
      <c r="PHG80" s="211"/>
      <c r="PHH80" s="211"/>
      <c r="PHI80" s="211"/>
      <c r="PHJ80" s="211"/>
      <c r="PHK80" s="211"/>
      <c r="PHL80" s="211"/>
      <c r="PHM80" s="211"/>
      <c r="PHN80" s="211"/>
      <c r="PHO80" s="211"/>
      <c r="PHP80" s="211"/>
      <c r="PHQ80" s="211"/>
      <c r="PHR80" s="211"/>
      <c r="PHS80" s="211"/>
      <c r="PHT80" s="211"/>
      <c r="PHU80" s="211"/>
      <c r="PHV80" s="211"/>
      <c r="PHW80" s="211"/>
      <c r="PHX80" s="211"/>
      <c r="PHY80" s="211"/>
      <c r="PHZ80" s="211"/>
      <c r="PIA80" s="211"/>
      <c r="PIB80" s="211"/>
      <c r="PIC80" s="211"/>
      <c r="PID80" s="211"/>
      <c r="PIE80" s="211"/>
      <c r="PIF80" s="211"/>
      <c r="PIG80" s="211"/>
      <c r="PIH80" s="211"/>
      <c r="PII80" s="211"/>
      <c r="PIJ80" s="211"/>
      <c r="PIK80" s="211"/>
      <c r="PIL80" s="211"/>
      <c r="PIM80" s="211"/>
      <c r="PIN80" s="211"/>
      <c r="PIO80" s="211"/>
      <c r="PIP80" s="211"/>
      <c r="PIQ80" s="211"/>
      <c r="PIR80" s="211"/>
      <c r="PIS80" s="211"/>
      <c r="PIT80" s="211"/>
      <c r="PIU80" s="211"/>
      <c r="PIV80" s="211"/>
      <c r="PIW80" s="211"/>
      <c r="PIX80" s="211"/>
      <c r="PIY80" s="211"/>
      <c r="PIZ80" s="211"/>
      <c r="PJA80" s="211"/>
      <c r="PJB80" s="211"/>
      <c r="PJC80" s="211"/>
      <c r="PJD80" s="211"/>
      <c r="PJE80" s="211"/>
      <c r="PJF80" s="211"/>
      <c r="PJG80" s="211"/>
      <c r="PJH80" s="211"/>
      <c r="PJI80" s="211"/>
      <c r="PJJ80" s="211"/>
      <c r="PJK80" s="211"/>
      <c r="PJL80" s="211"/>
      <c r="PJM80" s="211"/>
      <c r="PJN80" s="211"/>
      <c r="PJO80" s="211"/>
      <c r="PJP80" s="211"/>
      <c r="PJQ80" s="211"/>
      <c r="PJR80" s="211"/>
      <c r="PJS80" s="211"/>
      <c r="PJT80" s="211"/>
      <c r="PJU80" s="211"/>
      <c r="PJV80" s="211"/>
      <c r="PJW80" s="211"/>
      <c r="PJX80" s="211"/>
      <c r="PJY80" s="211"/>
      <c r="PJZ80" s="211"/>
      <c r="PKA80" s="211"/>
      <c r="PKB80" s="211"/>
      <c r="PKC80" s="211"/>
      <c r="PKD80" s="211"/>
      <c r="PKE80" s="211"/>
      <c r="PKF80" s="211"/>
      <c r="PKG80" s="211"/>
      <c r="PKH80" s="211"/>
      <c r="PKI80" s="211"/>
      <c r="PKJ80" s="211"/>
      <c r="PKK80" s="211"/>
      <c r="PKL80" s="211"/>
      <c r="PKM80" s="211"/>
      <c r="PKN80" s="211"/>
      <c r="PKO80" s="211"/>
      <c r="PKP80" s="211"/>
      <c r="PKQ80" s="211"/>
      <c r="PKR80" s="211"/>
      <c r="PKS80" s="211"/>
      <c r="PKT80" s="211"/>
      <c r="PKU80" s="211"/>
      <c r="PKV80" s="211"/>
      <c r="PKW80" s="211"/>
      <c r="PKX80" s="211"/>
      <c r="PKY80" s="211"/>
      <c r="PKZ80" s="211"/>
      <c r="PLA80" s="211"/>
      <c r="PLB80" s="211"/>
      <c r="PLC80" s="211"/>
      <c r="PLD80" s="211"/>
      <c r="PLE80" s="211"/>
      <c r="PLF80" s="211"/>
      <c r="PLG80" s="211"/>
      <c r="PLH80" s="211"/>
      <c r="PLI80" s="211"/>
      <c r="PLJ80" s="211"/>
      <c r="PLK80" s="211"/>
      <c r="PLL80" s="211"/>
      <c r="PLM80" s="211"/>
      <c r="PLN80" s="211"/>
      <c r="PLO80" s="211"/>
      <c r="PLP80" s="211"/>
      <c r="PLQ80" s="211"/>
      <c r="PLR80" s="211"/>
      <c r="PLS80" s="211"/>
      <c r="PLT80" s="211"/>
      <c r="PLU80" s="211"/>
      <c r="PLV80" s="211"/>
      <c r="PLW80" s="211"/>
      <c r="PLX80" s="211"/>
      <c r="PLY80" s="211"/>
      <c r="PLZ80" s="211"/>
      <c r="PMA80" s="211"/>
      <c r="PMB80" s="211"/>
      <c r="PMC80" s="211"/>
      <c r="PMD80" s="211"/>
      <c r="PME80" s="211"/>
      <c r="PMF80" s="211"/>
      <c r="PMG80" s="211"/>
      <c r="PMH80" s="211"/>
      <c r="PMI80" s="211"/>
      <c r="PMJ80" s="211"/>
      <c r="PMK80" s="211"/>
      <c r="PML80" s="211"/>
      <c r="PMM80" s="211"/>
      <c r="PMN80" s="211"/>
      <c r="PMO80" s="211"/>
      <c r="PMP80" s="211"/>
      <c r="PMQ80" s="211"/>
      <c r="PMR80" s="211"/>
      <c r="PMS80" s="211"/>
      <c r="PMT80" s="211"/>
      <c r="PMU80" s="211"/>
      <c r="PMV80" s="211"/>
      <c r="PMW80" s="211"/>
      <c r="PMX80" s="211"/>
      <c r="PMY80" s="211"/>
      <c r="PMZ80" s="211"/>
      <c r="PNA80" s="211"/>
      <c r="PNB80" s="211"/>
      <c r="PNC80" s="211"/>
      <c r="PND80" s="211"/>
      <c r="PNE80" s="211"/>
      <c r="PNF80" s="211"/>
      <c r="PNG80" s="211"/>
      <c r="PNH80" s="211"/>
      <c r="PNI80" s="211"/>
      <c r="PNJ80" s="211"/>
      <c r="PNK80" s="211"/>
      <c r="PNL80" s="211"/>
      <c r="PNM80" s="211"/>
      <c r="PNN80" s="211"/>
      <c r="PNO80" s="211"/>
      <c r="PNP80" s="211"/>
      <c r="PNQ80" s="211"/>
      <c r="PNR80" s="211"/>
      <c r="PNS80" s="211"/>
      <c r="PNT80" s="211"/>
      <c r="PNU80" s="211"/>
      <c r="PNV80" s="211"/>
      <c r="PNW80" s="211"/>
      <c r="PNX80" s="211"/>
      <c r="PNY80" s="211"/>
      <c r="PNZ80" s="211"/>
      <c r="POA80" s="211"/>
      <c r="POB80" s="211"/>
      <c r="POC80" s="211"/>
      <c r="POD80" s="211"/>
      <c r="POE80" s="211"/>
      <c r="POF80" s="211"/>
      <c r="POG80" s="211"/>
      <c r="POH80" s="211"/>
      <c r="POI80" s="211"/>
      <c r="POJ80" s="211"/>
      <c r="POK80" s="211"/>
      <c r="POL80" s="211"/>
      <c r="POM80" s="211"/>
      <c r="PON80" s="211"/>
      <c r="POO80" s="211"/>
      <c r="POP80" s="211"/>
      <c r="POQ80" s="211"/>
      <c r="POR80" s="211"/>
      <c r="POS80" s="211"/>
      <c r="POT80" s="211"/>
      <c r="POU80" s="211"/>
      <c r="POV80" s="211"/>
      <c r="POW80" s="211"/>
      <c r="POX80" s="211"/>
      <c r="POY80" s="211"/>
      <c r="POZ80" s="211"/>
      <c r="PPA80" s="211"/>
      <c r="PPB80" s="211"/>
      <c r="PPC80" s="211"/>
      <c r="PPD80" s="211"/>
      <c r="PPE80" s="211"/>
      <c r="PPF80" s="211"/>
      <c r="PPG80" s="211"/>
      <c r="PPH80" s="211"/>
      <c r="PPI80" s="211"/>
      <c r="PPJ80" s="211"/>
      <c r="PPK80" s="211"/>
      <c r="PPL80" s="211"/>
      <c r="PPM80" s="211"/>
      <c r="PPN80" s="211"/>
      <c r="PPO80" s="211"/>
      <c r="PPP80" s="211"/>
      <c r="PPQ80" s="211"/>
      <c r="PPR80" s="211"/>
      <c r="PPS80" s="211"/>
      <c r="PPT80" s="211"/>
      <c r="PPU80" s="211"/>
      <c r="PPV80" s="211"/>
      <c r="PPW80" s="211"/>
      <c r="PPX80" s="211"/>
      <c r="PPY80" s="211"/>
      <c r="PPZ80" s="211"/>
      <c r="PQA80" s="211"/>
      <c r="PQB80" s="211"/>
      <c r="PQC80" s="211"/>
      <c r="PQD80" s="211"/>
      <c r="PQE80" s="211"/>
      <c r="PQF80" s="211"/>
      <c r="PQG80" s="211"/>
      <c r="PQH80" s="211"/>
      <c r="PQI80" s="211"/>
      <c r="PQJ80" s="211"/>
      <c r="PQK80" s="211"/>
      <c r="PQL80" s="211"/>
      <c r="PQM80" s="211"/>
      <c r="PQN80" s="211"/>
      <c r="PQO80" s="211"/>
      <c r="PQP80" s="211"/>
      <c r="PQQ80" s="211"/>
      <c r="PQR80" s="211"/>
      <c r="PQS80" s="211"/>
      <c r="PQT80" s="211"/>
      <c r="PQU80" s="211"/>
      <c r="PQV80" s="211"/>
      <c r="PQW80" s="211"/>
      <c r="PQX80" s="211"/>
      <c r="PQY80" s="211"/>
      <c r="PQZ80" s="211"/>
      <c r="PRA80" s="211"/>
      <c r="PRB80" s="211"/>
      <c r="PRC80" s="211"/>
      <c r="PRD80" s="211"/>
      <c r="PRE80" s="211"/>
      <c r="PRF80" s="211"/>
      <c r="PRG80" s="211"/>
      <c r="PRH80" s="211"/>
      <c r="PRI80" s="211"/>
      <c r="PRJ80" s="211"/>
      <c r="PRK80" s="211"/>
      <c r="PRL80" s="211"/>
      <c r="PRM80" s="211"/>
      <c r="PRN80" s="211"/>
      <c r="PRO80" s="211"/>
      <c r="PRP80" s="211"/>
      <c r="PRQ80" s="211"/>
      <c r="PRR80" s="211"/>
      <c r="PRS80" s="211"/>
      <c r="PRT80" s="211"/>
      <c r="PRU80" s="211"/>
      <c r="PRV80" s="211"/>
      <c r="PRW80" s="211"/>
      <c r="PRX80" s="211"/>
      <c r="PRY80" s="211"/>
      <c r="PRZ80" s="211"/>
      <c r="PSA80" s="211"/>
      <c r="PSB80" s="211"/>
      <c r="PSC80" s="211"/>
      <c r="PSD80" s="211"/>
      <c r="PSE80" s="211"/>
      <c r="PSF80" s="211"/>
      <c r="PSG80" s="211"/>
      <c r="PSH80" s="211"/>
      <c r="PSI80" s="211"/>
      <c r="PSJ80" s="211"/>
      <c r="PSK80" s="211"/>
      <c r="PSL80" s="211"/>
      <c r="PSM80" s="211"/>
      <c r="PSN80" s="211"/>
      <c r="PSO80" s="211"/>
      <c r="PSP80" s="211"/>
      <c r="PSQ80" s="211"/>
      <c r="PSR80" s="211"/>
      <c r="PSS80" s="211"/>
      <c r="PST80" s="211"/>
      <c r="PSU80" s="211"/>
      <c r="PSV80" s="211"/>
      <c r="PSW80" s="211"/>
      <c r="PSX80" s="211"/>
      <c r="PSY80" s="211"/>
      <c r="PSZ80" s="211"/>
      <c r="PTA80" s="211"/>
      <c r="PTB80" s="211"/>
      <c r="PTC80" s="211"/>
      <c r="PTD80" s="211"/>
      <c r="PTE80" s="211"/>
      <c r="PTF80" s="211"/>
      <c r="PTG80" s="211"/>
      <c r="PTH80" s="211"/>
      <c r="PTI80" s="211"/>
      <c r="PTJ80" s="211"/>
      <c r="PTK80" s="211"/>
      <c r="PTL80" s="211"/>
      <c r="PTM80" s="211"/>
      <c r="PTN80" s="211"/>
      <c r="PTO80" s="211"/>
      <c r="PTP80" s="211"/>
      <c r="PTQ80" s="211"/>
      <c r="PTR80" s="211"/>
      <c r="PTS80" s="211"/>
      <c r="PTT80" s="211"/>
      <c r="PTU80" s="211"/>
      <c r="PTV80" s="211"/>
      <c r="PTW80" s="211"/>
      <c r="PTX80" s="211"/>
      <c r="PTY80" s="211"/>
      <c r="PTZ80" s="211"/>
      <c r="PUA80" s="211"/>
      <c r="PUB80" s="211"/>
      <c r="PUC80" s="211"/>
      <c r="PUD80" s="211"/>
      <c r="PUE80" s="211"/>
      <c r="PUF80" s="211"/>
      <c r="PUG80" s="211"/>
      <c r="PUH80" s="211"/>
      <c r="PUI80" s="211"/>
      <c r="PUJ80" s="211"/>
      <c r="PUK80" s="211"/>
      <c r="PUL80" s="211"/>
      <c r="PUM80" s="211"/>
      <c r="PUN80" s="211"/>
      <c r="PUO80" s="211"/>
      <c r="PUP80" s="211"/>
      <c r="PUQ80" s="211"/>
      <c r="PUR80" s="211"/>
      <c r="PUS80" s="211"/>
      <c r="PUT80" s="211"/>
      <c r="PUU80" s="211"/>
      <c r="PUV80" s="211"/>
      <c r="PUW80" s="211"/>
      <c r="PUX80" s="211"/>
      <c r="PUY80" s="211"/>
      <c r="PUZ80" s="211"/>
      <c r="PVA80" s="211"/>
      <c r="PVB80" s="211"/>
      <c r="PVC80" s="211"/>
      <c r="PVD80" s="211"/>
      <c r="PVE80" s="211"/>
      <c r="PVF80" s="211"/>
      <c r="PVG80" s="211"/>
      <c r="PVH80" s="211"/>
      <c r="PVI80" s="211"/>
      <c r="PVJ80" s="211"/>
      <c r="PVK80" s="211"/>
      <c r="PVL80" s="211"/>
      <c r="PVM80" s="211"/>
      <c r="PVN80" s="211"/>
      <c r="PVO80" s="211"/>
      <c r="PVP80" s="211"/>
      <c r="PVQ80" s="211"/>
      <c r="PVR80" s="211"/>
      <c r="PVS80" s="211"/>
      <c r="PVT80" s="211"/>
      <c r="PVU80" s="211"/>
      <c r="PVV80" s="211"/>
      <c r="PVW80" s="211"/>
      <c r="PVX80" s="211"/>
      <c r="PVY80" s="211"/>
      <c r="PVZ80" s="211"/>
      <c r="PWA80" s="211"/>
      <c r="PWB80" s="211"/>
      <c r="PWC80" s="211"/>
      <c r="PWD80" s="211"/>
      <c r="PWE80" s="211"/>
      <c r="PWF80" s="211"/>
      <c r="PWG80" s="211"/>
      <c r="PWH80" s="211"/>
      <c r="PWI80" s="211"/>
      <c r="PWJ80" s="211"/>
      <c r="PWK80" s="211"/>
      <c r="PWL80" s="211"/>
      <c r="PWM80" s="211"/>
      <c r="PWN80" s="211"/>
      <c r="PWO80" s="211"/>
      <c r="PWP80" s="211"/>
      <c r="PWQ80" s="211"/>
      <c r="PWR80" s="211"/>
      <c r="PWS80" s="211"/>
      <c r="PWT80" s="211"/>
      <c r="PWU80" s="211"/>
      <c r="PWV80" s="211"/>
      <c r="PWW80" s="211"/>
      <c r="PWX80" s="211"/>
      <c r="PWY80" s="211"/>
      <c r="PWZ80" s="211"/>
      <c r="PXA80" s="211"/>
      <c r="PXB80" s="211"/>
      <c r="PXC80" s="211"/>
      <c r="PXD80" s="211"/>
      <c r="PXE80" s="211"/>
      <c r="PXF80" s="211"/>
      <c r="PXG80" s="211"/>
      <c r="PXH80" s="211"/>
      <c r="PXI80" s="211"/>
      <c r="PXJ80" s="211"/>
      <c r="PXK80" s="211"/>
      <c r="PXL80" s="211"/>
      <c r="PXM80" s="211"/>
      <c r="PXN80" s="211"/>
      <c r="PXO80" s="211"/>
      <c r="PXP80" s="211"/>
      <c r="PXQ80" s="211"/>
      <c r="PXR80" s="211"/>
      <c r="PXS80" s="211"/>
      <c r="PXT80" s="211"/>
      <c r="PXU80" s="211"/>
      <c r="PXV80" s="211"/>
      <c r="PXW80" s="211"/>
      <c r="PXX80" s="211"/>
      <c r="PXY80" s="211"/>
      <c r="PXZ80" s="211"/>
      <c r="PYA80" s="211"/>
      <c r="PYB80" s="211"/>
      <c r="PYC80" s="211"/>
      <c r="PYD80" s="211"/>
      <c r="PYE80" s="211"/>
      <c r="PYF80" s="211"/>
      <c r="PYG80" s="211"/>
      <c r="PYH80" s="211"/>
      <c r="PYI80" s="211"/>
      <c r="PYJ80" s="211"/>
      <c r="PYK80" s="211"/>
      <c r="PYL80" s="211"/>
      <c r="PYM80" s="211"/>
      <c r="PYN80" s="211"/>
      <c r="PYO80" s="211"/>
      <c r="PYP80" s="211"/>
      <c r="PYQ80" s="211"/>
      <c r="PYR80" s="211"/>
      <c r="PYS80" s="211"/>
      <c r="PYT80" s="211"/>
      <c r="PYU80" s="211"/>
      <c r="PYV80" s="211"/>
      <c r="PYW80" s="211"/>
      <c r="PYX80" s="211"/>
      <c r="PYY80" s="211"/>
      <c r="PYZ80" s="211"/>
      <c r="PZA80" s="211"/>
      <c r="PZB80" s="211"/>
      <c r="PZC80" s="211"/>
      <c r="PZD80" s="211"/>
      <c r="PZE80" s="211"/>
      <c r="PZF80" s="211"/>
      <c r="PZG80" s="211"/>
      <c r="PZH80" s="211"/>
      <c r="PZI80" s="211"/>
      <c r="PZJ80" s="211"/>
      <c r="PZK80" s="211"/>
      <c r="PZL80" s="211"/>
      <c r="PZM80" s="211"/>
      <c r="PZN80" s="211"/>
      <c r="PZO80" s="211"/>
      <c r="PZP80" s="211"/>
      <c r="PZQ80" s="211"/>
      <c r="PZR80" s="211"/>
      <c r="PZS80" s="211"/>
      <c r="PZT80" s="211"/>
      <c r="PZU80" s="211"/>
      <c r="PZV80" s="211"/>
      <c r="PZW80" s="211"/>
      <c r="PZX80" s="211"/>
      <c r="PZY80" s="211"/>
      <c r="PZZ80" s="211"/>
      <c r="QAA80" s="211"/>
      <c r="QAB80" s="211"/>
      <c r="QAC80" s="211"/>
      <c r="QAD80" s="211"/>
      <c r="QAE80" s="211"/>
      <c r="QAF80" s="211"/>
      <c r="QAG80" s="211"/>
      <c r="QAH80" s="211"/>
      <c r="QAI80" s="211"/>
      <c r="QAJ80" s="211"/>
      <c r="QAK80" s="211"/>
      <c r="QAL80" s="211"/>
      <c r="QAM80" s="211"/>
      <c r="QAN80" s="211"/>
      <c r="QAO80" s="211"/>
      <c r="QAP80" s="211"/>
      <c r="QAQ80" s="211"/>
      <c r="QAR80" s="211"/>
      <c r="QAS80" s="211"/>
      <c r="QAT80" s="211"/>
      <c r="QAU80" s="211"/>
      <c r="QAV80" s="211"/>
      <c r="QAW80" s="211"/>
      <c r="QAX80" s="211"/>
      <c r="QAY80" s="211"/>
      <c r="QAZ80" s="211"/>
      <c r="QBA80" s="211"/>
      <c r="QBB80" s="211"/>
      <c r="QBC80" s="211"/>
      <c r="QBD80" s="211"/>
      <c r="QBE80" s="211"/>
      <c r="QBF80" s="211"/>
      <c r="QBG80" s="211"/>
      <c r="QBH80" s="211"/>
      <c r="QBI80" s="211"/>
      <c r="QBJ80" s="211"/>
      <c r="QBK80" s="211"/>
      <c r="QBL80" s="211"/>
      <c r="QBM80" s="211"/>
      <c r="QBN80" s="211"/>
      <c r="QBO80" s="211"/>
      <c r="QBP80" s="211"/>
      <c r="QBQ80" s="211"/>
      <c r="QBR80" s="211"/>
      <c r="QBS80" s="211"/>
      <c r="QBT80" s="211"/>
      <c r="QBU80" s="211"/>
      <c r="QBV80" s="211"/>
      <c r="QBW80" s="211"/>
      <c r="QBX80" s="211"/>
      <c r="QBY80" s="211"/>
      <c r="QBZ80" s="211"/>
      <c r="QCA80" s="211"/>
      <c r="QCB80" s="211"/>
      <c r="QCC80" s="211"/>
      <c r="QCD80" s="211"/>
      <c r="QCE80" s="211"/>
      <c r="QCF80" s="211"/>
      <c r="QCG80" s="211"/>
      <c r="QCH80" s="211"/>
      <c r="QCI80" s="211"/>
      <c r="QCJ80" s="211"/>
      <c r="QCK80" s="211"/>
      <c r="QCL80" s="211"/>
      <c r="QCM80" s="211"/>
      <c r="QCN80" s="211"/>
      <c r="QCO80" s="211"/>
      <c r="QCP80" s="211"/>
      <c r="QCQ80" s="211"/>
      <c r="QCR80" s="211"/>
      <c r="QCS80" s="211"/>
      <c r="QCT80" s="211"/>
      <c r="QCU80" s="211"/>
      <c r="QCV80" s="211"/>
      <c r="QCW80" s="211"/>
      <c r="QCX80" s="211"/>
      <c r="QCY80" s="211"/>
      <c r="QCZ80" s="211"/>
      <c r="QDA80" s="211"/>
      <c r="QDB80" s="211"/>
      <c r="QDC80" s="211"/>
      <c r="QDD80" s="211"/>
      <c r="QDE80" s="211"/>
      <c r="QDF80" s="211"/>
      <c r="QDG80" s="211"/>
      <c r="QDH80" s="211"/>
      <c r="QDI80" s="211"/>
      <c r="QDJ80" s="211"/>
      <c r="QDK80" s="211"/>
      <c r="QDL80" s="211"/>
      <c r="QDM80" s="211"/>
      <c r="QDN80" s="211"/>
      <c r="QDO80" s="211"/>
      <c r="QDP80" s="211"/>
      <c r="QDQ80" s="211"/>
      <c r="QDR80" s="211"/>
      <c r="QDS80" s="211"/>
      <c r="QDT80" s="211"/>
      <c r="QDU80" s="211"/>
      <c r="QDV80" s="211"/>
      <c r="QDW80" s="211"/>
      <c r="QDX80" s="211"/>
      <c r="QDY80" s="211"/>
      <c r="QDZ80" s="211"/>
      <c r="QEA80" s="211"/>
      <c r="QEB80" s="211"/>
      <c r="QEC80" s="211"/>
      <c r="QED80" s="211"/>
      <c r="QEE80" s="211"/>
      <c r="QEF80" s="211"/>
      <c r="QEG80" s="211"/>
      <c r="QEH80" s="211"/>
      <c r="QEI80" s="211"/>
      <c r="QEJ80" s="211"/>
      <c r="QEK80" s="211"/>
      <c r="QEL80" s="211"/>
      <c r="QEM80" s="211"/>
      <c r="QEN80" s="211"/>
      <c r="QEO80" s="211"/>
      <c r="QEP80" s="211"/>
      <c r="QEQ80" s="211"/>
      <c r="QER80" s="211"/>
      <c r="QES80" s="211"/>
      <c r="QET80" s="211"/>
      <c r="QEU80" s="211"/>
      <c r="QEV80" s="211"/>
      <c r="QEW80" s="211"/>
      <c r="QEX80" s="211"/>
      <c r="QEY80" s="211"/>
      <c r="QEZ80" s="211"/>
      <c r="QFA80" s="211"/>
      <c r="QFB80" s="211"/>
      <c r="QFC80" s="211"/>
      <c r="QFD80" s="211"/>
      <c r="QFE80" s="211"/>
      <c r="QFF80" s="211"/>
      <c r="QFG80" s="211"/>
      <c r="QFH80" s="211"/>
      <c r="QFI80" s="211"/>
      <c r="QFJ80" s="211"/>
      <c r="QFK80" s="211"/>
      <c r="QFL80" s="211"/>
      <c r="QFM80" s="211"/>
      <c r="QFN80" s="211"/>
      <c r="QFO80" s="211"/>
      <c r="QFP80" s="211"/>
      <c r="QFQ80" s="211"/>
      <c r="QFR80" s="211"/>
      <c r="QFS80" s="211"/>
      <c r="QFT80" s="211"/>
      <c r="QFU80" s="211"/>
      <c r="QFV80" s="211"/>
      <c r="QFW80" s="211"/>
      <c r="QFX80" s="211"/>
      <c r="QFY80" s="211"/>
      <c r="QFZ80" s="211"/>
      <c r="QGA80" s="211"/>
      <c r="QGB80" s="211"/>
      <c r="QGC80" s="211"/>
      <c r="QGD80" s="211"/>
      <c r="QGE80" s="211"/>
      <c r="QGF80" s="211"/>
      <c r="QGG80" s="211"/>
      <c r="QGH80" s="211"/>
      <c r="QGI80" s="211"/>
      <c r="QGJ80" s="211"/>
      <c r="QGK80" s="211"/>
      <c r="QGL80" s="211"/>
      <c r="QGM80" s="211"/>
      <c r="QGN80" s="211"/>
      <c r="QGO80" s="211"/>
      <c r="QGP80" s="211"/>
      <c r="QGQ80" s="211"/>
      <c r="QGR80" s="211"/>
      <c r="QGS80" s="211"/>
      <c r="QGT80" s="211"/>
      <c r="QGU80" s="211"/>
      <c r="QGV80" s="211"/>
      <c r="QGW80" s="211"/>
      <c r="QGX80" s="211"/>
      <c r="QGY80" s="211"/>
      <c r="QGZ80" s="211"/>
      <c r="QHA80" s="211"/>
      <c r="QHB80" s="211"/>
      <c r="QHC80" s="211"/>
      <c r="QHD80" s="211"/>
      <c r="QHE80" s="211"/>
      <c r="QHF80" s="211"/>
      <c r="QHG80" s="211"/>
      <c r="QHH80" s="211"/>
      <c r="QHI80" s="211"/>
      <c r="QHJ80" s="211"/>
      <c r="QHK80" s="211"/>
      <c r="QHL80" s="211"/>
      <c r="QHM80" s="211"/>
      <c r="QHN80" s="211"/>
      <c r="QHO80" s="211"/>
      <c r="QHP80" s="211"/>
      <c r="QHQ80" s="211"/>
      <c r="QHR80" s="211"/>
      <c r="QHS80" s="211"/>
      <c r="QHT80" s="211"/>
      <c r="QHU80" s="211"/>
      <c r="QHV80" s="211"/>
      <c r="QHW80" s="211"/>
      <c r="QHX80" s="211"/>
      <c r="QHY80" s="211"/>
      <c r="QHZ80" s="211"/>
      <c r="QIA80" s="211"/>
      <c r="QIB80" s="211"/>
      <c r="QIC80" s="211"/>
      <c r="QID80" s="211"/>
      <c r="QIE80" s="211"/>
      <c r="QIF80" s="211"/>
      <c r="QIG80" s="211"/>
      <c r="QIH80" s="211"/>
      <c r="QII80" s="211"/>
      <c r="QIJ80" s="211"/>
      <c r="QIK80" s="211"/>
      <c r="QIL80" s="211"/>
      <c r="QIM80" s="211"/>
      <c r="QIN80" s="211"/>
      <c r="QIO80" s="211"/>
      <c r="QIP80" s="211"/>
      <c r="QIQ80" s="211"/>
      <c r="QIR80" s="211"/>
      <c r="QIS80" s="211"/>
      <c r="QIT80" s="211"/>
      <c r="QIU80" s="211"/>
      <c r="QIV80" s="211"/>
      <c r="QIW80" s="211"/>
      <c r="QIX80" s="211"/>
      <c r="QIY80" s="211"/>
      <c r="QIZ80" s="211"/>
      <c r="QJA80" s="211"/>
      <c r="QJB80" s="211"/>
      <c r="QJC80" s="211"/>
      <c r="QJD80" s="211"/>
      <c r="QJE80" s="211"/>
      <c r="QJF80" s="211"/>
      <c r="QJG80" s="211"/>
      <c r="QJH80" s="211"/>
      <c r="QJI80" s="211"/>
      <c r="QJJ80" s="211"/>
      <c r="QJK80" s="211"/>
      <c r="QJL80" s="211"/>
      <c r="QJM80" s="211"/>
      <c r="QJN80" s="211"/>
      <c r="QJO80" s="211"/>
      <c r="QJP80" s="211"/>
      <c r="QJQ80" s="211"/>
      <c r="QJR80" s="211"/>
      <c r="QJS80" s="211"/>
      <c r="QJT80" s="211"/>
      <c r="QJU80" s="211"/>
      <c r="QJV80" s="211"/>
      <c r="QJW80" s="211"/>
      <c r="QJX80" s="211"/>
      <c r="QJY80" s="211"/>
      <c r="QJZ80" s="211"/>
      <c r="QKA80" s="211"/>
      <c r="QKB80" s="211"/>
      <c r="QKC80" s="211"/>
      <c r="QKD80" s="211"/>
      <c r="QKE80" s="211"/>
      <c r="QKF80" s="211"/>
      <c r="QKG80" s="211"/>
      <c r="QKH80" s="211"/>
      <c r="QKI80" s="211"/>
      <c r="QKJ80" s="211"/>
      <c r="QKK80" s="211"/>
      <c r="QKL80" s="211"/>
      <c r="QKM80" s="211"/>
      <c r="QKN80" s="211"/>
      <c r="QKO80" s="211"/>
      <c r="QKP80" s="211"/>
      <c r="QKQ80" s="211"/>
      <c r="QKR80" s="211"/>
      <c r="QKS80" s="211"/>
      <c r="QKT80" s="211"/>
      <c r="QKU80" s="211"/>
      <c r="QKV80" s="211"/>
      <c r="QKW80" s="211"/>
      <c r="QKX80" s="211"/>
      <c r="QKY80" s="211"/>
      <c r="QKZ80" s="211"/>
      <c r="QLA80" s="211"/>
      <c r="QLB80" s="211"/>
      <c r="QLC80" s="211"/>
      <c r="QLD80" s="211"/>
      <c r="QLE80" s="211"/>
      <c r="QLF80" s="211"/>
      <c r="QLG80" s="211"/>
      <c r="QLH80" s="211"/>
      <c r="QLI80" s="211"/>
      <c r="QLJ80" s="211"/>
      <c r="QLK80" s="211"/>
      <c r="QLL80" s="211"/>
      <c r="QLM80" s="211"/>
      <c r="QLN80" s="211"/>
      <c r="QLO80" s="211"/>
      <c r="QLP80" s="211"/>
      <c r="QLQ80" s="211"/>
      <c r="QLR80" s="211"/>
      <c r="QLS80" s="211"/>
      <c r="QLT80" s="211"/>
      <c r="QLU80" s="211"/>
      <c r="QLV80" s="211"/>
      <c r="QLW80" s="211"/>
      <c r="QLX80" s="211"/>
      <c r="QLY80" s="211"/>
      <c r="QLZ80" s="211"/>
      <c r="QMA80" s="211"/>
      <c r="QMB80" s="211"/>
      <c r="QMC80" s="211"/>
      <c r="QMD80" s="211"/>
      <c r="QME80" s="211"/>
      <c r="QMF80" s="211"/>
      <c r="QMG80" s="211"/>
      <c r="QMH80" s="211"/>
      <c r="QMI80" s="211"/>
      <c r="QMJ80" s="211"/>
      <c r="QMK80" s="211"/>
      <c r="QML80" s="211"/>
      <c r="QMM80" s="211"/>
      <c r="QMN80" s="211"/>
      <c r="QMO80" s="211"/>
      <c r="QMP80" s="211"/>
      <c r="QMQ80" s="211"/>
      <c r="QMR80" s="211"/>
      <c r="QMS80" s="211"/>
      <c r="QMT80" s="211"/>
      <c r="QMU80" s="211"/>
      <c r="QMV80" s="211"/>
      <c r="QMW80" s="211"/>
      <c r="QMX80" s="211"/>
      <c r="QMY80" s="211"/>
      <c r="QMZ80" s="211"/>
      <c r="QNA80" s="211"/>
      <c r="QNB80" s="211"/>
      <c r="QNC80" s="211"/>
      <c r="QND80" s="211"/>
      <c r="QNE80" s="211"/>
      <c r="QNF80" s="211"/>
      <c r="QNG80" s="211"/>
      <c r="QNH80" s="211"/>
      <c r="QNI80" s="211"/>
      <c r="QNJ80" s="211"/>
      <c r="QNK80" s="211"/>
      <c r="QNL80" s="211"/>
      <c r="QNM80" s="211"/>
      <c r="QNN80" s="211"/>
      <c r="QNO80" s="211"/>
      <c r="QNP80" s="211"/>
      <c r="QNQ80" s="211"/>
      <c r="QNR80" s="211"/>
      <c r="QNS80" s="211"/>
      <c r="QNT80" s="211"/>
      <c r="QNU80" s="211"/>
      <c r="QNV80" s="211"/>
      <c r="QNW80" s="211"/>
      <c r="QNX80" s="211"/>
      <c r="QNY80" s="211"/>
      <c r="QNZ80" s="211"/>
      <c r="QOA80" s="211"/>
      <c r="QOB80" s="211"/>
      <c r="QOC80" s="211"/>
      <c r="QOD80" s="211"/>
      <c r="QOE80" s="211"/>
      <c r="QOF80" s="211"/>
      <c r="QOG80" s="211"/>
      <c r="QOH80" s="211"/>
      <c r="QOI80" s="211"/>
      <c r="QOJ80" s="211"/>
      <c r="QOK80" s="211"/>
      <c r="QOL80" s="211"/>
      <c r="QOM80" s="211"/>
      <c r="QON80" s="211"/>
      <c r="QOO80" s="211"/>
      <c r="QOP80" s="211"/>
      <c r="QOQ80" s="211"/>
      <c r="QOR80" s="211"/>
      <c r="QOS80" s="211"/>
      <c r="QOT80" s="211"/>
      <c r="QOU80" s="211"/>
      <c r="QOV80" s="211"/>
      <c r="QOW80" s="211"/>
      <c r="QOX80" s="211"/>
      <c r="QOY80" s="211"/>
      <c r="QOZ80" s="211"/>
      <c r="QPA80" s="211"/>
      <c r="QPB80" s="211"/>
      <c r="QPC80" s="211"/>
      <c r="QPD80" s="211"/>
      <c r="QPE80" s="211"/>
      <c r="QPF80" s="211"/>
      <c r="QPG80" s="211"/>
      <c r="QPH80" s="211"/>
      <c r="QPI80" s="211"/>
      <c r="QPJ80" s="211"/>
      <c r="QPK80" s="211"/>
      <c r="QPL80" s="211"/>
      <c r="QPM80" s="211"/>
      <c r="QPN80" s="211"/>
      <c r="QPO80" s="211"/>
      <c r="QPP80" s="211"/>
      <c r="QPQ80" s="211"/>
      <c r="QPR80" s="211"/>
      <c r="QPS80" s="211"/>
      <c r="QPT80" s="211"/>
      <c r="QPU80" s="211"/>
      <c r="QPV80" s="211"/>
      <c r="QPW80" s="211"/>
      <c r="QPX80" s="211"/>
      <c r="QPY80" s="211"/>
      <c r="QPZ80" s="211"/>
      <c r="QQA80" s="211"/>
      <c r="QQB80" s="211"/>
      <c r="QQC80" s="211"/>
      <c r="QQD80" s="211"/>
      <c r="QQE80" s="211"/>
      <c r="QQF80" s="211"/>
      <c r="QQG80" s="211"/>
      <c r="QQH80" s="211"/>
      <c r="QQI80" s="211"/>
      <c r="QQJ80" s="211"/>
      <c r="QQK80" s="211"/>
      <c r="QQL80" s="211"/>
      <c r="QQM80" s="211"/>
      <c r="QQN80" s="211"/>
      <c r="QQO80" s="211"/>
      <c r="QQP80" s="211"/>
      <c r="QQQ80" s="211"/>
      <c r="QQR80" s="211"/>
      <c r="QQS80" s="211"/>
      <c r="QQT80" s="211"/>
      <c r="QQU80" s="211"/>
      <c r="QQV80" s="211"/>
      <c r="QQW80" s="211"/>
      <c r="QQX80" s="211"/>
      <c r="QQY80" s="211"/>
      <c r="QQZ80" s="211"/>
      <c r="QRA80" s="211"/>
      <c r="QRB80" s="211"/>
      <c r="QRC80" s="211"/>
      <c r="QRD80" s="211"/>
      <c r="QRE80" s="211"/>
      <c r="QRF80" s="211"/>
      <c r="QRG80" s="211"/>
      <c r="QRH80" s="211"/>
      <c r="QRI80" s="211"/>
      <c r="QRJ80" s="211"/>
      <c r="QRK80" s="211"/>
      <c r="QRL80" s="211"/>
      <c r="QRM80" s="211"/>
      <c r="QRN80" s="211"/>
      <c r="QRO80" s="211"/>
      <c r="QRP80" s="211"/>
      <c r="QRQ80" s="211"/>
      <c r="QRR80" s="211"/>
      <c r="QRS80" s="211"/>
      <c r="QRT80" s="211"/>
      <c r="QRU80" s="211"/>
      <c r="QRV80" s="211"/>
      <c r="QRW80" s="211"/>
      <c r="QRX80" s="211"/>
      <c r="QRY80" s="211"/>
      <c r="QRZ80" s="211"/>
      <c r="QSA80" s="211"/>
      <c r="QSB80" s="211"/>
      <c r="QSC80" s="211"/>
      <c r="QSD80" s="211"/>
      <c r="QSE80" s="211"/>
      <c r="QSF80" s="211"/>
      <c r="QSG80" s="211"/>
      <c r="QSH80" s="211"/>
      <c r="QSI80" s="211"/>
      <c r="QSJ80" s="211"/>
      <c r="QSK80" s="211"/>
      <c r="QSL80" s="211"/>
      <c r="QSM80" s="211"/>
      <c r="QSN80" s="211"/>
      <c r="QSO80" s="211"/>
      <c r="QSP80" s="211"/>
      <c r="QSQ80" s="211"/>
      <c r="QSR80" s="211"/>
      <c r="QSS80" s="211"/>
      <c r="QST80" s="211"/>
      <c r="QSU80" s="211"/>
      <c r="QSV80" s="211"/>
      <c r="QSW80" s="211"/>
      <c r="QSX80" s="211"/>
      <c r="QSY80" s="211"/>
      <c r="QSZ80" s="211"/>
      <c r="QTA80" s="211"/>
      <c r="QTB80" s="211"/>
      <c r="QTC80" s="211"/>
      <c r="QTD80" s="211"/>
      <c r="QTE80" s="211"/>
      <c r="QTF80" s="211"/>
      <c r="QTG80" s="211"/>
      <c r="QTH80" s="211"/>
      <c r="QTI80" s="211"/>
      <c r="QTJ80" s="211"/>
      <c r="QTK80" s="211"/>
      <c r="QTL80" s="211"/>
      <c r="QTM80" s="211"/>
      <c r="QTN80" s="211"/>
      <c r="QTO80" s="211"/>
      <c r="QTP80" s="211"/>
      <c r="QTQ80" s="211"/>
      <c r="QTR80" s="211"/>
      <c r="QTS80" s="211"/>
      <c r="QTT80" s="211"/>
      <c r="QTU80" s="211"/>
      <c r="QTV80" s="211"/>
      <c r="QTW80" s="211"/>
      <c r="QTX80" s="211"/>
      <c r="QTY80" s="211"/>
      <c r="QTZ80" s="211"/>
      <c r="QUA80" s="211"/>
      <c r="QUB80" s="211"/>
      <c r="QUC80" s="211"/>
      <c r="QUD80" s="211"/>
      <c r="QUE80" s="211"/>
      <c r="QUF80" s="211"/>
      <c r="QUG80" s="211"/>
      <c r="QUH80" s="211"/>
      <c r="QUI80" s="211"/>
      <c r="QUJ80" s="211"/>
      <c r="QUK80" s="211"/>
      <c r="QUL80" s="211"/>
      <c r="QUM80" s="211"/>
      <c r="QUN80" s="211"/>
      <c r="QUO80" s="211"/>
      <c r="QUP80" s="211"/>
      <c r="QUQ80" s="211"/>
      <c r="QUR80" s="211"/>
      <c r="QUS80" s="211"/>
      <c r="QUT80" s="211"/>
      <c r="QUU80" s="211"/>
      <c r="QUV80" s="211"/>
      <c r="QUW80" s="211"/>
      <c r="QUX80" s="211"/>
      <c r="QUY80" s="211"/>
      <c r="QUZ80" s="211"/>
      <c r="QVA80" s="211"/>
      <c r="QVB80" s="211"/>
      <c r="QVC80" s="211"/>
      <c r="QVD80" s="211"/>
      <c r="QVE80" s="211"/>
      <c r="QVF80" s="211"/>
      <c r="QVG80" s="211"/>
      <c r="QVH80" s="211"/>
      <c r="QVI80" s="211"/>
      <c r="QVJ80" s="211"/>
      <c r="QVK80" s="211"/>
      <c r="QVL80" s="211"/>
      <c r="QVM80" s="211"/>
      <c r="QVN80" s="211"/>
      <c r="QVO80" s="211"/>
      <c r="QVP80" s="211"/>
      <c r="QVQ80" s="211"/>
      <c r="QVR80" s="211"/>
      <c r="QVS80" s="211"/>
      <c r="QVT80" s="211"/>
      <c r="QVU80" s="211"/>
      <c r="QVV80" s="211"/>
      <c r="QVW80" s="211"/>
      <c r="QVX80" s="211"/>
      <c r="QVY80" s="211"/>
      <c r="QVZ80" s="211"/>
      <c r="QWA80" s="211"/>
      <c r="QWB80" s="211"/>
      <c r="QWC80" s="211"/>
      <c r="QWD80" s="211"/>
      <c r="QWE80" s="211"/>
      <c r="QWF80" s="211"/>
      <c r="QWG80" s="211"/>
      <c r="QWH80" s="211"/>
      <c r="QWI80" s="211"/>
      <c r="QWJ80" s="211"/>
      <c r="QWK80" s="211"/>
      <c r="QWL80" s="211"/>
      <c r="QWM80" s="211"/>
      <c r="QWN80" s="211"/>
      <c r="QWO80" s="211"/>
      <c r="QWP80" s="211"/>
      <c r="QWQ80" s="211"/>
      <c r="QWR80" s="211"/>
      <c r="QWS80" s="211"/>
      <c r="QWT80" s="211"/>
      <c r="QWU80" s="211"/>
      <c r="QWV80" s="211"/>
      <c r="QWW80" s="211"/>
      <c r="QWX80" s="211"/>
      <c r="QWY80" s="211"/>
      <c r="QWZ80" s="211"/>
      <c r="QXA80" s="211"/>
      <c r="QXB80" s="211"/>
      <c r="QXC80" s="211"/>
      <c r="QXD80" s="211"/>
      <c r="QXE80" s="211"/>
      <c r="QXF80" s="211"/>
      <c r="QXG80" s="211"/>
      <c r="QXH80" s="211"/>
      <c r="QXI80" s="211"/>
      <c r="QXJ80" s="211"/>
      <c r="QXK80" s="211"/>
      <c r="QXL80" s="211"/>
      <c r="QXM80" s="211"/>
      <c r="QXN80" s="211"/>
      <c r="QXO80" s="211"/>
      <c r="QXP80" s="211"/>
      <c r="QXQ80" s="211"/>
      <c r="QXR80" s="211"/>
      <c r="QXS80" s="211"/>
      <c r="QXT80" s="211"/>
      <c r="QXU80" s="211"/>
      <c r="QXV80" s="211"/>
      <c r="QXW80" s="211"/>
      <c r="QXX80" s="211"/>
      <c r="QXY80" s="211"/>
      <c r="QXZ80" s="211"/>
      <c r="QYA80" s="211"/>
      <c r="QYB80" s="211"/>
      <c r="QYC80" s="211"/>
      <c r="QYD80" s="211"/>
      <c r="QYE80" s="211"/>
      <c r="QYF80" s="211"/>
      <c r="QYG80" s="211"/>
      <c r="QYH80" s="211"/>
      <c r="QYI80" s="211"/>
      <c r="QYJ80" s="211"/>
      <c r="QYK80" s="211"/>
      <c r="QYL80" s="211"/>
      <c r="QYM80" s="211"/>
      <c r="QYN80" s="211"/>
      <c r="QYO80" s="211"/>
      <c r="QYP80" s="211"/>
      <c r="QYQ80" s="211"/>
      <c r="QYR80" s="211"/>
      <c r="QYS80" s="211"/>
      <c r="QYT80" s="211"/>
      <c r="QYU80" s="211"/>
      <c r="QYV80" s="211"/>
      <c r="QYW80" s="211"/>
      <c r="QYX80" s="211"/>
      <c r="QYY80" s="211"/>
      <c r="QYZ80" s="211"/>
      <c r="QZA80" s="211"/>
      <c r="QZB80" s="211"/>
      <c r="QZC80" s="211"/>
      <c r="QZD80" s="211"/>
      <c r="QZE80" s="211"/>
      <c r="QZF80" s="211"/>
      <c r="QZG80" s="211"/>
      <c r="QZH80" s="211"/>
      <c r="QZI80" s="211"/>
      <c r="QZJ80" s="211"/>
      <c r="QZK80" s="211"/>
      <c r="QZL80" s="211"/>
      <c r="QZM80" s="211"/>
      <c r="QZN80" s="211"/>
      <c r="QZO80" s="211"/>
      <c r="QZP80" s="211"/>
      <c r="QZQ80" s="211"/>
      <c r="QZR80" s="211"/>
      <c r="QZS80" s="211"/>
      <c r="QZT80" s="211"/>
      <c r="QZU80" s="211"/>
      <c r="QZV80" s="211"/>
      <c r="QZW80" s="211"/>
      <c r="QZX80" s="211"/>
      <c r="QZY80" s="211"/>
      <c r="QZZ80" s="211"/>
      <c r="RAA80" s="211"/>
      <c r="RAB80" s="211"/>
      <c r="RAC80" s="211"/>
      <c r="RAD80" s="211"/>
      <c r="RAE80" s="211"/>
      <c r="RAF80" s="211"/>
      <c r="RAG80" s="211"/>
      <c r="RAH80" s="211"/>
      <c r="RAI80" s="211"/>
      <c r="RAJ80" s="211"/>
      <c r="RAK80" s="211"/>
      <c r="RAL80" s="211"/>
      <c r="RAM80" s="211"/>
      <c r="RAN80" s="211"/>
      <c r="RAO80" s="211"/>
      <c r="RAP80" s="211"/>
      <c r="RAQ80" s="211"/>
      <c r="RAR80" s="211"/>
      <c r="RAS80" s="211"/>
      <c r="RAT80" s="211"/>
      <c r="RAU80" s="211"/>
      <c r="RAV80" s="211"/>
      <c r="RAW80" s="211"/>
      <c r="RAX80" s="211"/>
      <c r="RAY80" s="211"/>
      <c r="RAZ80" s="211"/>
      <c r="RBA80" s="211"/>
      <c r="RBB80" s="211"/>
      <c r="RBC80" s="211"/>
      <c r="RBD80" s="211"/>
      <c r="RBE80" s="211"/>
      <c r="RBF80" s="211"/>
      <c r="RBG80" s="211"/>
      <c r="RBH80" s="211"/>
      <c r="RBI80" s="211"/>
      <c r="RBJ80" s="211"/>
      <c r="RBK80" s="211"/>
      <c r="RBL80" s="211"/>
      <c r="RBM80" s="211"/>
      <c r="RBN80" s="211"/>
      <c r="RBO80" s="211"/>
      <c r="RBP80" s="211"/>
      <c r="RBQ80" s="211"/>
      <c r="RBR80" s="211"/>
      <c r="RBS80" s="211"/>
      <c r="RBT80" s="211"/>
      <c r="RBU80" s="211"/>
      <c r="RBV80" s="211"/>
      <c r="RBW80" s="211"/>
      <c r="RBX80" s="211"/>
      <c r="RBY80" s="211"/>
      <c r="RBZ80" s="211"/>
      <c r="RCA80" s="211"/>
      <c r="RCB80" s="211"/>
      <c r="RCC80" s="211"/>
      <c r="RCD80" s="211"/>
      <c r="RCE80" s="211"/>
      <c r="RCF80" s="211"/>
      <c r="RCG80" s="211"/>
      <c r="RCH80" s="211"/>
      <c r="RCI80" s="211"/>
      <c r="RCJ80" s="211"/>
      <c r="RCK80" s="211"/>
      <c r="RCL80" s="211"/>
      <c r="RCM80" s="211"/>
      <c r="RCN80" s="211"/>
      <c r="RCO80" s="211"/>
      <c r="RCP80" s="211"/>
      <c r="RCQ80" s="211"/>
      <c r="RCR80" s="211"/>
      <c r="RCS80" s="211"/>
      <c r="RCT80" s="211"/>
      <c r="RCU80" s="211"/>
      <c r="RCV80" s="211"/>
      <c r="RCW80" s="211"/>
      <c r="RCX80" s="211"/>
      <c r="RCY80" s="211"/>
      <c r="RCZ80" s="211"/>
      <c r="RDA80" s="211"/>
      <c r="RDB80" s="211"/>
      <c r="RDC80" s="211"/>
      <c r="RDD80" s="211"/>
      <c r="RDE80" s="211"/>
      <c r="RDF80" s="211"/>
      <c r="RDG80" s="211"/>
      <c r="RDH80" s="211"/>
      <c r="RDI80" s="211"/>
      <c r="RDJ80" s="211"/>
      <c r="RDK80" s="211"/>
      <c r="RDL80" s="211"/>
      <c r="RDM80" s="211"/>
      <c r="RDN80" s="211"/>
      <c r="RDO80" s="211"/>
      <c r="RDP80" s="211"/>
      <c r="RDQ80" s="211"/>
      <c r="RDR80" s="211"/>
      <c r="RDS80" s="211"/>
      <c r="RDT80" s="211"/>
      <c r="RDU80" s="211"/>
      <c r="RDV80" s="211"/>
      <c r="RDW80" s="211"/>
      <c r="RDX80" s="211"/>
      <c r="RDY80" s="211"/>
      <c r="RDZ80" s="211"/>
      <c r="REA80" s="211"/>
      <c r="REB80" s="211"/>
      <c r="REC80" s="211"/>
      <c r="RED80" s="211"/>
      <c r="REE80" s="211"/>
      <c r="REF80" s="211"/>
      <c r="REG80" s="211"/>
      <c r="REH80" s="211"/>
      <c r="REI80" s="211"/>
      <c r="REJ80" s="211"/>
      <c r="REK80" s="211"/>
      <c r="REL80" s="211"/>
      <c r="REM80" s="211"/>
      <c r="REN80" s="211"/>
      <c r="REO80" s="211"/>
      <c r="REP80" s="211"/>
      <c r="REQ80" s="211"/>
      <c r="RER80" s="211"/>
      <c r="RES80" s="211"/>
      <c r="RET80" s="211"/>
      <c r="REU80" s="211"/>
      <c r="REV80" s="211"/>
      <c r="REW80" s="211"/>
      <c r="REX80" s="211"/>
      <c r="REY80" s="211"/>
      <c r="REZ80" s="211"/>
      <c r="RFA80" s="211"/>
      <c r="RFB80" s="211"/>
      <c r="RFC80" s="211"/>
      <c r="RFD80" s="211"/>
      <c r="RFE80" s="211"/>
      <c r="RFF80" s="211"/>
      <c r="RFG80" s="211"/>
      <c r="RFH80" s="211"/>
      <c r="RFI80" s="211"/>
      <c r="RFJ80" s="211"/>
      <c r="RFK80" s="211"/>
      <c r="RFL80" s="211"/>
      <c r="RFM80" s="211"/>
      <c r="RFN80" s="211"/>
      <c r="RFO80" s="211"/>
      <c r="RFP80" s="211"/>
      <c r="RFQ80" s="211"/>
      <c r="RFR80" s="211"/>
      <c r="RFS80" s="211"/>
      <c r="RFT80" s="211"/>
      <c r="RFU80" s="211"/>
      <c r="RFV80" s="211"/>
      <c r="RFW80" s="211"/>
      <c r="RFX80" s="211"/>
      <c r="RFY80" s="211"/>
      <c r="RFZ80" s="211"/>
      <c r="RGA80" s="211"/>
      <c r="RGB80" s="211"/>
      <c r="RGC80" s="211"/>
      <c r="RGD80" s="211"/>
      <c r="RGE80" s="211"/>
      <c r="RGF80" s="211"/>
      <c r="RGG80" s="211"/>
      <c r="RGH80" s="211"/>
      <c r="RGI80" s="211"/>
      <c r="RGJ80" s="211"/>
      <c r="RGK80" s="211"/>
      <c r="RGL80" s="211"/>
      <c r="RGM80" s="211"/>
      <c r="RGN80" s="211"/>
      <c r="RGO80" s="211"/>
      <c r="RGP80" s="211"/>
      <c r="RGQ80" s="211"/>
      <c r="RGR80" s="211"/>
      <c r="RGS80" s="211"/>
      <c r="RGT80" s="211"/>
      <c r="RGU80" s="211"/>
      <c r="RGV80" s="211"/>
      <c r="RGW80" s="211"/>
      <c r="RGX80" s="211"/>
      <c r="RGY80" s="211"/>
      <c r="RGZ80" s="211"/>
      <c r="RHA80" s="211"/>
      <c r="RHB80" s="211"/>
      <c r="RHC80" s="211"/>
      <c r="RHD80" s="211"/>
      <c r="RHE80" s="211"/>
      <c r="RHF80" s="211"/>
      <c r="RHG80" s="211"/>
      <c r="RHH80" s="211"/>
      <c r="RHI80" s="211"/>
      <c r="RHJ80" s="211"/>
      <c r="RHK80" s="211"/>
      <c r="RHL80" s="211"/>
      <c r="RHM80" s="211"/>
      <c r="RHN80" s="211"/>
      <c r="RHO80" s="211"/>
      <c r="RHP80" s="211"/>
      <c r="RHQ80" s="211"/>
      <c r="RHR80" s="211"/>
      <c r="RHS80" s="211"/>
      <c r="RHT80" s="211"/>
      <c r="RHU80" s="211"/>
      <c r="RHV80" s="211"/>
      <c r="RHW80" s="211"/>
      <c r="RHX80" s="211"/>
      <c r="RHY80" s="211"/>
      <c r="RHZ80" s="211"/>
      <c r="RIA80" s="211"/>
      <c r="RIB80" s="211"/>
      <c r="RIC80" s="211"/>
      <c r="RID80" s="211"/>
      <c r="RIE80" s="211"/>
      <c r="RIF80" s="211"/>
      <c r="RIG80" s="211"/>
      <c r="RIH80" s="211"/>
      <c r="RII80" s="211"/>
      <c r="RIJ80" s="211"/>
      <c r="RIK80" s="211"/>
      <c r="RIL80" s="211"/>
      <c r="RIM80" s="211"/>
      <c r="RIN80" s="211"/>
      <c r="RIO80" s="211"/>
      <c r="RIP80" s="211"/>
      <c r="RIQ80" s="211"/>
      <c r="RIR80" s="211"/>
      <c r="RIS80" s="211"/>
      <c r="RIT80" s="211"/>
      <c r="RIU80" s="211"/>
      <c r="RIV80" s="211"/>
      <c r="RIW80" s="211"/>
      <c r="RIX80" s="211"/>
      <c r="RIY80" s="211"/>
      <c r="RIZ80" s="211"/>
      <c r="RJA80" s="211"/>
      <c r="RJB80" s="211"/>
      <c r="RJC80" s="211"/>
      <c r="RJD80" s="211"/>
      <c r="RJE80" s="211"/>
      <c r="RJF80" s="211"/>
      <c r="RJG80" s="211"/>
      <c r="RJH80" s="211"/>
      <c r="RJI80" s="211"/>
      <c r="RJJ80" s="211"/>
      <c r="RJK80" s="211"/>
      <c r="RJL80" s="211"/>
      <c r="RJM80" s="211"/>
      <c r="RJN80" s="211"/>
      <c r="RJO80" s="211"/>
      <c r="RJP80" s="211"/>
      <c r="RJQ80" s="211"/>
      <c r="RJR80" s="211"/>
      <c r="RJS80" s="211"/>
      <c r="RJT80" s="211"/>
      <c r="RJU80" s="211"/>
      <c r="RJV80" s="211"/>
      <c r="RJW80" s="211"/>
      <c r="RJX80" s="211"/>
      <c r="RJY80" s="211"/>
      <c r="RJZ80" s="211"/>
      <c r="RKA80" s="211"/>
      <c r="RKB80" s="211"/>
      <c r="RKC80" s="211"/>
      <c r="RKD80" s="211"/>
      <c r="RKE80" s="211"/>
      <c r="RKF80" s="211"/>
      <c r="RKG80" s="211"/>
      <c r="RKH80" s="211"/>
      <c r="RKI80" s="211"/>
      <c r="RKJ80" s="211"/>
      <c r="RKK80" s="211"/>
      <c r="RKL80" s="211"/>
      <c r="RKM80" s="211"/>
      <c r="RKN80" s="211"/>
      <c r="RKO80" s="211"/>
      <c r="RKP80" s="211"/>
      <c r="RKQ80" s="211"/>
      <c r="RKR80" s="211"/>
      <c r="RKS80" s="211"/>
      <c r="RKT80" s="211"/>
      <c r="RKU80" s="211"/>
      <c r="RKV80" s="211"/>
      <c r="RKW80" s="211"/>
      <c r="RKX80" s="211"/>
      <c r="RKY80" s="211"/>
      <c r="RKZ80" s="211"/>
      <c r="RLA80" s="211"/>
      <c r="RLB80" s="211"/>
      <c r="RLC80" s="211"/>
      <c r="RLD80" s="211"/>
      <c r="RLE80" s="211"/>
      <c r="RLF80" s="211"/>
      <c r="RLG80" s="211"/>
      <c r="RLH80" s="211"/>
      <c r="RLI80" s="211"/>
      <c r="RLJ80" s="211"/>
      <c r="RLK80" s="211"/>
      <c r="RLL80" s="211"/>
      <c r="RLM80" s="211"/>
      <c r="RLN80" s="211"/>
      <c r="RLO80" s="211"/>
      <c r="RLP80" s="211"/>
      <c r="RLQ80" s="211"/>
      <c r="RLR80" s="211"/>
      <c r="RLS80" s="211"/>
      <c r="RLT80" s="211"/>
      <c r="RLU80" s="211"/>
      <c r="RLV80" s="211"/>
      <c r="RLW80" s="211"/>
      <c r="RLX80" s="211"/>
      <c r="RLY80" s="211"/>
      <c r="RLZ80" s="211"/>
      <c r="RMA80" s="211"/>
      <c r="RMB80" s="211"/>
      <c r="RMC80" s="211"/>
      <c r="RMD80" s="211"/>
      <c r="RME80" s="211"/>
      <c r="RMF80" s="211"/>
      <c r="RMG80" s="211"/>
      <c r="RMH80" s="211"/>
      <c r="RMI80" s="211"/>
      <c r="RMJ80" s="211"/>
      <c r="RMK80" s="211"/>
      <c r="RML80" s="211"/>
      <c r="RMM80" s="211"/>
      <c r="RMN80" s="211"/>
      <c r="RMO80" s="211"/>
      <c r="RMP80" s="211"/>
      <c r="RMQ80" s="211"/>
      <c r="RMR80" s="211"/>
      <c r="RMS80" s="211"/>
      <c r="RMT80" s="211"/>
      <c r="RMU80" s="211"/>
      <c r="RMV80" s="211"/>
      <c r="RMW80" s="211"/>
      <c r="RMX80" s="211"/>
      <c r="RMY80" s="211"/>
      <c r="RMZ80" s="211"/>
      <c r="RNA80" s="211"/>
      <c r="RNB80" s="211"/>
      <c r="RNC80" s="211"/>
      <c r="RND80" s="211"/>
      <c r="RNE80" s="211"/>
      <c r="RNF80" s="211"/>
      <c r="RNG80" s="211"/>
      <c r="RNH80" s="211"/>
      <c r="RNI80" s="211"/>
      <c r="RNJ80" s="211"/>
      <c r="RNK80" s="211"/>
      <c r="RNL80" s="211"/>
      <c r="RNM80" s="211"/>
      <c r="RNN80" s="211"/>
      <c r="RNO80" s="211"/>
      <c r="RNP80" s="211"/>
      <c r="RNQ80" s="211"/>
      <c r="RNR80" s="211"/>
      <c r="RNS80" s="211"/>
      <c r="RNT80" s="211"/>
      <c r="RNU80" s="211"/>
      <c r="RNV80" s="211"/>
      <c r="RNW80" s="211"/>
      <c r="RNX80" s="211"/>
      <c r="RNY80" s="211"/>
      <c r="RNZ80" s="211"/>
      <c r="ROA80" s="211"/>
      <c r="ROB80" s="211"/>
      <c r="ROC80" s="211"/>
      <c r="ROD80" s="211"/>
      <c r="ROE80" s="211"/>
      <c r="ROF80" s="211"/>
      <c r="ROG80" s="211"/>
      <c r="ROH80" s="211"/>
      <c r="ROI80" s="211"/>
      <c r="ROJ80" s="211"/>
      <c r="ROK80" s="211"/>
      <c r="ROL80" s="211"/>
      <c r="ROM80" s="211"/>
      <c r="RON80" s="211"/>
      <c r="ROO80" s="211"/>
      <c r="ROP80" s="211"/>
      <c r="ROQ80" s="211"/>
      <c r="ROR80" s="211"/>
      <c r="ROS80" s="211"/>
      <c r="ROT80" s="211"/>
      <c r="ROU80" s="211"/>
      <c r="ROV80" s="211"/>
      <c r="ROW80" s="211"/>
      <c r="ROX80" s="211"/>
      <c r="ROY80" s="211"/>
      <c r="ROZ80" s="211"/>
      <c r="RPA80" s="211"/>
      <c r="RPB80" s="211"/>
      <c r="RPC80" s="211"/>
      <c r="RPD80" s="211"/>
      <c r="RPE80" s="211"/>
      <c r="RPF80" s="211"/>
      <c r="RPG80" s="211"/>
      <c r="RPH80" s="211"/>
      <c r="RPI80" s="211"/>
      <c r="RPJ80" s="211"/>
      <c r="RPK80" s="211"/>
      <c r="RPL80" s="211"/>
      <c r="RPM80" s="211"/>
      <c r="RPN80" s="211"/>
      <c r="RPO80" s="211"/>
      <c r="RPP80" s="211"/>
      <c r="RPQ80" s="211"/>
      <c r="RPR80" s="211"/>
      <c r="RPS80" s="211"/>
      <c r="RPT80" s="211"/>
      <c r="RPU80" s="211"/>
      <c r="RPV80" s="211"/>
      <c r="RPW80" s="211"/>
      <c r="RPX80" s="211"/>
      <c r="RPY80" s="211"/>
      <c r="RPZ80" s="211"/>
      <c r="RQA80" s="211"/>
      <c r="RQB80" s="211"/>
      <c r="RQC80" s="211"/>
      <c r="RQD80" s="211"/>
      <c r="RQE80" s="211"/>
      <c r="RQF80" s="211"/>
      <c r="RQG80" s="211"/>
      <c r="RQH80" s="211"/>
      <c r="RQI80" s="211"/>
      <c r="RQJ80" s="211"/>
      <c r="RQK80" s="211"/>
      <c r="RQL80" s="211"/>
      <c r="RQM80" s="211"/>
      <c r="RQN80" s="211"/>
      <c r="RQO80" s="211"/>
      <c r="RQP80" s="211"/>
      <c r="RQQ80" s="211"/>
      <c r="RQR80" s="211"/>
      <c r="RQS80" s="211"/>
      <c r="RQT80" s="211"/>
      <c r="RQU80" s="211"/>
      <c r="RQV80" s="211"/>
      <c r="RQW80" s="211"/>
      <c r="RQX80" s="211"/>
      <c r="RQY80" s="211"/>
      <c r="RQZ80" s="211"/>
      <c r="RRA80" s="211"/>
      <c r="RRB80" s="211"/>
      <c r="RRC80" s="211"/>
      <c r="RRD80" s="211"/>
      <c r="RRE80" s="211"/>
      <c r="RRF80" s="211"/>
      <c r="RRG80" s="211"/>
      <c r="RRH80" s="211"/>
      <c r="RRI80" s="211"/>
      <c r="RRJ80" s="211"/>
      <c r="RRK80" s="211"/>
      <c r="RRL80" s="211"/>
      <c r="RRM80" s="211"/>
      <c r="RRN80" s="211"/>
      <c r="RRO80" s="211"/>
      <c r="RRP80" s="211"/>
      <c r="RRQ80" s="211"/>
      <c r="RRR80" s="211"/>
      <c r="RRS80" s="211"/>
      <c r="RRT80" s="211"/>
      <c r="RRU80" s="211"/>
      <c r="RRV80" s="211"/>
      <c r="RRW80" s="211"/>
      <c r="RRX80" s="211"/>
      <c r="RRY80" s="211"/>
      <c r="RRZ80" s="211"/>
      <c r="RSA80" s="211"/>
      <c r="RSB80" s="211"/>
      <c r="RSC80" s="211"/>
      <c r="RSD80" s="211"/>
      <c r="RSE80" s="211"/>
      <c r="RSF80" s="211"/>
      <c r="RSG80" s="211"/>
      <c r="RSH80" s="211"/>
      <c r="RSI80" s="211"/>
      <c r="RSJ80" s="211"/>
      <c r="RSK80" s="211"/>
      <c r="RSL80" s="211"/>
      <c r="RSM80" s="211"/>
      <c r="RSN80" s="211"/>
      <c r="RSO80" s="211"/>
      <c r="RSP80" s="211"/>
      <c r="RSQ80" s="211"/>
      <c r="RSR80" s="211"/>
      <c r="RSS80" s="211"/>
      <c r="RST80" s="211"/>
      <c r="RSU80" s="211"/>
      <c r="RSV80" s="211"/>
      <c r="RSW80" s="211"/>
      <c r="RSX80" s="211"/>
      <c r="RSY80" s="211"/>
      <c r="RSZ80" s="211"/>
      <c r="RTA80" s="211"/>
      <c r="RTB80" s="211"/>
      <c r="RTC80" s="211"/>
      <c r="RTD80" s="211"/>
      <c r="RTE80" s="211"/>
      <c r="RTF80" s="211"/>
      <c r="RTG80" s="211"/>
      <c r="RTH80" s="211"/>
      <c r="RTI80" s="211"/>
      <c r="RTJ80" s="211"/>
      <c r="RTK80" s="211"/>
      <c r="RTL80" s="211"/>
      <c r="RTM80" s="211"/>
      <c r="RTN80" s="211"/>
      <c r="RTO80" s="211"/>
      <c r="RTP80" s="211"/>
      <c r="RTQ80" s="211"/>
      <c r="RTR80" s="211"/>
      <c r="RTS80" s="211"/>
      <c r="RTT80" s="211"/>
      <c r="RTU80" s="211"/>
      <c r="RTV80" s="211"/>
      <c r="RTW80" s="211"/>
      <c r="RTX80" s="211"/>
      <c r="RTY80" s="211"/>
      <c r="RTZ80" s="211"/>
      <c r="RUA80" s="211"/>
      <c r="RUB80" s="211"/>
      <c r="RUC80" s="211"/>
      <c r="RUD80" s="211"/>
      <c r="RUE80" s="211"/>
      <c r="RUF80" s="211"/>
      <c r="RUG80" s="211"/>
      <c r="RUH80" s="211"/>
      <c r="RUI80" s="211"/>
      <c r="RUJ80" s="211"/>
      <c r="RUK80" s="211"/>
      <c r="RUL80" s="211"/>
      <c r="RUM80" s="211"/>
      <c r="RUN80" s="211"/>
      <c r="RUO80" s="211"/>
      <c r="RUP80" s="211"/>
      <c r="RUQ80" s="211"/>
      <c r="RUR80" s="211"/>
      <c r="RUS80" s="211"/>
      <c r="RUT80" s="211"/>
      <c r="RUU80" s="211"/>
      <c r="RUV80" s="211"/>
      <c r="RUW80" s="211"/>
      <c r="RUX80" s="211"/>
      <c r="RUY80" s="211"/>
      <c r="RUZ80" s="211"/>
      <c r="RVA80" s="211"/>
      <c r="RVB80" s="211"/>
      <c r="RVC80" s="211"/>
      <c r="RVD80" s="211"/>
      <c r="RVE80" s="211"/>
      <c r="RVF80" s="211"/>
      <c r="RVG80" s="211"/>
      <c r="RVH80" s="211"/>
      <c r="RVI80" s="211"/>
      <c r="RVJ80" s="211"/>
      <c r="RVK80" s="211"/>
      <c r="RVL80" s="211"/>
      <c r="RVM80" s="211"/>
      <c r="RVN80" s="211"/>
      <c r="RVO80" s="211"/>
      <c r="RVP80" s="211"/>
      <c r="RVQ80" s="211"/>
      <c r="RVR80" s="211"/>
      <c r="RVS80" s="211"/>
      <c r="RVT80" s="211"/>
      <c r="RVU80" s="211"/>
      <c r="RVV80" s="211"/>
      <c r="RVW80" s="211"/>
      <c r="RVX80" s="211"/>
      <c r="RVY80" s="211"/>
      <c r="RVZ80" s="211"/>
      <c r="RWA80" s="211"/>
      <c r="RWB80" s="211"/>
      <c r="RWC80" s="211"/>
      <c r="RWD80" s="211"/>
      <c r="RWE80" s="211"/>
      <c r="RWF80" s="211"/>
      <c r="RWG80" s="211"/>
      <c r="RWH80" s="211"/>
      <c r="RWI80" s="211"/>
      <c r="RWJ80" s="211"/>
      <c r="RWK80" s="211"/>
      <c r="RWL80" s="211"/>
      <c r="RWM80" s="211"/>
      <c r="RWN80" s="211"/>
      <c r="RWO80" s="211"/>
      <c r="RWP80" s="211"/>
      <c r="RWQ80" s="211"/>
      <c r="RWR80" s="211"/>
      <c r="RWS80" s="211"/>
      <c r="RWT80" s="211"/>
      <c r="RWU80" s="211"/>
      <c r="RWV80" s="211"/>
      <c r="RWW80" s="211"/>
      <c r="RWX80" s="211"/>
      <c r="RWY80" s="211"/>
      <c r="RWZ80" s="211"/>
      <c r="RXA80" s="211"/>
      <c r="RXB80" s="211"/>
      <c r="RXC80" s="211"/>
      <c r="RXD80" s="211"/>
      <c r="RXE80" s="211"/>
      <c r="RXF80" s="211"/>
      <c r="RXG80" s="211"/>
      <c r="RXH80" s="211"/>
      <c r="RXI80" s="211"/>
      <c r="RXJ80" s="211"/>
      <c r="RXK80" s="211"/>
      <c r="RXL80" s="211"/>
      <c r="RXM80" s="211"/>
      <c r="RXN80" s="211"/>
      <c r="RXO80" s="211"/>
      <c r="RXP80" s="211"/>
      <c r="RXQ80" s="211"/>
      <c r="RXR80" s="211"/>
      <c r="RXS80" s="211"/>
      <c r="RXT80" s="211"/>
      <c r="RXU80" s="211"/>
      <c r="RXV80" s="211"/>
      <c r="RXW80" s="211"/>
      <c r="RXX80" s="211"/>
      <c r="RXY80" s="211"/>
      <c r="RXZ80" s="211"/>
      <c r="RYA80" s="211"/>
      <c r="RYB80" s="211"/>
      <c r="RYC80" s="211"/>
      <c r="RYD80" s="211"/>
      <c r="RYE80" s="211"/>
      <c r="RYF80" s="211"/>
      <c r="RYG80" s="211"/>
      <c r="RYH80" s="211"/>
      <c r="RYI80" s="211"/>
      <c r="RYJ80" s="211"/>
      <c r="RYK80" s="211"/>
      <c r="RYL80" s="211"/>
      <c r="RYM80" s="211"/>
      <c r="RYN80" s="211"/>
      <c r="RYO80" s="211"/>
      <c r="RYP80" s="211"/>
      <c r="RYQ80" s="211"/>
      <c r="RYR80" s="211"/>
      <c r="RYS80" s="211"/>
      <c r="RYT80" s="211"/>
      <c r="RYU80" s="211"/>
      <c r="RYV80" s="211"/>
      <c r="RYW80" s="211"/>
      <c r="RYX80" s="211"/>
      <c r="RYY80" s="211"/>
      <c r="RYZ80" s="211"/>
      <c r="RZA80" s="211"/>
      <c r="RZB80" s="211"/>
      <c r="RZC80" s="211"/>
      <c r="RZD80" s="211"/>
      <c r="RZE80" s="211"/>
      <c r="RZF80" s="211"/>
      <c r="RZG80" s="211"/>
      <c r="RZH80" s="211"/>
      <c r="RZI80" s="211"/>
      <c r="RZJ80" s="211"/>
      <c r="RZK80" s="211"/>
      <c r="RZL80" s="211"/>
      <c r="RZM80" s="211"/>
      <c r="RZN80" s="211"/>
      <c r="RZO80" s="211"/>
      <c r="RZP80" s="211"/>
      <c r="RZQ80" s="211"/>
      <c r="RZR80" s="211"/>
      <c r="RZS80" s="211"/>
      <c r="RZT80" s="211"/>
      <c r="RZU80" s="211"/>
      <c r="RZV80" s="211"/>
      <c r="RZW80" s="211"/>
      <c r="RZX80" s="211"/>
      <c r="RZY80" s="211"/>
      <c r="RZZ80" s="211"/>
      <c r="SAA80" s="211"/>
      <c r="SAB80" s="211"/>
      <c r="SAC80" s="211"/>
      <c r="SAD80" s="211"/>
      <c r="SAE80" s="211"/>
      <c r="SAF80" s="211"/>
      <c r="SAG80" s="211"/>
      <c r="SAH80" s="211"/>
      <c r="SAI80" s="211"/>
      <c r="SAJ80" s="211"/>
      <c r="SAK80" s="211"/>
      <c r="SAL80" s="211"/>
      <c r="SAM80" s="211"/>
      <c r="SAN80" s="211"/>
      <c r="SAO80" s="211"/>
      <c r="SAP80" s="211"/>
      <c r="SAQ80" s="211"/>
      <c r="SAR80" s="211"/>
      <c r="SAS80" s="211"/>
      <c r="SAT80" s="211"/>
      <c r="SAU80" s="211"/>
      <c r="SAV80" s="211"/>
      <c r="SAW80" s="211"/>
      <c r="SAX80" s="211"/>
      <c r="SAY80" s="211"/>
      <c r="SAZ80" s="211"/>
      <c r="SBA80" s="211"/>
      <c r="SBB80" s="211"/>
      <c r="SBC80" s="211"/>
      <c r="SBD80" s="211"/>
      <c r="SBE80" s="211"/>
      <c r="SBF80" s="211"/>
      <c r="SBG80" s="211"/>
      <c r="SBH80" s="211"/>
      <c r="SBI80" s="211"/>
      <c r="SBJ80" s="211"/>
      <c r="SBK80" s="211"/>
      <c r="SBL80" s="211"/>
      <c r="SBM80" s="211"/>
      <c r="SBN80" s="211"/>
      <c r="SBO80" s="211"/>
      <c r="SBP80" s="211"/>
      <c r="SBQ80" s="211"/>
      <c r="SBR80" s="211"/>
      <c r="SBS80" s="211"/>
      <c r="SBT80" s="211"/>
      <c r="SBU80" s="211"/>
      <c r="SBV80" s="211"/>
      <c r="SBW80" s="211"/>
      <c r="SBX80" s="211"/>
      <c r="SBY80" s="211"/>
      <c r="SBZ80" s="211"/>
      <c r="SCA80" s="211"/>
      <c r="SCB80" s="211"/>
      <c r="SCC80" s="211"/>
      <c r="SCD80" s="211"/>
      <c r="SCE80" s="211"/>
      <c r="SCF80" s="211"/>
      <c r="SCG80" s="211"/>
      <c r="SCH80" s="211"/>
      <c r="SCI80" s="211"/>
      <c r="SCJ80" s="211"/>
      <c r="SCK80" s="211"/>
      <c r="SCL80" s="211"/>
      <c r="SCM80" s="211"/>
      <c r="SCN80" s="211"/>
      <c r="SCO80" s="211"/>
      <c r="SCP80" s="211"/>
      <c r="SCQ80" s="211"/>
      <c r="SCR80" s="211"/>
      <c r="SCS80" s="211"/>
      <c r="SCT80" s="211"/>
      <c r="SCU80" s="211"/>
      <c r="SCV80" s="211"/>
      <c r="SCW80" s="211"/>
      <c r="SCX80" s="211"/>
      <c r="SCY80" s="211"/>
      <c r="SCZ80" s="211"/>
      <c r="SDA80" s="211"/>
      <c r="SDB80" s="211"/>
      <c r="SDC80" s="211"/>
      <c r="SDD80" s="211"/>
      <c r="SDE80" s="211"/>
      <c r="SDF80" s="211"/>
      <c r="SDG80" s="211"/>
      <c r="SDH80" s="211"/>
      <c r="SDI80" s="211"/>
      <c r="SDJ80" s="211"/>
      <c r="SDK80" s="211"/>
      <c r="SDL80" s="211"/>
      <c r="SDM80" s="211"/>
      <c r="SDN80" s="211"/>
      <c r="SDO80" s="211"/>
      <c r="SDP80" s="211"/>
      <c r="SDQ80" s="211"/>
      <c r="SDR80" s="211"/>
      <c r="SDS80" s="211"/>
      <c r="SDT80" s="211"/>
      <c r="SDU80" s="211"/>
      <c r="SDV80" s="211"/>
      <c r="SDW80" s="211"/>
      <c r="SDX80" s="211"/>
      <c r="SDY80" s="211"/>
      <c r="SDZ80" s="211"/>
      <c r="SEA80" s="211"/>
      <c r="SEB80" s="211"/>
      <c r="SEC80" s="211"/>
      <c r="SED80" s="211"/>
      <c r="SEE80" s="211"/>
      <c r="SEF80" s="211"/>
      <c r="SEG80" s="211"/>
      <c r="SEH80" s="211"/>
      <c r="SEI80" s="211"/>
      <c r="SEJ80" s="211"/>
      <c r="SEK80" s="211"/>
      <c r="SEL80" s="211"/>
      <c r="SEM80" s="211"/>
      <c r="SEN80" s="211"/>
      <c r="SEO80" s="211"/>
      <c r="SEP80" s="211"/>
      <c r="SEQ80" s="211"/>
      <c r="SER80" s="211"/>
      <c r="SES80" s="211"/>
      <c r="SET80" s="211"/>
      <c r="SEU80" s="211"/>
      <c r="SEV80" s="211"/>
      <c r="SEW80" s="211"/>
      <c r="SEX80" s="211"/>
      <c r="SEY80" s="211"/>
      <c r="SEZ80" s="211"/>
      <c r="SFA80" s="211"/>
      <c r="SFB80" s="211"/>
      <c r="SFC80" s="211"/>
      <c r="SFD80" s="211"/>
      <c r="SFE80" s="211"/>
      <c r="SFF80" s="211"/>
      <c r="SFG80" s="211"/>
      <c r="SFH80" s="211"/>
      <c r="SFI80" s="211"/>
      <c r="SFJ80" s="211"/>
      <c r="SFK80" s="211"/>
      <c r="SFL80" s="211"/>
      <c r="SFM80" s="211"/>
      <c r="SFN80" s="211"/>
      <c r="SFO80" s="211"/>
      <c r="SFP80" s="211"/>
      <c r="SFQ80" s="211"/>
      <c r="SFR80" s="211"/>
      <c r="SFS80" s="211"/>
      <c r="SFT80" s="211"/>
      <c r="SFU80" s="211"/>
      <c r="SFV80" s="211"/>
      <c r="SFW80" s="211"/>
      <c r="SFX80" s="211"/>
      <c r="SFY80" s="211"/>
      <c r="SFZ80" s="211"/>
      <c r="SGA80" s="211"/>
      <c r="SGB80" s="211"/>
      <c r="SGC80" s="211"/>
      <c r="SGD80" s="211"/>
      <c r="SGE80" s="211"/>
      <c r="SGF80" s="211"/>
      <c r="SGG80" s="211"/>
      <c r="SGH80" s="211"/>
      <c r="SGI80" s="211"/>
      <c r="SGJ80" s="211"/>
      <c r="SGK80" s="211"/>
      <c r="SGL80" s="211"/>
      <c r="SGM80" s="211"/>
      <c r="SGN80" s="211"/>
      <c r="SGO80" s="211"/>
      <c r="SGP80" s="211"/>
      <c r="SGQ80" s="211"/>
      <c r="SGR80" s="211"/>
      <c r="SGS80" s="211"/>
      <c r="SGT80" s="211"/>
      <c r="SGU80" s="211"/>
      <c r="SGV80" s="211"/>
      <c r="SGW80" s="211"/>
      <c r="SGX80" s="211"/>
      <c r="SGY80" s="211"/>
      <c r="SGZ80" s="211"/>
      <c r="SHA80" s="211"/>
      <c r="SHB80" s="211"/>
      <c r="SHC80" s="211"/>
      <c r="SHD80" s="211"/>
      <c r="SHE80" s="211"/>
      <c r="SHF80" s="211"/>
      <c r="SHG80" s="211"/>
      <c r="SHH80" s="211"/>
      <c r="SHI80" s="211"/>
      <c r="SHJ80" s="211"/>
      <c r="SHK80" s="211"/>
      <c r="SHL80" s="211"/>
      <c r="SHM80" s="211"/>
      <c r="SHN80" s="211"/>
      <c r="SHO80" s="211"/>
      <c r="SHP80" s="211"/>
      <c r="SHQ80" s="211"/>
      <c r="SHR80" s="211"/>
      <c r="SHS80" s="211"/>
      <c r="SHT80" s="211"/>
      <c r="SHU80" s="211"/>
      <c r="SHV80" s="211"/>
      <c r="SHW80" s="211"/>
      <c r="SHX80" s="211"/>
      <c r="SHY80" s="211"/>
      <c r="SHZ80" s="211"/>
      <c r="SIA80" s="211"/>
      <c r="SIB80" s="211"/>
      <c r="SIC80" s="211"/>
      <c r="SID80" s="211"/>
      <c r="SIE80" s="211"/>
      <c r="SIF80" s="211"/>
      <c r="SIG80" s="211"/>
      <c r="SIH80" s="211"/>
      <c r="SII80" s="211"/>
      <c r="SIJ80" s="211"/>
      <c r="SIK80" s="211"/>
      <c r="SIL80" s="211"/>
      <c r="SIM80" s="211"/>
      <c r="SIN80" s="211"/>
      <c r="SIO80" s="211"/>
      <c r="SIP80" s="211"/>
      <c r="SIQ80" s="211"/>
      <c r="SIR80" s="211"/>
      <c r="SIS80" s="211"/>
      <c r="SIT80" s="211"/>
      <c r="SIU80" s="211"/>
      <c r="SIV80" s="211"/>
      <c r="SIW80" s="211"/>
      <c r="SIX80" s="211"/>
      <c r="SIY80" s="211"/>
      <c r="SIZ80" s="211"/>
      <c r="SJA80" s="211"/>
      <c r="SJB80" s="211"/>
      <c r="SJC80" s="211"/>
      <c r="SJD80" s="211"/>
      <c r="SJE80" s="211"/>
      <c r="SJF80" s="211"/>
      <c r="SJG80" s="211"/>
      <c r="SJH80" s="211"/>
      <c r="SJI80" s="211"/>
      <c r="SJJ80" s="211"/>
      <c r="SJK80" s="211"/>
      <c r="SJL80" s="211"/>
      <c r="SJM80" s="211"/>
      <c r="SJN80" s="211"/>
      <c r="SJO80" s="211"/>
      <c r="SJP80" s="211"/>
      <c r="SJQ80" s="211"/>
      <c r="SJR80" s="211"/>
      <c r="SJS80" s="211"/>
      <c r="SJT80" s="211"/>
      <c r="SJU80" s="211"/>
      <c r="SJV80" s="211"/>
      <c r="SJW80" s="211"/>
      <c r="SJX80" s="211"/>
      <c r="SJY80" s="211"/>
      <c r="SJZ80" s="211"/>
      <c r="SKA80" s="211"/>
      <c r="SKB80" s="211"/>
      <c r="SKC80" s="211"/>
      <c r="SKD80" s="211"/>
      <c r="SKE80" s="211"/>
      <c r="SKF80" s="211"/>
      <c r="SKG80" s="211"/>
      <c r="SKH80" s="211"/>
      <c r="SKI80" s="211"/>
      <c r="SKJ80" s="211"/>
      <c r="SKK80" s="211"/>
      <c r="SKL80" s="211"/>
      <c r="SKM80" s="211"/>
      <c r="SKN80" s="211"/>
      <c r="SKO80" s="211"/>
      <c r="SKP80" s="211"/>
      <c r="SKQ80" s="211"/>
      <c r="SKR80" s="211"/>
      <c r="SKS80" s="211"/>
      <c r="SKT80" s="211"/>
      <c r="SKU80" s="211"/>
      <c r="SKV80" s="211"/>
      <c r="SKW80" s="211"/>
      <c r="SKX80" s="211"/>
      <c r="SKY80" s="211"/>
      <c r="SKZ80" s="211"/>
      <c r="SLA80" s="211"/>
      <c r="SLB80" s="211"/>
      <c r="SLC80" s="211"/>
      <c r="SLD80" s="211"/>
      <c r="SLE80" s="211"/>
      <c r="SLF80" s="211"/>
      <c r="SLG80" s="211"/>
      <c r="SLH80" s="211"/>
      <c r="SLI80" s="211"/>
      <c r="SLJ80" s="211"/>
      <c r="SLK80" s="211"/>
      <c r="SLL80" s="211"/>
      <c r="SLM80" s="211"/>
      <c r="SLN80" s="211"/>
      <c r="SLO80" s="211"/>
      <c r="SLP80" s="211"/>
      <c r="SLQ80" s="211"/>
      <c r="SLR80" s="211"/>
      <c r="SLS80" s="211"/>
      <c r="SLT80" s="211"/>
      <c r="SLU80" s="211"/>
      <c r="SLV80" s="211"/>
      <c r="SLW80" s="211"/>
      <c r="SLX80" s="211"/>
      <c r="SLY80" s="211"/>
      <c r="SLZ80" s="211"/>
      <c r="SMA80" s="211"/>
      <c r="SMB80" s="211"/>
      <c r="SMC80" s="211"/>
      <c r="SMD80" s="211"/>
      <c r="SME80" s="211"/>
      <c r="SMF80" s="211"/>
      <c r="SMG80" s="211"/>
      <c r="SMH80" s="211"/>
      <c r="SMI80" s="211"/>
      <c r="SMJ80" s="211"/>
      <c r="SMK80" s="211"/>
      <c r="SML80" s="211"/>
      <c r="SMM80" s="211"/>
      <c r="SMN80" s="211"/>
      <c r="SMO80" s="211"/>
      <c r="SMP80" s="211"/>
      <c r="SMQ80" s="211"/>
      <c r="SMR80" s="211"/>
      <c r="SMS80" s="211"/>
      <c r="SMT80" s="211"/>
      <c r="SMU80" s="211"/>
      <c r="SMV80" s="211"/>
      <c r="SMW80" s="211"/>
      <c r="SMX80" s="211"/>
      <c r="SMY80" s="211"/>
      <c r="SMZ80" s="211"/>
      <c r="SNA80" s="211"/>
      <c r="SNB80" s="211"/>
      <c r="SNC80" s="211"/>
      <c r="SND80" s="211"/>
      <c r="SNE80" s="211"/>
      <c r="SNF80" s="211"/>
      <c r="SNG80" s="211"/>
      <c r="SNH80" s="211"/>
      <c r="SNI80" s="211"/>
      <c r="SNJ80" s="211"/>
      <c r="SNK80" s="211"/>
      <c r="SNL80" s="211"/>
      <c r="SNM80" s="211"/>
      <c r="SNN80" s="211"/>
      <c r="SNO80" s="211"/>
      <c r="SNP80" s="211"/>
      <c r="SNQ80" s="211"/>
      <c r="SNR80" s="211"/>
      <c r="SNS80" s="211"/>
      <c r="SNT80" s="211"/>
      <c r="SNU80" s="211"/>
      <c r="SNV80" s="211"/>
      <c r="SNW80" s="211"/>
      <c r="SNX80" s="211"/>
      <c r="SNY80" s="211"/>
      <c r="SNZ80" s="211"/>
      <c r="SOA80" s="211"/>
      <c r="SOB80" s="211"/>
      <c r="SOC80" s="211"/>
      <c r="SOD80" s="211"/>
      <c r="SOE80" s="211"/>
      <c r="SOF80" s="211"/>
      <c r="SOG80" s="211"/>
      <c r="SOH80" s="211"/>
      <c r="SOI80" s="211"/>
      <c r="SOJ80" s="211"/>
      <c r="SOK80" s="211"/>
      <c r="SOL80" s="211"/>
      <c r="SOM80" s="211"/>
      <c r="SON80" s="211"/>
      <c r="SOO80" s="211"/>
      <c r="SOP80" s="211"/>
      <c r="SOQ80" s="211"/>
      <c r="SOR80" s="211"/>
      <c r="SOS80" s="211"/>
      <c r="SOT80" s="211"/>
      <c r="SOU80" s="211"/>
      <c r="SOV80" s="211"/>
      <c r="SOW80" s="211"/>
      <c r="SOX80" s="211"/>
      <c r="SOY80" s="211"/>
      <c r="SOZ80" s="211"/>
      <c r="SPA80" s="211"/>
      <c r="SPB80" s="211"/>
      <c r="SPC80" s="211"/>
      <c r="SPD80" s="211"/>
      <c r="SPE80" s="211"/>
      <c r="SPF80" s="211"/>
      <c r="SPG80" s="211"/>
      <c r="SPH80" s="211"/>
      <c r="SPI80" s="211"/>
      <c r="SPJ80" s="211"/>
      <c r="SPK80" s="211"/>
      <c r="SPL80" s="211"/>
      <c r="SPM80" s="211"/>
      <c r="SPN80" s="211"/>
      <c r="SPO80" s="211"/>
      <c r="SPP80" s="211"/>
      <c r="SPQ80" s="211"/>
      <c r="SPR80" s="211"/>
      <c r="SPS80" s="211"/>
      <c r="SPT80" s="211"/>
      <c r="SPU80" s="211"/>
      <c r="SPV80" s="211"/>
      <c r="SPW80" s="211"/>
      <c r="SPX80" s="211"/>
      <c r="SPY80" s="211"/>
      <c r="SPZ80" s="211"/>
      <c r="SQA80" s="211"/>
      <c r="SQB80" s="211"/>
      <c r="SQC80" s="211"/>
      <c r="SQD80" s="211"/>
      <c r="SQE80" s="211"/>
      <c r="SQF80" s="211"/>
      <c r="SQG80" s="211"/>
      <c r="SQH80" s="211"/>
      <c r="SQI80" s="211"/>
      <c r="SQJ80" s="211"/>
      <c r="SQK80" s="211"/>
      <c r="SQL80" s="211"/>
      <c r="SQM80" s="211"/>
      <c r="SQN80" s="211"/>
      <c r="SQO80" s="211"/>
      <c r="SQP80" s="211"/>
      <c r="SQQ80" s="211"/>
      <c r="SQR80" s="211"/>
      <c r="SQS80" s="211"/>
      <c r="SQT80" s="211"/>
      <c r="SQU80" s="211"/>
      <c r="SQV80" s="211"/>
      <c r="SQW80" s="211"/>
      <c r="SQX80" s="211"/>
      <c r="SQY80" s="211"/>
      <c r="SQZ80" s="211"/>
      <c r="SRA80" s="211"/>
      <c r="SRB80" s="211"/>
      <c r="SRC80" s="211"/>
      <c r="SRD80" s="211"/>
      <c r="SRE80" s="211"/>
      <c r="SRF80" s="211"/>
      <c r="SRG80" s="211"/>
      <c r="SRH80" s="211"/>
      <c r="SRI80" s="211"/>
      <c r="SRJ80" s="211"/>
      <c r="SRK80" s="211"/>
      <c r="SRL80" s="211"/>
      <c r="SRM80" s="211"/>
      <c r="SRN80" s="211"/>
      <c r="SRO80" s="211"/>
      <c r="SRP80" s="211"/>
      <c r="SRQ80" s="211"/>
      <c r="SRR80" s="211"/>
      <c r="SRS80" s="211"/>
      <c r="SRT80" s="211"/>
      <c r="SRU80" s="211"/>
      <c r="SRV80" s="211"/>
      <c r="SRW80" s="211"/>
      <c r="SRX80" s="211"/>
      <c r="SRY80" s="211"/>
      <c r="SRZ80" s="211"/>
      <c r="SSA80" s="211"/>
      <c r="SSB80" s="211"/>
      <c r="SSC80" s="211"/>
      <c r="SSD80" s="211"/>
      <c r="SSE80" s="211"/>
      <c r="SSF80" s="211"/>
      <c r="SSG80" s="211"/>
      <c r="SSH80" s="211"/>
      <c r="SSI80" s="211"/>
      <c r="SSJ80" s="211"/>
      <c r="SSK80" s="211"/>
      <c r="SSL80" s="211"/>
      <c r="SSM80" s="211"/>
      <c r="SSN80" s="211"/>
      <c r="SSO80" s="211"/>
      <c r="SSP80" s="211"/>
      <c r="SSQ80" s="211"/>
      <c r="SSR80" s="211"/>
      <c r="SSS80" s="211"/>
      <c r="SST80" s="211"/>
      <c r="SSU80" s="211"/>
      <c r="SSV80" s="211"/>
      <c r="SSW80" s="211"/>
      <c r="SSX80" s="211"/>
      <c r="SSY80" s="211"/>
      <c r="SSZ80" s="211"/>
      <c r="STA80" s="211"/>
      <c r="STB80" s="211"/>
      <c r="STC80" s="211"/>
      <c r="STD80" s="211"/>
      <c r="STE80" s="211"/>
      <c r="STF80" s="211"/>
      <c r="STG80" s="211"/>
      <c r="STH80" s="211"/>
      <c r="STI80" s="211"/>
      <c r="STJ80" s="211"/>
      <c r="STK80" s="211"/>
      <c r="STL80" s="211"/>
      <c r="STM80" s="211"/>
      <c r="STN80" s="211"/>
      <c r="STO80" s="211"/>
      <c r="STP80" s="211"/>
      <c r="STQ80" s="211"/>
      <c r="STR80" s="211"/>
      <c r="STS80" s="211"/>
      <c r="STT80" s="211"/>
      <c r="STU80" s="211"/>
      <c r="STV80" s="211"/>
      <c r="STW80" s="211"/>
      <c r="STX80" s="211"/>
      <c r="STY80" s="211"/>
      <c r="STZ80" s="211"/>
      <c r="SUA80" s="211"/>
      <c r="SUB80" s="211"/>
      <c r="SUC80" s="211"/>
      <c r="SUD80" s="211"/>
      <c r="SUE80" s="211"/>
      <c r="SUF80" s="211"/>
      <c r="SUG80" s="211"/>
      <c r="SUH80" s="211"/>
      <c r="SUI80" s="211"/>
      <c r="SUJ80" s="211"/>
      <c r="SUK80" s="211"/>
      <c r="SUL80" s="211"/>
      <c r="SUM80" s="211"/>
      <c r="SUN80" s="211"/>
      <c r="SUO80" s="211"/>
      <c r="SUP80" s="211"/>
      <c r="SUQ80" s="211"/>
      <c r="SUR80" s="211"/>
      <c r="SUS80" s="211"/>
      <c r="SUT80" s="211"/>
      <c r="SUU80" s="211"/>
      <c r="SUV80" s="211"/>
      <c r="SUW80" s="211"/>
      <c r="SUX80" s="211"/>
      <c r="SUY80" s="211"/>
      <c r="SUZ80" s="211"/>
      <c r="SVA80" s="211"/>
      <c r="SVB80" s="211"/>
      <c r="SVC80" s="211"/>
      <c r="SVD80" s="211"/>
      <c r="SVE80" s="211"/>
      <c r="SVF80" s="211"/>
      <c r="SVG80" s="211"/>
      <c r="SVH80" s="211"/>
      <c r="SVI80" s="211"/>
      <c r="SVJ80" s="211"/>
      <c r="SVK80" s="211"/>
      <c r="SVL80" s="211"/>
      <c r="SVM80" s="211"/>
      <c r="SVN80" s="211"/>
      <c r="SVO80" s="211"/>
      <c r="SVP80" s="211"/>
      <c r="SVQ80" s="211"/>
      <c r="SVR80" s="211"/>
      <c r="SVS80" s="211"/>
      <c r="SVT80" s="211"/>
      <c r="SVU80" s="211"/>
      <c r="SVV80" s="211"/>
      <c r="SVW80" s="211"/>
      <c r="SVX80" s="211"/>
      <c r="SVY80" s="211"/>
      <c r="SVZ80" s="211"/>
      <c r="SWA80" s="211"/>
      <c r="SWB80" s="211"/>
      <c r="SWC80" s="211"/>
      <c r="SWD80" s="211"/>
      <c r="SWE80" s="211"/>
      <c r="SWF80" s="211"/>
      <c r="SWG80" s="211"/>
      <c r="SWH80" s="211"/>
      <c r="SWI80" s="211"/>
      <c r="SWJ80" s="211"/>
      <c r="SWK80" s="211"/>
      <c r="SWL80" s="211"/>
      <c r="SWM80" s="211"/>
      <c r="SWN80" s="211"/>
      <c r="SWO80" s="211"/>
      <c r="SWP80" s="211"/>
      <c r="SWQ80" s="211"/>
      <c r="SWR80" s="211"/>
      <c r="SWS80" s="211"/>
      <c r="SWT80" s="211"/>
      <c r="SWU80" s="211"/>
      <c r="SWV80" s="211"/>
      <c r="SWW80" s="211"/>
      <c r="SWX80" s="211"/>
      <c r="SWY80" s="211"/>
      <c r="SWZ80" s="211"/>
      <c r="SXA80" s="211"/>
      <c r="SXB80" s="211"/>
      <c r="SXC80" s="211"/>
      <c r="SXD80" s="211"/>
      <c r="SXE80" s="211"/>
      <c r="SXF80" s="211"/>
      <c r="SXG80" s="211"/>
      <c r="SXH80" s="211"/>
      <c r="SXI80" s="211"/>
      <c r="SXJ80" s="211"/>
      <c r="SXK80" s="211"/>
      <c r="SXL80" s="211"/>
      <c r="SXM80" s="211"/>
      <c r="SXN80" s="211"/>
      <c r="SXO80" s="211"/>
      <c r="SXP80" s="211"/>
      <c r="SXQ80" s="211"/>
      <c r="SXR80" s="211"/>
      <c r="SXS80" s="211"/>
      <c r="SXT80" s="211"/>
      <c r="SXU80" s="211"/>
      <c r="SXV80" s="211"/>
      <c r="SXW80" s="211"/>
      <c r="SXX80" s="211"/>
      <c r="SXY80" s="211"/>
      <c r="SXZ80" s="211"/>
      <c r="SYA80" s="211"/>
      <c r="SYB80" s="211"/>
      <c r="SYC80" s="211"/>
      <c r="SYD80" s="211"/>
      <c r="SYE80" s="211"/>
      <c r="SYF80" s="211"/>
      <c r="SYG80" s="211"/>
      <c r="SYH80" s="211"/>
      <c r="SYI80" s="211"/>
      <c r="SYJ80" s="211"/>
      <c r="SYK80" s="211"/>
      <c r="SYL80" s="211"/>
      <c r="SYM80" s="211"/>
      <c r="SYN80" s="211"/>
      <c r="SYO80" s="211"/>
      <c r="SYP80" s="211"/>
      <c r="SYQ80" s="211"/>
      <c r="SYR80" s="211"/>
      <c r="SYS80" s="211"/>
      <c r="SYT80" s="211"/>
      <c r="SYU80" s="211"/>
      <c r="SYV80" s="211"/>
      <c r="SYW80" s="211"/>
      <c r="SYX80" s="211"/>
      <c r="SYY80" s="211"/>
      <c r="SYZ80" s="211"/>
      <c r="SZA80" s="211"/>
      <c r="SZB80" s="211"/>
      <c r="SZC80" s="211"/>
      <c r="SZD80" s="211"/>
      <c r="SZE80" s="211"/>
      <c r="SZF80" s="211"/>
      <c r="SZG80" s="211"/>
      <c r="SZH80" s="211"/>
      <c r="SZI80" s="211"/>
      <c r="SZJ80" s="211"/>
      <c r="SZK80" s="211"/>
      <c r="SZL80" s="211"/>
      <c r="SZM80" s="211"/>
      <c r="SZN80" s="211"/>
      <c r="SZO80" s="211"/>
      <c r="SZP80" s="211"/>
      <c r="SZQ80" s="211"/>
      <c r="SZR80" s="211"/>
      <c r="SZS80" s="211"/>
      <c r="SZT80" s="211"/>
      <c r="SZU80" s="211"/>
      <c r="SZV80" s="211"/>
      <c r="SZW80" s="211"/>
      <c r="SZX80" s="211"/>
      <c r="SZY80" s="211"/>
      <c r="SZZ80" s="211"/>
      <c r="TAA80" s="211"/>
      <c r="TAB80" s="211"/>
      <c r="TAC80" s="211"/>
      <c r="TAD80" s="211"/>
      <c r="TAE80" s="211"/>
      <c r="TAF80" s="211"/>
      <c r="TAG80" s="211"/>
      <c r="TAH80" s="211"/>
      <c r="TAI80" s="211"/>
      <c r="TAJ80" s="211"/>
      <c r="TAK80" s="211"/>
      <c r="TAL80" s="211"/>
      <c r="TAM80" s="211"/>
      <c r="TAN80" s="211"/>
      <c r="TAO80" s="211"/>
      <c r="TAP80" s="211"/>
      <c r="TAQ80" s="211"/>
      <c r="TAR80" s="211"/>
      <c r="TAS80" s="211"/>
      <c r="TAT80" s="211"/>
      <c r="TAU80" s="211"/>
      <c r="TAV80" s="211"/>
      <c r="TAW80" s="211"/>
      <c r="TAX80" s="211"/>
      <c r="TAY80" s="211"/>
      <c r="TAZ80" s="211"/>
      <c r="TBA80" s="211"/>
      <c r="TBB80" s="211"/>
      <c r="TBC80" s="211"/>
      <c r="TBD80" s="211"/>
      <c r="TBE80" s="211"/>
      <c r="TBF80" s="211"/>
      <c r="TBG80" s="211"/>
      <c r="TBH80" s="211"/>
      <c r="TBI80" s="211"/>
      <c r="TBJ80" s="211"/>
      <c r="TBK80" s="211"/>
      <c r="TBL80" s="211"/>
      <c r="TBM80" s="211"/>
      <c r="TBN80" s="211"/>
      <c r="TBO80" s="211"/>
      <c r="TBP80" s="211"/>
      <c r="TBQ80" s="211"/>
      <c r="TBR80" s="211"/>
      <c r="TBS80" s="211"/>
      <c r="TBT80" s="211"/>
      <c r="TBU80" s="211"/>
      <c r="TBV80" s="211"/>
      <c r="TBW80" s="211"/>
      <c r="TBX80" s="211"/>
      <c r="TBY80" s="211"/>
      <c r="TBZ80" s="211"/>
      <c r="TCA80" s="211"/>
      <c r="TCB80" s="211"/>
      <c r="TCC80" s="211"/>
      <c r="TCD80" s="211"/>
      <c r="TCE80" s="211"/>
      <c r="TCF80" s="211"/>
      <c r="TCG80" s="211"/>
      <c r="TCH80" s="211"/>
      <c r="TCI80" s="211"/>
      <c r="TCJ80" s="211"/>
      <c r="TCK80" s="211"/>
      <c r="TCL80" s="211"/>
      <c r="TCM80" s="211"/>
      <c r="TCN80" s="211"/>
      <c r="TCO80" s="211"/>
      <c r="TCP80" s="211"/>
      <c r="TCQ80" s="211"/>
      <c r="TCR80" s="211"/>
      <c r="TCS80" s="211"/>
      <c r="TCT80" s="211"/>
      <c r="TCU80" s="211"/>
      <c r="TCV80" s="211"/>
      <c r="TCW80" s="211"/>
      <c r="TCX80" s="211"/>
      <c r="TCY80" s="211"/>
      <c r="TCZ80" s="211"/>
      <c r="TDA80" s="211"/>
      <c r="TDB80" s="211"/>
      <c r="TDC80" s="211"/>
      <c r="TDD80" s="211"/>
      <c r="TDE80" s="211"/>
      <c r="TDF80" s="211"/>
      <c r="TDG80" s="211"/>
      <c r="TDH80" s="211"/>
      <c r="TDI80" s="211"/>
      <c r="TDJ80" s="211"/>
      <c r="TDK80" s="211"/>
      <c r="TDL80" s="211"/>
      <c r="TDM80" s="211"/>
      <c r="TDN80" s="211"/>
      <c r="TDO80" s="211"/>
      <c r="TDP80" s="211"/>
      <c r="TDQ80" s="211"/>
      <c r="TDR80" s="211"/>
      <c r="TDS80" s="211"/>
      <c r="TDT80" s="211"/>
      <c r="TDU80" s="211"/>
      <c r="TDV80" s="211"/>
      <c r="TDW80" s="211"/>
      <c r="TDX80" s="211"/>
      <c r="TDY80" s="211"/>
      <c r="TDZ80" s="211"/>
      <c r="TEA80" s="211"/>
      <c r="TEB80" s="211"/>
      <c r="TEC80" s="211"/>
      <c r="TED80" s="211"/>
      <c r="TEE80" s="211"/>
      <c r="TEF80" s="211"/>
      <c r="TEG80" s="211"/>
      <c r="TEH80" s="211"/>
      <c r="TEI80" s="211"/>
      <c r="TEJ80" s="211"/>
      <c r="TEK80" s="211"/>
      <c r="TEL80" s="211"/>
      <c r="TEM80" s="211"/>
      <c r="TEN80" s="211"/>
      <c r="TEO80" s="211"/>
      <c r="TEP80" s="211"/>
      <c r="TEQ80" s="211"/>
      <c r="TER80" s="211"/>
      <c r="TES80" s="211"/>
      <c r="TET80" s="211"/>
      <c r="TEU80" s="211"/>
      <c r="TEV80" s="211"/>
      <c r="TEW80" s="211"/>
      <c r="TEX80" s="211"/>
      <c r="TEY80" s="211"/>
      <c r="TEZ80" s="211"/>
      <c r="TFA80" s="211"/>
      <c r="TFB80" s="211"/>
      <c r="TFC80" s="211"/>
      <c r="TFD80" s="211"/>
      <c r="TFE80" s="211"/>
      <c r="TFF80" s="211"/>
      <c r="TFG80" s="211"/>
      <c r="TFH80" s="211"/>
      <c r="TFI80" s="211"/>
      <c r="TFJ80" s="211"/>
      <c r="TFK80" s="211"/>
      <c r="TFL80" s="211"/>
      <c r="TFM80" s="211"/>
      <c r="TFN80" s="211"/>
      <c r="TFO80" s="211"/>
      <c r="TFP80" s="211"/>
      <c r="TFQ80" s="211"/>
      <c r="TFR80" s="211"/>
      <c r="TFS80" s="211"/>
      <c r="TFT80" s="211"/>
      <c r="TFU80" s="211"/>
      <c r="TFV80" s="211"/>
      <c r="TFW80" s="211"/>
      <c r="TFX80" s="211"/>
      <c r="TFY80" s="211"/>
      <c r="TFZ80" s="211"/>
      <c r="TGA80" s="211"/>
      <c r="TGB80" s="211"/>
      <c r="TGC80" s="211"/>
      <c r="TGD80" s="211"/>
      <c r="TGE80" s="211"/>
      <c r="TGF80" s="211"/>
      <c r="TGG80" s="211"/>
      <c r="TGH80" s="211"/>
      <c r="TGI80" s="211"/>
      <c r="TGJ80" s="211"/>
      <c r="TGK80" s="211"/>
      <c r="TGL80" s="211"/>
      <c r="TGM80" s="211"/>
      <c r="TGN80" s="211"/>
      <c r="TGO80" s="211"/>
      <c r="TGP80" s="211"/>
      <c r="TGQ80" s="211"/>
      <c r="TGR80" s="211"/>
      <c r="TGS80" s="211"/>
      <c r="TGT80" s="211"/>
      <c r="TGU80" s="211"/>
      <c r="TGV80" s="211"/>
      <c r="TGW80" s="211"/>
      <c r="TGX80" s="211"/>
      <c r="TGY80" s="211"/>
      <c r="TGZ80" s="211"/>
      <c r="THA80" s="211"/>
      <c r="THB80" s="211"/>
      <c r="THC80" s="211"/>
      <c r="THD80" s="211"/>
      <c r="THE80" s="211"/>
      <c r="THF80" s="211"/>
      <c r="THG80" s="211"/>
      <c r="THH80" s="211"/>
      <c r="THI80" s="211"/>
      <c r="THJ80" s="211"/>
      <c r="THK80" s="211"/>
      <c r="THL80" s="211"/>
      <c r="THM80" s="211"/>
      <c r="THN80" s="211"/>
      <c r="THO80" s="211"/>
      <c r="THP80" s="211"/>
      <c r="THQ80" s="211"/>
      <c r="THR80" s="211"/>
      <c r="THS80" s="211"/>
      <c r="THT80" s="211"/>
      <c r="THU80" s="211"/>
      <c r="THV80" s="211"/>
      <c r="THW80" s="211"/>
      <c r="THX80" s="211"/>
      <c r="THY80" s="211"/>
      <c r="THZ80" s="211"/>
      <c r="TIA80" s="211"/>
      <c r="TIB80" s="211"/>
      <c r="TIC80" s="211"/>
      <c r="TID80" s="211"/>
      <c r="TIE80" s="211"/>
      <c r="TIF80" s="211"/>
      <c r="TIG80" s="211"/>
      <c r="TIH80" s="211"/>
      <c r="TII80" s="211"/>
      <c r="TIJ80" s="211"/>
      <c r="TIK80" s="211"/>
      <c r="TIL80" s="211"/>
      <c r="TIM80" s="211"/>
      <c r="TIN80" s="211"/>
      <c r="TIO80" s="211"/>
      <c r="TIP80" s="211"/>
      <c r="TIQ80" s="211"/>
      <c r="TIR80" s="211"/>
      <c r="TIS80" s="211"/>
      <c r="TIT80" s="211"/>
      <c r="TIU80" s="211"/>
      <c r="TIV80" s="211"/>
      <c r="TIW80" s="211"/>
      <c r="TIX80" s="211"/>
      <c r="TIY80" s="211"/>
      <c r="TIZ80" s="211"/>
      <c r="TJA80" s="211"/>
      <c r="TJB80" s="211"/>
      <c r="TJC80" s="211"/>
      <c r="TJD80" s="211"/>
      <c r="TJE80" s="211"/>
      <c r="TJF80" s="211"/>
      <c r="TJG80" s="211"/>
      <c r="TJH80" s="211"/>
      <c r="TJI80" s="211"/>
      <c r="TJJ80" s="211"/>
      <c r="TJK80" s="211"/>
      <c r="TJL80" s="211"/>
      <c r="TJM80" s="211"/>
      <c r="TJN80" s="211"/>
      <c r="TJO80" s="211"/>
      <c r="TJP80" s="211"/>
      <c r="TJQ80" s="211"/>
      <c r="TJR80" s="211"/>
      <c r="TJS80" s="211"/>
      <c r="TJT80" s="211"/>
      <c r="TJU80" s="211"/>
      <c r="TJV80" s="211"/>
      <c r="TJW80" s="211"/>
      <c r="TJX80" s="211"/>
      <c r="TJY80" s="211"/>
      <c r="TJZ80" s="211"/>
      <c r="TKA80" s="211"/>
      <c r="TKB80" s="211"/>
      <c r="TKC80" s="211"/>
      <c r="TKD80" s="211"/>
      <c r="TKE80" s="211"/>
      <c r="TKF80" s="211"/>
      <c r="TKG80" s="211"/>
      <c r="TKH80" s="211"/>
      <c r="TKI80" s="211"/>
      <c r="TKJ80" s="211"/>
      <c r="TKK80" s="211"/>
      <c r="TKL80" s="211"/>
      <c r="TKM80" s="211"/>
      <c r="TKN80" s="211"/>
      <c r="TKO80" s="211"/>
      <c r="TKP80" s="211"/>
      <c r="TKQ80" s="211"/>
      <c r="TKR80" s="211"/>
      <c r="TKS80" s="211"/>
      <c r="TKT80" s="211"/>
      <c r="TKU80" s="211"/>
      <c r="TKV80" s="211"/>
      <c r="TKW80" s="211"/>
      <c r="TKX80" s="211"/>
      <c r="TKY80" s="211"/>
      <c r="TKZ80" s="211"/>
      <c r="TLA80" s="211"/>
      <c r="TLB80" s="211"/>
      <c r="TLC80" s="211"/>
      <c r="TLD80" s="211"/>
      <c r="TLE80" s="211"/>
      <c r="TLF80" s="211"/>
      <c r="TLG80" s="211"/>
      <c r="TLH80" s="211"/>
      <c r="TLI80" s="211"/>
      <c r="TLJ80" s="211"/>
      <c r="TLK80" s="211"/>
      <c r="TLL80" s="211"/>
      <c r="TLM80" s="211"/>
      <c r="TLN80" s="211"/>
      <c r="TLO80" s="211"/>
      <c r="TLP80" s="211"/>
      <c r="TLQ80" s="211"/>
      <c r="TLR80" s="211"/>
      <c r="TLS80" s="211"/>
      <c r="TLT80" s="211"/>
      <c r="TLU80" s="211"/>
      <c r="TLV80" s="211"/>
      <c r="TLW80" s="211"/>
      <c r="TLX80" s="211"/>
      <c r="TLY80" s="211"/>
      <c r="TLZ80" s="211"/>
      <c r="TMA80" s="211"/>
      <c r="TMB80" s="211"/>
      <c r="TMC80" s="211"/>
      <c r="TMD80" s="211"/>
      <c r="TME80" s="211"/>
      <c r="TMF80" s="211"/>
      <c r="TMG80" s="211"/>
      <c r="TMH80" s="211"/>
      <c r="TMI80" s="211"/>
      <c r="TMJ80" s="211"/>
      <c r="TMK80" s="211"/>
      <c r="TML80" s="211"/>
      <c r="TMM80" s="211"/>
      <c r="TMN80" s="211"/>
      <c r="TMO80" s="211"/>
      <c r="TMP80" s="211"/>
      <c r="TMQ80" s="211"/>
      <c r="TMR80" s="211"/>
      <c r="TMS80" s="211"/>
      <c r="TMT80" s="211"/>
      <c r="TMU80" s="211"/>
      <c r="TMV80" s="211"/>
      <c r="TMW80" s="211"/>
      <c r="TMX80" s="211"/>
      <c r="TMY80" s="211"/>
      <c r="TMZ80" s="211"/>
      <c r="TNA80" s="211"/>
      <c r="TNB80" s="211"/>
      <c r="TNC80" s="211"/>
      <c r="TND80" s="211"/>
      <c r="TNE80" s="211"/>
      <c r="TNF80" s="211"/>
      <c r="TNG80" s="211"/>
      <c r="TNH80" s="211"/>
      <c r="TNI80" s="211"/>
      <c r="TNJ80" s="211"/>
      <c r="TNK80" s="211"/>
      <c r="TNL80" s="211"/>
      <c r="TNM80" s="211"/>
      <c r="TNN80" s="211"/>
      <c r="TNO80" s="211"/>
      <c r="TNP80" s="211"/>
      <c r="TNQ80" s="211"/>
      <c r="TNR80" s="211"/>
      <c r="TNS80" s="211"/>
      <c r="TNT80" s="211"/>
      <c r="TNU80" s="211"/>
      <c r="TNV80" s="211"/>
      <c r="TNW80" s="211"/>
      <c r="TNX80" s="211"/>
      <c r="TNY80" s="211"/>
      <c r="TNZ80" s="211"/>
      <c r="TOA80" s="211"/>
      <c r="TOB80" s="211"/>
      <c r="TOC80" s="211"/>
      <c r="TOD80" s="211"/>
      <c r="TOE80" s="211"/>
      <c r="TOF80" s="211"/>
      <c r="TOG80" s="211"/>
      <c r="TOH80" s="211"/>
      <c r="TOI80" s="211"/>
      <c r="TOJ80" s="211"/>
      <c r="TOK80" s="211"/>
      <c r="TOL80" s="211"/>
      <c r="TOM80" s="211"/>
      <c r="TON80" s="211"/>
      <c r="TOO80" s="211"/>
      <c r="TOP80" s="211"/>
      <c r="TOQ80" s="211"/>
      <c r="TOR80" s="211"/>
      <c r="TOS80" s="211"/>
      <c r="TOT80" s="211"/>
      <c r="TOU80" s="211"/>
      <c r="TOV80" s="211"/>
      <c r="TOW80" s="211"/>
      <c r="TOX80" s="211"/>
      <c r="TOY80" s="211"/>
      <c r="TOZ80" s="211"/>
      <c r="TPA80" s="211"/>
      <c r="TPB80" s="211"/>
      <c r="TPC80" s="211"/>
      <c r="TPD80" s="211"/>
      <c r="TPE80" s="211"/>
      <c r="TPF80" s="211"/>
      <c r="TPG80" s="211"/>
      <c r="TPH80" s="211"/>
      <c r="TPI80" s="211"/>
      <c r="TPJ80" s="211"/>
      <c r="TPK80" s="211"/>
      <c r="TPL80" s="211"/>
      <c r="TPM80" s="211"/>
      <c r="TPN80" s="211"/>
      <c r="TPO80" s="211"/>
      <c r="TPP80" s="211"/>
      <c r="TPQ80" s="211"/>
      <c r="TPR80" s="211"/>
      <c r="TPS80" s="211"/>
      <c r="TPT80" s="211"/>
      <c r="TPU80" s="211"/>
      <c r="TPV80" s="211"/>
      <c r="TPW80" s="211"/>
      <c r="TPX80" s="211"/>
      <c r="TPY80" s="211"/>
      <c r="TPZ80" s="211"/>
      <c r="TQA80" s="211"/>
      <c r="TQB80" s="211"/>
      <c r="TQC80" s="211"/>
      <c r="TQD80" s="211"/>
      <c r="TQE80" s="211"/>
      <c r="TQF80" s="211"/>
      <c r="TQG80" s="211"/>
      <c r="TQH80" s="211"/>
      <c r="TQI80" s="211"/>
      <c r="TQJ80" s="211"/>
      <c r="TQK80" s="211"/>
      <c r="TQL80" s="211"/>
      <c r="TQM80" s="211"/>
      <c r="TQN80" s="211"/>
      <c r="TQO80" s="211"/>
      <c r="TQP80" s="211"/>
      <c r="TQQ80" s="211"/>
      <c r="TQR80" s="211"/>
      <c r="TQS80" s="211"/>
      <c r="TQT80" s="211"/>
      <c r="TQU80" s="211"/>
      <c r="TQV80" s="211"/>
      <c r="TQW80" s="211"/>
      <c r="TQX80" s="211"/>
      <c r="TQY80" s="211"/>
      <c r="TQZ80" s="211"/>
      <c r="TRA80" s="211"/>
      <c r="TRB80" s="211"/>
      <c r="TRC80" s="211"/>
      <c r="TRD80" s="211"/>
      <c r="TRE80" s="211"/>
      <c r="TRF80" s="211"/>
      <c r="TRG80" s="211"/>
      <c r="TRH80" s="211"/>
      <c r="TRI80" s="211"/>
      <c r="TRJ80" s="211"/>
      <c r="TRK80" s="211"/>
      <c r="TRL80" s="211"/>
      <c r="TRM80" s="211"/>
      <c r="TRN80" s="211"/>
      <c r="TRO80" s="211"/>
      <c r="TRP80" s="211"/>
      <c r="TRQ80" s="211"/>
      <c r="TRR80" s="211"/>
      <c r="TRS80" s="211"/>
      <c r="TRT80" s="211"/>
      <c r="TRU80" s="211"/>
      <c r="TRV80" s="211"/>
      <c r="TRW80" s="211"/>
      <c r="TRX80" s="211"/>
      <c r="TRY80" s="211"/>
      <c r="TRZ80" s="211"/>
      <c r="TSA80" s="211"/>
      <c r="TSB80" s="211"/>
      <c r="TSC80" s="211"/>
      <c r="TSD80" s="211"/>
      <c r="TSE80" s="211"/>
      <c r="TSF80" s="211"/>
      <c r="TSG80" s="211"/>
      <c r="TSH80" s="211"/>
      <c r="TSI80" s="211"/>
      <c r="TSJ80" s="211"/>
      <c r="TSK80" s="211"/>
      <c r="TSL80" s="211"/>
      <c r="TSM80" s="211"/>
      <c r="TSN80" s="211"/>
      <c r="TSO80" s="211"/>
      <c r="TSP80" s="211"/>
      <c r="TSQ80" s="211"/>
      <c r="TSR80" s="211"/>
      <c r="TSS80" s="211"/>
      <c r="TST80" s="211"/>
      <c r="TSU80" s="211"/>
      <c r="TSV80" s="211"/>
      <c r="TSW80" s="211"/>
      <c r="TSX80" s="211"/>
      <c r="TSY80" s="211"/>
      <c r="TSZ80" s="211"/>
      <c r="TTA80" s="211"/>
      <c r="TTB80" s="211"/>
      <c r="TTC80" s="211"/>
      <c r="TTD80" s="211"/>
      <c r="TTE80" s="211"/>
      <c r="TTF80" s="211"/>
      <c r="TTG80" s="211"/>
      <c r="TTH80" s="211"/>
      <c r="TTI80" s="211"/>
      <c r="TTJ80" s="211"/>
      <c r="TTK80" s="211"/>
      <c r="TTL80" s="211"/>
      <c r="TTM80" s="211"/>
      <c r="TTN80" s="211"/>
      <c r="TTO80" s="211"/>
      <c r="TTP80" s="211"/>
      <c r="TTQ80" s="211"/>
      <c r="TTR80" s="211"/>
      <c r="TTS80" s="211"/>
      <c r="TTT80" s="211"/>
      <c r="TTU80" s="211"/>
      <c r="TTV80" s="211"/>
      <c r="TTW80" s="211"/>
      <c r="TTX80" s="211"/>
      <c r="TTY80" s="211"/>
      <c r="TTZ80" s="211"/>
      <c r="TUA80" s="211"/>
      <c r="TUB80" s="211"/>
      <c r="TUC80" s="211"/>
      <c r="TUD80" s="211"/>
      <c r="TUE80" s="211"/>
      <c r="TUF80" s="211"/>
      <c r="TUG80" s="211"/>
      <c r="TUH80" s="211"/>
      <c r="TUI80" s="211"/>
      <c r="TUJ80" s="211"/>
      <c r="TUK80" s="211"/>
      <c r="TUL80" s="211"/>
      <c r="TUM80" s="211"/>
      <c r="TUN80" s="211"/>
      <c r="TUO80" s="211"/>
      <c r="TUP80" s="211"/>
      <c r="TUQ80" s="211"/>
      <c r="TUR80" s="211"/>
      <c r="TUS80" s="211"/>
      <c r="TUT80" s="211"/>
      <c r="TUU80" s="211"/>
      <c r="TUV80" s="211"/>
      <c r="TUW80" s="211"/>
      <c r="TUX80" s="211"/>
      <c r="TUY80" s="211"/>
      <c r="TUZ80" s="211"/>
      <c r="TVA80" s="211"/>
      <c r="TVB80" s="211"/>
      <c r="TVC80" s="211"/>
      <c r="TVD80" s="211"/>
      <c r="TVE80" s="211"/>
      <c r="TVF80" s="211"/>
      <c r="TVG80" s="211"/>
      <c r="TVH80" s="211"/>
      <c r="TVI80" s="211"/>
      <c r="TVJ80" s="211"/>
      <c r="TVK80" s="211"/>
      <c r="TVL80" s="211"/>
      <c r="TVM80" s="211"/>
      <c r="TVN80" s="211"/>
      <c r="TVO80" s="211"/>
      <c r="TVP80" s="211"/>
      <c r="TVQ80" s="211"/>
      <c r="TVR80" s="211"/>
      <c r="TVS80" s="211"/>
      <c r="TVT80" s="211"/>
      <c r="TVU80" s="211"/>
      <c r="TVV80" s="211"/>
      <c r="TVW80" s="211"/>
      <c r="TVX80" s="211"/>
      <c r="TVY80" s="211"/>
      <c r="TVZ80" s="211"/>
      <c r="TWA80" s="211"/>
      <c r="TWB80" s="211"/>
      <c r="TWC80" s="211"/>
      <c r="TWD80" s="211"/>
      <c r="TWE80" s="211"/>
      <c r="TWF80" s="211"/>
      <c r="TWG80" s="211"/>
      <c r="TWH80" s="211"/>
      <c r="TWI80" s="211"/>
      <c r="TWJ80" s="211"/>
      <c r="TWK80" s="211"/>
      <c r="TWL80" s="211"/>
      <c r="TWM80" s="211"/>
      <c r="TWN80" s="211"/>
      <c r="TWO80" s="211"/>
      <c r="TWP80" s="211"/>
      <c r="TWQ80" s="211"/>
      <c r="TWR80" s="211"/>
      <c r="TWS80" s="211"/>
      <c r="TWT80" s="211"/>
      <c r="TWU80" s="211"/>
      <c r="TWV80" s="211"/>
      <c r="TWW80" s="211"/>
      <c r="TWX80" s="211"/>
      <c r="TWY80" s="211"/>
      <c r="TWZ80" s="211"/>
      <c r="TXA80" s="211"/>
      <c r="TXB80" s="211"/>
      <c r="TXC80" s="211"/>
      <c r="TXD80" s="211"/>
      <c r="TXE80" s="211"/>
      <c r="TXF80" s="211"/>
      <c r="TXG80" s="211"/>
      <c r="TXH80" s="211"/>
      <c r="TXI80" s="211"/>
      <c r="TXJ80" s="211"/>
      <c r="TXK80" s="211"/>
      <c r="TXL80" s="211"/>
      <c r="TXM80" s="211"/>
      <c r="TXN80" s="211"/>
      <c r="TXO80" s="211"/>
      <c r="TXP80" s="211"/>
      <c r="TXQ80" s="211"/>
      <c r="TXR80" s="211"/>
      <c r="TXS80" s="211"/>
      <c r="TXT80" s="211"/>
      <c r="TXU80" s="211"/>
      <c r="TXV80" s="211"/>
      <c r="TXW80" s="211"/>
      <c r="TXX80" s="211"/>
      <c r="TXY80" s="211"/>
      <c r="TXZ80" s="211"/>
      <c r="TYA80" s="211"/>
      <c r="TYB80" s="211"/>
      <c r="TYC80" s="211"/>
      <c r="TYD80" s="211"/>
      <c r="TYE80" s="211"/>
      <c r="TYF80" s="211"/>
      <c r="TYG80" s="211"/>
      <c r="TYH80" s="211"/>
      <c r="TYI80" s="211"/>
      <c r="TYJ80" s="211"/>
      <c r="TYK80" s="211"/>
      <c r="TYL80" s="211"/>
      <c r="TYM80" s="211"/>
      <c r="TYN80" s="211"/>
      <c r="TYO80" s="211"/>
      <c r="TYP80" s="211"/>
      <c r="TYQ80" s="211"/>
      <c r="TYR80" s="211"/>
      <c r="TYS80" s="211"/>
      <c r="TYT80" s="211"/>
      <c r="TYU80" s="211"/>
      <c r="TYV80" s="211"/>
      <c r="TYW80" s="211"/>
      <c r="TYX80" s="211"/>
      <c r="TYY80" s="211"/>
      <c r="TYZ80" s="211"/>
      <c r="TZA80" s="211"/>
      <c r="TZB80" s="211"/>
      <c r="TZC80" s="211"/>
      <c r="TZD80" s="211"/>
      <c r="TZE80" s="211"/>
      <c r="TZF80" s="211"/>
      <c r="TZG80" s="211"/>
      <c r="TZH80" s="211"/>
      <c r="TZI80" s="211"/>
      <c r="TZJ80" s="211"/>
      <c r="TZK80" s="211"/>
      <c r="TZL80" s="211"/>
      <c r="TZM80" s="211"/>
      <c r="TZN80" s="211"/>
      <c r="TZO80" s="211"/>
      <c r="TZP80" s="211"/>
      <c r="TZQ80" s="211"/>
      <c r="TZR80" s="211"/>
      <c r="TZS80" s="211"/>
      <c r="TZT80" s="211"/>
      <c r="TZU80" s="211"/>
      <c r="TZV80" s="211"/>
      <c r="TZW80" s="211"/>
      <c r="TZX80" s="211"/>
      <c r="TZY80" s="211"/>
      <c r="TZZ80" s="211"/>
      <c r="UAA80" s="211"/>
      <c r="UAB80" s="211"/>
      <c r="UAC80" s="211"/>
      <c r="UAD80" s="211"/>
      <c r="UAE80" s="211"/>
      <c r="UAF80" s="211"/>
      <c r="UAG80" s="211"/>
      <c r="UAH80" s="211"/>
      <c r="UAI80" s="211"/>
      <c r="UAJ80" s="211"/>
      <c r="UAK80" s="211"/>
      <c r="UAL80" s="211"/>
      <c r="UAM80" s="211"/>
      <c r="UAN80" s="211"/>
      <c r="UAO80" s="211"/>
      <c r="UAP80" s="211"/>
      <c r="UAQ80" s="211"/>
      <c r="UAR80" s="211"/>
      <c r="UAS80" s="211"/>
      <c r="UAT80" s="211"/>
      <c r="UAU80" s="211"/>
      <c r="UAV80" s="211"/>
      <c r="UAW80" s="211"/>
      <c r="UAX80" s="211"/>
      <c r="UAY80" s="211"/>
      <c r="UAZ80" s="211"/>
      <c r="UBA80" s="211"/>
      <c r="UBB80" s="211"/>
      <c r="UBC80" s="211"/>
      <c r="UBD80" s="211"/>
      <c r="UBE80" s="211"/>
      <c r="UBF80" s="211"/>
      <c r="UBG80" s="211"/>
      <c r="UBH80" s="211"/>
      <c r="UBI80" s="211"/>
      <c r="UBJ80" s="211"/>
      <c r="UBK80" s="211"/>
      <c r="UBL80" s="211"/>
      <c r="UBM80" s="211"/>
      <c r="UBN80" s="211"/>
      <c r="UBO80" s="211"/>
      <c r="UBP80" s="211"/>
      <c r="UBQ80" s="211"/>
      <c r="UBR80" s="211"/>
      <c r="UBS80" s="211"/>
      <c r="UBT80" s="211"/>
      <c r="UBU80" s="211"/>
      <c r="UBV80" s="211"/>
      <c r="UBW80" s="211"/>
      <c r="UBX80" s="211"/>
      <c r="UBY80" s="211"/>
      <c r="UBZ80" s="211"/>
      <c r="UCA80" s="211"/>
      <c r="UCB80" s="211"/>
      <c r="UCC80" s="211"/>
      <c r="UCD80" s="211"/>
      <c r="UCE80" s="211"/>
      <c r="UCF80" s="211"/>
      <c r="UCG80" s="211"/>
      <c r="UCH80" s="211"/>
      <c r="UCI80" s="211"/>
      <c r="UCJ80" s="211"/>
      <c r="UCK80" s="211"/>
      <c r="UCL80" s="211"/>
      <c r="UCM80" s="211"/>
      <c r="UCN80" s="211"/>
      <c r="UCO80" s="211"/>
      <c r="UCP80" s="211"/>
      <c r="UCQ80" s="211"/>
      <c r="UCR80" s="211"/>
      <c r="UCS80" s="211"/>
      <c r="UCT80" s="211"/>
      <c r="UCU80" s="211"/>
      <c r="UCV80" s="211"/>
      <c r="UCW80" s="211"/>
      <c r="UCX80" s="211"/>
      <c r="UCY80" s="211"/>
      <c r="UCZ80" s="211"/>
      <c r="UDA80" s="211"/>
      <c r="UDB80" s="211"/>
      <c r="UDC80" s="211"/>
      <c r="UDD80" s="211"/>
      <c r="UDE80" s="211"/>
      <c r="UDF80" s="211"/>
      <c r="UDG80" s="211"/>
      <c r="UDH80" s="211"/>
      <c r="UDI80" s="211"/>
      <c r="UDJ80" s="211"/>
      <c r="UDK80" s="211"/>
      <c r="UDL80" s="211"/>
      <c r="UDM80" s="211"/>
      <c r="UDN80" s="211"/>
      <c r="UDO80" s="211"/>
      <c r="UDP80" s="211"/>
      <c r="UDQ80" s="211"/>
      <c r="UDR80" s="211"/>
      <c r="UDS80" s="211"/>
      <c r="UDT80" s="211"/>
      <c r="UDU80" s="211"/>
      <c r="UDV80" s="211"/>
      <c r="UDW80" s="211"/>
      <c r="UDX80" s="211"/>
      <c r="UDY80" s="211"/>
      <c r="UDZ80" s="211"/>
      <c r="UEA80" s="211"/>
      <c r="UEB80" s="211"/>
      <c r="UEC80" s="211"/>
      <c r="UED80" s="211"/>
      <c r="UEE80" s="211"/>
      <c r="UEF80" s="211"/>
      <c r="UEG80" s="211"/>
      <c r="UEH80" s="211"/>
      <c r="UEI80" s="211"/>
      <c r="UEJ80" s="211"/>
      <c r="UEK80" s="211"/>
      <c r="UEL80" s="211"/>
      <c r="UEM80" s="211"/>
      <c r="UEN80" s="211"/>
      <c r="UEO80" s="211"/>
      <c r="UEP80" s="211"/>
      <c r="UEQ80" s="211"/>
      <c r="UER80" s="211"/>
      <c r="UES80" s="211"/>
      <c r="UET80" s="211"/>
      <c r="UEU80" s="211"/>
      <c r="UEV80" s="211"/>
      <c r="UEW80" s="211"/>
      <c r="UEX80" s="211"/>
      <c r="UEY80" s="211"/>
      <c r="UEZ80" s="211"/>
      <c r="UFA80" s="211"/>
      <c r="UFB80" s="211"/>
      <c r="UFC80" s="211"/>
      <c r="UFD80" s="211"/>
      <c r="UFE80" s="211"/>
      <c r="UFF80" s="211"/>
      <c r="UFG80" s="211"/>
      <c r="UFH80" s="211"/>
      <c r="UFI80" s="211"/>
      <c r="UFJ80" s="211"/>
      <c r="UFK80" s="211"/>
      <c r="UFL80" s="211"/>
      <c r="UFM80" s="211"/>
      <c r="UFN80" s="211"/>
      <c r="UFO80" s="211"/>
      <c r="UFP80" s="211"/>
      <c r="UFQ80" s="211"/>
      <c r="UFR80" s="211"/>
      <c r="UFS80" s="211"/>
      <c r="UFT80" s="211"/>
      <c r="UFU80" s="211"/>
      <c r="UFV80" s="211"/>
      <c r="UFW80" s="211"/>
      <c r="UFX80" s="211"/>
      <c r="UFY80" s="211"/>
      <c r="UFZ80" s="211"/>
      <c r="UGA80" s="211"/>
      <c r="UGB80" s="211"/>
      <c r="UGC80" s="211"/>
      <c r="UGD80" s="211"/>
      <c r="UGE80" s="211"/>
      <c r="UGF80" s="211"/>
      <c r="UGG80" s="211"/>
      <c r="UGH80" s="211"/>
      <c r="UGI80" s="211"/>
      <c r="UGJ80" s="211"/>
      <c r="UGK80" s="211"/>
      <c r="UGL80" s="211"/>
      <c r="UGM80" s="211"/>
      <c r="UGN80" s="211"/>
      <c r="UGO80" s="211"/>
      <c r="UGP80" s="211"/>
      <c r="UGQ80" s="211"/>
      <c r="UGR80" s="211"/>
      <c r="UGS80" s="211"/>
      <c r="UGT80" s="211"/>
      <c r="UGU80" s="211"/>
      <c r="UGV80" s="211"/>
      <c r="UGW80" s="211"/>
      <c r="UGX80" s="211"/>
      <c r="UGY80" s="211"/>
      <c r="UGZ80" s="211"/>
      <c r="UHA80" s="211"/>
      <c r="UHB80" s="211"/>
      <c r="UHC80" s="211"/>
      <c r="UHD80" s="211"/>
      <c r="UHE80" s="211"/>
      <c r="UHF80" s="211"/>
      <c r="UHG80" s="211"/>
      <c r="UHH80" s="211"/>
      <c r="UHI80" s="211"/>
      <c r="UHJ80" s="211"/>
      <c r="UHK80" s="211"/>
      <c r="UHL80" s="211"/>
      <c r="UHM80" s="211"/>
      <c r="UHN80" s="211"/>
      <c r="UHO80" s="211"/>
      <c r="UHP80" s="211"/>
      <c r="UHQ80" s="211"/>
      <c r="UHR80" s="211"/>
      <c r="UHS80" s="211"/>
      <c r="UHT80" s="211"/>
      <c r="UHU80" s="211"/>
      <c r="UHV80" s="211"/>
      <c r="UHW80" s="211"/>
      <c r="UHX80" s="211"/>
      <c r="UHY80" s="211"/>
      <c r="UHZ80" s="211"/>
      <c r="UIA80" s="211"/>
      <c r="UIB80" s="211"/>
      <c r="UIC80" s="211"/>
      <c r="UID80" s="211"/>
      <c r="UIE80" s="211"/>
      <c r="UIF80" s="211"/>
      <c r="UIG80" s="211"/>
      <c r="UIH80" s="211"/>
      <c r="UII80" s="211"/>
      <c r="UIJ80" s="211"/>
      <c r="UIK80" s="211"/>
      <c r="UIL80" s="211"/>
      <c r="UIM80" s="211"/>
      <c r="UIN80" s="211"/>
      <c r="UIO80" s="211"/>
      <c r="UIP80" s="211"/>
      <c r="UIQ80" s="211"/>
      <c r="UIR80" s="211"/>
      <c r="UIS80" s="211"/>
      <c r="UIT80" s="211"/>
      <c r="UIU80" s="211"/>
      <c r="UIV80" s="211"/>
      <c r="UIW80" s="211"/>
      <c r="UIX80" s="211"/>
      <c r="UIY80" s="211"/>
      <c r="UIZ80" s="211"/>
      <c r="UJA80" s="211"/>
      <c r="UJB80" s="211"/>
      <c r="UJC80" s="211"/>
      <c r="UJD80" s="211"/>
      <c r="UJE80" s="211"/>
      <c r="UJF80" s="211"/>
      <c r="UJG80" s="211"/>
      <c r="UJH80" s="211"/>
      <c r="UJI80" s="211"/>
      <c r="UJJ80" s="211"/>
      <c r="UJK80" s="211"/>
      <c r="UJL80" s="211"/>
      <c r="UJM80" s="211"/>
      <c r="UJN80" s="211"/>
      <c r="UJO80" s="211"/>
      <c r="UJP80" s="211"/>
      <c r="UJQ80" s="211"/>
      <c r="UJR80" s="211"/>
      <c r="UJS80" s="211"/>
      <c r="UJT80" s="211"/>
      <c r="UJU80" s="211"/>
      <c r="UJV80" s="211"/>
      <c r="UJW80" s="211"/>
      <c r="UJX80" s="211"/>
      <c r="UJY80" s="211"/>
      <c r="UJZ80" s="211"/>
      <c r="UKA80" s="211"/>
      <c r="UKB80" s="211"/>
      <c r="UKC80" s="211"/>
      <c r="UKD80" s="211"/>
      <c r="UKE80" s="211"/>
      <c r="UKF80" s="211"/>
      <c r="UKG80" s="211"/>
      <c r="UKH80" s="211"/>
      <c r="UKI80" s="211"/>
      <c r="UKJ80" s="211"/>
      <c r="UKK80" s="211"/>
      <c r="UKL80" s="211"/>
      <c r="UKM80" s="211"/>
      <c r="UKN80" s="211"/>
      <c r="UKO80" s="211"/>
      <c r="UKP80" s="211"/>
      <c r="UKQ80" s="211"/>
      <c r="UKR80" s="211"/>
      <c r="UKS80" s="211"/>
      <c r="UKT80" s="211"/>
      <c r="UKU80" s="211"/>
      <c r="UKV80" s="211"/>
      <c r="UKW80" s="211"/>
      <c r="UKX80" s="211"/>
      <c r="UKY80" s="211"/>
      <c r="UKZ80" s="211"/>
      <c r="ULA80" s="211"/>
      <c r="ULB80" s="211"/>
      <c r="ULC80" s="211"/>
      <c r="ULD80" s="211"/>
      <c r="ULE80" s="211"/>
      <c r="ULF80" s="211"/>
      <c r="ULG80" s="211"/>
      <c r="ULH80" s="211"/>
      <c r="ULI80" s="211"/>
      <c r="ULJ80" s="211"/>
      <c r="ULK80" s="211"/>
      <c r="ULL80" s="211"/>
      <c r="ULM80" s="211"/>
      <c r="ULN80" s="211"/>
      <c r="ULO80" s="211"/>
      <c r="ULP80" s="211"/>
      <c r="ULQ80" s="211"/>
      <c r="ULR80" s="211"/>
      <c r="ULS80" s="211"/>
      <c r="ULT80" s="211"/>
      <c r="ULU80" s="211"/>
      <c r="ULV80" s="211"/>
      <c r="ULW80" s="211"/>
      <c r="ULX80" s="211"/>
      <c r="ULY80" s="211"/>
      <c r="ULZ80" s="211"/>
      <c r="UMA80" s="211"/>
      <c r="UMB80" s="211"/>
      <c r="UMC80" s="211"/>
      <c r="UMD80" s="211"/>
      <c r="UME80" s="211"/>
      <c r="UMF80" s="211"/>
      <c r="UMG80" s="211"/>
      <c r="UMH80" s="211"/>
      <c r="UMI80" s="211"/>
      <c r="UMJ80" s="211"/>
      <c r="UMK80" s="211"/>
      <c r="UML80" s="211"/>
      <c r="UMM80" s="211"/>
      <c r="UMN80" s="211"/>
      <c r="UMO80" s="211"/>
      <c r="UMP80" s="211"/>
      <c r="UMQ80" s="211"/>
      <c r="UMR80" s="211"/>
      <c r="UMS80" s="211"/>
      <c r="UMT80" s="211"/>
      <c r="UMU80" s="211"/>
      <c r="UMV80" s="211"/>
      <c r="UMW80" s="211"/>
      <c r="UMX80" s="211"/>
      <c r="UMY80" s="211"/>
      <c r="UMZ80" s="211"/>
      <c r="UNA80" s="211"/>
      <c r="UNB80" s="211"/>
      <c r="UNC80" s="211"/>
      <c r="UND80" s="211"/>
      <c r="UNE80" s="211"/>
      <c r="UNF80" s="211"/>
      <c r="UNG80" s="211"/>
      <c r="UNH80" s="211"/>
      <c r="UNI80" s="211"/>
      <c r="UNJ80" s="211"/>
      <c r="UNK80" s="211"/>
      <c r="UNL80" s="211"/>
      <c r="UNM80" s="211"/>
      <c r="UNN80" s="211"/>
      <c r="UNO80" s="211"/>
      <c r="UNP80" s="211"/>
      <c r="UNQ80" s="211"/>
      <c r="UNR80" s="211"/>
      <c r="UNS80" s="211"/>
      <c r="UNT80" s="211"/>
      <c r="UNU80" s="211"/>
      <c r="UNV80" s="211"/>
      <c r="UNW80" s="211"/>
      <c r="UNX80" s="211"/>
      <c r="UNY80" s="211"/>
      <c r="UNZ80" s="211"/>
      <c r="UOA80" s="211"/>
      <c r="UOB80" s="211"/>
      <c r="UOC80" s="211"/>
      <c r="UOD80" s="211"/>
      <c r="UOE80" s="211"/>
      <c r="UOF80" s="211"/>
      <c r="UOG80" s="211"/>
      <c r="UOH80" s="211"/>
      <c r="UOI80" s="211"/>
      <c r="UOJ80" s="211"/>
      <c r="UOK80" s="211"/>
      <c r="UOL80" s="211"/>
      <c r="UOM80" s="211"/>
      <c r="UON80" s="211"/>
      <c r="UOO80" s="211"/>
      <c r="UOP80" s="211"/>
      <c r="UOQ80" s="211"/>
      <c r="UOR80" s="211"/>
      <c r="UOS80" s="211"/>
      <c r="UOT80" s="211"/>
      <c r="UOU80" s="211"/>
      <c r="UOV80" s="211"/>
      <c r="UOW80" s="211"/>
      <c r="UOX80" s="211"/>
      <c r="UOY80" s="211"/>
      <c r="UOZ80" s="211"/>
      <c r="UPA80" s="211"/>
      <c r="UPB80" s="211"/>
      <c r="UPC80" s="211"/>
      <c r="UPD80" s="211"/>
      <c r="UPE80" s="211"/>
      <c r="UPF80" s="211"/>
      <c r="UPG80" s="211"/>
      <c r="UPH80" s="211"/>
      <c r="UPI80" s="211"/>
      <c r="UPJ80" s="211"/>
      <c r="UPK80" s="211"/>
      <c r="UPL80" s="211"/>
      <c r="UPM80" s="211"/>
      <c r="UPN80" s="211"/>
      <c r="UPO80" s="211"/>
      <c r="UPP80" s="211"/>
      <c r="UPQ80" s="211"/>
      <c r="UPR80" s="211"/>
      <c r="UPS80" s="211"/>
      <c r="UPT80" s="211"/>
      <c r="UPU80" s="211"/>
      <c r="UPV80" s="211"/>
      <c r="UPW80" s="211"/>
      <c r="UPX80" s="211"/>
      <c r="UPY80" s="211"/>
      <c r="UPZ80" s="211"/>
      <c r="UQA80" s="211"/>
      <c r="UQB80" s="211"/>
      <c r="UQC80" s="211"/>
      <c r="UQD80" s="211"/>
      <c r="UQE80" s="211"/>
      <c r="UQF80" s="211"/>
      <c r="UQG80" s="211"/>
      <c r="UQH80" s="211"/>
      <c r="UQI80" s="211"/>
      <c r="UQJ80" s="211"/>
      <c r="UQK80" s="211"/>
      <c r="UQL80" s="211"/>
      <c r="UQM80" s="211"/>
      <c r="UQN80" s="211"/>
      <c r="UQO80" s="211"/>
      <c r="UQP80" s="211"/>
      <c r="UQQ80" s="211"/>
      <c r="UQR80" s="211"/>
      <c r="UQS80" s="211"/>
      <c r="UQT80" s="211"/>
      <c r="UQU80" s="211"/>
      <c r="UQV80" s="211"/>
      <c r="UQW80" s="211"/>
      <c r="UQX80" s="211"/>
      <c r="UQY80" s="211"/>
      <c r="UQZ80" s="211"/>
      <c r="URA80" s="211"/>
      <c r="URB80" s="211"/>
      <c r="URC80" s="211"/>
      <c r="URD80" s="211"/>
      <c r="URE80" s="211"/>
      <c r="URF80" s="211"/>
      <c r="URG80" s="211"/>
      <c r="URH80" s="211"/>
      <c r="URI80" s="211"/>
      <c r="URJ80" s="211"/>
      <c r="URK80" s="211"/>
      <c r="URL80" s="211"/>
      <c r="URM80" s="211"/>
      <c r="URN80" s="211"/>
      <c r="URO80" s="211"/>
      <c r="URP80" s="211"/>
      <c r="URQ80" s="211"/>
      <c r="URR80" s="211"/>
      <c r="URS80" s="211"/>
      <c r="URT80" s="211"/>
      <c r="URU80" s="211"/>
      <c r="URV80" s="211"/>
      <c r="URW80" s="211"/>
      <c r="URX80" s="211"/>
      <c r="URY80" s="211"/>
      <c r="URZ80" s="211"/>
      <c r="USA80" s="211"/>
      <c r="USB80" s="211"/>
      <c r="USC80" s="211"/>
      <c r="USD80" s="211"/>
      <c r="USE80" s="211"/>
      <c r="USF80" s="211"/>
      <c r="USG80" s="211"/>
      <c r="USH80" s="211"/>
      <c r="USI80" s="211"/>
      <c r="USJ80" s="211"/>
      <c r="USK80" s="211"/>
      <c r="USL80" s="211"/>
      <c r="USM80" s="211"/>
      <c r="USN80" s="211"/>
      <c r="USO80" s="211"/>
      <c r="USP80" s="211"/>
      <c r="USQ80" s="211"/>
      <c r="USR80" s="211"/>
      <c r="USS80" s="211"/>
      <c r="UST80" s="211"/>
      <c r="USU80" s="211"/>
      <c r="USV80" s="211"/>
      <c r="USW80" s="211"/>
      <c r="USX80" s="211"/>
      <c r="USY80" s="211"/>
      <c r="USZ80" s="211"/>
      <c r="UTA80" s="211"/>
      <c r="UTB80" s="211"/>
      <c r="UTC80" s="211"/>
      <c r="UTD80" s="211"/>
      <c r="UTE80" s="211"/>
      <c r="UTF80" s="211"/>
      <c r="UTG80" s="211"/>
      <c r="UTH80" s="211"/>
      <c r="UTI80" s="211"/>
      <c r="UTJ80" s="211"/>
      <c r="UTK80" s="211"/>
      <c r="UTL80" s="211"/>
      <c r="UTM80" s="211"/>
      <c r="UTN80" s="211"/>
      <c r="UTO80" s="211"/>
      <c r="UTP80" s="211"/>
      <c r="UTQ80" s="211"/>
      <c r="UTR80" s="211"/>
      <c r="UTS80" s="211"/>
      <c r="UTT80" s="211"/>
      <c r="UTU80" s="211"/>
      <c r="UTV80" s="211"/>
      <c r="UTW80" s="211"/>
      <c r="UTX80" s="211"/>
      <c r="UTY80" s="211"/>
      <c r="UTZ80" s="211"/>
      <c r="UUA80" s="211"/>
      <c r="UUB80" s="211"/>
      <c r="UUC80" s="211"/>
      <c r="UUD80" s="211"/>
      <c r="UUE80" s="211"/>
      <c r="UUF80" s="211"/>
      <c r="UUG80" s="211"/>
      <c r="UUH80" s="211"/>
      <c r="UUI80" s="211"/>
      <c r="UUJ80" s="211"/>
      <c r="UUK80" s="211"/>
      <c r="UUL80" s="211"/>
      <c r="UUM80" s="211"/>
      <c r="UUN80" s="211"/>
      <c r="UUO80" s="211"/>
      <c r="UUP80" s="211"/>
      <c r="UUQ80" s="211"/>
      <c r="UUR80" s="211"/>
      <c r="UUS80" s="211"/>
      <c r="UUT80" s="211"/>
      <c r="UUU80" s="211"/>
      <c r="UUV80" s="211"/>
      <c r="UUW80" s="211"/>
      <c r="UUX80" s="211"/>
      <c r="UUY80" s="211"/>
      <c r="UUZ80" s="211"/>
      <c r="UVA80" s="211"/>
      <c r="UVB80" s="211"/>
      <c r="UVC80" s="211"/>
      <c r="UVD80" s="211"/>
      <c r="UVE80" s="211"/>
      <c r="UVF80" s="211"/>
      <c r="UVG80" s="211"/>
      <c r="UVH80" s="211"/>
      <c r="UVI80" s="211"/>
      <c r="UVJ80" s="211"/>
      <c r="UVK80" s="211"/>
      <c r="UVL80" s="211"/>
      <c r="UVM80" s="211"/>
      <c r="UVN80" s="211"/>
      <c r="UVO80" s="211"/>
      <c r="UVP80" s="211"/>
      <c r="UVQ80" s="211"/>
      <c r="UVR80" s="211"/>
      <c r="UVS80" s="211"/>
      <c r="UVT80" s="211"/>
      <c r="UVU80" s="211"/>
      <c r="UVV80" s="211"/>
      <c r="UVW80" s="211"/>
      <c r="UVX80" s="211"/>
      <c r="UVY80" s="211"/>
      <c r="UVZ80" s="211"/>
      <c r="UWA80" s="211"/>
      <c r="UWB80" s="211"/>
      <c r="UWC80" s="211"/>
      <c r="UWD80" s="211"/>
      <c r="UWE80" s="211"/>
      <c r="UWF80" s="211"/>
      <c r="UWG80" s="211"/>
      <c r="UWH80" s="211"/>
      <c r="UWI80" s="211"/>
      <c r="UWJ80" s="211"/>
      <c r="UWK80" s="211"/>
      <c r="UWL80" s="211"/>
      <c r="UWM80" s="211"/>
      <c r="UWN80" s="211"/>
      <c r="UWO80" s="211"/>
      <c r="UWP80" s="211"/>
      <c r="UWQ80" s="211"/>
      <c r="UWR80" s="211"/>
      <c r="UWS80" s="211"/>
      <c r="UWT80" s="211"/>
      <c r="UWU80" s="211"/>
      <c r="UWV80" s="211"/>
      <c r="UWW80" s="211"/>
      <c r="UWX80" s="211"/>
      <c r="UWY80" s="211"/>
      <c r="UWZ80" s="211"/>
      <c r="UXA80" s="211"/>
      <c r="UXB80" s="211"/>
      <c r="UXC80" s="211"/>
      <c r="UXD80" s="211"/>
      <c r="UXE80" s="211"/>
      <c r="UXF80" s="211"/>
      <c r="UXG80" s="211"/>
      <c r="UXH80" s="211"/>
      <c r="UXI80" s="211"/>
      <c r="UXJ80" s="211"/>
      <c r="UXK80" s="211"/>
      <c r="UXL80" s="211"/>
      <c r="UXM80" s="211"/>
      <c r="UXN80" s="211"/>
      <c r="UXO80" s="211"/>
      <c r="UXP80" s="211"/>
      <c r="UXQ80" s="211"/>
      <c r="UXR80" s="211"/>
      <c r="UXS80" s="211"/>
      <c r="UXT80" s="211"/>
      <c r="UXU80" s="211"/>
      <c r="UXV80" s="211"/>
      <c r="UXW80" s="211"/>
      <c r="UXX80" s="211"/>
      <c r="UXY80" s="211"/>
      <c r="UXZ80" s="211"/>
      <c r="UYA80" s="211"/>
      <c r="UYB80" s="211"/>
      <c r="UYC80" s="211"/>
      <c r="UYD80" s="211"/>
      <c r="UYE80" s="211"/>
      <c r="UYF80" s="211"/>
      <c r="UYG80" s="211"/>
      <c r="UYH80" s="211"/>
      <c r="UYI80" s="211"/>
      <c r="UYJ80" s="211"/>
      <c r="UYK80" s="211"/>
      <c r="UYL80" s="211"/>
      <c r="UYM80" s="211"/>
      <c r="UYN80" s="211"/>
      <c r="UYO80" s="211"/>
      <c r="UYP80" s="211"/>
      <c r="UYQ80" s="211"/>
      <c r="UYR80" s="211"/>
      <c r="UYS80" s="211"/>
      <c r="UYT80" s="211"/>
      <c r="UYU80" s="211"/>
      <c r="UYV80" s="211"/>
      <c r="UYW80" s="211"/>
      <c r="UYX80" s="211"/>
      <c r="UYY80" s="211"/>
      <c r="UYZ80" s="211"/>
      <c r="UZA80" s="211"/>
      <c r="UZB80" s="211"/>
      <c r="UZC80" s="211"/>
      <c r="UZD80" s="211"/>
      <c r="UZE80" s="211"/>
      <c r="UZF80" s="211"/>
      <c r="UZG80" s="211"/>
      <c r="UZH80" s="211"/>
      <c r="UZI80" s="211"/>
      <c r="UZJ80" s="211"/>
      <c r="UZK80" s="211"/>
      <c r="UZL80" s="211"/>
      <c r="UZM80" s="211"/>
      <c r="UZN80" s="211"/>
      <c r="UZO80" s="211"/>
      <c r="UZP80" s="211"/>
      <c r="UZQ80" s="211"/>
      <c r="UZR80" s="211"/>
      <c r="UZS80" s="211"/>
      <c r="UZT80" s="211"/>
      <c r="UZU80" s="211"/>
      <c r="UZV80" s="211"/>
      <c r="UZW80" s="211"/>
      <c r="UZX80" s="211"/>
      <c r="UZY80" s="211"/>
      <c r="UZZ80" s="211"/>
      <c r="VAA80" s="211"/>
      <c r="VAB80" s="211"/>
      <c r="VAC80" s="211"/>
      <c r="VAD80" s="211"/>
      <c r="VAE80" s="211"/>
      <c r="VAF80" s="211"/>
      <c r="VAG80" s="211"/>
      <c r="VAH80" s="211"/>
      <c r="VAI80" s="211"/>
      <c r="VAJ80" s="211"/>
      <c r="VAK80" s="211"/>
      <c r="VAL80" s="211"/>
      <c r="VAM80" s="211"/>
      <c r="VAN80" s="211"/>
      <c r="VAO80" s="211"/>
      <c r="VAP80" s="211"/>
      <c r="VAQ80" s="211"/>
      <c r="VAR80" s="211"/>
      <c r="VAS80" s="211"/>
      <c r="VAT80" s="211"/>
      <c r="VAU80" s="211"/>
      <c r="VAV80" s="211"/>
      <c r="VAW80" s="211"/>
      <c r="VAX80" s="211"/>
      <c r="VAY80" s="211"/>
      <c r="VAZ80" s="211"/>
      <c r="VBA80" s="211"/>
      <c r="VBB80" s="211"/>
      <c r="VBC80" s="211"/>
      <c r="VBD80" s="211"/>
      <c r="VBE80" s="211"/>
      <c r="VBF80" s="211"/>
      <c r="VBG80" s="211"/>
      <c r="VBH80" s="211"/>
      <c r="VBI80" s="211"/>
      <c r="VBJ80" s="211"/>
      <c r="VBK80" s="211"/>
      <c r="VBL80" s="211"/>
      <c r="VBM80" s="211"/>
      <c r="VBN80" s="211"/>
      <c r="VBO80" s="211"/>
      <c r="VBP80" s="211"/>
      <c r="VBQ80" s="211"/>
      <c r="VBR80" s="211"/>
      <c r="VBS80" s="211"/>
      <c r="VBT80" s="211"/>
      <c r="VBU80" s="211"/>
      <c r="VBV80" s="211"/>
      <c r="VBW80" s="211"/>
      <c r="VBX80" s="211"/>
      <c r="VBY80" s="211"/>
      <c r="VBZ80" s="211"/>
      <c r="VCA80" s="211"/>
      <c r="VCB80" s="211"/>
      <c r="VCC80" s="211"/>
      <c r="VCD80" s="211"/>
      <c r="VCE80" s="211"/>
      <c r="VCF80" s="211"/>
      <c r="VCG80" s="211"/>
      <c r="VCH80" s="211"/>
      <c r="VCI80" s="211"/>
      <c r="VCJ80" s="211"/>
      <c r="VCK80" s="211"/>
      <c r="VCL80" s="211"/>
      <c r="VCM80" s="211"/>
      <c r="VCN80" s="211"/>
      <c r="VCO80" s="211"/>
      <c r="VCP80" s="211"/>
      <c r="VCQ80" s="211"/>
      <c r="VCR80" s="211"/>
      <c r="VCS80" s="211"/>
      <c r="VCT80" s="211"/>
      <c r="VCU80" s="211"/>
      <c r="VCV80" s="211"/>
      <c r="VCW80" s="211"/>
      <c r="VCX80" s="211"/>
      <c r="VCY80" s="211"/>
      <c r="VCZ80" s="211"/>
      <c r="VDA80" s="211"/>
      <c r="VDB80" s="211"/>
      <c r="VDC80" s="211"/>
      <c r="VDD80" s="211"/>
      <c r="VDE80" s="211"/>
      <c r="VDF80" s="211"/>
      <c r="VDG80" s="211"/>
      <c r="VDH80" s="211"/>
      <c r="VDI80" s="211"/>
      <c r="VDJ80" s="211"/>
      <c r="VDK80" s="211"/>
      <c r="VDL80" s="211"/>
      <c r="VDM80" s="211"/>
      <c r="VDN80" s="211"/>
      <c r="VDO80" s="211"/>
      <c r="VDP80" s="211"/>
      <c r="VDQ80" s="211"/>
      <c r="VDR80" s="211"/>
      <c r="VDS80" s="211"/>
      <c r="VDT80" s="211"/>
      <c r="VDU80" s="211"/>
      <c r="VDV80" s="211"/>
      <c r="VDW80" s="211"/>
      <c r="VDX80" s="211"/>
      <c r="VDY80" s="211"/>
      <c r="VDZ80" s="211"/>
      <c r="VEA80" s="211"/>
      <c r="VEB80" s="211"/>
      <c r="VEC80" s="211"/>
      <c r="VED80" s="211"/>
      <c r="VEE80" s="211"/>
      <c r="VEF80" s="211"/>
      <c r="VEG80" s="211"/>
      <c r="VEH80" s="211"/>
      <c r="VEI80" s="211"/>
      <c r="VEJ80" s="211"/>
      <c r="VEK80" s="211"/>
      <c r="VEL80" s="211"/>
      <c r="VEM80" s="211"/>
      <c r="VEN80" s="211"/>
      <c r="VEO80" s="211"/>
      <c r="VEP80" s="211"/>
      <c r="VEQ80" s="211"/>
      <c r="VER80" s="211"/>
      <c r="VES80" s="211"/>
      <c r="VET80" s="211"/>
      <c r="VEU80" s="211"/>
      <c r="VEV80" s="211"/>
      <c r="VEW80" s="211"/>
      <c r="VEX80" s="211"/>
      <c r="VEY80" s="211"/>
      <c r="VEZ80" s="211"/>
      <c r="VFA80" s="211"/>
      <c r="VFB80" s="211"/>
      <c r="VFC80" s="211"/>
      <c r="VFD80" s="211"/>
      <c r="VFE80" s="211"/>
      <c r="VFF80" s="211"/>
      <c r="VFG80" s="211"/>
      <c r="VFH80" s="211"/>
      <c r="VFI80" s="211"/>
      <c r="VFJ80" s="211"/>
      <c r="VFK80" s="211"/>
      <c r="VFL80" s="211"/>
      <c r="VFM80" s="211"/>
      <c r="VFN80" s="211"/>
      <c r="VFO80" s="211"/>
      <c r="VFP80" s="211"/>
      <c r="VFQ80" s="211"/>
      <c r="VFR80" s="211"/>
      <c r="VFS80" s="211"/>
      <c r="VFT80" s="211"/>
      <c r="VFU80" s="211"/>
      <c r="VFV80" s="211"/>
      <c r="VFW80" s="211"/>
      <c r="VFX80" s="211"/>
      <c r="VFY80" s="211"/>
      <c r="VFZ80" s="211"/>
      <c r="VGA80" s="211"/>
      <c r="VGB80" s="211"/>
      <c r="VGC80" s="211"/>
      <c r="VGD80" s="211"/>
      <c r="VGE80" s="211"/>
      <c r="VGF80" s="211"/>
      <c r="VGG80" s="211"/>
      <c r="VGH80" s="211"/>
      <c r="VGI80" s="211"/>
      <c r="VGJ80" s="211"/>
      <c r="VGK80" s="211"/>
      <c r="VGL80" s="211"/>
      <c r="VGM80" s="211"/>
      <c r="VGN80" s="211"/>
      <c r="VGO80" s="211"/>
      <c r="VGP80" s="211"/>
      <c r="VGQ80" s="211"/>
      <c r="VGR80" s="211"/>
      <c r="VGS80" s="211"/>
      <c r="VGT80" s="211"/>
      <c r="VGU80" s="211"/>
      <c r="VGV80" s="211"/>
      <c r="VGW80" s="211"/>
      <c r="VGX80" s="211"/>
      <c r="VGY80" s="211"/>
      <c r="VGZ80" s="211"/>
      <c r="VHA80" s="211"/>
      <c r="VHB80" s="211"/>
      <c r="VHC80" s="211"/>
      <c r="VHD80" s="211"/>
      <c r="VHE80" s="211"/>
      <c r="VHF80" s="211"/>
      <c r="VHG80" s="211"/>
      <c r="VHH80" s="211"/>
      <c r="VHI80" s="211"/>
      <c r="VHJ80" s="211"/>
      <c r="VHK80" s="211"/>
      <c r="VHL80" s="211"/>
      <c r="VHM80" s="211"/>
      <c r="VHN80" s="211"/>
      <c r="VHO80" s="211"/>
      <c r="VHP80" s="211"/>
      <c r="VHQ80" s="211"/>
      <c r="VHR80" s="211"/>
      <c r="VHS80" s="211"/>
      <c r="VHT80" s="211"/>
      <c r="VHU80" s="211"/>
      <c r="VHV80" s="211"/>
      <c r="VHW80" s="211"/>
      <c r="VHX80" s="211"/>
      <c r="VHY80" s="211"/>
      <c r="VHZ80" s="211"/>
      <c r="VIA80" s="211"/>
      <c r="VIB80" s="211"/>
      <c r="VIC80" s="211"/>
      <c r="VID80" s="211"/>
      <c r="VIE80" s="211"/>
      <c r="VIF80" s="211"/>
      <c r="VIG80" s="211"/>
      <c r="VIH80" s="211"/>
      <c r="VII80" s="211"/>
      <c r="VIJ80" s="211"/>
      <c r="VIK80" s="211"/>
      <c r="VIL80" s="211"/>
      <c r="VIM80" s="211"/>
      <c r="VIN80" s="211"/>
      <c r="VIO80" s="211"/>
      <c r="VIP80" s="211"/>
      <c r="VIQ80" s="211"/>
      <c r="VIR80" s="211"/>
      <c r="VIS80" s="211"/>
      <c r="VIT80" s="211"/>
      <c r="VIU80" s="211"/>
      <c r="VIV80" s="211"/>
      <c r="VIW80" s="211"/>
      <c r="VIX80" s="211"/>
      <c r="VIY80" s="211"/>
      <c r="VIZ80" s="211"/>
      <c r="VJA80" s="211"/>
      <c r="VJB80" s="211"/>
      <c r="VJC80" s="211"/>
      <c r="VJD80" s="211"/>
      <c r="VJE80" s="211"/>
      <c r="VJF80" s="211"/>
      <c r="VJG80" s="211"/>
      <c r="VJH80" s="211"/>
      <c r="VJI80" s="211"/>
      <c r="VJJ80" s="211"/>
      <c r="VJK80" s="211"/>
      <c r="VJL80" s="211"/>
      <c r="VJM80" s="211"/>
      <c r="VJN80" s="211"/>
      <c r="VJO80" s="211"/>
      <c r="VJP80" s="211"/>
      <c r="VJQ80" s="211"/>
      <c r="VJR80" s="211"/>
      <c r="VJS80" s="211"/>
      <c r="VJT80" s="211"/>
      <c r="VJU80" s="211"/>
      <c r="VJV80" s="211"/>
      <c r="VJW80" s="211"/>
      <c r="VJX80" s="211"/>
      <c r="VJY80" s="211"/>
      <c r="VJZ80" s="211"/>
      <c r="VKA80" s="211"/>
      <c r="VKB80" s="211"/>
      <c r="VKC80" s="211"/>
      <c r="VKD80" s="211"/>
      <c r="VKE80" s="211"/>
      <c r="VKF80" s="211"/>
      <c r="VKG80" s="211"/>
      <c r="VKH80" s="211"/>
      <c r="VKI80" s="211"/>
      <c r="VKJ80" s="211"/>
      <c r="VKK80" s="211"/>
      <c r="VKL80" s="211"/>
      <c r="VKM80" s="211"/>
      <c r="VKN80" s="211"/>
      <c r="VKO80" s="211"/>
      <c r="VKP80" s="211"/>
      <c r="VKQ80" s="211"/>
      <c r="VKR80" s="211"/>
      <c r="VKS80" s="211"/>
      <c r="VKT80" s="211"/>
      <c r="VKU80" s="211"/>
      <c r="VKV80" s="211"/>
      <c r="VKW80" s="211"/>
      <c r="VKX80" s="211"/>
      <c r="VKY80" s="211"/>
      <c r="VKZ80" s="211"/>
      <c r="VLA80" s="211"/>
      <c r="VLB80" s="211"/>
      <c r="VLC80" s="211"/>
      <c r="VLD80" s="211"/>
      <c r="VLE80" s="211"/>
      <c r="VLF80" s="211"/>
      <c r="VLG80" s="211"/>
      <c r="VLH80" s="211"/>
      <c r="VLI80" s="211"/>
      <c r="VLJ80" s="211"/>
      <c r="VLK80" s="211"/>
      <c r="VLL80" s="211"/>
      <c r="VLM80" s="211"/>
      <c r="VLN80" s="211"/>
      <c r="VLO80" s="211"/>
      <c r="VLP80" s="211"/>
      <c r="VLQ80" s="211"/>
      <c r="VLR80" s="211"/>
      <c r="VLS80" s="211"/>
      <c r="VLT80" s="211"/>
      <c r="VLU80" s="211"/>
      <c r="VLV80" s="211"/>
      <c r="VLW80" s="211"/>
      <c r="VLX80" s="211"/>
      <c r="VLY80" s="211"/>
      <c r="VLZ80" s="211"/>
      <c r="VMA80" s="211"/>
      <c r="VMB80" s="211"/>
      <c r="VMC80" s="211"/>
      <c r="VMD80" s="211"/>
      <c r="VME80" s="211"/>
      <c r="VMF80" s="211"/>
      <c r="VMG80" s="211"/>
      <c r="VMH80" s="211"/>
      <c r="VMI80" s="211"/>
      <c r="VMJ80" s="211"/>
      <c r="VMK80" s="211"/>
      <c r="VML80" s="211"/>
      <c r="VMM80" s="211"/>
      <c r="VMN80" s="211"/>
      <c r="VMO80" s="211"/>
      <c r="VMP80" s="211"/>
      <c r="VMQ80" s="211"/>
      <c r="VMR80" s="211"/>
      <c r="VMS80" s="211"/>
      <c r="VMT80" s="211"/>
      <c r="VMU80" s="211"/>
      <c r="VMV80" s="211"/>
      <c r="VMW80" s="211"/>
      <c r="VMX80" s="211"/>
      <c r="VMY80" s="211"/>
      <c r="VMZ80" s="211"/>
      <c r="VNA80" s="211"/>
      <c r="VNB80" s="211"/>
      <c r="VNC80" s="211"/>
      <c r="VND80" s="211"/>
      <c r="VNE80" s="211"/>
      <c r="VNF80" s="211"/>
      <c r="VNG80" s="211"/>
      <c r="VNH80" s="211"/>
      <c r="VNI80" s="211"/>
      <c r="VNJ80" s="211"/>
      <c r="VNK80" s="211"/>
      <c r="VNL80" s="211"/>
      <c r="VNM80" s="211"/>
      <c r="VNN80" s="211"/>
      <c r="VNO80" s="211"/>
      <c r="VNP80" s="211"/>
      <c r="VNQ80" s="211"/>
      <c r="VNR80" s="211"/>
      <c r="VNS80" s="211"/>
      <c r="VNT80" s="211"/>
      <c r="VNU80" s="211"/>
      <c r="VNV80" s="211"/>
      <c r="VNW80" s="211"/>
      <c r="VNX80" s="211"/>
      <c r="VNY80" s="211"/>
      <c r="VNZ80" s="211"/>
      <c r="VOA80" s="211"/>
      <c r="VOB80" s="211"/>
      <c r="VOC80" s="211"/>
      <c r="VOD80" s="211"/>
      <c r="VOE80" s="211"/>
      <c r="VOF80" s="211"/>
      <c r="VOG80" s="211"/>
      <c r="VOH80" s="211"/>
      <c r="VOI80" s="211"/>
      <c r="VOJ80" s="211"/>
      <c r="VOK80" s="211"/>
      <c r="VOL80" s="211"/>
      <c r="VOM80" s="211"/>
      <c r="VON80" s="211"/>
      <c r="VOO80" s="211"/>
      <c r="VOP80" s="211"/>
      <c r="VOQ80" s="211"/>
      <c r="VOR80" s="211"/>
      <c r="VOS80" s="211"/>
      <c r="VOT80" s="211"/>
      <c r="VOU80" s="211"/>
      <c r="VOV80" s="211"/>
      <c r="VOW80" s="211"/>
      <c r="VOX80" s="211"/>
      <c r="VOY80" s="211"/>
      <c r="VOZ80" s="211"/>
      <c r="VPA80" s="211"/>
      <c r="VPB80" s="211"/>
      <c r="VPC80" s="211"/>
      <c r="VPD80" s="211"/>
      <c r="VPE80" s="211"/>
      <c r="VPF80" s="211"/>
      <c r="VPG80" s="211"/>
      <c r="VPH80" s="211"/>
      <c r="VPI80" s="211"/>
      <c r="VPJ80" s="211"/>
      <c r="VPK80" s="211"/>
      <c r="VPL80" s="211"/>
      <c r="VPM80" s="211"/>
      <c r="VPN80" s="211"/>
      <c r="VPO80" s="211"/>
      <c r="VPP80" s="211"/>
      <c r="VPQ80" s="211"/>
      <c r="VPR80" s="211"/>
      <c r="VPS80" s="211"/>
      <c r="VPT80" s="211"/>
      <c r="VPU80" s="211"/>
      <c r="VPV80" s="211"/>
      <c r="VPW80" s="211"/>
      <c r="VPX80" s="211"/>
      <c r="VPY80" s="211"/>
      <c r="VPZ80" s="211"/>
      <c r="VQA80" s="211"/>
      <c r="VQB80" s="211"/>
      <c r="VQC80" s="211"/>
      <c r="VQD80" s="211"/>
      <c r="VQE80" s="211"/>
      <c r="VQF80" s="211"/>
      <c r="VQG80" s="211"/>
      <c r="VQH80" s="211"/>
      <c r="VQI80" s="211"/>
      <c r="VQJ80" s="211"/>
      <c r="VQK80" s="211"/>
      <c r="VQL80" s="211"/>
      <c r="VQM80" s="211"/>
      <c r="VQN80" s="211"/>
      <c r="VQO80" s="211"/>
      <c r="VQP80" s="211"/>
      <c r="VQQ80" s="211"/>
      <c r="VQR80" s="211"/>
      <c r="VQS80" s="211"/>
      <c r="VQT80" s="211"/>
      <c r="VQU80" s="211"/>
      <c r="VQV80" s="211"/>
      <c r="VQW80" s="211"/>
      <c r="VQX80" s="211"/>
      <c r="VQY80" s="211"/>
      <c r="VQZ80" s="211"/>
      <c r="VRA80" s="211"/>
      <c r="VRB80" s="211"/>
      <c r="VRC80" s="211"/>
      <c r="VRD80" s="211"/>
      <c r="VRE80" s="211"/>
      <c r="VRF80" s="211"/>
      <c r="VRG80" s="211"/>
      <c r="VRH80" s="211"/>
      <c r="VRI80" s="211"/>
      <c r="VRJ80" s="211"/>
      <c r="VRK80" s="211"/>
      <c r="VRL80" s="211"/>
      <c r="VRM80" s="211"/>
      <c r="VRN80" s="211"/>
      <c r="VRO80" s="211"/>
      <c r="VRP80" s="211"/>
      <c r="VRQ80" s="211"/>
      <c r="VRR80" s="211"/>
      <c r="VRS80" s="211"/>
      <c r="VRT80" s="211"/>
      <c r="VRU80" s="211"/>
      <c r="VRV80" s="211"/>
      <c r="VRW80" s="211"/>
      <c r="VRX80" s="211"/>
      <c r="VRY80" s="211"/>
      <c r="VRZ80" s="211"/>
      <c r="VSA80" s="211"/>
      <c r="VSB80" s="211"/>
      <c r="VSC80" s="211"/>
      <c r="VSD80" s="211"/>
      <c r="VSE80" s="211"/>
      <c r="VSF80" s="211"/>
      <c r="VSG80" s="211"/>
      <c r="VSH80" s="211"/>
      <c r="VSI80" s="211"/>
      <c r="VSJ80" s="211"/>
      <c r="VSK80" s="211"/>
      <c r="VSL80" s="211"/>
      <c r="VSM80" s="211"/>
      <c r="VSN80" s="211"/>
      <c r="VSO80" s="211"/>
      <c r="VSP80" s="211"/>
      <c r="VSQ80" s="211"/>
      <c r="VSR80" s="211"/>
      <c r="VSS80" s="211"/>
      <c r="VST80" s="211"/>
      <c r="VSU80" s="211"/>
      <c r="VSV80" s="211"/>
      <c r="VSW80" s="211"/>
      <c r="VSX80" s="211"/>
      <c r="VSY80" s="211"/>
      <c r="VSZ80" s="211"/>
      <c r="VTA80" s="211"/>
      <c r="VTB80" s="211"/>
      <c r="VTC80" s="211"/>
      <c r="VTD80" s="211"/>
      <c r="VTE80" s="211"/>
      <c r="VTF80" s="211"/>
      <c r="VTG80" s="211"/>
      <c r="VTH80" s="211"/>
      <c r="VTI80" s="211"/>
      <c r="VTJ80" s="211"/>
      <c r="VTK80" s="211"/>
      <c r="VTL80" s="211"/>
      <c r="VTM80" s="211"/>
      <c r="VTN80" s="211"/>
      <c r="VTO80" s="211"/>
      <c r="VTP80" s="211"/>
      <c r="VTQ80" s="211"/>
      <c r="VTR80" s="211"/>
      <c r="VTS80" s="211"/>
      <c r="VTT80" s="211"/>
      <c r="VTU80" s="211"/>
      <c r="VTV80" s="211"/>
      <c r="VTW80" s="211"/>
      <c r="VTX80" s="211"/>
      <c r="VTY80" s="211"/>
      <c r="VTZ80" s="211"/>
      <c r="VUA80" s="211"/>
      <c r="VUB80" s="211"/>
      <c r="VUC80" s="211"/>
      <c r="VUD80" s="211"/>
      <c r="VUE80" s="211"/>
      <c r="VUF80" s="211"/>
      <c r="VUG80" s="211"/>
      <c r="VUH80" s="211"/>
      <c r="VUI80" s="211"/>
      <c r="VUJ80" s="211"/>
      <c r="VUK80" s="211"/>
      <c r="VUL80" s="211"/>
      <c r="VUM80" s="211"/>
      <c r="VUN80" s="211"/>
      <c r="VUO80" s="211"/>
      <c r="VUP80" s="211"/>
      <c r="VUQ80" s="211"/>
      <c r="VUR80" s="211"/>
      <c r="VUS80" s="211"/>
      <c r="VUT80" s="211"/>
      <c r="VUU80" s="211"/>
      <c r="VUV80" s="211"/>
      <c r="VUW80" s="211"/>
      <c r="VUX80" s="211"/>
      <c r="VUY80" s="211"/>
      <c r="VUZ80" s="211"/>
      <c r="VVA80" s="211"/>
      <c r="VVB80" s="211"/>
      <c r="VVC80" s="211"/>
      <c r="VVD80" s="211"/>
      <c r="VVE80" s="211"/>
      <c r="VVF80" s="211"/>
      <c r="VVG80" s="211"/>
      <c r="VVH80" s="211"/>
      <c r="VVI80" s="211"/>
      <c r="VVJ80" s="211"/>
      <c r="VVK80" s="211"/>
      <c r="VVL80" s="211"/>
      <c r="VVM80" s="211"/>
      <c r="VVN80" s="211"/>
      <c r="VVO80" s="211"/>
      <c r="VVP80" s="211"/>
      <c r="VVQ80" s="211"/>
      <c r="VVR80" s="211"/>
      <c r="VVS80" s="211"/>
      <c r="VVT80" s="211"/>
      <c r="VVU80" s="211"/>
      <c r="VVV80" s="211"/>
      <c r="VVW80" s="211"/>
      <c r="VVX80" s="211"/>
      <c r="VVY80" s="211"/>
      <c r="VVZ80" s="211"/>
      <c r="VWA80" s="211"/>
      <c r="VWB80" s="211"/>
      <c r="VWC80" s="211"/>
      <c r="VWD80" s="211"/>
      <c r="VWE80" s="211"/>
      <c r="VWF80" s="211"/>
      <c r="VWG80" s="211"/>
      <c r="VWH80" s="211"/>
      <c r="VWI80" s="211"/>
      <c r="VWJ80" s="211"/>
      <c r="VWK80" s="211"/>
      <c r="VWL80" s="211"/>
      <c r="VWM80" s="211"/>
      <c r="VWN80" s="211"/>
      <c r="VWO80" s="211"/>
      <c r="VWP80" s="211"/>
      <c r="VWQ80" s="211"/>
      <c r="VWR80" s="211"/>
      <c r="VWS80" s="211"/>
      <c r="VWT80" s="211"/>
      <c r="VWU80" s="211"/>
      <c r="VWV80" s="211"/>
      <c r="VWW80" s="211"/>
      <c r="VWX80" s="211"/>
      <c r="VWY80" s="211"/>
      <c r="VWZ80" s="211"/>
      <c r="VXA80" s="211"/>
      <c r="VXB80" s="211"/>
      <c r="VXC80" s="211"/>
      <c r="VXD80" s="211"/>
      <c r="VXE80" s="211"/>
      <c r="VXF80" s="211"/>
      <c r="VXG80" s="211"/>
      <c r="VXH80" s="211"/>
      <c r="VXI80" s="211"/>
      <c r="VXJ80" s="211"/>
      <c r="VXK80" s="211"/>
      <c r="VXL80" s="211"/>
      <c r="VXM80" s="211"/>
      <c r="VXN80" s="211"/>
      <c r="VXO80" s="211"/>
      <c r="VXP80" s="211"/>
      <c r="VXQ80" s="211"/>
      <c r="VXR80" s="211"/>
      <c r="VXS80" s="211"/>
      <c r="VXT80" s="211"/>
      <c r="VXU80" s="211"/>
      <c r="VXV80" s="211"/>
      <c r="VXW80" s="211"/>
      <c r="VXX80" s="211"/>
      <c r="VXY80" s="211"/>
      <c r="VXZ80" s="211"/>
      <c r="VYA80" s="211"/>
      <c r="VYB80" s="211"/>
      <c r="VYC80" s="211"/>
      <c r="VYD80" s="211"/>
      <c r="VYE80" s="211"/>
      <c r="VYF80" s="211"/>
      <c r="VYG80" s="211"/>
      <c r="VYH80" s="211"/>
      <c r="VYI80" s="211"/>
      <c r="VYJ80" s="211"/>
      <c r="VYK80" s="211"/>
      <c r="VYL80" s="211"/>
      <c r="VYM80" s="211"/>
      <c r="VYN80" s="211"/>
      <c r="VYO80" s="211"/>
      <c r="VYP80" s="211"/>
      <c r="VYQ80" s="211"/>
      <c r="VYR80" s="211"/>
      <c r="VYS80" s="211"/>
      <c r="VYT80" s="211"/>
      <c r="VYU80" s="211"/>
      <c r="VYV80" s="211"/>
      <c r="VYW80" s="211"/>
      <c r="VYX80" s="211"/>
      <c r="VYY80" s="211"/>
      <c r="VYZ80" s="211"/>
      <c r="VZA80" s="211"/>
      <c r="VZB80" s="211"/>
      <c r="VZC80" s="211"/>
      <c r="VZD80" s="211"/>
      <c r="VZE80" s="211"/>
      <c r="VZF80" s="211"/>
      <c r="VZG80" s="211"/>
      <c r="VZH80" s="211"/>
      <c r="VZI80" s="211"/>
      <c r="VZJ80" s="211"/>
      <c r="VZK80" s="211"/>
      <c r="VZL80" s="211"/>
      <c r="VZM80" s="211"/>
      <c r="VZN80" s="211"/>
      <c r="VZO80" s="211"/>
      <c r="VZP80" s="211"/>
      <c r="VZQ80" s="211"/>
      <c r="VZR80" s="211"/>
      <c r="VZS80" s="211"/>
      <c r="VZT80" s="211"/>
      <c r="VZU80" s="211"/>
      <c r="VZV80" s="211"/>
      <c r="VZW80" s="211"/>
      <c r="VZX80" s="211"/>
      <c r="VZY80" s="211"/>
      <c r="VZZ80" s="211"/>
      <c r="WAA80" s="211"/>
      <c r="WAB80" s="211"/>
      <c r="WAC80" s="211"/>
      <c r="WAD80" s="211"/>
      <c r="WAE80" s="211"/>
      <c r="WAF80" s="211"/>
      <c r="WAG80" s="211"/>
      <c r="WAH80" s="211"/>
      <c r="WAI80" s="211"/>
      <c r="WAJ80" s="211"/>
      <c r="WAK80" s="211"/>
      <c r="WAL80" s="211"/>
      <c r="WAM80" s="211"/>
      <c r="WAN80" s="211"/>
      <c r="WAO80" s="211"/>
      <c r="WAP80" s="211"/>
      <c r="WAQ80" s="211"/>
      <c r="WAR80" s="211"/>
      <c r="WAS80" s="211"/>
      <c r="WAT80" s="211"/>
      <c r="WAU80" s="211"/>
      <c r="WAV80" s="211"/>
      <c r="WAW80" s="211"/>
      <c r="WAX80" s="211"/>
      <c r="WAY80" s="211"/>
      <c r="WAZ80" s="211"/>
      <c r="WBA80" s="211"/>
      <c r="WBB80" s="211"/>
      <c r="WBC80" s="211"/>
      <c r="WBD80" s="211"/>
      <c r="WBE80" s="211"/>
      <c r="WBF80" s="211"/>
      <c r="WBG80" s="211"/>
      <c r="WBH80" s="211"/>
      <c r="WBI80" s="211"/>
      <c r="WBJ80" s="211"/>
      <c r="WBK80" s="211"/>
      <c r="WBL80" s="211"/>
      <c r="WBM80" s="211"/>
      <c r="WBN80" s="211"/>
      <c r="WBO80" s="211"/>
      <c r="WBP80" s="211"/>
      <c r="WBQ80" s="211"/>
      <c r="WBR80" s="211"/>
      <c r="WBS80" s="211"/>
      <c r="WBT80" s="211"/>
      <c r="WBU80" s="211"/>
      <c r="WBV80" s="211"/>
      <c r="WBW80" s="211"/>
      <c r="WBX80" s="211"/>
      <c r="WBY80" s="211"/>
      <c r="WBZ80" s="211"/>
      <c r="WCA80" s="211"/>
      <c r="WCB80" s="211"/>
      <c r="WCC80" s="211"/>
      <c r="WCD80" s="211"/>
      <c r="WCE80" s="211"/>
      <c r="WCF80" s="211"/>
      <c r="WCG80" s="211"/>
      <c r="WCH80" s="211"/>
      <c r="WCI80" s="211"/>
      <c r="WCJ80" s="211"/>
      <c r="WCK80" s="211"/>
      <c r="WCL80" s="211"/>
      <c r="WCM80" s="211"/>
      <c r="WCN80" s="211"/>
      <c r="WCO80" s="211"/>
      <c r="WCP80" s="211"/>
      <c r="WCQ80" s="211"/>
      <c r="WCR80" s="211"/>
      <c r="WCS80" s="211"/>
      <c r="WCT80" s="211"/>
      <c r="WCU80" s="211"/>
      <c r="WCV80" s="211"/>
      <c r="WCW80" s="211"/>
      <c r="WCX80" s="211"/>
      <c r="WCY80" s="211"/>
      <c r="WCZ80" s="211"/>
      <c r="WDA80" s="211"/>
      <c r="WDB80" s="211"/>
      <c r="WDC80" s="211"/>
      <c r="WDD80" s="211"/>
      <c r="WDE80" s="211"/>
      <c r="WDF80" s="211"/>
      <c r="WDG80" s="211"/>
      <c r="WDH80" s="211"/>
      <c r="WDI80" s="211"/>
      <c r="WDJ80" s="211"/>
      <c r="WDK80" s="211"/>
      <c r="WDL80" s="211"/>
      <c r="WDM80" s="211"/>
      <c r="WDN80" s="211"/>
      <c r="WDO80" s="211"/>
      <c r="WDP80" s="211"/>
      <c r="WDQ80" s="211"/>
      <c r="WDR80" s="211"/>
      <c r="WDS80" s="211"/>
      <c r="WDT80" s="211"/>
      <c r="WDU80" s="211"/>
      <c r="WDV80" s="211"/>
      <c r="WDW80" s="211"/>
      <c r="WDX80" s="211"/>
      <c r="WDY80" s="211"/>
      <c r="WDZ80" s="211"/>
      <c r="WEA80" s="211"/>
      <c r="WEB80" s="211"/>
      <c r="WEC80" s="211"/>
      <c r="WED80" s="211"/>
      <c r="WEE80" s="211"/>
      <c r="WEF80" s="211"/>
      <c r="WEG80" s="211"/>
      <c r="WEH80" s="211"/>
      <c r="WEI80" s="211"/>
      <c r="WEJ80" s="211"/>
      <c r="WEK80" s="211"/>
      <c r="WEL80" s="211"/>
      <c r="WEM80" s="211"/>
      <c r="WEN80" s="211"/>
      <c r="WEO80" s="211"/>
      <c r="WEP80" s="211"/>
      <c r="WEQ80" s="211"/>
      <c r="WER80" s="211"/>
      <c r="WES80" s="211"/>
      <c r="WET80" s="211"/>
      <c r="WEU80" s="211"/>
      <c r="WEV80" s="211"/>
      <c r="WEW80" s="211"/>
      <c r="WEX80" s="211"/>
      <c r="WEY80" s="211"/>
      <c r="WEZ80" s="211"/>
      <c r="WFA80" s="211"/>
      <c r="WFB80" s="211"/>
      <c r="WFC80" s="211"/>
      <c r="WFD80" s="211"/>
      <c r="WFE80" s="211"/>
      <c r="WFF80" s="211"/>
      <c r="WFG80" s="211"/>
      <c r="WFH80" s="211"/>
      <c r="WFI80" s="211"/>
      <c r="WFJ80" s="211"/>
      <c r="WFK80" s="211"/>
      <c r="WFL80" s="211"/>
      <c r="WFM80" s="211"/>
      <c r="WFN80" s="211"/>
      <c r="WFO80" s="211"/>
      <c r="WFP80" s="211"/>
      <c r="WFQ80" s="211"/>
      <c r="WFR80" s="211"/>
      <c r="WFS80" s="211"/>
      <c r="WFT80" s="211"/>
      <c r="WFU80" s="211"/>
      <c r="WFV80" s="211"/>
      <c r="WFW80" s="211"/>
      <c r="WFX80" s="211"/>
      <c r="WFY80" s="211"/>
      <c r="WFZ80" s="211"/>
      <c r="WGA80" s="211"/>
      <c r="WGB80" s="211"/>
      <c r="WGC80" s="211"/>
      <c r="WGD80" s="211"/>
      <c r="WGE80" s="211"/>
      <c r="WGF80" s="211"/>
      <c r="WGG80" s="211"/>
      <c r="WGH80" s="211"/>
      <c r="WGI80" s="211"/>
      <c r="WGJ80" s="211"/>
      <c r="WGK80" s="211"/>
      <c r="WGL80" s="211"/>
      <c r="WGM80" s="211"/>
      <c r="WGN80" s="211"/>
      <c r="WGO80" s="211"/>
      <c r="WGP80" s="211"/>
      <c r="WGQ80" s="211"/>
      <c r="WGR80" s="211"/>
      <c r="WGS80" s="211"/>
      <c r="WGT80" s="211"/>
      <c r="WGU80" s="211"/>
      <c r="WGV80" s="211"/>
      <c r="WGW80" s="211"/>
      <c r="WGX80" s="211"/>
      <c r="WGY80" s="211"/>
      <c r="WGZ80" s="211"/>
      <c r="WHA80" s="211"/>
      <c r="WHB80" s="211"/>
      <c r="WHC80" s="211"/>
      <c r="WHD80" s="211"/>
      <c r="WHE80" s="211"/>
      <c r="WHF80" s="211"/>
      <c r="WHG80" s="211"/>
      <c r="WHH80" s="211"/>
      <c r="WHI80" s="211"/>
      <c r="WHJ80" s="211"/>
      <c r="WHK80" s="211"/>
      <c r="WHL80" s="211"/>
      <c r="WHM80" s="211"/>
      <c r="WHN80" s="211"/>
      <c r="WHO80" s="211"/>
      <c r="WHP80" s="211"/>
      <c r="WHQ80" s="211"/>
      <c r="WHR80" s="211"/>
      <c r="WHS80" s="211"/>
      <c r="WHT80" s="211"/>
      <c r="WHU80" s="211"/>
      <c r="WHV80" s="211"/>
      <c r="WHW80" s="211"/>
      <c r="WHX80" s="211"/>
      <c r="WHY80" s="211"/>
      <c r="WHZ80" s="211"/>
      <c r="WIA80" s="211"/>
      <c r="WIB80" s="211"/>
      <c r="WIC80" s="211"/>
      <c r="WID80" s="211"/>
      <c r="WIE80" s="211"/>
      <c r="WIF80" s="211"/>
      <c r="WIG80" s="211"/>
      <c r="WIH80" s="211"/>
      <c r="WII80" s="211"/>
      <c r="WIJ80" s="211"/>
      <c r="WIK80" s="211"/>
      <c r="WIL80" s="211"/>
      <c r="WIM80" s="211"/>
      <c r="WIN80" s="211"/>
      <c r="WIO80" s="211"/>
      <c r="WIP80" s="211"/>
      <c r="WIQ80" s="211"/>
      <c r="WIR80" s="211"/>
      <c r="WIS80" s="211"/>
      <c r="WIT80" s="211"/>
      <c r="WIU80" s="211"/>
      <c r="WIV80" s="211"/>
      <c r="WIW80" s="211"/>
      <c r="WIX80" s="211"/>
      <c r="WIY80" s="211"/>
      <c r="WIZ80" s="211"/>
      <c r="WJA80" s="211"/>
      <c r="WJB80" s="211"/>
      <c r="WJC80" s="211"/>
      <c r="WJD80" s="211"/>
      <c r="WJE80" s="211"/>
      <c r="WJF80" s="211"/>
      <c r="WJG80" s="211"/>
      <c r="WJH80" s="211"/>
      <c r="WJI80" s="211"/>
      <c r="WJJ80" s="211"/>
      <c r="WJK80" s="211"/>
      <c r="WJL80" s="211"/>
      <c r="WJM80" s="211"/>
      <c r="WJN80" s="211"/>
      <c r="WJO80" s="211"/>
      <c r="WJP80" s="211"/>
      <c r="WJQ80" s="211"/>
      <c r="WJR80" s="211"/>
      <c r="WJS80" s="211"/>
      <c r="WJT80" s="211"/>
      <c r="WJU80" s="211"/>
      <c r="WJV80" s="211"/>
      <c r="WJW80" s="211"/>
      <c r="WJX80" s="211"/>
      <c r="WJY80" s="211"/>
      <c r="WJZ80" s="211"/>
      <c r="WKA80" s="211"/>
      <c r="WKB80" s="211"/>
      <c r="WKC80" s="211"/>
      <c r="WKD80" s="211"/>
      <c r="WKE80" s="211"/>
      <c r="WKF80" s="211"/>
      <c r="WKG80" s="211"/>
      <c r="WKH80" s="211"/>
      <c r="WKI80" s="211"/>
      <c r="WKJ80" s="211"/>
      <c r="WKK80" s="211"/>
      <c r="WKL80" s="211"/>
      <c r="WKM80" s="211"/>
      <c r="WKN80" s="211"/>
      <c r="WKO80" s="211"/>
      <c r="WKP80" s="211"/>
      <c r="WKQ80" s="211"/>
      <c r="WKR80" s="211"/>
      <c r="WKS80" s="211"/>
      <c r="WKT80" s="211"/>
      <c r="WKU80" s="211"/>
      <c r="WKV80" s="211"/>
      <c r="WKW80" s="211"/>
      <c r="WKX80" s="211"/>
      <c r="WKY80" s="211"/>
      <c r="WKZ80" s="211"/>
      <c r="WLA80" s="211"/>
      <c r="WLB80" s="211"/>
      <c r="WLC80" s="211"/>
      <c r="WLD80" s="211"/>
      <c r="WLE80" s="211"/>
      <c r="WLF80" s="211"/>
      <c r="WLG80" s="211"/>
      <c r="WLH80" s="211"/>
      <c r="WLI80" s="211"/>
      <c r="WLJ80" s="211"/>
      <c r="WLK80" s="211"/>
      <c r="WLL80" s="211"/>
      <c r="WLM80" s="211"/>
      <c r="WLN80" s="211"/>
      <c r="WLO80" s="211"/>
      <c r="WLP80" s="211"/>
      <c r="WLQ80" s="211"/>
      <c r="WLR80" s="211"/>
      <c r="WLS80" s="211"/>
      <c r="WLT80" s="211"/>
      <c r="WLU80" s="211"/>
      <c r="WLV80" s="211"/>
      <c r="WLW80" s="211"/>
      <c r="WLX80" s="211"/>
      <c r="WLY80" s="211"/>
      <c r="WLZ80" s="211"/>
      <c r="WMA80" s="211"/>
      <c r="WMB80" s="211"/>
      <c r="WMC80" s="211"/>
      <c r="WMD80" s="211"/>
      <c r="WME80" s="211"/>
      <c r="WMF80" s="211"/>
      <c r="WMG80" s="211"/>
      <c r="WMH80" s="211"/>
      <c r="WMI80" s="211"/>
      <c r="WMJ80" s="211"/>
      <c r="WMK80" s="211"/>
      <c r="WML80" s="211"/>
      <c r="WMM80" s="211"/>
      <c r="WMN80" s="211"/>
      <c r="WMO80" s="211"/>
      <c r="WMP80" s="211"/>
      <c r="WMQ80" s="211"/>
      <c r="WMR80" s="211"/>
      <c r="WMS80" s="211"/>
      <c r="WMT80" s="211"/>
      <c r="WMU80" s="211"/>
      <c r="WMV80" s="211"/>
      <c r="WMW80" s="211"/>
      <c r="WMX80" s="211"/>
      <c r="WMY80" s="211"/>
      <c r="WMZ80" s="211"/>
      <c r="WNA80" s="211"/>
      <c r="WNB80" s="211"/>
      <c r="WNC80" s="211"/>
      <c r="WND80" s="211"/>
      <c r="WNE80" s="211"/>
      <c r="WNF80" s="211"/>
      <c r="WNG80" s="211"/>
      <c r="WNH80" s="211"/>
      <c r="WNI80" s="211"/>
      <c r="WNJ80" s="211"/>
      <c r="WNK80" s="211"/>
      <c r="WNL80" s="211"/>
      <c r="WNM80" s="211"/>
      <c r="WNN80" s="211"/>
      <c r="WNO80" s="211"/>
      <c r="WNP80" s="211"/>
      <c r="WNQ80" s="211"/>
      <c r="WNR80" s="211"/>
      <c r="WNS80" s="211"/>
      <c r="WNT80" s="211"/>
      <c r="WNU80" s="211"/>
      <c r="WNV80" s="211"/>
      <c r="WNW80" s="211"/>
      <c r="WNX80" s="211"/>
      <c r="WNY80" s="211"/>
      <c r="WNZ80" s="211"/>
      <c r="WOA80" s="211"/>
      <c r="WOB80" s="211"/>
      <c r="WOC80" s="211"/>
      <c r="WOD80" s="211"/>
      <c r="WOE80" s="211"/>
      <c r="WOF80" s="211"/>
      <c r="WOG80" s="211"/>
      <c r="WOH80" s="211"/>
      <c r="WOI80" s="211"/>
      <c r="WOJ80" s="211"/>
      <c r="WOK80" s="211"/>
      <c r="WOL80" s="211"/>
      <c r="WOM80" s="211"/>
      <c r="WON80" s="211"/>
      <c r="WOO80" s="211"/>
      <c r="WOP80" s="211"/>
      <c r="WOQ80" s="211"/>
      <c r="WOR80" s="211"/>
      <c r="WOS80" s="211"/>
      <c r="WOT80" s="211"/>
      <c r="WOU80" s="211"/>
      <c r="WOV80" s="211"/>
      <c r="WOW80" s="211"/>
      <c r="WOX80" s="211"/>
      <c r="WOY80" s="211"/>
      <c r="WOZ80" s="211"/>
      <c r="WPA80" s="211"/>
      <c r="WPB80" s="211"/>
      <c r="WPC80" s="211"/>
      <c r="WPD80" s="211"/>
      <c r="WPE80" s="211"/>
      <c r="WPF80" s="211"/>
      <c r="WPG80" s="211"/>
      <c r="WPH80" s="211"/>
      <c r="WPI80" s="211"/>
      <c r="WPJ80" s="211"/>
      <c r="WPK80" s="211"/>
      <c r="WPL80" s="211"/>
      <c r="WPM80" s="211"/>
      <c r="WPN80" s="211"/>
      <c r="WPO80" s="211"/>
      <c r="WPP80" s="211"/>
      <c r="WPQ80" s="211"/>
      <c r="WPR80" s="211"/>
      <c r="WPS80" s="211"/>
      <c r="WPT80" s="211"/>
      <c r="WPU80" s="211"/>
      <c r="WPV80" s="211"/>
      <c r="WPW80" s="211"/>
      <c r="WPX80" s="211"/>
      <c r="WPY80" s="211"/>
      <c r="WPZ80" s="211"/>
      <c r="WQA80" s="211"/>
      <c r="WQB80" s="211"/>
      <c r="WQC80" s="211"/>
      <c r="WQD80" s="211"/>
      <c r="WQE80" s="211"/>
      <c r="WQF80" s="211"/>
      <c r="WQG80" s="211"/>
      <c r="WQH80" s="211"/>
      <c r="WQI80" s="211"/>
      <c r="WQJ80" s="211"/>
      <c r="WQK80" s="211"/>
      <c r="WQL80" s="211"/>
      <c r="WQM80" s="211"/>
      <c r="WQN80" s="211"/>
      <c r="WQO80" s="211"/>
      <c r="WQP80" s="211"/>
      <c r="WQQ80" s="211"/>
      <c r="WQR80" s="211"/>
      <c r="WQS80" s="211"/>
      <c r="WQT80" s="211"/>
      <c r="WQU80" s="211"/>
      <c r="WQV80" s="211"/>
      <c r="WQW80" s="211"/>
      <c r="WQX80" s="211"/>
      <c r="WQY80" s="211"/>
      <c r="WQZ80" s="211"/>
      <c r="WRA80" s="211"/>
      <c r="WRB80" s="211"/>
      <c r="WRC80" s="211"/>
      <c r="WRD80" s="211"/>
      <c r="WRE80" s="211"/>
      <c r="WRF80" s="211"/>
      <c r="WRG80" s="211"/>
      <c r="WRH80" s="211"/>
      <c r="WRI80" s="211"/>
      <c r="WRJ80" s="211"/>
      <c r="WRK80" s="211"/>
      <c r="WRL80" s="211"/>
      <c r="WRM80" s="211"/>
      <c r="WRN80" s="211"/>
      <c r="WRO80" s="211"/>
      <c r="WRP80" s="211"/>
      <c r="WRQ80" s="211"/>
      <c r="WRR80" s="211"/>
      <c r="WRS80" s="211"/>
      <c r="WRT80" s="211"/>
      <c r="WRU80" s="211"/>
      <c r="WRV80" s="211"/>
      <c r="WRW80" s="211"/>
      <c r="WRX80" s="211"/>
      <c r="WRY80" s="211"/>
      <c r="WRZ80" s="211"/>
      <c r="WSA80" s="211"/>
      <c r="WSB80" s="211"/>
      <c r="WSC80" s="211"/>
      <c r="WSD80" s="211"/>
      <c r="WSE80" s="211"/>
      <c r="WSF80" s="211"/>
      <c r="WSG80" s="211"/>
      <c r="WSH80" s="211"/>
      <c r="WSI80" s="211"/>
      <c r="WSJ80" s="211"/>
      <c r="WSK80" s="211"/>
      <c r="WSL80" s="211"/>
      <c r="WSM80" s="211"/>
      <c r="WSN80" s="211"/>
      <c r="WSO80" s="211"/>
      <c r="WSP80" s="211"/>
      <c r="WSQ80" s="211"/>
      <c r="WSR80" s="211"/>
      <c r="WSS80" s="211"/>
      <c r="WST80" s="211"/>
      <c r="WSU80" s="211"/>
      <c r="WSV80" s="211"/>
      <c r="WSW80" s="211"/>
      <c r="WSX80" s="211"/>
      <c r="WSY80" s="211"/>
      <c r="WSZ80" s="211"/>
      <c r="WTA80" s="211"/>
      <c r="WTB80" s="211"/>
      <c r="WTC80" s="211"/>
      <c r="WTD80" s="211"/>
      <c r="WTE80" s="211"/>
      <c r="WTF80" s="211"/>
      <c r="WTG80" s="211"/>
      <c r="WTH80" s="211"/>
      <c r="WTI80" s="211"/>
      <c r="WTJ80" s="211"/>
      <c r="WTK80" s="211"/>
      <c r="WTL80" s="211"/>
      <c r="WTM80" s="211"/>
      <c r="WTN80" s="211"/>
      <c r="WTO80" s="211"/>
      <c r="WTP80" s="211"/>
      <c r="WTQ80" s="211"/>
      <c r="WTR80" s="211"/>
      <c r="WTS80" s="211"/>
      <c r="WTT80" s="211"/>
      <c r="WTU80" s="211"/>
      <c r="WTV80" s="211"/>
      <c r="WTW80" s="211"/>
      <c r="WTX80" s="211"/>
      <c r="WTY80" s="211"/>
      <c r="WTZ80" s="211"/>
      <c r="WUA80" s="211"/>
      <c r="WUB80" s="211"/>
      <c r="WUC80" s="211"/>
      <c r="WUD80" s="211"/>
      <c r="WUE80" s="211"/>
      <c r="WUF80" s="211"/>
      <c r="WUG80" s="211"/>
      <c r="WUH80" s="211"/>
      <c r="WUI80" s="211"/>
      <c r="WUJ80" s="211"/>
      <c r="WUK80" s="211"/>
      <c r="WUL80" s="211"/>
      <c r="WUM80" s="211"/>
      <c r="WUN80" s="211"/>
      <c r="WUO80" s="211"/>
      <c r="WUP80" s="211"/>
      <c r="WUQ80" s="211"/>
      <c r="WUR80" s="211"/>
      <c r="WUS80" s="211"/>
      <c r="WUT80" s="211"/>
      <c r="WUU80" s="211"/>
      <c r="WUV80" s="211"/>
      <c r="WUW80" s="211"/>
      <c r="WUX80" s="211"/>
      <c r="WUY80" s="211"/>
      <c r="WUZ80" s="211"/>
      <c r="WVA80" s="211"/>
      <c r="WVB80" s="211"/>
      <c r="WVC80" s="211"/>
      <c r="WVD80" s="211"/>
      <c r="WVE80" s="211"/>
      <c r="WVF80" s="211"/>
      <c r="WVG80" s="211"/>
      <c r="WVH80" s="211"/>
      <c r="WVI80" s="211"/>
      <c r="WVJ80" s="211"/>
      <c r="WVK80" s="211"/>
      <c r="WVL80" s="211"/>
      <c r="WVM80" s="211"/>
      <c r="WVN80" s="211"/>
      <c r="WVO80" s="211"/>
      <c r="WVP80" s="211"/>
      <c r="WVQ80" s="211"/>
      <c r="WVR80" s="211"/>
      <c r="WVS80" s="211"/>
      <c r="WVT80" s="211"/>
      <c r="WVU80" s="211"/>
      <c r="WVV80" s="211"/>
      <c r="WVW80" s="211"/>
      <c r="WVX80" s="211"/>
      <c r="WVY80" s="211"/>
      <c r="WVZ80" s="211"/>
      <c r="WWA80" s="211"/>
      <c r="WWB80" s="211"/>
      <c r="WWC80" s="211"/>
      <c r="WWD80" s="211"/>
      <c r="WWE80" s="211"/>
      <c r="WWF80" s="211"/>
      <c r="WWG80" s="211"/>
      <c r="WWH80" s="211"/>
      <c r="WWI80" s="211"/>
      <c r="WWJ80" s="211"/>
      <c r="WWK80" s="211"/>
      <c r="WWL80" s="211"/>
      <c r="WWM80" s="211"/>
      <c r="WWN80" s="211"/>
      <c r="WWO80" s="211"/>
      <c r="WWP80" s="211"/>
      <c r="WWQ80" s="211"/>
      <c r="WWR80" s="211"/>
      <c r="WWS80" s="211"/>
      <c r="WWT80" s="211"/>
      <c r="WWU80" s="211"/>
      <c r="WWV80" s="211"/>
      <c r="WWW80" s="211"/>
      <c r="WWX80" s="211"/>
      <c r="WWY80" s="211"/>
      <c r="WWZ80" s="211"/>
      <c r="WXA80" s="211"/>
      <c r="WXB80" s="211"/>
      <c r="WXC80" s="211"/>
      <c r="WXD80" s="211"/>
      <c r="WXE80" s="211"/>
      <c r="WXF80" s="211"/>
      <c r="WXG80" s="211"/>
      <c r="WXH80" s="211"/>
      <c r="WXI80" s="211"/>
      <c r="WXJ80" s="211"/>
      <c r="WXK80" s="211"/>
      <c r="WXL80" s="211"/>
      <c r="WXM80" s="211"/>
      <c r="WXN80" s="211"/>
      <c r="WXO80" s="211"/>
      <c r="WXP80" s="211"/>
      <c r="WXQ80" s="211"/>
      <c r="WXR80" s="211"/>
      <c r="WXS80" s="211"/>
      <c r="WXT80" s="211"/>
      <c r="WXU80" s="211"/>
      <c r="WXV80" s="211"/>
      <c r="WXW80" s="211"/>
      <c r="WXX80" s="211"/>
      <c r="WXY80" s="211"/>
      <c r="WXZ80" s="211"/>
      <c r="WYA80" s="211"/>
      <c r="WYB80" s="211"/>
      <c r="WYC80" s="211"/>
      <c r="WYD80" s="211"/>
      <c r="WYE80" s="211"/>
      <c r="WYF80" s="211"/>
      <c r="WYG80" s="211"/>
      <c r="WYH80" s="211"/>
      <c r="WYI80" s="211"/>
      <c r="WYJ80" s="211"/>
      <c r="WYK80" s="211"/>
      <c r="WYL80" s="211"/>
      <c r="WYM80" s="211"/>
      <c r="WYN80" s="211"/>
      <c r="WYO80" s="211"/>
      <c r="WYP80" s="211"/>
      <c r="WYQ80" s="211"/>
      <c r="WYR80" s="211"/>
      <c r="WYS80" s="211"/>
      <c r="WYT80" s="211"/>
      <c r="WYU80" s="211"/>
      <c r="WYV80" s="211"/>
      <c r="WYW80" s="211"/>
      <c r="WYX80" s="211"/>
      <c r="WYY80" s="211"/>
      <c r="WYZ80" s="211"/>
      <c r="WZA80" s="211"/>
      <c r="WZB80" s="211"/>
      <c r="WZC80" s="211"/>
      <c r="WZD80" s="211"/>
      <c r="WZE80" s="211"/>
      <c r="WZF80" s="211"/>
      <c r="WZG80" s="211"/>
      <c r="WZH80" s="211"/>
      <c r="WZI80" s="211"/>
      <c r="WZJ80" s="211"/>
      <c r="WZK80" s="211"/>
      <c r="WZL80" s="211"/>
      <c r="WZM80" s="211"/>
      <c r="WZN80" s="211"/>
      <c r="WZO80" s="211"/>
      <c r="WZP80" s="211"/>
      <c r="WZQ80" s="211"/>
      <c r="WZR80" s="211"/>
      <c r="WZS80" s="211"/>
      <c r="WZT80" s="211"/>
      <c r="WZU80" s="211"/>
      <c r="WZV80" s="211"/>
      <c r="WZW80" s="211"/>
      <c r="WZX80" s="211"/>
      <c r="WZY80" s="211"/>
      <c r="WZZ80" s="211"/>
      <c r="XAA80" s="211"/>
      <c r="XAB80" s="211"/>
      <c r="XAC80" s="211"/>
      <c r="XAD80" s="211"/>
      <c r="XAE80" s="211"/>
      <c r="XAF80" s="211"/>
      <c r="XAG80" s="211"/>
      <c r="XAH80" s="211"/>
      <c r="XAI80" s="211"/>
      <c r="XAJ80" s="211"/>
      <c r="XAK80" s="211"/>
      <c r="XAL80" s="211"/>
      <c r="XAM80" s="211"/>
      <c r="XAN80" s="211"/>
      <c r="XAO80" s="211"/>
      <c r="XAP80" s="211"/>
      <c r="XAQ80" s="211"/>
      <c r="XAR80" s="211"/>
      <c r="XAS80" s="211"/>
      <c r="XAT80" s="211"/>
      <c r="XAU80" s="211"/>
      <c r="XAV80" s="211"/>
      <c r="XAW80" s="211"/>
      <c r="XAX80" s="211"/>
      <c r="XAY80" s="211"/>
      <c r="XAZ80" s="211"/>
      <c r="XBA80" s="211"/>
      <c r="XBB80" s="211"/>
      <c r="XBC80" s="211"/>
      <c r="XBD80" s="211"/>
      <c r="XBE80" s="211"/>
      <c r="XBF80" s="211"/>
      <c r="XBG80" s="211"/>
      <c r="XBH80" s="211"/>
      <c r="XBI80" s="211"/>
      <c r="XBJ80" s="211"/>
      <c r="XBK80" s="211"/>
      <c r="XBL80" s="211"/>
      <c r="XBM80" s="211"/>
      <c r="XBN80" s="211"/>
      <c r="XBO80" s="211"/>
      <c r="XBP80" s="211"/>
      <c r="XBQ80" s="211"/>
      <c r="XBR80" s="211"/>
      <c r="XBS80" s="211"/>
      <c r="XBT80" s="211"/>
      <c r="XBU80" s="211"/>
      <c r="XBV80" s="211"/>
      <c r="XBW80" s="211"/>
      <c r="XBX80" s="211"/>
      <c r="XBY80" s="211"/>
      <c r="XBZ80" s="211"/>
      <c r="XCA80" s="211"/>
      <c r="XCB80" s="211"/>
      <c r="XCC80" s="211"/>
      <c r="XCD80" s="211"/>
      <c r="XCE80" s="211"/>
      <c r="XCF80" s="211"/>
      <c r="XCG80" s="211"/>
      <c r="XCH80" s="211"/>
      <c r="XCI80" s="211"/>
      <c r="XCJ80" s="211"/>
      <c r="XCK80" s="211"/>
      <c r="XCL80" s="211"/>
      <c r="XCM80" s="211"/>
      <c r="XCN80" s="211"/>
      <c r="XCO80" s="211"/>
      <c r="XCP80" s="211"/>
      <c r="XCQ80" s="211"/>
      <c r="XCR80" s="211"/>
      <c r="XCS80" s="211"/>
      <c r="XCT80" s="211"/>
      <c r="XCU80" s="211"/>
      <c r="XCV80" s="211"/>
      <c r="XCW80" s="211"/>
      <c r="XCX80" s="211"/>
      <c r="XCY80" s="211"/>
      <c r="XCZ80" s="211"/>
      <c r="XDA80" s="211"/>
      <c r="XDB80" s="211"/>
      <c r="XDC80" s="211"/>
      <c r="XDD80" s="211"/>
      <c r="XDE80" s="211"/>
      <c r="XDF80" s="211"/>
      <c r="XDG80" s="211"/>
      <c r="XDH80" s="211"/>
      <c r="XDI80" s="211"/>
      <c r="XDJ80" s="211"/>
      <c r="XDK80" s="211"/>
      <c r="XDL80" s="211"/>
      <c r="XDM80" s="211"/>
      <c r="XDN80" s="211"/>
      <c r="XDO80" s="211"/>
      <c r="XDP80" s="211"/>
      <c r="XDQ80" s="211"/>
      <c r="XDR80" s="211"/>
      <c r="XDS80" s="211"/>
      <c r="XDT80" s="211"/>
      <c r="XDU80" s="211"/>
      <c r="XDV80" s="211"/>
      <c r="XDW80" s="211"/>
      <c r="XDX80" s="211"/>
      <c r="XDY80" s="211"/>
      <c r="XDZ80" s="211"/>
      <c r="XEA80" s="211"/>
      <c r="XEB80" s="211"/>
      <c r="XEC80" s="211"/>
      <c r="XED80" s="211"/>
      <c r="XEE80" s="211"/>
      <c r="XEF80" s="211"/>
      <c r="XEG80" s="211"/>
      <c r="XEH80" s="211"/>
      <c r="XEI80" s="211"/>
      <c r="XEJ80" s="211"/>
      <c r="XEK80" s="211"/>
      <c r="XEL80" s="211"/>
      <c r="XEM80" s="211"/>
      <c r="XEN80" s="211"/>
      <c r="XEO80" s="211"/>
      <c r="XEP80" s="211"/>
      <c r="XEQ80" s="211"/>
      <c r="XER80" s="211"/>
      <c r="XES80" s="211"/>
      <c r="XET80" s="211"/>
      <c r="XEU80" s="211"/>
      <c r="XEV80" s="211"/>
      <c r="XEW80" s="211"/>
      <c r="XEX80" s="211"/>
      <c r="XEY80" s="211"/>
      <c r="XEZ80" s="211"/>
      <c r="XFA80" s="211"/>
      <c r="XFB80" s="211"/>
      <c r="XFC80" s="211"/>
    </row>
    <row r="81" spans="1:17" ht="6" customHeight="1" x14ac:dyDescent="0.25">
      <c r="B81" s="167"/>
    </row>
    <row r="82" spans="1:17" ht="15" customHeight="1" x14ac:dyDescent="0.25">
      <c r="B82" s="216" t="s">
        <v>1617</v>
      </c>
      <c r="C82" s="216"/>
      <c r="D82" s="216"/>
      <c r="E82" s="216"/>
      <c r="F82" s="216"/>
      <c r="G82" s="216"/>
      <c r="H82" s="216"/>
      <c r="I82" s="147"/>
      <c r="J82" s="146" t="s">
        <v>1641</v>
      </c>
      <c r="K82" s="147"/>
      <c r="L82" s="217" t="s">
        <v>118</v>
      </c>
      <c r="M82" s="217"/>
      <c r="N82" s="217"/>
    </row>
    <row r="83" spans="1:17" x14ac:dyDescent="0.25">
      <c r="I83" s="147"/>
      <c r="J83" s="144"/>
      <c r="L83" s="144"/>
      <c r="M83" s="145"/>
      <c r="N83" s="144"/>
      <c r="O83" s="145"/>
      <c r="P83" s="147" t="s">
        <v>1563</v>
      </c>
    </row>
    <row r="84" spans="1:17" x14ac:dyDescent="0.25">
      <c r="B84" s="162" t="s">
        <v>1552</v>
      </c>
      <c r="D84" s="14">
        <f>$B$34</f>
        <v>0</v>
      </c>
      <c r="I84" s="25" t="s">
        <v>1555</v>
      </c>
      <c r="J84" s="14">
        <f>SUM(D84)</f>
        <v>0</v>
      </c>
      <c r="L84" s="164" t="str">
        <f>CONCATENATE("Balance July 1, ",LEFT('Department Note Disclosure'!$B$11,4))</f>
        <v>Balance July 1, 2023</v>
      </c>
      <c r="N84" s="14">
        <f>ROUND('SBITA Liabilities'!$F$18,0)</f>
        <v>0</v>
      </c>
      <c r="P84" s="13">
        <f>J84-N84</f>
        <v>0</v>
      </c>
    </row>
    <row r="85" spans="1:17" x14ac:dyDescent="0.25">
      <c r="B85" s="162" t="s">
        <v>1620</v>
      </c>
      <c r="D85" s="14">
        <f>D34</f>
        <v>0</v>
      </c>
      <c r="E85" s="165" t="s">
        <v>1551</v>
      </c>
      <c r="F85" s="150" t="s">
        <v>1646</v>
      </c>
      <c r="H85" s="14">
        <f>J34</f>
        <v>0</v>
      </c>
      <c r="I85" s="25" t="s">
        <v>1555</v>
      </c>
      <c r="J85" s="14">
        <f>SUM(D85,H85)</f>
        <v>0</v>
      </c>
      <c r="L85" s="164" t="s">
        <v>9</v>
      </c>
      <c r="N85" s="14">
        <f>ROUND('SBITA Liabilities'!$H$18,0)</f>
        <v>0</v>
      </c>
      <c r="P85" s="13">
        <f>J85-N85</f>
        <v>0</v>
      </c>
    </row>
    <row r="86" spans="1:17" x14ac:dyDescent="0.25">
      <c r="B86" s="162" t="s">
        <v>1554</v>
      </c>
      <c r="D86" s="14">
        <f>F34</f>
        <v>0</v>
      </c>
      <c r="E86" s="165" t="s">
        <v>1551</v>
      </c>
      <c r="F86" s="150" t="s">
        <v>1645</v>
      </c>
      <c r="H86" s="14">
        <f>H34</f>
        <v>0</v>
      </c>
      <c r="I86" s="25" t="s">
        <v>1555</v>
      </c>
      <c r="J86" s="14">
        <f>SUM(D86,H86)</f>
        <v>0</v>
      </c>
      <c r="L86" s="164" t="s">
        <v>10</v>
      </c>
      <c r="N86" s="14">
        <f>ROUND('SBITA Liabilities'!$J$18,0)</f>
        <v>0</v>
      </c>
      <c r="P86" s="13">
        <f>J86-N86</f>
        <v>0</v>
      </c>
    </row>
    <row r="87" spans="1:17" x14ac:dyDescent="0.25">
      <c r="B87" s="162" t="s">
        <v>1558</v>
      </c>
      <c r="D87" s="14">
        <f>B56</f>
        <v>0</v>
      </c>
      <c r="I87" s="25" t="s">
        <v>1555</v>
      </c>
      <c r="J87" s="14">
        <f>SUM(D87)</f>
        <v>0</v>
      </c>
      <c r="L87" s="164" t="s">
        <v>11</v>
      </c>
      <c r="N87" s="14">
        <f>ROUND('SBITA Liabilities'!$N$18,0)</f>
        <v>0</v>
      </c>
      <c r="P87" s="13">
        <f>J87-N87</f>
        <v>0</v>
      </c>
    </row>
    <row r="88" spans="1:17" ht="17.25" x14ac:dyDescent="0.25">
      <c r="D88" s="157" t="str">
        <f>IF(OR(P84&gt;0.99, P84&lt;(-0.99),P85&gt;0.99,P85&lt;(-0.99),P86&gt;0.99,P86&lt;(-0.99),P87&gt;0.99,P87&lt;(-0.99)), "Please review and correct the variance(s).","")</f>
        <v/>
      </c>
    </row>
    <row r="89" spans="1:17" x14ac:dyDescent="0.25">
      <c r="A89" s="168"/>
      <c r="B89" s="169"/>
      <c r="C89" s="170"/>
      <c r="D89" s="169"/>
      <c r="E89" s="170"/>
      <c r="F89" s="169"/>
      <c r="G89" s="170"/>
      <c r="H89" s="169"/>
      <c r="I89" s="170"/>
      <c r="J89" s="169"/>
      <c r="K89" s="170"/>
      <c r="L89" s="169"/>
      <c r="M89" s="170"/>
      <c r="N89" s="169"/>
      <c r="O89" s="170"/>
      <c r="P89" s="169"/>
      <c r="Q89" s="169"/>
    </row>
    <row r="90" spans="1:17" x14ac:dyDescent="0.25"/>
    <row r="91" spans="1:17" x14ac:dyDescent="0.25"/>
  </sheetData>
  <sheetProtection algorithmName="SHA-512" hashValue="8mrgR3FT9IGoG1tfZKyQR8LByXjzDPFbl3f02eQntG7DFwf3MbOlIsK4b1uwxF1cx0WoaRdIOhh+t/KGD2As5A==" saltValue="RshJZZsw/Lai5jEaGOB0Pg==" spinCount="100000" sheet="1" formatColumns="0" formatRows="0"/>
  <mergeCells count="32">
    <mergeCell ref="B82:H82"/>
    <mergeCell ref="L62:N62"/>
    <mergeCell ref="L72:N72"/>
    <mergeCell ref="L82:N82"/>
    <mergeCell ref="A5:Q7"/>
    <mergeCell ref="A80:XFC80"/>
    <mergeCell ref="C41:E41"/>
    <mergeCell ref="C48:E48"/>
    <mergeCell ref="C55:E55"/>
    <mergeCell ref="B47:G47"/>
    <mergeCell ref="B54:G54"/>
    <mergeCell ref="B62:H62"/>
    <mergeCell ref="B72:H72"/>
    <mergeCell ref="A38:Q38"/>
    <mergeCell ref="A45:Q45"/>
    <mergeCell ref="A52:XFC52"/>
    <mergeCell ref="A70:Q70"/>
    <mergeCell ref="A1:Q1"/>
    <mergeCell ref="A2:Q2"/>
    <mergeCell ref="A4:Q4"/>
    <mergeCell ref="A8:Q10"/>
    <mergeCell ref="A60:Q60"/>
    <mergeCell ref="A59:Q59"/>
    <mergeCell ref="B40:G40"/>
    <mergeCell ref="A11:Q11"/>
    <mergeCell ref="A37:Q37"/>
    <mergeCell ref="B14:L14"/>
    <mergeCell ref="B22:L22"/>
    <mergeCell ref="B31:L31"/>
    <mergeCell ref="A12:Q12"/>
    <mergeCell ref="A20:Q20"/>
    <mergeCell ref="A29:XFC29"/>
  </mergeCells>
  <conditionalFormatting sqref="P17">
    <cfRule type="cellIs" dxfId="17" priority="25" operator="lessThan">
      <formula>0</formula>
    </cfRule>
    <cfRule type="cellIs" dxfId="16" priority="26" operator="greaterThan">
      <formula>0</formula>
    </cfRule>
  </conditionalFormatting>
  <conditionalFormatting sqref="P25">
    <cfRule type="cellIs" dxfId="15" priority="23" operator="lessThan">
      <formula>0</formula>
    </cfRule>
    <cfRule type="cellIs" dxfId="14" priority="24" operator="greaterThan">
      <formula>0</formula>
    </cfRule>
  </conditionalFormatting>
  <conditionalFormatting sqref="P34">
    <cfRule type="cellIs" dxfId="13" priority="5" operator="lessThan">
      <formula>0</formula>
    </cfRule>
    <cfRule type="cellIs" dxfId="12" priority="6" operator="greaterThan">
      <formula>0</formula>
    </cfRule>
  </conditionalFormatting>
  <conditionalFormatting sqref="P42">
    <cfRule type="cellIs" dxfId="11" priority="21" operator="lessThan">
      <formula>0</formula>
    </cfRule>
    <cfRule type="cellIs" dxfId="10" priority="22" operator="greaterThan">
      <formula>0</formula>
    </cfRule>
  </conditionalFormatting>
  <conditionalFormatting sqref="P50">
    <cfRule type="cellIs" dxfId="9" priority="17" operator="lessThan">
      <formula>0</formula>
    </cfRule>
    <cfRule type="cellIs" dxfId="8" priority="18" operator="greaterThan">
      <formula>0</formula>
    </cfRule>
  </conditionalFormatting>
  <conditionalFormatting sqref="P57">
    <cfRule type="cellIs" dxfId="7" priority="3" operator="lessThan">
      <formula>0</formula>
    </cfRule>
    <cfRule type="cellIs" dxfId="6" priority="4" operator="greaterThan">
      <formula>0</formula>
    </cfRule>
  </conditionalFormatting>
  <conditionalFormatting sqref="P64:P67">
    <cfRule type="cellIs" dxfId="5" priority="15" operator="lessThan">
      <formula>0</formula>
    </cfRule>
    <cfRule type="cellIs" dxfId="4" priority="16" operator="greaterThan">
      <formula>0</formula>
    </cfRule>
  </conditionalFormatting>
  <conditionalFormatting sqref="P74:P77">
    <cfRule type="cellIs" dxfId="3" priority="7" operator="lessThan">
      <formula>0</formula>
    </cfRule>
    <cfRule type="cellIs" dxfId="2" priority="8" operator="greaterThan">
      <formula>0</formula>
    </cfRule>
  </conditionalFormatting>
  <conditionalFormatting sqref="P84:P87">
    <cfRule type="cellIs" dxfId="1" priority="1" operator="lessThan">
      <formula>0</formula>
    </cfRule>
    <cfRule type="cellIs" dxfId="0" priority="2" operator="greaterThan">
      <formula>0</formula>
    </cfRule>
  </conditionalFormatting>
  <pageMargins left="0.7" right="0.7" top="0.75" bottom="0.75" header="0.3" footer="0.3"/>
  <pageSetup scale="57"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ColWidth="9.140625"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15</v>
      </c>
      <c r="B1" s="1" t="s">
        <v>1565</v>
      </c>
      <c r="C1" s="1" t="s">
        <v>116</v>
      </c>
      <c r="D1" s="7" t="s">
        <v>134</v>
      </c>
      <c r="E1" s="1" t="s">
        <v>1512</v>
      </c>
      <c r="F1" s="1" t="s">
        <v>1513</v>
      </c>
      <c r="G1" s="1" t="s">
        <v>1512</v>
      </c>
      <c r="I1" s="6"/>
      <c r="J1"/>
      <c r="K1"/>
    </row>
    <row r="2" spans="1:11" ht="15.75" x14ac:dyDescent="0.25">
      <c r="A2" s="1" t="s">
        <v>16</v>
      </c>
      <c r="B2" s="1" t="s">
        <v>1566</v>
      </c>
      <c r="C2" s="1" t="s">
        <v>115</v>
      </c>
      <c r="D2" s="7" t="s">
        <v>142</v>
      </c>
      <c r="E2" s="1" t="s">
        <v>1514</v>
      </c>
      <c r="F2" s="1" t="s">
        <v>1515</v>
      </c>
      <c r="G2" s="1" t="s">
        <v>1516</v>
      </c>
      <c r="I2"/>
      <c r="J2"/>
      <c r="K2"/>
    </row>
    <row r="3" spans="1:11" ht="15.75" x14ac:dyDescent="0.25">
      <c r="A3" s="1" t="s">
        <v>17</v>
      </c>
      <c r="B3" s="1" t="s">
        <v>1567</v>
      </c>
      <c r="D3" s="7" t="s">
        <v>333</v>
      </c>
      <c r="E3" s="1" t="s">
        <v>1517</v>
      </c>
      <c r="F3" s="1" t="s">
        <v>1518</v>
      </c>
      <c r="G3" s="1" t="s">
        <v>1519</v>
      </c>
      <c r="I3"/>
      <c r="J3"/>
      <c r="K3"/>
    </row>
    <row r="4" spans="1:11" ht="15.75" x14ac:dyDescent="0.25">
      <c r="A4" s="1" t="s">
        <v>18</v>
      </c>
      <c r="D4" s="7" t="s">
        <v>236</v>
      </c>
      <c r="E4" s="1" t="s">
        <v>1520</v>
      </c>
      <c r="F4" s="1" t="s">
        <v>1521</v>
      </c>
      <c r="G4" s="1" t="s">
        <v>1522</v>
      </c>
      <c r="I4"/>
      <c r="J4"/>
      <c r="K4"/>
    </row>
    <row r="5" spans="1:11" ht="15.75" x14ac:dyDescent="0.25">
      <c r="A5" s="1" t="s">
        <v>19</v>
      </c>
      <c r="D5" s="7" t="s">
        <v>242</v>
      </c>
      <c r="E5" s="1" t="s">
        <v>1523</v>
      </c>
      <c r="F5" s="1" t="s">
        <v>1524</v>
      </c>
      <c r="G5" s="1" t="s">
        <v>1525</v>
      </c>
      <c r="I5"/>
      <c r="J5"/>
      <c r="K5"/>
    </row>
    <row r="6" spans="1:11" ht="15.75" x14ac:dyDescent="0.25">
      <c r="A6" s="1" t="s">
        <v>20</v>
      </c>
      <c r="D6" s="8" t="s">
        <v>227</v>
      </c>
      <c r="E6" s="1" t="s">
        <v>1526</v>
      </c>
      <c r="F6" s="1" t="s">
        <v>1527</v>
      </c>
      <c r="G6" s="1" t="s">
        <v>1528</v>
      </c>
      <c r="I6"/>
      <c r="J6"/>
      <c r="K6"/>
    </row>
    <row r="7" spans="1:11" ht="15.75" x14ac:dyDescent="0.25">
      <c r="A7" s="1" t="s">
        <v>21</v>
      </c>
      <c r="D7" s="7" t="s">
        <v>232</v>
      </c>
      <c r="E7" s="1" t="s">
        <v>1529</v>
      </c>
      <c r="F7" s="1" t="s">
        <v>1530</v>
      </c>
      <c r="G7" s="1" t="s">
        <v>1531</v>
      </c>
      <c r="I7"/>
      <c r="J7"/>
      <c r="K7"/>
    </row>
    <row r="8" spans="1:11" ht="15.75" x14ac:dyDescent="0.25">
      <c r="A8" s="1" t="s">
        <v>22</v>
      </c>
      <c r="D8" s="7" t="s">
        <v>819</v>
      </c>
      <c r="E8" s="1" t="s">
        <v>1532</v>
      </c>
      <c r="F8" s="1" t="s">
        <v>1533</v>
      </c>
      <c r="G8" s="1" t="s">
        <v>1534</v>
      </c>
      <c r="I8"/>
      <c r="J8"/>
      <c r="K8"/>
    </row>
    <row r="9" spans="1:11" ht="15.75" x14ac:dyDescent="0.25">
      <c r="A9" s="1" t="s">
        <v>23</v>
      </c>
      <c r="D9" s="7" t="s">
        <v>1597</v>
      </c>
      <c r="E9" s="1" t="s">
        <v>1591</v>
      </c>
      <c r="F9" s="1" t="s">
        <v>1535</v>
      </c>
      <c r="G9" s="1" t="s">
        <v>1592</v>
      </c>
      <c r="I9"/>
      <c r="J9"/>
      <c r="K9"/>
    </row>
    <row r="10" spans="1:11" x14ac:dyDescent="0.2">
      <c r="A10" s="1" t="s">
        <v>24</v>
      </c>
      <c r="D10" s="7" t="s">
        <v>1598</v>
      </c>
      <c r="E10" s="1" t="s">
        <v>1547</v>
      </c>
      <c r="F10" s="1" t="s">
        <v>1547</v>
      </c>
      <c r="G10" s="1" t="s">
        <v>1546</v>
      </c>
    </row>
    <row r="11" spans="1:11" x14ac:dyDescent="0.2">
      <c r="A11" s="1" t="s">
        <v>25</v>
      </c>
    </row>
    <row r="12" spans="1:11" x14ac:dyDescent="0.2">
      <c r="A12" s="1" t="s">
        <v>26</v>
      </c>
      <c r="D12" s="7"/>
    </row>
    <row r="13" spans="1:11" x14ac:dyDescent="0.2">
      <c r="A13" s="1" t="s">
        <v>27</v>
      </c>
      <c r="D13" s="7"/>
    </row>
    <row r="14" spans="1:11" x14ac:dyDescent="0.2">
      <c r="A14" s="1" t="s">
        <v>28</v>
      </c>
      <c r="D14" s="7"/>
    </row>
    <row r="15" spans="1:11" x14ac:dyDescent="0.2">
      <c r="A15" s="1" t="s">
        <v>29</v>
      </c>
      <c r="D15" s="7"/>
    </row>
    <row r="16" spans="1:11" x14ac:dyDescent="0.2">
      <c r="A16" s="1" t="s">
        <v>30</v>
      </c>
      <c r="D16" s="9"/>
    </row>
    <row r="17" spans="1:4" x14ac:dyDescent="0.2">
      <c r="A17" s="1" t="s">
        <v>31</v>
      </c>
      <c r="D17" s="7"/>
    </row>
    <row r="18" spans="1:4" x14ac:dyDescent="0.2">
      <c r="A18" s="1" t="s">
        <v>32</v>
      </c>
      <c r="D18" s="7"/>
    </row>
    <row r="19" spans="1:4" x14ac:dyDescent="0.2">
      <c r="A19" s="1" t="s">
        <v>33</v>
      </c>
      <c r="D19" s="7"/>
    </row>
    <row r="20" spans="1:4" x14ac:dyDescent="0.2">
      <c r="A20" s="1" t="s">
        <v>34</v>
      </c>
      <c r="D20" s="7"/>
    </row>
    <row r="21" spans="1:4" x14ac:dyDescent="0.2">
      <c r="A21" s="1" t="s">
        <v>35</v>
      </c>
    </row>
    <row r="22" spans="1:4" x14ac:dyDescent="0.2">
      <c r="A22" s="1" t="s">
        <v>36</v>
      </c>
    </row>
    <row r="23" spans="1:4" x14ac:dyDescent="0.2">
      <c r="A23" s="1" t="s">
        <v>37</v>
      </c>
    </row>
    <row r="24" spans="1:4" x14ac:dyDescent="0.2">
      <c r="A24" s="1" t="s">
        <v>38</v>
      </c>
    </row>
    <row r="25" spans="1:4" x14ac:dyDescent="0.2">
      <c r="A25" s="1" t="s">
        <v>39</v>
      </c>
    </row>
    <row r="26" spans="1:4" x14ac:dyDescent="0.2">
      <c r="A26" s="1" t="s">
        <v>40</v>
      </c>
    </row>
    <row r="27" spans="1:4" x14ac:dyDescent="0.2">
      <c r="A27" s="1" t="s">
        <v>41</v>
      </c>
    </row>
    <row r="28" spans="1:4" x14ac:dyDescent="0.2">
      <c r="A28" s="1" t="s">
        <v>42</v>
      </c>
    </row>
    <row r="29" spans="1:4" x14ac:dyDescent="0.2">
      <c r="A29" s="1" t="s">
        <v>43</v>
      </c>
    </row>
    <row r="30" spans="1:4" x14ac:dyDescent="0.2">
      <c r="A30" s="1" t="s">
        <v>44</v>
      </c>
    </row>
    <row r="31" spans="1:4" x14ac:dyDescent="0.2">
      <c r="A31" s="1" t="s">
        <v>45</v>
      </c>
    </row>
    <row r="32" spans="1:4" x14ac:dyDescent="0.2">
      <c r="A32" s="1" t="s">
        <v>46</v>
      </c>
    </row>
    <row r="33" spans="1:1" x14ac:dyDescent="0.2">
      <c r="A33" s="1" t="s">
        <v>47</v>
      </c>
    </row>
    <row r="34" spans="1:1" x14ac:dyDescent="0.2">
      <c r="A34" s="1" t="s">
        <v>48</v>
      </c>
    </row>
    <row r="35" spans="1:1" x14ac:dyDescent="0.2">
      <c r="A35" s="1" t="s">
        <v>49</v>
      </c>
    </row>
    <row r="36" spans="1:1" x14ac:dyDescent="0.2">
      <c r="A36" s="1" t="s">
        <v>50</v>
      </c>
    </row>
    <row r="37" spans="1:1" x14ac:dyDescent="0.2">
      <c r="A37" s="1" t="s">
        <v>51</v>
      </c>
    </row>
    <row r="38" spans="1:1" x14ac:dyDescent="0.2">
      <c r="A38" s="1" t="s">
        <v>52</v>
      </c>
    </row>
    <row r="39" spans="1:1" x14ac:dyDescent="0.2">
      <c r="A39" s="1" t="s">
        <v>53</v>
      </c>
    </row>
    <row r="40" spans="1:1" x14ac:dyDescent="0.2">
      <c r="A40" s="1" t="s">
        <v>54</v>
      </c>
    </row>
    <row r="41" spans="1:1" x14ac:dyDescent="0.2">
      <c r="A41" s="1" t="s">
        <v>55</v>
      </c>
    </row>
    <row r="42" spans="1:1" x14ac:dyDescent="0.2">
      <c r="A42" s="1" t="s">
        <v>56</v>
      </c>
    </row>
    <row r="43" spans="1:1" x14ac:dyDescent="0.2">
      <c r="A43" s="1" t="s">
        <v>57</v>
      </c>
    </row>
    <row r="44" spans="1:1" x14ac:dyDescent="0.2">
      <c r="A44" s="1" t="s">
        <v>58</v>
      </c>
    </row>
    <row r="45" spans="1:1" x14ac:dyDescent="0.2">
      <c r="A45" s="1" t="s">
        <v>59</v>
      </c>
    </row>
    <row r="46" spans="1:1" x14ac:dyDescent="0.2">
      <c r="A46" s="1" t="s">
        <v>60</v>
      </c>
    </row>
    <row r="47" spans="1:1" x14ac:dyDescent="0.2">
      <c r="A47" s="1" t="s">
        <v>61</v>
      </c>
    </row>
    <row r="48" spans="1:1" x14ac:dyDescent="0.2">
      <c r="A48" s="1" t="s">
        <v>62</v>
      </c>
    </row>
    <row r="49" spans="1:1" x14ac:dyDescent="0.2">
      <c r="A49" s="1" t="s">
        <v>63</v>
      </c>
    </row>
    <row r="50" spans="1:1" x14ac:dyDescent="0.2">
      <c r="A50" s="1" t="s">
        <v>64</v>
      </c>
    </row>
    <row r="51" spans="1:1" x14ac:dyDescent="0.2">
      <c r="A51" s="1" t="s">
        <v>65</v>
      </c>
    </row>
    <row r="52" spans="1:1" x14ac:dyDescent="0.2">
      <c r="A52" s="1" t="s">
        <v>66</v>
      </c>
    </row>
    <row r="53" spans="1:1" x14ac:dyDescent="0.2">
      <c r="A53" s="1" t="s">
        <v>67</v>
      </c>
    </row>
    <row r="54" spans="1:1" x14ac:dyDescent="0.2">
      <c r="A54" s="1" t="s">
        <v>68</v>
      </c>
    </row>
    <row r="55" spans="1:1" x14ac:dyDescent="0.2">
      <c r="A55" s="1" t="s">
        <v>69</v>
      </c>
    </row>
    <row r="56" spans="1:1" x14ac:dyDescent="0.2">
      <c r="A56" s="1" t="s">
        <v>70</v>
      </c>
    </row>
    <row r="57" spans="1:1" x14ac:dyDescent="0.2">
      <c r="A57" s="1" t="s">
        <v>71</v>
      </c>
    </row>
    <row r="58" spans="1:1" x14ac:dyDescent="0.2">
      <c r="A58" s="1" t="s">
        <v>72</v>
      </c>
    </row>
    <row r="59" spans="1:1" x14ac:dyDescent="0.2">
      <c r="A59" s="1" t="s">
        <v>73</v>
      </c>
    </row>
    <row r="60" spans="1:1" x14ac:dyDescent="0.2">
      <c r="A60" s="1" t="s">
        <v>74</v>
      </c>
    </row>
    <row r="61" spans="1:1" x14ac:dyDescent="0.2">
      <c r="A61" s="1" t="s">
        <v>75</v>
      </c>
    </row>
    <row r="62" spans="1:1" x14ac:dyDescent="0.2">
      <c r="A62" s="1" t="s">
        <v>76</v>
      </c>
    </row>
    <row r="63" spans="1:1" x14ac:dyDescent="0.2">
      <c r="A63" s="1" t="s">
        <v>77</v>
      </c>
    </row>
    <row r="64" spans="1:1" x14ac:dyDescent="0.2">
      <c r="A64" s="1" t="s">
        <v>78</v>
      </c>
    </row>
    <row r="65" spans="1:1" x14ac:dyDescent="0.2">
      <c r="A65" s="1" t="s">
        <v>79</v>
      </c>
    </row>
    <row r="66" spans="1:1" x14ac:dyDescent="0.2">
      <c r="A66" s="1" t="s">
        <v>80</v>
      </c>
    </row>
    <row r="67" spans="1:1" x14ac:dyDescent="0.2">
      <c r="A67" s="1" t="s">
        <v>81</v>
      </c>
    </row>
    <row r="68" spans="1:1" x14ac:dyDescent="0.2">
      <c r="A68" s="1" t="s">
        <v>82</v>
      </c>
    </row>
    <row r="69" spans="1:1" x14ac:dyDescent="0.2">
      <c r="A69" s="1" t="s">
        <v>83</v>
      </c>
    </row>
    <row r="70" spans="1:1" x14ac:dyDescent="0.2">
      <c r="A70" s="1" t="s">
        <v>84</v>
      </c>
    </row>
    <row r="71" spans="1:1" x14ac:dyDescent="0.2">
      <c r="A71" s="1" t="s">
        <v>85</v>
      </c>
    </row>
    <row r="72" spans="1:1" x14ac:dyDescent="0.2">
      <c r="A72" s="1" t="s">
        <v>86</v>
      </c>
    </row>
    <row r="73" spans="1:1" x14ac:dyDescent="0.2">
      <c r="A73" s="1" t="s">
        <v>87</v>
      </c>
    </row>
    <row r="74" spans="1:1" x14ac:dyDescent="0.2">
      <c r="A74" s="1" t="s">
        <v>88</v>
      </c>
    </row>
    <row r="75" spans="1:1" x14ac:dyDescent="0.2">
      <c r="A75" s="1" t="s">
        <v>89</v>
      </c>
    </row>
    <row r="76" spans="1:1" x14ac:dyDescent="0.2">
      <c r="A76" s="1" t="s">
        <v>90</v>
      </c>
    </row>
    <row r="77" spans="1:1" x14ac:dyDescent="0.2">
      <c r="A77" s="1" t="s">
        <v>91</v>
      </c>
    </row>
    <row r="78" spans="1:1" x14ac:dyDescent="0.2">
      <c r="A78" s="1" t="s">
        <v>92</v>
      </c>
    </row>
    <row r="79" spans="1:1" x14ac:dyDescent="0.2">
      <c r="A79" s="1" t="s">
        <v>93</v>
      </c>
    </row>
    <row r="80" spans="1:1" x14ac:dyDescent="0.2">
      <c r="A80" s="1" t="s">
        <v>94</v>
      </c>
    </row>
    <row r="81" spans="1:1" x14ac:dyDescent="0.2">
      <c r="A81" s="1" t="s">
        <v>95</v>
      </c>
    </row>
    <row r="82" spans="1:1" x14ac:dyDescent="0.2">
      <c r="A82" s="1" t="s">
        <v>96</v>
      </c>
    </row>
    <row r="83" spans="1:1" x14ac:dyDescent="0.2">
      <c r="A83" s="1" t="s">
        <v>97</v>
      </c>
    </row>
    <row r="84" spans="1:1" x14ac:dyDescent="0.2">
      <c r="A84" s="1" t="s">
        <v>98</v>
      </c>
    </row>
    <row r="85" spans="1:1" x14ac:dyDescent="0.2">
      <c r="A85" s="1" t="s">
        <v>99</v>
      </c>
    </row>
    <row r="86" spans="1:1" x14ac:dyDescent="0.2">
      <c r="A86" s="1" t="s">
        <v>100</v>
      </c>
    </row>
    <row r="87" spans="1:1" x14ac:dyDescent="0.2">
      <c r="A87" s="1" t="s">
        <v>101</v>
      </c>
    </row>
    <row r="88" spans="1:1" x14ac:dyDescent="0.2">
      <c r="A88" s="1" t="s">
        <v>102</v>
      </c>
    </row>
    <row r="89" spans="1:1" x14ac:dyDescent="0.2">
      <c r="A89" s="1" t="s">
        <v>103</v>
      </c>
    </row>
    <row r="90" spans="1:1" x14ac:dyDescent="0.2">
      <c r="A90" s="1" t="s">
        <v>104</v>
      </c>
    </row>
    <row r="91" spans="1:1" x14ac:dyDescent="0.2">
      <c r="A91" s="1" t="s">
        <v>105</v>
      </c>
    </row>
    <row r="92" spans="1:1" x14ac:dyDescent="0.2">
      <c r="A92" s="1" t="s">
        <v>106</v>
      </c>
    </row>
    <row r="93" spans="1:1" x14ac:dyDescent="0.2">
      <c r="A93" s="1" t="s">
        <v>107</v>
      </c>
    </row>
    <row r="94" spans="1:1" x14ac:dyDescent="0.2">
      <c r="A94" s="1" t="s">
        <v>108</v>
      </c>
    </row>
    <row r="95" spans="1:1" x14ac:dyDescent="0.2">
      <c r="A95" s="1" t="s">
        <v>109</v>
      </c>
    </row>
    <row r="96" spans="1:1" x14ac:dyDescent="0.2">
      <c r="A96" s="1" t="s">
        <v>110</v>
      </c>
    </row>
    <row r="97" spans="1:1" x14ac:dyDescent="0.2">
      <c r="A97" s="1" t="s">
        <v>111</v>
      </c>
    </row>
    <row r="98" spans="1:1" x14ac:dyDescent="0.2">
      <c r="A98" s="1" t="s">
        <v>112</v>
      </c>
    </row>
    <row r="99" spans="1:1" x14ac:dyDescent="0.2">
      <c r="A99" s="1" t="s">
        <v>113</v>
      </c>
    </row>
    <row r="100" spans="1:1" x14ac:dyDescent="0.2">
      <c r="A100" s="1" t="s">
        <v>114</v>
      </c>
    </row>
    <row r="101" spans="1:1" x14ac:dyDescent="0.2">
      <c r="A101" s="1" t="s">
        <v>15</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4" t="s">
        <v>120</v>
      </c>
      <c r="B1" s="4" t="s">
        <v>121</v>
      </c>
      <c r="C1" s="4" t="s">
        <v>122</v>
      </c>
      <c r="D1" s="4" t="s">
        <v>123</v>
      </c>
      <c r="E1" s="4" t="s">
        <v>124</v>
      </c>
      <c r="F1" s="4" t="s">
        <v>125</v>
      </c>
      <c r="G1" s="4" t="s">
        <v>126</v>
      </c>
      <c r="H1" s="4" t="s">
        <v>127</v>
      </c>
      <c r="I1" s="4" t="s">
        <v>128</v>
      </c>
      <c r="J1" s="4" t="s">
        <v>129</v>
      </c>
      <c r="K1" s="4" t="s">
        <v>130</v>
      </c>
    </row>
    <row r="2" spans="1:11" x14ac:dyDescent="0.25">
      <c r="A2" s="5" t="s">
        <v>131</v>
      </c>
      <c r="B2" s="5" t="s">
        <v>132</v>
      </c>
      <c r="C2" s="5" t="s">
        <v>133</v>
      </c>
      <c r="D2" s="5" t="s">
        <v>132</v>
      </c>
      <c r="E2" s="5" t="s">
        <v>134</v>
      </c>
      <c r="F2" s="5" t="s">
        <v>135</v>
      </c>
      <c r="G2" s="5" t="s">
        <v>136</v>
      </c>
      <c r="H2" s="5" t="s">
        <v>131</v>
      </c>
      <c r="I2" s="5" t="s">
        <v>131</v>
      </c>
      <c r="J2" s="5" t="s">
        <v>137</v>
      </c>
      <c r="K2" s="5" t="s">
        <v>138</v>
      </c>
    </row>
    <row r="3" spans="1:11" x14ac:dyDescent="0.25">
      <c r="A3" s="5" t="s">
        <v>139</v>
      </c>
      <c r="B3" s="5" t="s">
        <v>140</v>
      </c>
      <c r="C3" s="5" t="s">
        <v>141</v>
      </c>
      <c r="D3" s="5" t="s">
        <v>142</v>
      </c>
      <c r="E3" s="5" t="s">
        <v>134</v>
      </c>
      <c r="F3" s="5" t="s">
        <v>131</v>
      </c>
      <c r="G3" s="5" t="s">
        <v>131</v>
      </c>
      <c r="H3" s="5" t="s">
        <v>131</v>
      </c>
      <c r="I3" s="5" t="s">
        <v>131</v>
      </c>
      <c r="J3" s="5" t="s">
        <v>143</v>
      </c>
      <c r="K3" s="5" t="s">
        <v>138</v>
      </c>
    </row>
    <row r="4" spans="1:11" x14ac:dyDescent="0.25">
      <c r="A4" s="5" t="s">
        <v>144</v>
      </c>
      <c r="B4" s="5" t="s">
        <v>145</v>
      </c>
      <c r="C4" s="5" t="s">
        <v>141</v>
      </c>
      <c r="D4" s="5" t="s">
        <v>142</v>
      </c>
      <c r="E4" s="5" t="s">
        <v>134</v>
      </c>
      <c r="F4" s="5" t="s">
        <v>131</v>
      </c>
      <c r="G4" s="5" t="s">
        <v>131</v>
      </c>
      <c r="H4" s="5" t="s">
        <v>131</v>
      </c>
      <c r="I4" s="5" t="s">
        <v>131</v>
      </c>
      <c r="J4" s="5" t="s">
        <v>146</v>
      </c>
      <c r="K4" s="5" t="s">
        <v>138</v>
      </c>
    </row>
    <row r="5" spans="1:11" x14ac:dyDescent="0.25">
      <c r="A5" s="5" t="s">
        <v>147</v>
      </c>
      <c r="B5" s="5" t="s">
        <v>148</v>
      </c>
      <c r="C5" s="5" t="s">
        <v>141</v>
      </c>
      <c r="D5" s="5" t="s">
        <v>142</v>
      </c>
      <c r="E5" s="5" t="s">
        <v>134</v>
      </c>
      <c r="F5" s="5" t="s">
        <v>131</v>
      </c>
      <c r="G5" s="5" t="s">
        <v>131</v>
      </c>
      <c r="H5" s="5" t="s">
        <v>131</v>
      </c>
      <c r="I5" s="5" t="s">
        <v>131</v>
      </c>
      <c r="J5" s="5" t="s">
        <v>146</v>
      </c>
      <c r="K5" s="5" t="s">
        <v>138</v>
      </c>
    </row>
    <row r="6" spans="1:11" x14ac:dyDescent="0.25">
      <c r="A6" s="5" t="s">
        <v>149</v>
      </c>
      <c r="B6" s="5" t="s">
        <v>150</v>
      </c>
      <c r="C6" s="5" t="s">
        <v>141</v>
      </c>
      <c r="D6" s="5" t="s">
        <v>142</v>
      </c>
      <c r="E6" s="5" t="s">
        <v>134</v>
      </c>
      <c r="F6" s="5" t="s">
        <v>131</v>
      </c>
      <c r="G6" s="5" t="s">
        <v>131</v>
      </c>
      <c r="H6" s="5" t="s">
        <v>131</v>
      </c>
      <c r="I6" s="5" t="s">
        <v>131</v>
      </c>
      <c r="J6" s="5" t="s">
        <v>146</v>
      </c>
      <c r="K6" s="5" t="s">
        <v>138</v>
      </c>
    </row>
    <row r="7" spans="1:11" x14ac:dyDescent="0.25">
      <c r="A7" s="5" t="s">
        <v>151</v>
      </c>
      <c r="B7" s="5" t="s">
        <v>152</v>
      </c>
      <c r="C7" s="5" t="s">
        <v>141</v>
      </c>
      <c r="D7" s="5" t="s">
        <v>142</v>
      </c>
      <c r="E7" s="5" t="s">
        <v>134</v>
      </c>
      <c r="F7" s="5" t="s">
        <v>131</v>
      </c>
      <c r="G7" s="5" t="s">
        <v>131</v>
      </c>
      <c r="H7" s="5" t="s">
        <v>131</v>
      </c>
      <c r="I7" s="5" t="s">
        <v>131</v>
      </c>
      <c r="J7" s="5" t="s">
        <v>153</v>
      </c>
      <c r="K7" s="5" t="s">
        <v>138</v>
      </c>
    </row>
    <row r="8" spans="1:11" x14ac:dyDescent="0.25">
      <c r="A8" s="5" t="s">
        <v>154</v>
      </c>
      <c r="B8" s="5" t="s">
        <v>155</v>
      </c>
      <c r="C8" s="5" t="s">
        <v>141</v>
      </c>
      <c r="D8" s="5" t="s">
        <v>142</v>
      </c>
      <c r="E8" s="5" t="s">
        <v>134</v>
      </c>
      <c r="F8" s="5" t="s">
        <v>131</v>
      </c>
      <c r="G8" s="5" t="s">
        <v>131</v>
      </c>
      <c r="H8" s="5" t="s">
        <v>131</v>
      </c>
      <c r="I8" s="5" t="s">
        <v>131</v>
      </c>
      <c r="J8" s="5" t="s">
        <v>153</v>
      </c>
      <c r="K8" s="5" t="s">
        <v>138</v>
      </c>
    </row>
    <row r="9" spans="1:11" x14ac:dyDescent="0.25">
      <c r="A9" s="5" t="s">
        <v>156</v>
      </c>
      <c r="B9" s="5" t="s">
        <v>157</v>
      </c>
      <c r="C9" s="5" t="s">
        <v>141</v>
      </c>
      <c r="D9" s="5" t="s">
        <v>142</v>
      </c>
      <c r="E9" s="5" t="s">
        <v>134</v>
      </c>
      <c r="F9" s="5" t="s">
        <v>131</v>
      </c>
      <c r="G9" s="5" t="s">
        <v>131</v>
      </c>
      <c r="H9" s="5" t="s">
        <v>131</v>
      </c>
      <c r="I9" s="5" t="s">
        <v>131</v>
      </c>
      <c r="J9" s="5" t="s">
        <v>153</v>
      </c>
      <c r="K9" s="5" t="s">
        <v>138</v>
      </c>
    </row>
    <row r="10" spans="1:11" x14ac:dyDescent="0.25">
      <c r="A10" s="5" t="s">
        <v>158</v>
      </c>
      <c r="B10" s="5" t="s">
        <v>159</v>
      </c>
      <c r="C10" s="5" t="s">
        <v>141</v>
      </c>
      <c r="D10" s="5" t="s">
        <v>142</v>
      </c>
      <c r="E10" s="5" t="s">
        <v>134</v>
      </c>
      <c r="F10" s="5" t="s">
        <v>131</v>
      </c>
      <c r="G10" s="5" t="s">
        <v>131</v>
      </c>
      <c r="H10" s="5" t="s">
        <v>131</v>
      </c>
      <c r="I10" s="5" t="s">
        <v>131</v>
      </c>
      <c r="J10" s="5" t="s">
        <v>143</v>
      </c>
      <c r="K10" s="5" t="s">
        <v>138</v>
      </c>
    </row>
    <row r="11" spans="1:11" x14ac:dyDescent="0.25">
      <c r="A11" s="5" t="s">
        <v>160</v>
      </c>
      <c r="B11" s="5" t="s">
        <v>161</v>
      </c>
      <c r="C11" s="5" t="s">
        <v>141</v>
      </c>
      <c r="D11" s="5" t="s">
        <v>142</v>
      </c>
      <c r="E11" s="5" t="s">
        <v>134</v>
      </c>
      <c r="F11" s="5" t="s">
        <v>131</v>
      </c>
      <c r="G11" s="5" t="s">
        <v>131</v>
      </c>
      <c r="H11" s="5" t="s">
        <v>131</v>
      </c>
      <c r="I11" s="5" t="s">
        <v>131</v>
      </c>
      <c r="J11" s="5" t="s">
        <v>146</v>
      </c>
      <c r="K11" s="5" t="s">
        <v>138</v>
      </c>
    </row>
    <row r="12" spans="1:11" x14ac:dyDescent="0.25">
      <c r="A12" s="5" t="s">
        <v>162</v>
      </c>
      <c r="B12" s="5" t="s">
        <v>163</v>
      </c>
      <c r="C12" s="5" t="s">
        <v>141</v>
      </c>
      <c r="D12" s="5" t="s">
        <v>142</v>
      </c>
      <c r="E12" s="5" t="s">
        <v>134</v>
      </c>
      <c r="F12" s="5" t="s">
        <v>131</v>
      </c>
      <c r="G12" s="5" t="s">
        <v>131</v>
      </c>
      <c r="H12" s="5" t="s">
        <v>131</v>
      </c>
      <c r="I12" s="5" t="s">
        <v>131</v>
      </c>
      <c r="J12" s="5" t="s">
        <v>137</v>
      </c>
      <c r="K12" s="5" t="s">
        <v>138</v>
      </c>
    </row>
    <row r="13" spans="1:11" x14ac:dyDescent="0.25">
      <c r="A13" s="5" t="s">
        <v>164</v>
      </c>
      <c r="B13" s="5" t="s">
        <v>165</v>
      </c>
      <c r="C13" s="5" t="s">
        <v>141</v>
      </c>
      <c r="D13" s="5" t="s">
        <v>142</v>
      </c>
      <c r="E13" s="5" t="s">
        <v>134</v>
      </c>
      <c r="F13" s="5" t="s">
        <v>131</v>
      </c>
      <c r="G13" s="5" t="s">
        <v>131</v>
      </c>
      <c r="H13" s="5" t="s">
        <v>131</v>
      </c>
      <c r="I13" s="5" t="s">
        <v>131</v>
      </c>
      <c r="J13" s="5" t="s">
        <v>146</v>
      </c>
      <c r="K13" s="5" t="s">
        <v>166</v>
      </c>
    </row>
    <row r="14" spans="1:11" x14ac:dyDescent="0.25">
      <c r="A14" s="5" t="s">
        <v>167</v>
      </c>
      <c r="B14" s="5" t="s">
        <v>168</v>
      </c>
      <c r="C14" s="5" t="s">
        <v>141</v>
      </c>
      <c r="D14" s="5" t="s">
        <v>142</v>
      </c>
      <c r="E14" s="5" t="s">
        <v>134</v>
      </c>
      <c r="F14" s="5" t="s">
        <v>131</v>
      </c>
      <c r="G14" s="5" t="s">
        <v>131</v>
      </c>
      <c r="H14" s="5" t="s">
        <v>131</v>
      </c>
      <c r="I14" s="5" t="s">
        <v>131</v>
      </c>
      <c r="J14" s="5" t="s">
        <v>146</v>
      </c>
      <c r="K14" s="5" t="s">
        <v>166</v>
      </c>
    </row>
    <row r="15" spans="1:11" x14ac:dyDescent="0.25">
      <c r="A15" s="5" t="s">
        <v>169</v>
      </c>
      <c r="B15" s="5" t="s">
        <v>170</v>
      </c>
      <c r="C15" s="5" t="s">
        <v>141</v>
      </c>
      <c r="D15" s="5" t="s">
        <v>142</v>
      </c>
      <c r="E15" s="5" t="s">
        <v>134</v>
      </c>
      <c r="F15" s="5" t="s">
        <v>131</v>
      </c>
      <c r="G15" s="5" t="s">
        <v>131</v>
      </c>
      <c r="H15" s="5" t="s">
        <v>131</v>
      </c>
      <c r="I15" s="5" t="s">
        <v>131</v>
      </c>
      <c r="J15" s="5" t="s">
        <v>146</v>
      </c>
      <c r="K15" s="5" t="s">
        <v>138</v>
      </c>
    </row>
    <row r="16" spans="1:11" x14ac:dyDescent="0.25">
      <c r="A16" s="5" t="s">
        <v>171</v>
      </c>
      <c r="B16" s="5" t="s">
        <v>172</v>
      </c>
      <c r="C16" s="5" t="s">
        <v>141</v>
      </c>
      <c r="D16" s="5" t="s">
        <v>142</v>
      </c>
      <c r="E16" s="5" t="s">
        <v>134</v>
      </c>
      <c r="F16" s="5" t="s">
        <v>131</v>
      </c>
      <c r="G16" s="5" t="s">
        <v>131</v>
      </c>
      <c r="H16" s="5" t="s">
        <v>131</v>
      </c>
      <c r="I16" s="5" t="s">
        <v>131</v>
      </c>
      <c r="J16" s="5" t="s">
        <v>173</v>
      </c>
      <c r="K16" s="5" t="s">
        <v>138</v>
      </c>
    </row>
    <row r="17" spans="1:11" x14ac:dyDescent="0.25">
      <c r="A17" s="5" t="s">
        <v>174</v>
      </c>
      <c r="B17" s="5" t="s">
        <v>175</v>
      </c>
      <c r="C17" s="5" t="s">
        <v>141</v>
      </c>
      <c r="D17" s="5" t="s">
        <v>142</v>
      </c>
      <c r="E17" s="5" t="s">
        <v>134</v>
      </c>
      <c r="F17" s="5" t="s">
        <v>131</v>
      </c>
      <c r="G17" s="5" t="s">
        <v>131</v>
      </c>
      <c r="H17" s="5" t="s">
        <v>131</v>
      </c>
      <c r="I17" s="5" t="s">
        <v>131</v>
      </c>
      <c r="J17" s="5" t="s">
        <v>137</v>
      </c>
      <c r="K17" s="5" t="s">
        <v>138</v>
      </c>
    </row>
    <row r="18" spans="1:11" x14ac:dyDescent="0.25">
      <c r="A18" s="5" t="s">
        <v>176</v>
      </c>
      <c r="B18" s="5" t="s">
        <v>177</v>
      </c>
      <c r="C18" s="5" t="s">
        <v>141</v>
      </c>
      <c r="D18" s="5" t="s">
        <v>142</v>
      </c>
      <c r="E18" s="5" t="s">
        <v>134</v>
      </c>
      <c r="F18" s="5" t="s">
        <v>131</v>
      </c>
      <c r="G18" s="5" t="s">
        <v>131</v>
      </c>
      <c r="H18" s="5" t="s">
        <v>131</v>
      </c>
      <c r="I18" s="5" t="s">
        <v>131</v>
      </c>
      <c r="J18" s="5" t="s">
        <v>137</v>
      </c>
      <c r="K18" s="5" t="s">
        <v>138</v>
      </c>
    </row>
    <row r="19" spans="1:11" x14ac:dyDescent="0.25">
      <c r="A19" s="5" t="s">
        <v>178</v>
      </c>
      <c r="B19" s="5" t="s">
        <v>179</v>
      </c>
      <c r="C19" s="5" t="s">
        <v>141</v>
      </c>
      <c r="D19" s="5" t="s">
        <v>142</v>
      </c>
      <c r="E19" s="5" t="s">
        <v>134</v>
      </c>
      <c r="F19" s="5" t="s">
        <v>131</v>
      </c>
      <c r="G19" s="5" t="s">
        <v>131</v>
      </c>
      <c r="H19" s="5" t="s">
        <v>131</v>
      </c>
      <c r="I19" s="5" t="s">
        <v>131</v>
      </c>
      <c r="J19" s="5" t="s">
        <v>137</v>
      </c>
      <c r="K19" s="5" t="s">
        <v>138</v>
      </c>
    </row>
    <row r="20" spans="1:11" x14ac:dyDescent="0.25">
      <c r="A20" s="5" t="s">
        <v>180</v>
      </c>
      <c r="B20" s="5" t="s">
        <v>181</v>
      </c>
      <c r="C20" s="5" t="s">
        <v>141</v>
      </c>
      <c r="D20" s="5" t="s">
        <v>142</v>
      </c>
      <c r="E20" s="5" t="s">
        <v>134</v>
      </c>
      <c r="F20" s="5" t="s">
        <v>131</v>
      </c>
      <c r="G20" s="5" t="s">
        <v>131</v>
      </c>
      <c r="H20" s="5" t="s">
        <v>131</v>
      </c>
      <c r="I20" s="5" t="s">
        <v>131</v>
      </c>
      <c r="J20" s="5" t="s">
        <v>143</v>
      </c>
      <c r="K20" s="5" t="s">
        <v>138</v>
      </c>
    </row>
    <row r="21" spans="1:11" x14ac:dyDescent="0.25">
      <c r="A21" s="5" t="s">
        <v>182</v>
      </c>
      <c r="B21" s="5" t="s">
        <v>183</v>
      </c>
      <c r="C21" s="5" t="s">
        <v>141</v>
      </c>
      <c r="D21" s="5" t="s">
        <v>142</v>
      </c>
      <c r="E21" s="5" t="s">
        <v>134</v>
      </c>
      <c r="F21" s="5" t="s">
        <v>131</v>
      </c>
      <c r="G21" s="5" t="s">
        <v>131</v>
      </c>
      <c r="H21" s="5" t="s">
        <v>131</v>
      </c>
      <c r="I21" s="5" t="s">
        <v>131</v>
      </c>
      <c r="J21" s="5" t="s">
        <v>184</v>
      </c>
      <c r="K21" s="5" t="s">
        <v>138</v>
      </c>
    </row>
    <row r="22" spans="1:11" x14ac:dyDescent="0.25">
      <c r="A22" s="5" t="s">
        <v>185</v>
      </c>
      <c r="B22" s="5" t="s">
        <v>186</v>
      </c>
      <c r="C22" s="5" t="s">
        <v>141</v>
      </c>
      <c r="D22" s="5" t="s">
        <v>142</v>
      </c>
      <c r="E22" s="5" t="s">
        <v>134</v>
      </c>
      <c r="F22" s="5" t="s">
        <v>131</v>
      </c>
      <c r="G22" s="5" t="s">
        <v>131</v>
      </c>
      <c r="H22" s="5" t="s">
        <v>131</v>
      </c>
      <c r="I22" s="5" t="s">
        <v>131</v>
      </c>
      <c r="J22" s="5" t="s">
        <v>187</v>
      </c>
      <c r="K22" s="5" t="s">
        <v>138</v>
      </c>
    </row>
    <row r="23" spans="1:11" x14ac:dyDescent="0.25">
      <c r="A23" s="5" t="s">
        <v>188</v>
      </c>
      <c r="B23" s="5" t="s">
        <v>189</v>
      </c>
      <c r="C23" s="5" t="s">
        <v>141</v>
      </c>
      <c r="D23" s="5" t="s">
        <v>142</v>
      </c>
      <c r="E23" s="5" t="s">
        <v>134</v>
      </c>
      <c r="F23" s="5" t="s">
        <v>131</v>
      </c>
      <c r="G23" s="5" t="s">
        <v>131</v>
      </c>
      <c r="H23" s="5" t="s">
        <v>131</v>
      </c>
      <c r="I23" s="5" t="s">
        <v>131</v>
      </c>
      <c r="J23" s="5" t="s">
        <v>137</v>
      </c>
      <c r="K23" s="5" t="s">
        <v>138</v>
      </c>
    </row>
    <row r="24" spans="1:11" x14ac:dyDescent="0.25">
      <c r="A24" s="5" t="s">
        <v>190</v>
      </c>
      <c r="B24" s="5" t="s">
        <v>191</v>
      </c>
      <c r="C24" s="5" t="s">
        <v>141</v>
      </c>
      <c r="D24" s="5" t="s">
        <v>142</v>
      </c>
      <c r="E24" s="5" t="s">
        <v>134</v>
      </c>
      <c r="F24" s="5" t="s">
        <v>131</v>
      </c>
      <c r="G24" s="5" t="s">
        <v>131</v>
      </c>
      <c r="H24" s="5" t="s">
        <v>131</v>
      </c>
      <c r="I24" s="5" t="s">
        <v>131</v>
      </c>
      <c r="J24" s="5" t="s">
        <v>143</v>
      </c>
      <c r="K24" s="5" t="s">
        <v>138</v>
      </c>
    </row>
    <row r="25" spans="1:11" x14ac:dyDescent="0.25">
      <c r="A25" s="5" t="s">
        <v>192</v>
      </c>
      <c r="B25" s="5" t="s">
        <v>193</v>
      </c>
      <c r="C25" s="5" t="s">
        <v>141</v>
      </c>
      <c r="D25" s="5" t="s">
        <v>142</v>
      </c>
      <c r="E25" s="5" t="s">
        <v>134</v>
      </c>
      <c r="F25" s="5" t="s">
        <v>131</v>
      </c>
      <c r="G25" s="5" t="s">
        <v>131</v>
      </c>
      <c r="H25" s="5" t="s">
        <v>131</v>
      </c>
      <c r="I25" s="5" t="s">
        <v>131</v>
      </c>
      <c r="J25" s="5" t="s">
        <v>137</v>
      </c>
      <c r="K25" s="5" t="s">
        <v>138</v>
      </c>
    </row>
    <row r="26" spans="1:11" x14ac:dyDescent="0.25">
      <c r="A26" s="5" t="s">
        <v>194</v>
      </c>
      <c r="B26" s="5" t="s">
        <v>195</v>
      </c>
      <c r="C26" s="5" t="s">
        <v>141</v>
      </c>
      <c r="D26" s="5" t="s">
        <v>142</v>
      </c>
      <c r="E26" s="5" t="s">
        <v>134</v>
      </c>
      <c r="F26" s="5" t="s">
        <v>131</v>
      </c>
      <c r="G26" s="5" t="s">
        <v>131</v>
      </c>
      <c r="H26" s="5" t="s">
        <v>131</v>
      </c>
      <c r="I26" s="5" t="s">
        <v>131</v>
      </c>
      <c r="J26" s="5" t="s">
        <v>143</v>
      </c>
      <c r="K26" s="5" t="s">
        <v>138</v>
      </c>
    </row>
    <row r="27" spans="1:11" x14ac:dyDescent="0.25">
      <c r="A27" s="5" t="s">
        <v>196</v>
      </c>
      <c r="B27" s="5" t="s">
        <v>197</v>
      </c>
      <c r="C27" s="5" t="s">
        <v>141</v>
      </c>
      <c r="D27" s="5" t="s">
        <v>142</v>
      </c>
      <c r="E27" s="5" t="s">
        <v>134</v>
      </c>
      <c r="F27" s="5" t="s">
        <v>131</v>
      </c>
      <c r="G27" s="5" t="s">
        <v>131</v>
      </c>
      <c r="H27" s="5" t="s">
        <v>131</v>
      </c>
      <c r="I27" s="5" t="s">
        <v>131</v>
      </c>
      <c r="J27" s="5" t="s">
        <v>137</v>
      </c>
      <c r="K27" s="5" t="s">
        <v>138</v>
      </c>
    </row>
    <row r="28" spans="1:11" x14ac:dyDescent="0.25">
      <c r="A28" s="5" t="s">
        <v>198</v>
      </c>
      <c r="B28" s="5" t="s">
        <v>199</v>
      </c>
      <c r="C28" s="5" t="s">
        <v>141</v>
      </c>
      <c r="D28" s="5" t="s">
        <v>142</v>
      </c>
      <c r="E28" s="5" t="s">
        <v>134</v>
      </c>
      <c r="F28" s="5" t="s">
        <v>131</v>
      </c>
      <c r="G28" s="5" t="s">
        <v>131</v>
      </c>
      <c r="H28" s="5" t="s">
        <v>131</v>
      </c>
      <c r="I28" s="5" t="s">
        <v>131</v>
      </c>
      <c r="J28" s="5" t="s">
        <v>137</v>
      </c>
      <c r="K28" s="5" t="s">
        <v>138</v>
      </c>
    </row>
    <row r="29" spans="1:11" x14ac:dyDescent="0.25">
      <c r="A29" s="5" t="s">
        <v>200</v>
      </c>
      <c r="B29" s="5" t="s">
        <v>201</v>
      </c>
      <c r="C29" s="5" t="s">
        <v>141</v>
      </c>
      <c r="D29" s="5" t="s">
        <v>142</v>
      </c>
      <c r="E29" s="5" t="s">
        <v>134</v>
      </c>
      <c r="F29" s="5" t="s">
        <v>131</v>
      </c>
      <c r="G29" s="5" t="s">
        <v>131</v>
      </c>
      <c r="H29" s="5" t="s">
        <v>131</v>
      </c>
      <c r="I29" s="5" t="s">
        <v>131</v>
      </c>
      <c r="J29" s="5" t="s">
        <v>143</v>
      </c>
      <c r="K29" s="5" t="s">
        <v>138</v>
      </c>
    </row>
    <row r="30" spans="1:11" x14ac:dyDescent="0.25">
      <c r="A30" s="5" t="s">
        <v>202</v>
      </c>
      <c r="B30" s="5" t="s">
        <v>203</v>
      </c>
      <c r="C30" s="5" t="s">
        <v>141</v>
      </c>
      <c r="D30" s="5" t="s">
        <v>142</v>
      </c>
      <c r="E30" s="5" t="s">
        <v>134</v>
      </c>
      <c r="F30" s="5" t="s">
        <v>131</v>
      </c>
      <c r="G30" s="5" t="s">
        <v>131</v>
      </c>
      <c r="H30" s="5" t="s">
        <v>131</v>
      </c>
      <c r="I30" s="5" t="s">
        <v>131</v>
      </c>
      <c r="J30" s="5" t="s">
        <v>143</v>
      </c>
      <c r="K30" s="5" t="s">
        <v>138</v>
      </c>
    </row>
    <row r="31" spans="1:11" x14ac:dyDescent="0.25">
      <c r="A31" s="5" t="s">
        <v>204</v>
      </c>
      <c r="B31" s="5" t="s">
        <v>205</v>
      </c>
      <c r="C31" s="5" t="s">
        <v>141</v>
      </c>
      <c r="D31" s="5" t="s">
        <v>142</v>
      </c>
      <c r="E31" s="5" t="s">
        <v>134</v>
      </c>
      <c r="F31" s="5" t="s">
        <v>131</v>
      </c>
      <c r="G31" s="5" t="s">
        <v>131</v>
      </c>
      <c r="H31" s="5" t="s">
        <v>131</v>
      </c>
      <c r="I31" s="5" t="s">
        <v>131</v>
      </c>
      <c r="J31" s="5" t="s">
        <v>143</v>
      </c>
      <c r="K31" s="5" t="s">
        <v>138</v>
      </c>
    </row>
    <row r="32" spans="1:11" x14ac:dyDescent="0.25">
      <c r="A32" s="5" t="s">
        <v>206</v>
      </c>
      <c r="B32" s="5" t="s">
        <v>207</v>
      </c>
      <c r="C32" s="5" t="s">
        <v>141</v>
      </c>
      <c r="D32" s="5" t="s">
        <v>142</v>
      </c>
      <c r="E32" s="5" t="s">
        <v>134</v>
      </c>
      <c r="F32" s="5" t="s">
        <v>131</v>
      </c>
      <c r="G32" s="5" t="s">
        <v>131</v>
      </c>
      <c r="H32" s="5" t="s">
        <v>131</v>
      </c>
      <c r="I32" s="5" t="s">
        <v>131</v>
      </c>
      <c r="J32" s="5" t="s">
        <v>143</v>
      </c>
      <c r="K32" s="5" t="s">
        <v>138</v>
      </c>
    </row>
    <row r="33" spans="1:11" x14ac:dyDescent="0.25">
      <c r="A33" s="5" t="s">
        <v>208</v>
      </c>
      <c r="B33" s="5" t="s">
        <v>209</v>
      </c>
      <c r="C33" s="5" t="s">
        <v>141</v>
      </c>
      <c r="D33" s="5" t="s">
        <v>142</v>
      </c>
      <c r="E33" s="5" t="s">
        <v>134</v>
      </c>
      <c r="F33" s="5" t="s">
        <v>131</v>
      </c>
      <c r="G33" s="5" t="s">
        <v>131</v>
      </c>
      <c r="H33" s="5" t="s">
        <v>131</v>
      </c>
      <c r="I33" s="5" t="s">
        <v>131</v>
      </c>
      <c r="J33" s="5" t="s">
        <v>143</v>
      </c>
      <c r="K33" s="5" t="s">
        <v>138</v>
      </c>
    </row>
    <row r="34" spans="1:11" x14ac:dyDescent="0.25">
      <c r="A34" s="5" t="s">
        <v>210</v>
      </c>
      <c r="B34" s="5" t="s">
        <v>211</v>
      </c>
      <c r="C34" s="5" t="s">
        <v>141</v>
      </c>
      <c r="D34" s="5" t="s">
        <v>142</v>
      </c>
      <c r="E34" s="5" t="s">
        <v>134</v>
      </c>
      <c r="F34" s="5" t="s">
        <v>131</v>
      </c>
      <c r="G34" s="5" t="s">
        <v>131</v>
      </c>
      <c r="H34" s="5" t="s">
        <v>131</v>
      </c>
      <c r="I34" s="5" t="s">
        <v>131</v>
      </c>
      <c r="J34" s="5" t="s">
        <v>146</v>
      </c>
      <c r="K34" s="5" t="s">
        <v>138</v>
      </c>
    </row>
    <row r="35" spans="1:11" x14ac:dyDescent="0.25">
      <c r="A35" s="5" t="s">
        <v>212</v>
      </c>
      <c r="B35" s="5" t="s">
        <v>213</v>
      </c>
      <c r="C35" s="5" t="s">
        <v>141</v>
      </c>
      <c r="D35" s="5" t="s">
        <v>142</v>
      </c>
      <c r="E35" s="5" t="s">
        <v>134</v>
      </c>
      <c r="F35" s="5" t="s">
        <v>131</v>
      </c>
      <c r="G35" s="5" t="s">
        <v>131</v>
      </c>
      <c r="H35" s="5" t="s">
        <v>131</v>
      </c>
      <c r="I35" s="5" t="s">
        <v>131</v>
      </c>
      <c r="J35" s="5" t="s">
        <v>153</v>
      </c>
      <c r="K35" s="5" t="s">
        <v>138</v>
      </c>
    </row>
    <row r="36" spans="1:11" x14ac:dyDescent="0.25">
      <c r="A36" s="5" t="s">
        <v>214</v>
      </c>
      <c r="B36" s="5" t="s">
        <v>215</v>
      </c>
      <c r="C36" s="5" t="s">
        <v>141</v>
      </c>
      <c r="D36" s="5" t="s">
        <v>216</v>
      </c>
      <c r="E36" s="5" t="s">
        <v>134</v>
      </c>
      <c r="F36" s="5" t="s">
        <v>131</v>
      </c>
      <c r="G36" s="5" t="s">
        <v>131</v>
      </c>
      <c r="H36" s="5" t="s">
        <v>131</v>
      </c>
      <c r="I36" s="5" t="s">
        <v>131</v>
      </c>
      <c r="J36" s="5" t="s">
        <v>217</v>
      </c>
      <c r="K36" s="5" t="s">
        <v>138</v>
      </c>
    </row>
    <row r="37" spans="1:11" x14ac:dyDescent="0.25">
      <c r="A37" s="5" t="s">
        <v>218</v>
      </c>
      <c r="B37" s="5" t="s">
        <v>219</v>
      </c>
      <c r="C37" s="5" t="s">
        <v>141</v>
      </c>
      <c r="D37" s="5" t="s">
        <v>142</v>
      </c>
      <c r="E37" s="5" t="s">
        <v>134</v>
      </c>
      <c r="F37" s="5" t="s">
        <v>131</v>
      </c>
      <c r="G37" s="5" t="s">
        <v>131</v>
      </c>
      <c r="H37" s="5" t="s">
        <v>131</v>
      </c>
      <c r="I37" s="5" t="s">
        <v>131</v>
      </c>
      <c r="J37" s="5" t="s">
        <v>220</v>
      </c>
      <c r="K37" s="5" t="s">
        <v>138</v>
      </c>
    </row>
    <row r="38" spans="1:11" x14ac:dyDescent="0.25">
      <c r="A38" s="5" t="s">
        <v>221</v>
      </c>
      <c r="B38" s="5" t="s">
        <v>222</v>
      </c>
      <c r="C38" s="5" t="s">
        <v>141</v>
      </c>
      <c r="D38" s="5" t="s">
        <v>142</v>
      </c>
      <c r="E38" s="5" t="s">
        <v>134</v>
      </c>
      <c r="F38" s="5" t="s">
        <v>131</v>
      </c>
      <c r="G38" s="5" t="s">
        <v>131</v>
      </c>
      <c r="H38" s="5" t="s">
        <v>131</v>
      </c>
      <c r="I38" s="5" t="s">
        <v>131</v>
      </c>
      <c r="J38" s="5" t="s">
        <v>223</v>
      </c>
      <c r="K38" s="5" t="s">
        <v>138</v>
      </c>
    </row>
    <row r="39" spans="1:11" x14ac:dyDescent="0.25">
      <c r="A39" s="5" t="s">
        <v>224</v>
      </c>
      <c r="B39" s="5" t="s">
        <v>225</v>
      </c>
      <c r="C39" s="5" t="s">
        <v>226</v>
      </c>
      <c r="D39" s="5" t="s">
        <v>227</v>
      </c>
      <c r="E39" s="5" t="s">
        <v>134</v>
      </c>
      <c r="F39" s="5" t="s">
        <v>131</v>
      </c>
      <c r="G39" s="5" t="s">
        <v>131</v>
      </c>
      <c r="H39" s="5" t="s">
        <v>131</v>
      </c>
      <c r="I39" s="5" t="s">
        <v>131</v>
      </c>
      <c r="J39" s="5" t="s">
        <v>228</v>
      </c>
      <c r="K39" s="5" t="s">
        <v>138</v>
      </c>
    </row>
    <row r="40" spans="1:11" x14ac:dyDescent="0.25">
      <c r="A40" s="5" t="s">
        <v>229</v>
      </c>
      <c r="B40" s="5" t="s">
        <v>230</v>
      </c>
      <c r="C40" s="5" t="s">
        <v>231</v>
      </c>
      <c r="D40" s="5" t="s">
        <v>232</v>
      </c>
      <c r="E40" s="5" t="s">
        <v>134</v>
      </c>
      <c r="F40" s="5" t="s">
        <v>131</v>
      </c>
      <c r="G40" s="5" t="s">
        <v>131</v>
      </c>
      <c r="H40" s="5" t="s">
        <v>131</v>
      </c>
      <c r="I40" s="5" t="s">
        <v>131</v>
      </c>
      <c r="J40" s="5" t="s">
        <v>228</v>
      </c>
      <c r="K40" s="5" t="s">
        <v>138</v>
      </c>
    </row>
    <row r="41" spans="1:11" x14ac:dyDescent="0.25">
      <c r="A41" s="5" t="s">
        <v>233</v>
      </c>
      <c r="B41" s="5" t="s">
        <v>234</v>
      </c>
      <c r="C41" s="5" t="s">
        <v>235</v>
      </c>
      <c r="D41" s="5" t="s">
        <v>236</v>
      </c>
      <c r="E41" s="5" t="s">
        <v>134</v>
      </c>
      <c r="F41" s="5" t="s">
        <v>131</v>
      </c>
      <c r="G41" s="5" t="s">
        <v>131</v>
      </c>
      <c r="H41" s="5" t="s">
        <v>131</v>
      </c>
      <c r="I41" s="5" t="s">
        <v>131</v>
      </c>
      <c r="J41" s="5" t="s">
        <v>217</v>
      </c>
      <c r="K41" s="5" t="s">
        <v>138</v>
      </c>
    </row>
    <row r="42" spans="1:11" x14ac:dyDescent="0.25">
      <c r="A42" s="5" t="s">
        <v>237</v>
      </c>
      <c r="B42" s="5" t="s">
        <v>238</v>
      </c>
      <c r="C42" s="5" t="s">
        <v>235</v>
      </c>
      <c r="D42" s="5" t="s">
        <v>236</v>
      </c>
      <c r="E42" s="5" t="s">
        <v>134</v>
      </c>
      <c r="F42" s="5" t="s">
        <v>131</v>
      </c>
      <c r="G42" s="5" t="s">
        <v>131</v>
      </c>
      <c r="H42" s="5" t="s">
        <v>131</v>
      </c>
      <c r="I42" s="5" t="s">
        <v>131</v>
      </c>
      <c r="J42" s="5" t="s">
        <v>217</v>
      </c>
      <c r="K42" s="5" t="s">
        <v>138</v>
      </c>
    </row>
    <row r="43" spans="1:11" x14ac:dyDescent="0.25">
      <c r="A43" s="5" t="s">
        <v>239</v>
      </c>
      <c r="B43" s="5" t="s">
        <v>240</v>
      </c>
      <c r="C43" s="5" t="s">
        <v>241</v>
      </c>
      <c r="D43" s="5" t="s">
        <v>242</v>
      </c>
      <c r="E43" s="5" t="s">
        <v>134</v>
      </c>
      <c r="F43" s="5" t="s">
        <v>131</v>
      </c>
      <c r="G43" s="5" t="s">
        <v>131</v>
      </c>
      <c r="H43" s="5" t="s">
        <v>131</v>
      </c>
      <c r="I43" s="5" t="s">
        <v>131</v>
      </c>
      <c r="J43" s="5" t="s">
        <v>243</v>
      </c>
      <c r="K43" s="5" t="s">
        <v>244</v>
      </c>
    </row>
    <row r="44" spans="1:11" x14ac:dyDescent="0.25">
      <c r="A44" s="5" t="s">
        <v>245</v>
      </c>
      <c r="B44" s="5" t="s">
        <v>246</v>
      </c>
      <c r="C44" s="5" t="s">
        <v>247</v>
      </c>
      <c r="D44" s="5" t="s">
        <v>248</v>
      </c>
      <c r="E44" s="5" t="s">
        <v>134</v>
      </c>
      <c r="F44" s="5" t="s">
        <v>131</v>
      </c>
      <c r="G44" s="5" t="s">
        <v>131</v>
      </c>
      <c r="H44" s="5" t="s">
        <v>131</v>
      </c>
      <c r="I44" s="5" t="s">
        <v>131</v>
      </c>
      <c r="J44" s="5" t="s">
        <v>217</v>
      </c>
      <c r="K44" s="5" t="s">
        <v>244</v>
      </c>
    </row>
    <row r="45" spans="1:11" x14ac:dyDescent="0.25">
      <c r="A45" s="5" t="s">
        <v>249</v>
      </c>
      <c r="B45" s="5" t="s">
        <v>250</v>
      </c>
      <c r="C45" s="5" t="s">
        <v>141</v>
      </c>
      <c r="D45" s="5" t="s">
        <v>142</v>
      </c>
      <c r="E45" s="5" t="s">
        <v>134</v>
      </c>
      <c r="F45" s="5" t="s">
        <v>131</v>
      </c>
      <c r="G45" s="5" t="s">
        <v>131</v>
      </c>
      <c r="H45" s="5" t="s">
        <v>131</v>
      </c>
      <c r="I45" s="5" t="s">
        <v>131</v>
      </c>
      <c r="J45" s="5" t="s">
        <v>184</v>
      </c>
      <c r="K45" s="5" t="s">
        <v>138</v>
      </c>
    </row>
    <row r="46" spans="1:11" x14ac:dyDescent="0.25">
      <c r="A46" s="5" t="s">
        <v>251</v>
      </c>
      <c r="B46" s="5" t="s">
        <v>252</v>
      </c>
      <c r="C46" s="5" t="s">
        <v>141</v>
      </c>
      <c r="D46" s="5" t="s">
        <v>142</v>
      </c>
      <c r="E46" s="5" t="s">
        <v>134</v>
      </c>
      <c r="F46" s="5" t="s">
        <v>131</v>
      </c>
      <c r="G46" s="5" t="s">
        <v>131</v>
      </c>
      <c r="H46" s="5" t="s">
        <v>131</v>
      </c>
      <c r="I46" s="5" t="s">
        <v>131</v>
      </c>
      <c r="J46" s="5" t="s">
        <v>253</v>
      </c>
      <c r="K46" s="5" t="s">
        <v>138</v>
      </c>
    </row>
    <row r="47" spans="1:11" x14ac:dyDescent="0.25">
      <c r="A47" s="5" t="s">
        <v>254</v>
      </c>
      <c r="B47" s="5" t="s">
        <v>255</v>
      </c>
      <c r="C47" s="5" t="s">
        <v>241</v>
      </c>
      <c r="D47" s="5" t="s">
        <v>242</v>
      </c>
      <c r="E47" s="5" t="s">
        <v>134</v>
      </c>
      <c r="F47" s="5" t="s">
        <v>131</v>
      </c>
      <c r="G47" s="5" t="s">
        <v>131</v>
      </c>
      <c r="H47" s="5" t="s">
        <v>131</v>
      </c>
      <c r="I47" s="5" t="s">
        <v>131</v>
      </c>
      <c r="J47" s="5" t="s">
        <v>243</v>
      </c>
      <c r="K47" s="5" t="s">
        <v>138</v>
      </c>
    </row>
    <row r="48" spans="1:11" x14ac:dyDescent="0.25">
      <c r="A48" s="5" t="s">
        <v>256</v>
      </c>
      <c r="B48" s="5" t="s">
        <v>257</v>
      </c>
      <c r="C48" s="5" t="s">
        <v>258</v>
      </c>
      <c r="D48" s="5" t="s">
        <v>259</v>
      </c>
      <c r="E48" s="5" t="s">
        <v>134</v>
      </c>
      <c r="F48" s="5" t="s">
        <v>131</v>
      </c>
      <c r="G48" s="5" t="s">
        <v>131</v>
      </c>
      <c r="H48" s="5" t="s">
        <v>131</v>
      </c>
      <c r="I48" s="5" t="s">
        <v>131</v>
      </c>
      <c r="J48" s="5" t="s">
        <v>217</v>
      </c>
      <c r="K48" s="5" t="s">
        <v>138</v>
      </c>
    </row>
    <row r="49" spans="1:11" x14ac:dyDescent="0.25">
      <c r="A49" s="5" t="s">
        <v>260</v>
      </c>
      <c r="B49" s="5" t="s">
        <v>261</v>
      </c>
      <c r="C49" s="5" t="s">
        <v>235</v>
      </c>
      <c r="D49" s="5" t="s">
        <v>236</v>
      </c>
      <c r="E49" s="5" t="s">
        <v>134</v>
      </c>
      <c r="F49" s="5" t="s">
        <v>131</v>
      </c>
      <c r="G49" s="5" t="s">
        <v>131</v>
      </c>
      <c r="H49" s="5" t="s">
        <v>131</v>
      </c>
      <c r="I49" s="5" t="s">
        <v>131</v>
      </c>
      <c r="J49" s="5" t="s">
        <v>217</v>
      </c>
      <c r="K49" s="5" t="s">
        <v>138</v>
      </c>
    </row>
    <row r="50" spans="1:11" x14ac:dyDescent="0.25">
      <c r="A50" s="5" t="s">
        <v>262</v>
      </c>
      <c r="B50" s="5" t="s">
        <v>263</v>
      </c>
      <c r="C50" s="5" t="s">
        <v>141</v>
      </c>
      <c r="D50" s="5" t="s">
        <v>142</v>
      </c>
      <c r="E50" s="5" t="s">
        <v>134</v>
      </c>
      <c r="F50" s="5" t="s">
        <v>131</v>
      </c>
      <c r="G50" s="5" t="s">
        <v>131</v>
      </c>
      <c r="H50" s="5" t="s">
        <v>131</v>
      </c>
      <c r="I50" s="5" t="s">
        <v>131</v>
      </c>
      <c r="J50" s="5" t="s">
        <v>143</v>
      </c>
      <c r="K50" s="5" t="s">
        <v>138</v>
      </c>
    </row>
    <row r="51" spans="1:11" x14ac:dyDescent="0.25">
      <c r="A51" s="5" t="s">
        <v>264</v>
      </c>
      <c r="B51" s="5" t="s">
        <v>265</v>
      </c>
      <c r="C51" s="5" t="s">
        <v>141</v>
      </c>
      <c r="D51" s="5" t="s">
        <v>142</v>
      </c>
      <c r="E51" s="5" t="s">
        <v>134</v>
      </c>
      <c r="F51" s="5" t="s">
        <v>131</v>
      </c>
      <c r="G51" s="5" t="s">
        <v>131</v>
      </c>
      <c r="H51" s="5" t="s">
        <v>131</v>
      </c>
      <c r="I51" s="5" t="s">
        <v>131</v>
      </c>
      <c r="J51" s="5" t="s">
        <v>143</v>
      </c>
      <c r="K51" s="5" t="s">
        <v>138</v>
      </c>
    </row>
    <row r="52" spans="1:11" x14ac:dyDescent="0.25">
      <c r="A52" s="5" t="s">
        <v>266</v>
      </c>
      <c r="B52" s="5" t="s">
        <v>267</v>
      </c>
      <c r="C52" s="5" t="s">
        <v>141</v>
      </c>
      <c r="D52" s="5" t="s">
        <v>142</v>
      </c>
      <c r="E52" s="5" t="s">
        <v>134</v>
      </c>
      <c r="F52" s="5" t="s">
        <v>131</v>
      </c>
      <c r="G52" s="5" t="s">
        <v>131</v>
      </c>
      <c r="H52" s="5" t="s">
        <v>131</v>
      </c>
      <c r="I52" s="5" t="s">
        <v>131</v>
      </c>
      <c r="J52" s="5" t="s">
        <v>143</v>
      </c>
      <c r="K52" s="5" t="s">
        <v>138</v>
      </c>
    </row>
    <row r="53" spans="1:11" x14ac:dyDescent="0.25">
      <c r="A53" s="5" t="s">
        <v>268</v>
      </c>
      <c r="B53" s="5" t="s">
        <v>269</v>
      </c>
      <c r="C53" s="5" t="s">
        <v>141</v>
      </c>
      <c r="D53" s="5" t="s">
        <v>142</v>
      </c>
      <c r="E53" s="5" t="s">
        <v>134</v>
      </c>
      <c r="F53" s="5" t="s">
        <v>131</v>
      </c>
      <c r="G53" s="5" t="s">
        <v>131</v>
      </c>
      <c r="H53" s="5" t="s">
        <v>131</v>
      </c>
      <c r="I53" s="5" t="s">
        <v>131</v>
      </c>
      <c r="J53" s="5" t="s">
        <v>143</v>
      </c>
      <c r="K53" s="5" t="s">
        <v>138</v>
      </c>
    </row>
    <row r="54" spans="1:11" x14ac:dyDescent="0.25">
      <c r="A54" s="5" t="s">
        <v>270</v>
      </c>
      <c r="B54" s="5" t="s">
        <v>271</v>
      </c>
      <c r="C54" s="5" t="s">
        <v>141</v>
      </c>
      <c r="D54" s="5" t="s">
        <v>142</v>
      </c>
      <c r="E54" s="5" t="s">
        <v>134</v>
      </c>
      <c r="F54" s="5" t="s">
        <v>131</v>
      </c>
      <c r="G54" s="5" t="s">
        <v>131</v>
      </c>
      <c r="H54" s="5" t="s">
        <v>131</v>
      </c>
      <c r="I54" s="5" t="s">
        <v>131</v>
      </c>
      <c r="J54" s="5" t="s">
        <v>146</v>
      </c>
      <c r="K54" s="5" t="s">
        <v>138</v>
      </c>
    </row>
    <row r="55" spans="1:11" x14ac:dyDescent="0.25">
      <c r="A55" s="5" t="s">
        <v>272</v>
      </c>
      <c r="B55" s="5" t="s">
        <v>273</v>
      </c>
      <c r="C55" s="5" t="s">
        <v>141</v>
      </c>
      <c r="D55" s="5" t="s">
        <v>142</v>
      </c>
      <c r="E55" s="5" t="s">
        <v>134</v>
      </c>
      <c r="F55" s="5" t="s">
        <v>131</v>
      </c>
      <c r="G55" s="5" t="s">
        <v>131</v>
      </c>
      <c r="H55" s="5" t="s">
        <v>131</v>
      </c>
      <c r="I55" s="5" t="s">
        <v>131</v>
      </c>
      <c r="J55" s="5" t="s">
        <v>146</v>
      </c>
      <c r="K55" s="5" t="s">
        <v>274</v>
      </c>
    </row>
    <row r="56" spans="1:11" x14ac:dyDescent="0.25">
      <c r="A56" s="5" t="s">
        <v>275</v>
      </c>
      <c r="B56" s="5" t="s">
        <v>276</v>
      </c>
      <c r="C56" s="5" t="s">
        <v>141</v>
      </c>
      <c r="D56" s="5" t="s">
        <v>142</v>
      </c>
      <c r="E56" s="5" t="s">
        <v>134</v>
      </c>
      <c r="F56" s="5" t="s">
        <v>131</v>
      </c>
      <c r="G56" s="5" t="s">
        <v>131</v>
      </c>
      <c r="H56" s="5" t="s">
        <v>131</v>
      </c>
      <c r="I56" s="5" t="s">
        <v>131</v>
      </c>
      <c r="J56" s="5" t="s">
        <v>143</v>
      </c>
      <c r="K56" s="5" t="s">
        <v>138</v>
      </c>
    </row>
    <row r="57" spans="1:11" x14ac:dyDescent="0.25">
      <c r="A57" s="5" t="s">
        <v>277</v>
      </c>
      <c r="B57" s="5" t="s">
        <v>278</v>
      </c>
      <c r="C57" s="5" t="s">
        <v>141</v>
      </c>
      <c r="D57" s="5" t="s">
        <v>142</v>
      </c>
      <c r="E57" s="5" t="s">
        <v>134</v>
      </c>
      <c r="F57" s="5" t="s">
        <v>131</v>
      </c>
      <c r="G57" s="5" t="s">
        <v>131</v>
      </c>
      <c r="H57" s="5" t="s">
        <v>131</v>
      </c>
      <c r="I57" s="5" t="s">
        <v>131</v>
      </c>
      <c r="J57" s="5" t="s">
        <v>143</v>
      </c>
      <c r="K57" s="5" t="s">
        <v>244</v>
      </c>
    </row>
    <row r="58" spans="1:11" x14ac:dyDescent="0.25">
      <c r="A58" s="5" t="s">
        <v>279</v>
      </c>
      <c r="B58" s="5" t="s">
        <v>280</v>
      </c>
      <c r="C58" s="5" t="s">
        <v>141</v>
      </c>
      <c r="D58" s="5" t="s">
        <v>142</v>
      </c>
      <c r="E58" s="5" t="s">
        <v>134</v>
      </c>
      <c r="F58" s="5" t="s">
        <v>131</v>
      </c>
      <c r="G58" s="5" t="s">
        <v>131</v>
      </c>
      <c r="H58" s="5" t="s">
        <v>131</v>
      </c>
      <c r="I58" s="5" t="s">
        <v>131</v>
      </c>
      <c r="J58" s="5" t="s">
        <v>146</v>
      </c>
      <c r="K58" s="5" t="s">
        <v>138</v>
      </c>
    </row>
    <row r="59" spans="1:11" x14ac:dyDescent="0.25">
      <c r="A59" s="5" t="s">
        <v>281</v>
      </c>
      <c r="B59" s="5" t="s">
        <v>282</v>
      </c>
      <c r="C59" s="5" t="s">
        <v>141</v>
      </c>
      <c r="D59" s="5" t="s">
        <v>142</v>
      </c>
      <c r="E59" s="5" t="s">
        <v>134</v>
      </c>
      <c r="F59" s="5" t="s">
        <v>131</v>
      </c>
      <c r="G59" s="5" t="s">
        <v>131</v>
      </c>
      <c r="H59" s="5" t="s">
        <v>131</v>
      </c>
      <c r="I59" s="5" t="s">
        <v>131</v>
      </c>
      <c r="J59" s="5" t="s">
        <v>283</v>
      </c>
      <c r="K59" s="5" t="s">
        <v>138</v>
      </c>
    </row>
    <row r="60" spans="1:11" x14ac:dyDescent="0.25">
      <c r="A60" s="5" t="s">
        <v>284</v>
      </c>
      <c r="B60" s="5" t="s">
        <v>285</v>
      </c>
      <c r="C60" s="5" t="s">
        <v>141</v>
      </c>
      <c r="D60" s="5" t="s">
        <v>142</v>
      </c>
      <c r="E60" s="5" t="s">
        <v>134</v>
      </c>
      <c r="F60" s="5" t="s">
        <v>131</v>
      </c>
      <c r="G60" s="5" t="s">
        <v>131</v>
      </c>
      <c r="H60" s="5" t="s">
        <v>131</v>
      </c>
      <c r="I60" s="5" t="s">
        <v>131</v>
      </c>
      <c r="J60" s="5" t="s">
        <v>286</v>
      </c>
      <c r="K60" s="5" t="s">
        <v>244</v>
      </c>
    </row>
    <row r="61" spans="1:11" x14ac:dyDescent="0.25">
      <c r="A61" s="5" t="s">
        <v>287</v>
      </c>
      <c r="B61" s="5" t="s">
        <v>288</v>
      </c>
      <c r="C61" s="5" t="s">
        <v>141</v>
      </c>
      <c r="D61" s="5" t="s">
        <v>142</v>
      </c>
      <c r="E61" s="5" t="s">
        <v>134</v>
      </c>
      <c r="F61" s="5" t="s">
        <v>131</v>
      </c>
      <c r="G61" s="5" t="s">
        <v>131</v>
      </c>
      <c r="H61" s="5" t="s">
        <v>131</v>
      </c>
      <c r="I61" s="5" t="s">
        <v>131</v>
      </c>
      <c r="J61" s="5" t="s">
        <v>289</v>
      </c>
      <c r="K61" s="5" t="s">
        <v>138</v>
      </c>
    </row>
    <row r="62" spans="1:11" x14ac:dyDescent="0.25">
      <c r="A62" s="5" t="s">
        <v>290</v>
      </c>
      <c r="B62" s="5" t="s">
        <v>291</v>
      </c>
      <c r="C62" s="5" t="s">
        <v>141</v>
      </c>
      <c r="D62" s="5" t="s">
        <v>142</v>
      </c>
      <c r="E62" s="5" t="s">
        <v>134</v>
      </c>
      <c r="F62" s="5" t="s">
        <v>131</v>
      </c>
      <c r="G62" s="5" t="s">
        <v>131</v>
      </c>
      <c r="H62" s="5" t="s">
        <v>131</v>
      </c>
      <c r="I62" s="5" t="s">
        <v>131</v>
      </c>
      <c r="J62" s="5" t="s">
        <v>292</v>
      </c>
      <c r="K62" s="5" t="s">
        <v>138</v>
      </c>
    </row>
    <row r="63" spans="1:11" x14ac:dyDescent="0.25">
      <c r="A63" s="5" t="s">
        <v>293</v>
      </c>
      <c r="B63" s="5" t="s">
        <v>294</v>
      </c>
      <c r="C63" s="5" t="s">
        <v>141</v>
      </c>
      <c r="D63" s="5" t="s">
        <v>142</v>
      </c>
      <c r="E63" s="5" t="s">
        <v>134</v>
      </c>
      <c r="F63" s="5" t="s">
        <v>131</v>
      </c>
      <c r="G63" s="5" t="s">
        <v>131</v>
      </c>
      <c r="H63" s="5" t="s">
        <v>131</v>
      </c>
      <c r="I63" s="5" t="s">
        <v>131</v>
      </c>
      <c r="J63" s="5" t="s">
        <v>137</v>
      </c>
      <c r="K63" s="5" t="s">
        <v>138</v>
      </c>
    </row>
    <row r="64" spans="1:11" x14ac:dyDescent="0.25">
      <c r="A64" s="5" t="s">
        <v>295</v>
      </c>
      <c r="B64" s="5" t="s">
        <v>296</v>
      </c>
      <c r="C64" s="5" t="s">
        <v>141</v>
      </c>
      <c r="D64" s="5" t="s">
        <v>142</v>
      </c>
      <c r="E64" s="5" t="s">
        <v>134</v>
      </c>
      <c r="F64" s="5" t="s">
        <v>131</v>
      </c>
      <c r="G64" s="5" t="s">
        <v>131</v>
      </c>
      <c r="H64" s="5" t="s">
        <v>131</v>
      </c>
      <c r="I64" s="5" t="s">
        <v>131</v>
      </c>
      <c r="J64" s="5" t="s">
        <v>143</v>
      </c>
      <c r="K64" s="5" t="s">
        <v>138</v>
      </c>
    </row>
    <row r="65" spans="1:11" x14ac:dyDescent="0.25">
      <c r="A65" s="5" t="s">
        <v>297</v>
      </c>
      <c r="B65" s="5" t="s">
        <v>298</v>
      </c>
      <c r="C65" s="5" t="s">
        <v>141</v>
      </c>
      <c r="D65" s="5" t="s">
        <v>142</v>
      </c>
      <c r="E65" s="5" t="s">
        <v>134</v>
      </c>
      <c r="F65" s="5" t="s">
        <v>131</v>
      </c>
      <c r="G65" s="5" t="s">
        <v>131</v>
      </c>
      <c r="H65" s="5" t="s">
        <v>131</v>
      </c>
      <c r="I65" s="5" t="s">
        <v>131</v>
      </c>
      <c r="J65" s="5" t="s">
        <v>143</v>
      </c>
      <c r="K65" s="5" t="s">
        <v>138</v>
      </c>
    </row>
    <row r="66" spans="1:11" x14ac:dyDescent="0.25">
      <c r="A66" s="5" t="s">
        <v>299</v>
      </c>
      <c r="B66" s="5" t="s">
        <v>300</v>
      </c>
      <c r="C66" s="5" t="s">
        <v>141</v>
      </c>
      <c r="D66" s="5" t="s">
        <v>142</v>
      </c>
      <c r="E66" s="5" t="s">
        <v>134</v>
      </c>
      <c r="F66" s="5" t="s">
        <v>131</v>
      </c>
      <c r="G66" s="5" t="s">
        <v>131</v>
      </c>
      <c r="H66" s="5" t="s">
        <v>131</v>
      </c>
      <c r="I66" s="5" t="s">
        <v>131</v>
      </c>
      <c r="J66" s="5" t="s">
        <v>143</v>
      </c>
      <c r="K66" s="5" t="s">
        <v>244</v>
      </c>
    </row>
    <row r="67" spans="1:11" x14ac:dyDescent="0.25">
      <c r="A67" s="5" t="s">
        <v>301</v>
      </c>
      <c r="B67" s="5" t="s">
        <v>302</v>
      </c>
      <c r="C67" s="5" t="s">
        <v>141</v>
      </c>
      <c r="D67" s="5" t="s">
        <v>142</v>
      </c>
      <c r="E67" s="5" t="s">
        <v>134</v>
      </c>
      <c r="F67" s="5" t="s">
        <v>131</v>
      </c>
      <c r="G67" s="5" t="s">
        <v>131</v>
      </c>
      <c r="H67" s="5" t="s">
        <v>131</v>
      </c>
      <c r="I67" s="5" t="s">
        <v>131</v>
      </c>
      <c r="J67" s="5" t="s">
        <v>143</v>
      </c>
      <c r="K67" s="5" t="s">
        <v>138</v>
      </c>
    </row>
    <row r="68" spans="1:11" x14ac:dyDescent="0.25">
      <c r="A68" s="5" t="s">
        <v>241</v>
      </c>
      <c r="B68" s="5" t="s">
        <v>303</v>
      </c>
      <c r="C68" s="5" t="s">
        <v>141</v>
      </c>
      <c r="D68" s="5" t="s">
        <v>142</v>
      </c>
      <c r="E68" s="5" t="s">
        <v>134</v>
      </c>
      <c r="F68" s="5" t="s">
        <v>131</v>
      </c>
      <c r="G68" s="5" t="s">
        <v>131</v>
      </c>
      <c r="H68" s="5" t="s">
        <v>131</v>
      </c>
      <c r="I68" s="5" t="s">
        <v>131</v>
      </c>
      <c r="J68" s="5" t="s">
        <v>137</v>
      </c>
      <c r="K68" s="5" t="s">
        <v>138</v>
      </c>
    </row>
    <row r="69" spans="1:11" x14ac:dyDescent="0.25">
      <c r="A69" s="5" t="s">
        <v>226</v>
      </c>
      <c r="B69" s="5" t="s">
        <v>304</v>
      </c>
      <c r="C69" s="5" t="s">
        <v>141</v>
      </c>
      <c r="D69" s="5" t="s">
        <v>142</v>
      </c>
      <c r="E69" s="5" t="s">
        <v>134</v>
      </c>
      <c r="F69" s="5" t="s">
        <v>131</v>
      </c>
      <c r="G69" s="5" t="s">
        <v>131</v>
      </c>
      <c r="H69" s="5" t="s">
        <v>131</v>
      </c>
      <c r="I69" s="5" t="s">
        <v>131</v>
      </c>
      <c r="J69" s="5" t="s">
        <v>292</v>
      </c>
      <c r="K69" s="5" t="s">
        <v>138</v>
      </c>
    </row>
    <row r="70" spans="1:11" x14ac:dyDescent="0.25">
      <c r="A70" s="5" t="s">
        <v>305</v>
      </c>
      <c r="B70" s="5" t="s">
        <v>306</v>
      </c>
      <c r="C70" s="5" t="s">
        <v>141</v>
      </c>
      <c r="D70" s="5" t="s">
        <v>142</v>
      </c>
      <c r="E70" s="5" t="s">
        <v>134</v>
      </c>
      <c r="F70" s="5" t="s">
        <v>131</v>
      </c>
      <c r="G70" s="5" t="s">
        <v>131</v>
      </c>
      <c r="H70" s="5" t="s">
        <v>131</v>
      </c>
      <c r="I70" s="5" t="s">
        <v>131</v>
      </c>
      <c r="J70" s="5" t="s">
        <v>137</v>
      </c>
      <c r="K70" s="5" t="s">
        <v>138</v>
      </c>
    </row>
    <row r="71" spans="1:11" x14ac:dyDescent="0.25">
      <c r="A71" s="5" t="s">
        <v>307</v>
      </c>
      <c r="B71" s="5" t="s">
        <v>308</v>
      </c>
      <c r="C71" s="5" t="s">
        <v>141</v>
      </c>
      <c r="D71" s="5" t="s">
        <v>142</v>
      </c>
      <c r="E71" s="5" t="s">
        <v>134</v>
      </c>
      <c r="F71" s="5" t="s">
        <v>131</v>
      </c>
      <c r="G71" s="5" t="s">
        <v>131</v>
      </c>
      <c r="H71" s="5" t="s">
        <v>131</v>
      </c>
      <c r="I71" s="5" t="s">
        <v>131</v>
      </c>
      <c r="J71" s="5" t="s">
        <v>173</v>
      </c>
      <c r="K71" s="5" t="s">
        <v>138</v>
      </c>
    </row>
    <row r="72" spans="1:11" x14ac:dyDescent="0.25">
      <c r="A72" s="5" t="s">
        <v>309</v>
      </c>
      <c r="B72" s="5" t="s">
        <v>310</v>
      </c>
      <c r="C72" s="5" t="s">
        <v>141</v>
      </c>
      <c r="D72" s="5" t="s">
        <v>142</v>
      </c>
      <c r="E72" s="5" t="s">
        <v>134</v>
      </c>
      <c r="F72" s="5" t="s">
        <v>131</v>
      </c>
      <c r="G72" s="5" t="s">
        <v>131</v>
      </c>
      <c r="H72" s="5" t="s">
        <v>131</v>
      </c>
      <c r="I72" s="5" t="s">
        <v>131</v>
      </c>
      <c r="J72" s="5" t="s">
        <v>311</v>
      </c>
      <c r="K72" s="5" t="s">
        <v>138</v>
      </c>
    </row>
    <row r="73" spans="1:11" x14ac:dyDescent="0.25">
      <c r="A73" s="5" t="s">
        <v>312</v>
      </c>
      <c r="B73" s="5" t="s">
        <v>313</v>
      </c>
      <c r="C73" s="5" t="s">
        <v>141</v>
      </c>
      <c r="D73" s="5" t="s">
        <v>142</v>
      </c>
      <c r="E73" s="5" t="s">
        <v>134</v>
      </c>
      <c r="F73" s="5" t="s">
        <v>131</v>
      </c>
      <c r="G73" s="5" t="s">
        <v>131</v>
      </c>
      <c r="H73" s="5" t="s">
        <v>131</v>
      </c>
      <c r="I73" s="5" t="s">
        <v>131</v>
      </c>
      <c r="J73" s="5" t="s">
        <v>143</v>
      </c>
      <c r="K73" s="5" t="s">
        <v>244</v>
      </c>
    </row>
    <row r="74" spans="1:11" x14ac:dyDescent="0.25">
      <c r="A74" s="5" t="s">
        <v>314</v>
      </c>
      <c r="B74" s="5" t="s">
        <v>315</v>
      </c>
      <c r="C74" s="5" t="s">
        <v>141</v>
      </c>
      <c r="D74" s="5" t="s">
        <v>142</v>
      </c>
      <c r="E74" s="5" t="s">
        <v>134</v>
      </c>
      <c r="F74" s="5" t="s">
        <v>131</v>
      </c>
      <c r="G74" s="5" t="s">
        <v>131</v>
      </c>
      <c r="H74" s="5" t="s">
        <v>131</v>
      </c>
      <c r="I74" s="5" t="s">
        <v>131</v>
      </c>
      <c r="J74" s="5" t="s">
        <v>228</v>
      </c>
      <c r="K74" s="5" t="s">
        <v>138</v>
      </c>
    </row>
    <row r="75" spans="1:11" x14ac:dyDescent="0.25">
      <c r="A75" s="5" t="s">
        <v>316</v>
      </c>
      <c r="B75" s="5" t="s">
        <v>317</v>
      </c>
      <c r="C75" s="5" t="s">
        <v>141</v>
      </c>
      <c r="D75" s="5" t="s">
        <v>142</v>
      </c>
      <c r="E75" s="5" t="s">
        <v>134</v>
      </c>
      <c r="F75" s="5" t="s">
        <v>131</v>
      </c>
      <c r="G75" s="5" t="s">
        <v>131</v>
      </c>
      <c r="H75" s="5" t="s">
        <v>131</v>
      </c>
      <c r="I75" s="5" t="s">
        <v>131</v>
      </c>
      <c r="J75" s="5" t="s">
        <v>137</v>
      </c>
      <c r="K75" s="5" t="s">
        <v>138</v>
      </c>
    </row>
    <row r="76" spans="1:11" x14ac:dyDescent="0.25">
      <c r="A76" s="5" t="s">
        <v>318</v>
      </c>
      <c r="B76" s="5" t="s">
        <v>319</v>
      </c>
      <c r="C76" s="5" t="s">
        <v>141</v>
      </c>
      <c r="D76" s="5" t="s">
        <v>142</v>
      </c>
      <c r="E76" s="5" t="s">
        <v>134</v>
      </c>
      <c r="F76" s="5" t="s">
        <v>131</v>
      </c>
      <c r="G76" s="5" t="s">
        <v>131</v>
      </c>
      <c r="H76" s="5" t="s">
        <v>131</v>
      </c>
      <c r="I76" s="5" t="s">
        <v>131</v>
      </c>
      <c r="J76" s="5" t="s">
        <v>320</v>
      </c>
      <c r="K76" s="5" t="s">
        <v>138</v>
      </c>
    </row>
    <row r="77" spans="1:11" x14ac:dyDescent="0.25">
      <c r="A77" s="5" t="s">
        <v>321</v>
      </c>
      <c r="B77" s="5" t="s">
        <v>322</v>
      </c>
      <c r="C77" s="5" t="s">
        <v>141</v>
      </c>
      <c r="D77" s="5" t="s">
        <v>142</v>
      </c>
      <c r="E77" s="5" t="s">
        <v>134</v>
      </c>
      <c r="F77" s="5" t="s">
        <v>131</v>
      </c>
      <c r="G77" s="5" t="s">
        <v>131</v>
      </c>
      <c r="H77" s="5" t="s">
        <v>131</v>
      </c>
      <c r="I77" s="5" t="s">
        <v>131</v>
      </c>
      <c r="J77" s="5" t="s">
        <v>137</v>
      </c>
      <c r="K77" s="5" t="s">
        <v>138</v>
      </c>
    </row>
    <row r="78" spans="1:11" x14ac:dyDescent="0.25">
      <c r="A78" s="5" t="s">
        <v>323</v>
      </c>
      <c r="B78" s="5" t="s">
        <v>324</v>
      </c>
      <c r="C78" s="5" t="s">
        <v>141</v>
      </c>
      <c r="D78" s="5" t="s">
        <v>142</v>
      </c>
      <c r="E78" s="5" t="s">
        <v>134</v>
      </c>
      <c r="F78" s="5" t="s">
        <v>131</v>
      </c>
      <c r="G78" s="5" t="s">
        <v>131</v>
      </c>
      <c r="H78" s="5" t="s">
        <v>131</v>
      </c>
      <c r="I78" s="5" t="s">
        <v>131</v>
      </c>
      <c r="J78" s="5" t="s">
        <v>325</v>
      </c>
      <c r="K78" s="5" t="s">
        <v>138</v>
      </c>
    </row>
    <row r="79" spans="1:11" x14ac:dyDescent="0.25">
      <c r="A79" s="5" t="s">
        <v>326</v>
      </c>
      <c r="B79" s="5" t="s">
        <v>327</v>
      </c>
      <c r="C79" s="5" t="s">
        <v>141</v>
      </c>
      <c r="D79" s="5" t="s">
        <v>142</v>
      </c>
      <c r="E79" s="5" t="s">
        <v>134</v>
      </c>
      <c r="F79" s="5" t="s">
        <v>131</v>
      </c>
      <c r="G79" s="5" t="s">
        <v>131</v>
      </c>
      <c r="H79" s="5" t="s">
        <v>131</v>
      </c>
      <c r="I79" s="5" t="s">
        <v>131</v>
      </c>
      <c r="J79" s="5" t="s">
        <v>328</v>
      </c>
      <c r="K79" s="5" t="s">
        <v>244</v>
      </c>
    </row>
    <row r="80" spans="1:11" x14ac:dyDescent="0.25">
      <c r="A80" s="5" t="s">
        <v>329</v>
      </c>
      <c r="B80" s="5" t="s">
        <v>330</v>
      </c>
      <c r="C80" s="5" t="s">
        <v>141</v>
      </c>
      <c r="D80" s="5" t="s">
        <v>142</v>
      </c>
      <c r="E80" s="5" t="s">
        <v>134</v>
      </c>
      <c r="F80" s="5" t="s">
        <v>131</v>
      </c>
      <c r="G80" s="5" t="s">
        <v>131</v>
      </c>
      <c r="H80" s="5" t="s">
        <v>131</v>
      </c>
      <c r="I80" s="5" t="s">
        <v>131</v>
      </c>
      <c r="J80" s="5" t="s">
        <v>143</v>
      </c>
      <c r="K80" s="5" t="s">
        <v>138</v>
      </c>
    </row>
    <row r="81" spans="1:11" x14ac:dyDescent="0.25">
      <c r="A81" s="5" t="s">
        <v>331</v>
      </c>
      <c r="B81" s="5" t="s">
        <v>332</v>
      </c>
      <c r="C81" s="5" t="s">
        <v>258</v>
      </c>
      <c r="D81" s="5" t="s">
        <v>333</v>
      </c>
      <c r="E81" s="5" t="s">
        <v>134</v>
      </c>
      <c r="F81" s="5" t="s">
        <v>131</v>
      </c>
      <c r="G81" s="5" t="s">
        <v>131</v>
      </c>
      <c r="H81" s="5" t="s">
        <v>131</v>
      </c>
      <c r="I81" s="5" t="s">
        <v>131</v>
      </c>
      <c r="J81" s="5" t="s">
        <v>243</v>
      </c>
      <c r="K81" s="5" t="s">
        <v>138</v>
      </c>
    </row>
    <row r="82" spans="1:11" x14ac:dyDescent="0.25">
      <c r="A82" s="5" t="s">
        <v>334</v>
      </c>
      <c r="B82" s="5" t="s">
        <v>335</v>
      </c>
      <c r="C82" s="5" t="s">
        <v>141</v>
      </c>
      <c r="D82" s="5" t="s">
        <v>142</v>
      </c>
      <c r="E82" s="5" t="s">
        <v>134</v>
      </c>
      <c r="F82" s="5" t="s">
        <v>131</v>
      </c>
      <c r="G82" s="5" t="s">
        <v>131</v>
      </c>
      <c r="H82" s="5" t="s">
        <v>131</v>
      </c>
      <c r="I82" s="5" t="s">
        <v>131</v>
      </c>
      <c r="J82" s="5" t="s">
        <v>143</v>
      </c>
      <c r="K82" s="5" t="s">
        <v>138</v>
      </c>
    </row>
    <row r="83" spans="1:11" x14ac:dyDescent="0.25">
      <c r="A83" s="5" t="s">
        <v>336</v>
      </c>
      <c r="B83" s="5" t="s">
        <v>337</v>
      </c>
      <c r="C83" s="5" t="s">
        <v>141</v>
      </c>
      <c r="D83" s="5" t="s">
        <v>142</v>
      </c>
      <c r="E83" s="5" t="s">
        <v>134</v>
      </c>
      <c r="F83" s="5" t="s">
        <v>131</v>
      </c>
      <c r="G83" s="5" t="s">
        <v>131</v>
      </c>
      <c r="H83" s="5" t="s">
        <v>131</v>
      </c>
      <c r="I83" s="5" t="s">
        <v>131</v>
      </c>
      <c r="J83" s="5" t="s">
        <v>143</v>
      </c>
      <c r="K83" s="5" t="s">
        <v>138</v>
      </c>
    </row>
    <row r="84" spans="1:11" x14ac:dyDescent="0.25">
      <c r="A84" s="5" t="s">
        <v>338</v>
      </c>
      <c r="B84" s="5" t="s">
        <v>339</v>
      </c>
      <c r="C84" s="5" t="s">
        <v>141</v>
      </c>
      <c r="D84" s="5" t="s">
        <v>142</v>
      </c>
      <c r="E84" s="5" t="s">
        <v>134</v>
      </c>
      <c r="F84" s="5" t="s">
        <v>131</v>
      </c>
      <c r="G84" s="5" t="s">
        <v>131</v>
      </c>
      <c r="H84" s="5" t="s">
        <v>131</v>
      </c>
      <c r="I84" s="5" t="s">
        <v>131</v>
      </c>
      <c r="J84" s="5" t="s">
        <v>143</v>
      </c>
      <c r="K84" s="5" t="s">
        <v>138</v>
      </c>
    </row>
    <row r="85" spans="1:11" x14ac:dyDescent="0.25">
      <c r="A85" s="5" t="s">
        <v>340</v>
      </c>
      <c r="B85" s="5" t="s">
        <v>341</v>
      </c>
      <c r="C85" s="5" t="s">
        <v>141</v>
      </c>
      <c r="D85" s="5" t="s">
        <v>142</v>
      </c>
      <c r="E85" s="5" t="s">
        <v>134</v>
      </c>
      <c r="F85" s="5" t="s">
        <v>131</v>
      </c>
      <c r="G85" s="5" t="s">
        <v>131</v>
      </c>
      <c r="H85" s="5" t="s">
        <v>131</v>
      </c>
      <c r="I85" s="5" t="s">
        <v>131</v>
      </c>
      <c r="J85" s="5" t="s">
        <v>146</v>
      </c>
      <c r="K85" s="5" t="s">
        <v>166</v>
      </c>
    </row>
    <row r="86" spans="1:11" x14ac:dyDescent="0.25">
      <c r="A86" s="5" t="s">
        <v>342</v>
      </c>
      <c r="B86" s="5" t="s">
        <v>343</v>
      </c>
      <c r="C86" s="5" t="s">
        <v>141</v>
      </c>
      <c r="D86" s="5" t="s">
        <v>142</v>
      </c>
      <c r="E86" s="5" t="s">
        <v>134</v>
      </c>
      <c r="F86" s="5" t="s">
        <v>131</v>
      </c>
      <c r="G86" s="5" t="s">
        <v>131</v>
      </c>
      <c r="H86" s="5" t="s">
        <v>131</v>
      </c>
      <c r="I86" s="5" t="s">
        <v>131</v>
      </c>
      <c r="J86" s="5" t="s">
        <v>143</v>
      </c>
      <c r="K86" s="5" t="s">
        <v>138</v>
      </c>
    </row>
    <row r="87" spans="1:11" x14ac:dyDescent="0.25">
      <c r="A87" s="5" t="s">
        <v>344</v>
      </c>
      <c r="B87" s="5" t="s">
        <v>345</v>
      </c>
      <c r="C87" s="5" t="s">
        <v>141</v>
      </c>
      <c r="D87" s="5" t="s">
        <v>142</v>
      </c>
      <c r="E87" s="5" t="s">
        <v>134</v>
      </c>
      <c r="F87" s="5" t="s">
        <v>131</v>
      </c>
      <c r="G87" s="5" t="s">
        <v>131</v>
      </c>
      <c r="H87" s="5" t="s">
        <v>131</v>
      </c>
      <c r="I87" s="5" t="s">
        <v>131</v>
      </c>
      <c r="J87" s="5" t="s">
        <v>325</v>
      </c>
      <c r="K87" s="5" t="s">
        <v>138</v>
      </c>
    </row>
    <row r="88" spans="1:11" x14ac:dyDescent="0.25">
      <c r="A88" s="5" t="s">
        <v>346</v>
      </c>
      <c r="B88" s="5" t="s">
        <v>347</v>
      </c>
      <c r="C88" s="5" t="s">
        <v>141</v>
      </c>
      <c r="D88" s="5" t="s">
        <v>142</v>
      </c>
      <c r="E88" s="5" t="s">
        <v>134</v>
      </c>
      <c r="F88" s="5" t="s">
        <v>131</v>
      </c>
      <c r="G88" s="5" t="s">
        <v>131</v>
      </c>
      <c r="H88" s="5" t="s">
        <v>131</v>
      </c>
      <c r="I88" s="5" t="s">
        <v>131</v>
      </c>
      <c r="J88" s="5" t="s">
        <v>143</v>
      </c>
      <c r="K88" s="5" t="s">
        <v>138</v>
      </c>
    </row>
    <row r="89" spans="1:11" x14ac:dyDescent="0.25">
      <c r="A89" s="5" t="s">
        <v>348</v>
      </c>
      <c r="B89" s="5" t="s">
        <v>349</v>
      </c>
      <c r="C89" s="5" t="s">
        <v>141</v>
      </c>
      <c r="D89" s="5" t="s">
        <v>142</v>
      </c>
      <c r="E89" s="5" t="s">
        <v>134</v>
      </c>
      <c r="F89" s="5" t="s">
        <v>131</v>
      </c>
      <c r="G89" s="5" t="s">
        <v>131</v>
      </c>
      <c r="H89" s="5" t="s">
        <v>131</v>
      </c>
      <c r="I89" s="5" t="s">
        <v>131</v>
      </c>
      <c r="J89" s="5" t="s">
        <v>143</v>
      </c>
      <c r="K89" s="5" t="s">
        <v>138</v>
      </c>
    </row>
    <row r="90" spans="1:11" x14ac:dyDescent="0.25">
      <c r="A90" s="5" t="s">
        <v>350</v>
      </c>
      <c r="B90" s="5" t="s">
        <v>337</v>
      </c>
      <c r="C90" s="5" t="s">
        <v>141</v>
      </c>
      <c r="D90" s="5" t="s">
        <v>142</v>
      </c>
      <c r="E90" s="5" t="s">
        <v>134</v>
      </c>
      <c r="F90" s="5" t="s">
        <v>131</v>
      </c>
      <c r="G90" s="5" t="s">
        <v>131</v>
      </c>
      <c r="H90" s="5" t="s">
        <v>131</v>
      </c>
      <c r="I90" s="5" t="s">
        <v>131</v>
      </c>
      <c r="J90" s="5" t="s">
        <v>146</v>
      </c>
      <c r="K90" s="5" t="s">
        <v>166</v>
      </c>
    </row>
    <row r="91" spans="1:11" x14ac:dyDescent="0.25">
      <c r="A91" s="5" t="s">
        <v>351</v>
      </c>
      <c r="B91" s="5" t="s">
        <v>352</v>
      </c>
      <c r="C91" s="5" t="s">
        <v>141</v>
      </c>
      <c r="D91" s="5" t="s">
        <v>142</v>
      </c>
      <c r="E91" s="5" t="s">
        <v>134</v>
      </c>
      <c r="F91" s="5" t="s">
        <v>131</v>
      </c>
      <c r="G91" s="5" t="s">
        <v>131</v>
      </c>
      <c r="H91" s="5" t="s">
        <v>131</v>
      </c>
      <c r="I91" s="5" t="s">
        <v>131</v>
      </c>
      <c r="J91" s="5" t="s">
        <v>143</v>
      </c>
      <c r="K91" s="5" t="s">
        <v>138</v>
      </c>
    </row>
    <row r="92" spans="1:11" x14ac:dyDescent="0.25">
      <c r="A92" s="5" t="s">
        <v>353</v>
      </c>
      <c r="B92" s="5" t="s">
        <v>354</v>
      </c>
      <c r="C92" s="5" t="s">
        <v>141</v>
      </c>
      <c r="D92" s="5" t="s">
        <v>142</v>
      </c>
      <c r="E92" s="5" t="s">
        <v>134</v>
      </c>
      <c r="F92" s="5" t="s">
        <v>131</v>
      </c>
      <c r="G92" s="5" t="s">
        <v>131</v>
      </c>
      <c r="H92" s="5" t="s">
        <v>131</v>
      </c>
      <c r="I92" s="5" t="s">
        <v>131</v>
      </c>
      <c r="J92" s="5" t="s">
        <v>143</v>
      </c>
      <c r="K92" s="5" t="s">
        <v>138</v>
      </c>
    </row>
    <row r="93" spans="1:11" x14ac:dyDescent="0.25">
      <c r="A93" s="5" t="s">
        <v>355</v>
      </c>
      <c r="B93" s="5" t="s">
        <v>356</v>
      </c>
      <c r="C93" s="5" t="s">
        <v>141</v>
      </c>
      <c r="D93" s="5" t="s">
        <v>142</v>
      </c>
      <c r="E93" s="5" t="s">
        <v>134</v>
      </c>
      <c r="F93" s="5" t="s">
        <v>131</v>
      </c>
      <c r="G93" s="5" t="s">
        <v>131</v>
      </c>
      <c r="H93" s="5" t="s">
        <v>131</v>
      </c>
      <c r="I93" s="5" t="s">
        <v>131</v>
      </c>
      <c r="J93" s="5" t="s">
        <v>143</v>
      </c>
      <c r="K93" s="5" t="s">
        <v>138</v>
      </c>
    </row>
    <row r="94" spans="1:11" x14ac:dyDescent="0.25">
      <c r="A94" s="5" t="s">
        <v>357</v>
      </c>
      <c r="B94" s="5" t="s">
        <v>358</v>
      </c>
      <c r="C94" s="5" t="s">
        <v>141</v>
      </c>
      <c r="D94" s="5" t="s">
        <v>142</v>
      </c>
      <c r="E94" s="5" t="s">
        <v>134</v>
      </c>
      <c r="F94" s="5" t="s">
        <v>131</v>
      </c>
      <c r="G94" s="5" t="s">
        <v>131</v>
      </c>
      <c r="H94" s="5" t="s">
        <v>131</v>
      </c>
      <c r="I94" s="5" t="s">
        <v>131</v>
      </c>
      <c r="J94" s="5" t="s">
        <v>143</v>
      </c>
      <c r="K94" s="5" t="s">
        <v>138</v>
      </c>
    </row>
    <row r="95" spans="1:11" x14ac:dyDescent="0.25">
      <c r="A95" s="5" t="s">
        <v>359</v>
      </c>
      <c r="B95" s="5" t="s">
        <v>360</v>
      </c>
      <c r="C95" s="5" t="s">
        <v>141</v>
      </c>
      <c r="D95" s="5" t="s">
        <v>142</v>
      </c>
      <c r="E95" s="5" t="s">
        <v>134</v>
      </c>
      <c r="F95" s="5" t="s">
        <v>131</v>
      </c>
      <c r="G95" s="5" t="s">
        <v>131</v>
      </c>
      <c r="H95" s="5" t="s">
        <v>131</v>
      </c>
      <c r="I95" s="5" t="s">
        <v>131</v>
      </c>
      <c r="J95" s="5" t="s">
        <v>143</v>
      </c>
      <c r="K95" s="5" t="s">
        <v>138</v>
      </c>
    </row>
    <row r="96" spans="1:11" x14ac:dyDescent="0.25">
      <c r="A96" s="5" t="s">
        <v>361</v>
      </c>
      <c r="B96" s="5" t="s">
        <v>362</v>
      </c>
      <c r="C96" s="5" t="s">
        <v>141</v>
      </c>
      <c r="D96" s="5" t="s">
        <v>142</v>
      </c>
      <c r="E96" s="5" t="s">
        <v>134</v>
      </c>
      <c r="F96" s="5" t="s">
        <v>131</v>
      </c>
      <c r="G96" s="5" t="s">
        <v>131</v>
      </c>
      <c r="H96" s="5" t="s">
        <v>131</v>
      </c>
      <c r="I96" s="5" t="s">
        <v>131</v>
      </c>
      <c r="J96" s="5" t="s">
        <v>143</v>
      </c>
      <c r="K96" s="5" t="s">
        <v>138</v>
      </c>
    </row>
    <row r="97" spans="1:11" x14ac:dyDescent="0.25">
      <c r="A97" s="5" t="s">
        <v>363</v>
      </c>
      <c r="B97" s="5" t="s">
        <v>364</v>
      </c>
      <c r="C97" s="5" t="s">
        <v>141</v>
      </c>
      <c r="D97" s="5" t="s">
        <v>142</v>
      </c>
      <c r="E97" s="5" t="s">
        <v>134</v>
      </c>
      <c r="F97" s="5" t="s">
        <v>131</v>
      </c>
      <c r="G97" s="5" t="s">
        <v>131</v>
      </c>
      <c r="H97" s="5" t="s">
        <v>131</v>
      </c>
      <c r="I97" s="5" t="s">
        <v>131</v>
      </c>
      <c r="J97" s="5" t="s">
        <v>311</v>
      </c>
      <c r="K97" s="5" t="s">
        <v>138</v>
      </c>
    </row>
    <row r="98" spans="1:11" x14ac:dyDescent="0.25">
      <c r="A98" s="5" t="s">
        <v>365</v>
      </c>
      <c r="B98" s="5" t="s">
        <v>343</v>
      </c>
      <c r="C98" s="5" t="s">
        <v>141</v>
      </c>
      <c r="D98" s="5" t="s">
        <v>142</v>
      </c>
      <c r="E98" s="5" t="s">
        <v>134</v>
      </c>
      <c r="F98" s="5" t="s">
        <v>131</v>
      </c>
      <c r="G98" s="5" t="s">
        <v>131</v>
      </c>
      <c r="H98" s="5" t="s">
        <v>131</v>
      </c>
      <c r="I98" s="5" t="s">
        <v>131</v>
      </c>
      <c r="J98" s="5" t="s">
        <v>146</v>
      </c>
      <c r="K98" s="5" t="s">
        <v>166</v>
      </c>
    </row>
    <row r="99" spans="1:11" x14ac:dyDescent="0.25">
      <c r="A99" s="5" t="s">
        <v>366</v>
      </c>
      <c r="B99" s="5" t="s">
        <v>367</v>
      </c>
      <c r="C99" s="5" t="s">
        <v>141</v>
      </c>
      <c r="D99" s="5" t="s">
        <v>367</v>
      </c>
      <c r="E99" s="5" t="s">
        <v>134</v>
      </c>
      <c r="F99" s="5" t="s">
        <v>131</v>
      </c>
      <c r="G99" s="5" t="s">
        <v>131</v>
      </c>
      <c r="H99" s="5" t="s">
        <v>131</v>
      </c>
      <c r="I99" s="5" t="s">
        <v>131</v>
      </c>
      <c r="J99" s="5" t="s">
        <v>368</v>
      </c>
      <c r="K99" s="5" t="s">
        <v>138</v>
      </c>
    </row>
    <row r="100" spans="1:11" x14ac:dyDescent="0.25">
      <c r="A100" s="5" t="s">
        <v>369</v>
      </c>
      <c r="B100" s="5" t="s">
        <v>370</v>
      </c>
      <c r="C100" s="5" t="s">
        <v>141</v>
      </c>
      <c r="D100" s="5" t="s">
        <v>142</v>
      </c>
      <c r="E100" s="5" t="s">
        <v>134</v>
      </c>
      <c r="F100" s="5" t="s">
        <v>131</v>
      </c>
      <c r="G100" s="5" t="s">
        <v>131</v>
      </c>
      <c r="H100" s="5" t="s">
        <v>131</v>
      </c>
      <c r="I100" s="5" t="s">
        <v>131</v>
      </c>
      <c r="J100" s="5" t="s">
        <v>143</v>
      </c>
      <c r="K100" s="5" t="s">
        <v>138</v>
      </c>
    </row>
    <row r="101" spans="1:11" x14ac:dyDescent="0.25">
      <c r="A101" s="5" t="s">
        <v>371</v>
      </c>
      <c r="B101" s="5" t="s">
        <v>372</v>
      </c>
      <c r="C101" s="5" t="s">
        <v>141</v>
      </c>
      <c r="D101" s="5" t="s">
        <v>142</v>
      </c>
      <c r="E101" s="5" t="s">
        <v>134</v>
      </c>
      <c r="F101" s="5" t="s">
        <v>131</v>
      </c>
      <c r="G101" s="5" t="s">
        <v>131</v>
      </c>
      <c r="H101" s="5" t="s">
        <v>131</v>
      </c>
      <c r="I101" s="5" t="s">
        <v>131</v>
      </c>
      <c r="J101" s="5" t="s">
        <v>373</v>
      </c>
      <c r="K101" s="5" t="s">
        <v>138</v>
      </c>
    </row>
    <row r="102" spans="1:11" x14ac:dyDescent="0.25">
      <c r="A102" s="5" t="s">
        <v>374</v>
      </c>
      <c r="B102" s="5" t="s">
        <v>375</v>
      </c>
      <c r="C102" s="5" t="s">
        <v>141</v>
      </c>
      <c r="D102" s="5" t="s">
        <v>142</v>
      </c>
      <c r="E102" s="5" t="s">
        <v>134</v>
      </c>
      <c r="F102" s="5" t="s">
        <v>131</v>
      </c>
      <c r="G102" s="5" t="s">
        <v>131</v>
      </c>
      <c r="H102" s="5" t="s">
        <v>131</v>
      </c>
      <c r="I102" s="5" t="s">
        <v>131</v>
      </c>
      <c r="J102" s="5" t="s">
        <v>228</v>
      </c>
      <c r="K102" s="5" t="s">
        <v>138</v>
      </c>
    </row>
    <row r="103" spans="1:11" x14ac:dyDescent="0.25">
      <c r="A103" s="5" t="s">
        <v>376</v>
      </c>
      <c r="B103" s="5" t="s">
        <v>377</v>
      </c>
      <c r="C103" s="5" t="s">
        <v>141</v>
      </c>
      <c r="D103" s="5" t="s">
        <v>142</v>
      </c>
      <c r="E103" s="5" t="s">
        <v>134</v>
      </c>
      <c r="F103" s="5" t="s">
        <v>131</v>
      </c>
      <c r="G103" s="5" t="s">
        <v>131</v>
      </c>
      <c r="H103" s="5" t="s">
        <v>131</v>
      </c>
      <c r="I103" s="5" t="s">
        <v>131</v>
      </c>
      <c r="J103" s="5" t="s">
        <v>143</v>
      </c>
      <c r="K103" s="5" t="s">
        <v>138</v>
      </c>
    </row>
    <row r="104" spans="1:11" x14ac:dyDescent="0.25">
      <c r="A104" s="5" t="s">
        <v>378</v>
      </c>
      <c r="B104" s="5" t="s">
        <v>379</v>
      </c>
      <c r="C104" s="5" t="s">
        <v>141</v>
      </c>
      <c r="D104" s="5" t="s">
        <v>142</v>
      </c>
      <c r="E104" s="5" t="s">
        <v>134</v>
      </c>
      <c r="F104" s="5" t="s">
        <v>131</v>
      </c>
      <c r="G104" s="5" t="s">
        <v>131</v>
      </c>
      <c r="H104" s="5" t="s">
        <v>131</v>
      </c>
      <c r="I104" s="5" t="s">
        <v>131</v>
      </c>
      <c r="J104" s="5" t="s">
        <v>143</v>
      </c>
      <c r="K104" s="5" t="s">
        <v>138</v>
      </c>
    </row>
    <row r="105" spans="1:11" x14ac:dyDescent="0.25">
      <c r="A105" s="5" t="s">
        <v>380</v>
      </c>
      <c r="B105" s="5" t="s">
        <v>381</v>
      </c>
      <c r="C105" s="5" t="s">
        <v>141</v>
      </c>
      <c r="D105" s="5" t="s">
        <v>142</v>
      </c>
      <c r="E105" s="5" t="s">
        <v>134</v>
      </c>
      <c r="F105" s="5" t="s">
        <v>131</v>
      </c>
      <c r="G105" s="5" t="s">
        <v>131</v>
      </c>
      <c r="H105" s="5" t="s">
        <v>131</v>
      </c>
      <c r="I105" s="5" t="s">
        <v>131</v>
      </c>
      <c r="J105" s="5" t="s">
        <v>146</v>
      </c>
      <c r="K105" s="5" t="s">
        <v>138</v>
      </c>
    </row>
    <row r="106" spans="1:11" x14ac:dyDescent="0.25">
      <c r="A106" s="5" t="s">
        <v>382</v>
      </c>
      <c r="B106" s="5" t="s">
        <v>383</v>
      </c>
      <c r="C106" s="5" t="s">
        <v>141</v>
      </c>
      <c r="D106" s="5" t="s">
        <v>142</v>
      </c>
      <c r="E106" s="5" t="s">
        <v>134</v>
      </c>
      <c r="F106" s="5" t="s">
        <v>131</v>
      </c>
      <c r="G106" s="5" t="s">
        <v>131</v>
      </c>
      <c r="H106" s="5" t="s">
        <v>131</v>
      </c>
      <c r="I106" s="5" t="s">
        <v>131</v>
      </c>
      <c r="J106" s="5" t="s">
        <v>143</v>
      </c>
      <c r="K106" s="5" t="s">
        <v>244</v>
      </c>
    </row>
    <row r="107" spans="1:11" x14ac:dyDescent="0.25">
      <c r="A107" s="5" t="s">
        <v>384</v>
      </c>
      <c r="B107" s="5" t="s">
        <v>385</v>
      </c>
      <c r="C107" s="5" t="s">
        <v>226</v>
      </c>
      <c r="D107" s="5" t="s">
        <v>227</v>
      </c>
      <c r="E107" s="5" t="s">
        <v>134</v>
      </c>
      <c r="F107" s="5" t="s">
        <v>131</v>
      </c>
      <c r="G107" s="5" t="s">
        <v>131</v>
      </c>
      <c r="H107" s="5" t="s">
        <v>131</v>
      </c>
      <c r="I107" s="5" t="s">
        <v>131</v>
      </c>
      <c r="J107" s="5" t="s">
        <v>243</v>
      </c>
      <c r="K107" s="5" t="s">
        <v>138</v>
      </c>
    </row>
    <row r="108" spans="1:11" x14ac:dyDescent="0.25">
      <c r="A108" s="5" t="s">
        <v>386</v>
      </c>
      <c r="B108" s="5" t="s">
        <v>387</v>
      </c>
      <c r="C108" s="5" t="s">
        <v>226</v>
      </c>
      <c r="D108" s="5" t="s">
        <v>227</v>
      </c>
      <c r="E108" s="5" t="s">
        <v>134</v>
      </c>
      <c r="F108" s="5" t="s">
        <v>131</v>
      </c>
      <c r="G108" s="5" t="s">
        <v>131</v>
      </c>
      <c r="H108" s="5" t="s">
        <v>131</v>
      </c>
      <c r="I108" s="5" t="s">
        <v>131</v>
      </c>
      <c r="J108" s="5" t="s">
        <v>320</v>
      </c>
      <c r="K108" s="5" t="s">
        <v>138</v>
      </c>
    </row>
    <row r="109" spans="1:11" x14ac:dyDescent="0.25">
      <c r="A109" s="5" t="s">
        <v>388</v>
      </c>
      <c r="B109" s="5" t="s">
        <v>389</v>
      </c>
      <c r="C109" s="5" t="s">
        <v>226</v>
      </c>
      <c r="D109" s="5" t="s">
        <v>227</v>
      </c>
      <c r="E109" s="5" t="s">
        <v>134</v>
      </c>
      <c r="F109" s="5" t="s">
        <v>131</v>
      </c>
      <c r="G109" s="5" t="s">
        <v>131</v>
      </c>
      <c r="H109" s="5" t="s">
        <v>131</v>
      </c>
      <c r="I109" s="5" t="s">
        <v>131</v>
      </c>
      <c r="J109" s="5" t="s">
        <v>243</v>
      </c>
      <c r="K109" s="5" t="s">
        <v>138</v>
      </c>
    </row>
    <row r="110" spans="1:11" x14ac:dyDescent="0.25">
      <c r="A110" s="5" t="s">
        <v>390</v>
      </c>
      <c r="B110" s="5" t="s">
        <v>391</v>
      </c>
      <c r="C110" s="5" t="s">
        <v>226</v>
      </c>
      <c r="D110" s="5" t="s">
        <v>227</v>
      </c>
      <c r="E110" s="5" t="s">
        <v>134</v>
      </c>
      <c r="F110" s="5" t="s">
        <v>131</v>
      </c>
      <c r="G110" s="5" t="s">
        <v>131</v>
      </c>
      <c r="H110" s="5" t="s">
        <v>131</v>
      </c>
      <c r="I110" s="5" t="s">
        <v>131</v>
      </c>
      <c r="J110" s="5" t="s">
        <v>243</v>
      </c>
      <c r="K110" s="5" t="s">
        <v>138</v>
      </c>
    </row>
    <row r="111" spans="1:11" x14ac:dyDescent="0.25">
      <c r="A111" s="5" t="s">
        <v>392</v>
      </c>
      <c r="B111" s="5" t="s">
        <v>391</v>
      </c>
      <c r="C111" s="5" t="s">
        <v>226</v>
      </c>
      <c r="D111" s="5" t="s">
        <v>227</v>
      </c>
      <c r="E111" s="5" t="s">
        <v>134</v>
      </c>
      <c r="F111" s="5" t="s">
        <v>131</v>
      </c>
      <c r="G111" s="5" t="s">
        <v>131</v>
      </c>
      <c r="H111" s="5" t="s">
        <v>131</v>
      </c>
      <c r="I111" s="5" t="s">
        <v>131</v>
      </c>
      <c r="J111" s="5" t="s">
        <v>243</v>
      </c>
      <c r="K111" s="5" t="s">
        <v>138</v>
      </c>
    </row>
    <row r="112" spans="1:11" x14ac:dyDescent="0.25">
      <c r="A112" s="5" t="s">
        <v>1537</v>
      </c>
      <c r="B112" s="5" t="s">
        <v>1538</v>
      </c>
      <c r="C112" s="5" t="s">
        <v>226</v>
      </c>
      <c r="D112" s="5" t="s">
        <v>227</v>
      </c>
      <c r="E112" s="5" t="s">
        <v>134</v>
      </c>
      <c r="F112" s="5" t="s">
        <v>131</v>
      </c>
      <c r="G112" s="5" t="s">
        <v>131</v>
      </c>
      <c r="H112" s="5" t="s">
        <v>131</v>
      </c>
      <c r="I112" s="5" t="s">
        <v>131</v>
      </c>
      <c r="J112" s="5" t="s">
        <v>1539</v>
      </c>
      <c r="K112" s="5" t="s">
        <v>138</v>
      </c>
    </row>
    <row r="113" spans="1:11" x14ac:dyDescent="0.25">
      <c r="A113" s="5" t="s">
        <v>393</v>
      </c>
      <c r="B113" s="5" t="s">
        <v>394</v>
      </c>
      <c r="C113" s="5" t="s">
        <v>226</v>
      </c>
      <c r="D113" s="5" t="s">
        <v>227</v>
      </c>
      <c r="E113" s="5" t="s">
        <v>134</v>
      </c>
      <c r="F113" s="5" t="s">
        <v>131</v>
      </c>
      <c r="G113" s="5" t="s">
        <v>131</v>
      </c>
      <c r="H113" s="5" t="s">
        <v>131</v>
      </c>
      <c r="I113" s="5" t="s">
        <v>131</v>
      </c>
      <c r="J113" s="5" t="s">
        <v>243</v>
      </c>
      <c r="K113" s="5" t="s">
        <v>244</v>
      </c>
    </row>
    <row r="114" spans="1:11" x14ac:dyDescent="0.25">
      <c r="A114" s="5" t="s">
        <v>395</v>
      </c>
      <c r="B114" s="5" t="s">
        <v>396</v>
      </c>
      <c r="C114" s="5" t="s">
        <v>226</v>
      </c>
      <c r="D114" s="5" t="s">
        <v>227</v>
      </c>
      <c r="E114" s="5" t="s">
        <v>134</v>
      </c>
      <c r="F114" s="5" t="s">
        <v>131</v>
      </c>
      <c r="G114" s="5" t="s">
        <v>131</v>
      </c>
      <c r="H114" s="5" t="s">
        <v>131</v>
      </c>
      <c r="I114" s="5" t="s">
        <v>131</v>
      </c>
      <c r="J114" s="5" t="s">
        <v>243</v>
      </c>
      <c r="K114" s="5" t="s">
        <v>244</v>
      </c>
    </row>
    <row r="115" spans="1:11" x14ac:dyDescent="0.25">
      <c r="A115" s="5" t="s">
        <v>397</v>
      </c>
      <c r="B115" s="5" t="s">
        <v>398</v>
      </c>
      <c r="C115" s="5" t="s">
        <v>226</v>
      </c>
      <c r="D115" s="5" t="s">
        <v>227</v>
      </c>
      <c r="E115" s="5" t="s">
        <v>134</v>
      </c>
      <c r="F115" s="5" t="s">
        <v>131</v>
      </c>
      <c r="G115" s="5" t="s">
        <v>131</v>
      </c>
      <c r="H115" s="5" t="s">
        <v>131</v>
      </c>
      <c r="I115" s="5" t="s">
        <v>131</v>
      </c>
      <c r="J115" s="5" t="s">
        <v>243</v>
      </c>
      <c r="K115" s="5" t="s">
        <v>244</v>
      </c>
    </row>
    <row r="116" spans="1:11" x14ac:dyDescent="0.25">
      <c r="A116" s="5" t="s">
        <v>399</v>
      </c>
      <c r="B116" s="5" t="s">
        <v>400</v>
      </c>
      <c r="C116" s="5" t="s">
        <v>226</v>
      </c>
      <c r="D116" s="5" t="s">
        <v>227</v>
      </c>
      <c r="E116" s="5" t="s">
        <v>134</v>
      </c>
      <c r="F116" s="5" t="s">
        <v>131</v>
      </c>
      <c r="G116" s="5" t="s">
        <v>131</v>
      </c>
      <c r="H116" s="5" t="s">
        <v>131</v>
      </c>
      <c r="I116" s="5" t="s">
        <v>131</v>
      </c>
      <c r="J116" s="5" t="s">
        <v>243</v>
      </c>
      <c r="K116" s="5" t="s">
        <v>244</v>
      </c>
    </row>
    <row r="117" spans="1:11" x14ac:dyDescent="0.25">
      <c r="A117" s="5" t="s">
        <v>401</v>
      </c>
      <c r="B117" s="5" t="s">
        <v>402</v>
      </c>
      <c r="C117" s="5" t="s">
        <v>226</v>
      </c>
      <c r="D117" s="5" t="s">
        <v>227</v>
      </c>
      <c r="E117" s="5" t="s">
        <v>134</v>
      </c>
      <c r="F117" s="5" t="s">
        <v>131</v>
      </c>
      <c r="G117" s="5" t="s">
        <v>131</v>
      </c>
      <c r="H117" s="5" t="s">
        <v>131</v>
      </c>
      <c r="I117" s="5" t="s">
        <v>131</v>
      </c>
      <c r="J117" s="5" t="s">
        <v>243</v>
      </c>
      <c r="K117" s="5" t="s">
        <v>244</v>
      </c>
    </row>
    <row r="118" spans="1:11" x14ac:dyDescent="0.25">
      <c r="A118" s="5" t="s">
        <v>403</v>
      </c>
      <c r="B118" s="5" t="s">
        <v>404</v>
      </c>
      <c r="C118" s="5" t="s">
        <v>226</v>
      </c>
      <c r="D118" s="5" t="s">
        <v>227</v>
      </c>
      <c r="E118" s="5" t="s">
        <v>134</v>
      </c>
      <c r="F118" s="5" t="s">
        <v>131</v>
      </c>
      <c r="G118" s="5" t="s">
        <v>131</v>
      </c>
      <c r="H118" s="5" t="s">
        <v>131</v>
      </c>
      <c r="I118" s="5" t="s">
        <v>131</v>
      </c>
      <c r="J118" s="5" t="s">
        <v>243</v>
      </c>
      <c r="K118" s="5" t="s">
        <v>138</v>
      </c>
    </row>
    <row r="119" spans="1:11" x14ac:dyDescent="0.25">
      <c r="A119" s="5" t="s">
        <v>405</v>
      </c>
      <c r="B119" s="5" t="s">
        <v>406</v>
      </c>
      <c r="C119" s="5" t="s">
        <v>226</v>
      </c>
      <c r="D119" s="5" t="s">
        <v>227</v>
      </c>
      <c r="E119" s="5" t="s">
        <v>134</v>
      </c>
      <c r="F119" s="5" t="s">
        <v>131</v>
      </c>
      <c r="G119" s="5" t="s">
        <v>131</v>
      </c>
      <c r="H119" s="5" t="s">
        <v>131</v>
      </c>
      <c r="I119" s="5" t="s">
        <v>131</v>
      </c>
      <c r="J119" s="5" t="s">
        <v>243</v>
      </c>
      <c r="K119" s="5" t="s">
        <v>244</v>
      </c>
    </row>
    <row r="120" spans="1:11" x14ac:dyDescent="0.25">
      <c r="A120" s="5" t="s">
        <v>407</v>
      </c>
      <c r="B120" s="5" t="s">
        <v>408</v>
      </c>
      <c r="C120" s="5" t="s">
        <v>226</v>
      </c>
      <c r="D120" s="5" t="s">
        <v>227</v>
      </c>
      <c r="E120" s="5" t="s">
        <v>134</v>
      </c>
      <c r="F120" s="5" t="s">
        <v>131</v>
      </c>
      <c r="G120" s="5" t="s">
        <v>131</v>
      </c>
      <c r="H120" s="5" t="s">
        <v>131</v>
      </c>
      <c r="I120" s="5" t="s">
        <v>131</v>
      </c>
      <c r="J120" s="5" t="s">
        <v>243</v>
      </c>
      <c r="K120" s="5" t="s">
        <v>244</v>
      </c>
    </row>
    <row r="121" spans="1:11" x14ac:dyDescent="0.25">
      <c r="A121" s="5" t="s">
        <v>409</v>
      </c>
      <c r="B121" s="5" t="s">
        <v>410</v>
      </c>
      <c r="C121" s="5" t="s">
        <v>226</v>
      </c>
      <c r="D121" s="5" t="s">
        <v>227</v>
      </c>
      <c r="E121" s="5" t="s">
        <v>134</v>
      </c>
      <c r="F121" s="5" t="s">
        <v>131</v>
      </c>
      <c r="G121" s="5" t="s">
        <v>131</v>
      </c>
      <c r="H121" s="5" t="s">
        <v>131</v>
      </c>
      <c r="I121" s="5" t="s">
        <v>131</v>
      </c>
      <c r="J121" s="5" t="s">
        <v>243</v>
      </c>
      <c r="K121" s="5" t="s">
        <v>138</v>
      </c>
    </row>
    <row r="122" spans="1:11" x14ac:dyDescent="0.25">
      <c r="A122" s="5" t="s">
        <v>411</v>
      </c>
      <c r="B122" s="5" t="s">
        <v>412</v>
      </c>
      <c r="C122" s="5" t="s">
        <v>226</v>
      </c>
      <c r="D122" s="5" t="s">
        <v>227</v>
      </c>
      <c r="E122" s="5" t="s">
        <v>134</v>
      </c>
      <c r="F122" s="5" t="s">
        <v>131</v>
      </c>
      <c r="G122" s="5" t="s">
        <v>131</v>
      </c>
      <c r="H122" s="5" t="s">
        <v>131</v>
      </c>
      <c r="I122" s="5" t="s">
        <v>131</v>
      </c>
      <c r="J122" s="5" t="s">
        <v>243</v>
      </c>
      <c r="K122" s="5" t="s">
        <v>244</v>
      </c>
    </row>
    <row r="123" spans="1:11" x14ac:dyDescent="0.25">
      <c r="A123" s="5" t="s">
        <v>413</v>
      </c>
      <c r="B123" s="5" t="s">
        <v>414</v>
      </c>
      <c r="C123" s="5" t="s">
        <v>226</v>
      </c>
      <c r="D123" s="5" t="s">
        <v>227</v>
      </c>
      <c r="E123" s="5" t="s">
        <v>134</v>
      </c>
      <c r="F123" s="5" t="s">
        <v>131</v>
      </c>
      <c r="G123" s="5" t="s">
        <v>131</v>
      </c>
      <c r="H123" s="5" t="s">
        <v>131</v>
      </c>
      <c r="I123" s="5" t="s">
        <v>131</v>
      </c>
      <c r="J123" s="5" t="s">
        <v>243</v>
      </c>
      <c r="K123" s="5" t="s">
        <v>244</v>
      </c>
    </row>
    <row r="124" spans="1:11" x14ac:dyDescent="0.25">
      <c r="A124" s="5" t="s">
        <v>415</v>
      </c>
      <c r="B124" s="5" t="s">
        <v>416</v>
      </c>
      <c r="C124" s="5" t="s">
        <v>226</v>
      </c>
      <c r="D124" s="5" t="s">
        <v>227</v>
      </c>
      <c r="E124" s="5" t="s">
        <v>134</v>
      </c>
      <c r="F124" s="5" t="s">
        <v>131</v>
      </c>
      <c r="G124" s="5" t="s">
        <v>131</v>
      </c>
      <c r="H124" s="5" t="s">
        <v>131</v>
      </c>
      <c r="I124" s="5" t="s">
        <v>131</v>
      </c>
      <c r="J124" s="5" t="s">
        <v>243</v>
      </c>
      <c r="K124" s="5" t="s">
        <v>138</v>
      </c>
    </row>
    <row r="125" spans="1:11" x14ac:dyDescent="0.25">
      <c r="A125" s="5" t="s">
        <v>417</v>
      </c>
      <c r="B125" s="5" t="s">
        <v>418</v>
      </c>
      <c r="C125" s="5" t="s">
        <v>226</v>
      </c>
      <c r="D125" s="5" t="s">
        <v>227</v>
      </c>
      <c r="E125" s="5" t="s">
        <v>134</v>
      </c>
      <c r="F125" s="5" t="s">
        <v>131</v>
      </c>
      <c r="G125" s="5" t="s">
        <v>131</v>
      </c>
      <c r="H125" s="5" t="s">
        <v>131</v>
      </c>
      <c r="I125" s="5" t="s">
        <v>131</v>
      </c>
      <c r="J125" s="5" t="s">
        <v>243</v>
      </c>
      <c r="K125" s="5" t="s">
        <v>244</v>
      </c>
    </row>
    <row r="126" spans="1:11" x14ac:dyDescent="0.25">
      <c r="A126" s="5" t="s">
        <v>419</v>
      </c>
      <c r="B126" s="5" t="s">
        <v>420</v>
      </c>
      <c r="C126" s="5" t="s">
        <v>226</v>
      </c>
      <c r="D126" s="5" t="s">
        <v>227</v>
      </c>
      <c r="E126" s="5" t="s">
        <v>134</v>
      </c>
      <c r="F126" s="5" t="s">
        <v>131</v>
      </c>
      <c r="G126" s="5" t="s">
        <v>131</v>
      </c>
      <c r="H126" s="5" t="s">
        <v>131</v>
      </c>
      <c r="I126" s="5" t="s">
        <v>131</v>
      </c>
      <c r="J126" s="5" t="s">
        <v>243</v>
      </c>
      <c r="K126" s="5" t="s">
        <v>244</v>
      </c>
    </row>
    <row r="127" spans="1:11" x14ac:dyDescent="0.25">
      <c r="A127" s="5" t="s">
        <v>421</v>
      </c>
      <c r="B127" s="5" t="s">
        <v>422</v>
      </c>
      <c r="C127" s="5" t="s">
        <v>226</v>
      </c>
      <c r="D127" s="5" t="s">
        <v>227</v>
      </c>
      <c r="E127" s="5" t="s">
        <v>134</v>
      </c>
      <c r="F127" s="5" t="s">
        <v>131</v>
      </c>
      <c r="G127" s="5" t="s">
        <v>131</v>
      </c>
      <c r="H127" s="5" t="s">
        <v>131</v>
      </c>
      <c r="I127" s="5" t="s">
        <v>131</v>
      </c>
      <c r="J127" s="5" t="s">
        <v>423</v>
      </c>
      <c r="K127" s="5" t="s">
        <v>138</v>
      </c>
    </row>
    <row r="128" spans="1:11" x14ac:dyDescent="0.25">
      <c r="A128" s="5" t="s">
        <v>424</v>
      </c>
      <c r="B128" s="5" t="s">
        <v>425</v>
      </c>
      <c r="C128" s="5" t="s">
        <v>226</v>
      </c>
      <c r="D128" s="5" t="s">
        <v>227</v>
      </c>
      <c r="E128" s="5" t="s">
        <v>134</v>
      </c>
      <c r="F128" s="5" t="s">
        <v>131</v>
      </c>
      <c r="G128" s="5" t="s">
        <v>131</v>
      </c>
      <c r="H128" s="5" t="s">
        <v>131</v>
      </c>
      <c r="I128" s="5" t="s">
        <v>131</v>
      </c>
      <c r="J128" s="5" t="s">
        <v>423</v>
      </c>
      <c r="K128" s="5" t="s">
        <v>244</v>
      </c>
    </row>
    <row r="129" spans="1:11" x14ac:dyDescent="0.25">
      <c r="A129" s="5" t="s">
        <v>426</v>
      </c>
      <c r="B129" s="5" t="s">
        <v>427</v>
      </c>
      <c r="C129" s="5" t="s">
        <v>226</v>
      </c>
      <c r="D129" s="5" t="s">
        <v>227</v>
      </c>
      <c r="E129" s="5" t="s">
        <v>134</v>
      </c>
      <c r="F129" s="5" t="s">
        <v>131</v>
      </c>
      <c r="G129" s="5" t="s">
        <v>131</v>
      </c>
      <c r="H129" s="5" t="s">
        <v>131</v>
      </c>
      <c r="I129" s="5" t="s">
        <v>131</v>
      </c>
      <c r="J129" s="5" t="s">
        <v>423</v>
      </c>
      <c r="K129" s="5" t="s">
        <v>244</v>
      </c>
    </row>
    <row r="130" spans="1:11" x14ac:dyDescent="0.25">
      <c r="A130" s="5" t="s">
        <v>428</v>
      </c>
      <c r="B130" s="5" t="s">
        <v>429</v>
      </c>
      <c r="C130" s="5" t="s">
        <v>226</v>
      </c>
      <c r="D130" s="5" t="s">
        <v>227</v>
      </c>
      <c r="E130" s="5" t="s">
        <v>134</v>
      </c>
      <c r="F130" s="5" t="s">
        <v>131</v>
      </c>
      <c r="G130" s="5" t="s">
        <v>131</v>
      </c>
      <c r="H130" s="5" t="s">
        <v>131</v>
      </c>
      <c r="I130" s="5" t="s">
        <v>131</v>
      </c>
      <c r="J130" s="5" t="s">
        <v>243</v>
      </c>
      <c r="K130" s="5" t="s">
        <v>244</v>
      </c>
    </row>
    <row r="131" spans="1:11" x14ac:dyDescent="0.25">
      <c r="A131" s="5" t="s">
        <v>430</v>
      </c>
      <c r="B131" s="5" t="s">
        <v>431</v>
      </c>
      <c r="C131" s="5" t="s">
        <v>226</v>
      </c>
      <c r="D131" s="5" t="s">
        <v>227</v>
      </c>
      <c r="E131" s="5" t="s">
        <v>134</v>
      </c>
      <c r="F131" s="5" t="s">
        <v>131</v>
      </c>
      <c r="G131" s="5" t="s">
        <v>131</v>
      </c>
      <c r="H131" s="5" t="s">
        <v>131</v>
      </c>
      <c r="I131" s="5" t="s">
        <v>131</v>
      </c>
      <c r="J131" s="5" t="s">
        <v>243</v>
      </c>
      <c r="K131" s="5" t="s">
        <v>244</v>
      </c>
    </row>
    <row r="132" spans="1:11" x14ac:dyDescent="0.25">
      <c r="A132" s="5" t="s">
        <v>432</v>
      </c>
      <c r="B132" s="5" t="s">
        <v>433</v>
      </c>
      <c r="C132" s="5" t="s">
        <v>226</v>
      </c>
      <c r="D132" s="5" t="s">
        <v>227</v>
      </c>
      <c r="E132" s="5" t="s">
        <v>134</v>
      </c>
      <c r="F132" s="5" t="s">
        <v>131</v>
      </c>
      <c r="G132" s="5" t="s">
        <v>131</v>
      </c>
      <c r="H132" s="5" t="s">
        <v>131</v>
      </c>
      <c r="I132" s="5" t="s">
        <v>131</v>
      </c>
      <c r="J132" s="5" t="s">
        <v>243</v>
      </c>
      <c r="K132" s="5" t="s">
        <v>138</v>
      </c>
    </row>
    <row r="133" spans="1:11" x14ac:dyDescent="0.25">
      <c r="A133" s="5" t="s">
        <v>434</v>
      </c>
      <c r="B133" s="5" t="s">
        <v>435</v>
      </c>
      <c r="C133" s="5" t="s">
        <v>226</v>
      </c>
      <c r="D133" s="5" t="s">
        <v>227</v>
      </c>
      <c r="E133" s="5" t="s">
        <v>134</v>
      </c>
      <c r="F133" s="5" t="s">
        <v>131</v>
      </c>
      <c r="G133" s="5" t="s">
        <v>131</v>
      </c>
      <c r="H133" s="5" t="s">
        <v>131</v>
      </c>
      <c r="I133" s="5" t="s">
        <v>131</v>
      </c>
      <c r="J133" s="5" t="s">
        <v>243</v>
      </c>
      <c r="K133" s="5" t="s">
        <v>244</v>
      </c>
    </row>
    <row r="134" spans="1:11" x14ac:dyDescent="0.25">
      <c r="A134" s="5" t="s">
        <v>436</v>
      </c>
      <c r="B134" s="5" t="s">
        <v>437</v>
      </c>
      <c r="C134" s="5" t="s">
        <v>226</v>
      </c>
      <c r="D134" s="5" t="s">
        <v>227</v>
      </c>
      <c r="E134" s="5" t="s">
        <v>134</v>
      </c>
      <c r="F134" s="5" t="s">
        <v>131</v>
      </c>
      <c r="G134" s="5" t="s">
        <v>131</v>
      </c>
      <c r="H134" s="5" t="s">
        <v>131</v>
      </c>
      <c r="I134" s="5" t="s">
        <v>131</v>
      </c>
      <c r="J134" s="5" t="s">
        <v>243</v>
      </c>
      <c r="K134" s="5" t="s">
        <v>244</v>
      </c>
    </row>
    <row r="135" spans="1:11" x14ac:dyDescent="0.25">
      <c r="A135" s="5" t="s">
        <v>438</v>
      </c>
      <c r="B135" s="5" t="s">
        <v>439</v>
      </c>
      <c r="C135" s="5" t="s">
        <v>226</v>
      </c>
      <c r="D135" s="5" t="s">
        <v>227</v>
      </c>
      <c r="E135" s="5" t="s">
        <v>134</v>
      </c>
      <c r="F135" s="5" t="s">
        <v>131</v>
      </c>
      <c r="G135" s="5" t="s">
        <v>131</v>
      </c>
      <c r="H135" s="5" t="s">
        <v>131</v>
      </c>
      <c r="I135" s="5" t="s">
        <v>131</v>
      </c>
      <c r="J135" s="5" t="s">
        <v>243</v>
      </c>
      <c r="K135" s="5" t="s">
        <v>244</v>
      </c>
    </row>
    <row r="136" spans="1:11" x14ac:dyDescent="0.25">
      <c r="A136" s="5" t="s">
        <v>440</v>
      </c>
      <c r="B136" s="5" t="s">
        <v>441</v>
      </c>
      <c r="C136" s="5" t="s">
        <v>226</v>
      </c>
      <c r="D136" s="5" t="s">
        <v>227</v>
      </c>
      <c r="E136" s="5" t="s">
        <v>134</v>
      </c>
      <c r="F136" s="5" t="s">
        <v>131</v>
      </c>
      <c r="G136" s="5" t="s">
        <v>131</v>
      </c>
      <c r="H136" s="5" t="s">
        <v>131</v>
      </c>
      <c r="I136" s="5" t="s">
        <v>131</v>
      </c>
      <c r="J136" s="5" t="s">
        <v>243</v>
      </c>
      <c r="K136" s="5" t="s">
        <v>244</v>
      </c>
    </row>
    <row r="137" spans="1:11" x14ac:dyDescent="0.25">
      <c r="A137" s="5" t="s">
        <v>442</v>
      </c>
      <c r="B137" s="5" t="s">
        <v>443</v>
      </c>
      <c r="C137" s="5" t="s">
        <v>226</v>
      </c>
      <c r="D137" s="5" t="s">
        <v>227</v>
      </c>
      <c r="E137" s="5" t="s">
        <v>134</v>
      </c>
      <c r="F137" s="5" t="s">
        <v>131</v>
      </c>
      <c r="G137" s="5" t="s">
        <v>131</v>
      </c>
      <c r="H137" s="5" t="s">
        <v>131</v>
      </c>
      <c r="I137" s="5" t="s">
        <v>131</v>
      </c>
      <c r="J137" s="5" t="s">
        <v>243</v>
      </c>
      <c r="K137" s="5" t="s">
        <v>244</v>
      </c>
    </row>
    <row r="138" spans="1:11" x14ac:dyDescent="0.25">
      <c r="A138" s="5" t="s">
        <v>444</v>
      </c>
      <c r="B138" s="5" t="s">
        <v>445</v>
      </c>
      <c r="C138" s="5" t="s">
        <v>226</v>
      </c>
      <c r="D138" s="5" t="s">
        <v>227</v>
      </c>
      <c r="E138" s="5" t="s">
        <v>134</v>
      </c>
      <c r="F138" s="5" t="s">
        <v>131</v>
      </c>
      <c r="G138" s="5" t="s">
        <v>131</v>
      </c>
      <c r="H138" s="5" t="s">
        <v>131</v>
      </c>
      <c r="I138" s="5" t="s">
        <v>131</v>
      </c>
      <c r="J138" s="5" t="s">
        <v>446</v>
      </c>
      <c r="K138" s="5" t="s">
        <v>138</v>
      </c>
    </row>
    <row r="139" spans="1:11" x14ac:dyDescent="0.25">
      <c r="A139" s="5" t="s">
        <v>447</v>
      </c>
      <c r="B139" s="5" t="s">
        <v>448</v>
      </c>
      <c r="C139" s="5" t="s">
        <v>226</v>
      </c>
      <c r="D139" s="5" t="s">
        <v>227</v>
      </c>
      <c r="E139" s="5" t="s">
        <v>134</v>
      </c>
      <c r="F139" s="5" t="s">
        <v>131</v>
      </c>
      <c r="G139" s="5" t="s">
        <v>131</v>
      </c>
      <c r="H139" s="5" t="s">
        <v>131</v>
      </c>
      <c r="I139" s="5" t="s">
        <v>131</v>
      </c>
      <c r="J139" s="5" t="s">
        <v>423</v>
      </c>
      <c r="K139" s="5" t="s">
        <v>244</v>
      </c>
    </row>
    <row r="140" spans="1:11" x14ac:dyDescent="0.25">
      <c r="A140" s="5" t="s">
        <v>449</v>
      </c>
      <c r="B140" s="5" t="s">
        <v>450</v>
      </c>
      <c r="C140" s="5" t="s">
        <v>226</v>
      </c>
      <c r="D140" s="5" t="s">
        <v>227</v>
      </c>
      <c r="E140" s="5" t="s">
        <v>134</v>
      </c>
      <c r="F140" s="5" t="s">
        <v>131</v>
      </c>
      <c r="G140" s="5" t="s">
        <v>131</v>
      </c>
      <c r="H140" s="5" t="s">
        <v>131</v>
      </c>
      <c r="I140" s="5" t="s">
        <v>131</v>
      </c>
      <c r="J140" s="5" t="s">
        <v>423</v>
      </c>
      <c r="K140" s="5" t="s">
        <v>244</v>
      </c>
    </row>
    <row r="141" spans="1:11" x14ac:dyDescent="0.25">
      <c r="A141" s="5" t="s">
        <v>451</v>
      </c>
      <c r="B141" s="5" t="s">
        <v>452</v>
      </c>
      <c r="C141" s="5" t="s">
        <v>226</v>
      </c>
      <c r="D141" s="5" t="s">
        <v>227</v>
      </c>
      <c r="E141" s="5" t="s">
        <v>134</v>
      </c>
      <c r="F141" s="5" t="s">
        <v>131</v>
      </c>
      <c r="G141" s="5" t="s">
        <v>131</v>
      </c>
      <c r="H141" s="5" t="s">
        <v>131</v>
      </c>
      <c r="I141" s="5" t="s">
        <v>131</v>
      </c>
      <c r="J141" s="5" t="s">
        <v>423</v>
      </c>
      <c r="K141" s="5" t="s">
        <v>244</v>
      </c>
    </row>
    <row r="142" spans="1:11" x14ac:dyDescent="0.25">
      <c r="A142" s="5" t="s">
        <v>453</v>
      </c>
      <c r="B142" s="5" t="s">
        <v>454</v>
      </c>
      <c r="C142" s="5" t="s">
        <v>226</v>
      </c>
      <c r="D142" s="5" t="s">
        <v>227</v>
      </c>
      <c r="E142" s="5" t="s">
        <v>134</v>
      </c>
      <c r="F142" s="5" t="s">
        <v>131</v>
      </c>
      <c r="G142" s="5" t="s">
        <v>131</v>
      </c>
      <c r="H142" s="5" t="s">
        <v>131</v>
      </c>
      <c r="I142" s="5" t="s">
        <v>131</v>
      </c>
      <c r="J142" s="5" t="s">
        <v>423</v>
      </c>
      <c r="K142" s="5" t="s">
        <v>244</v>
      </c>
    </row>
    <row r="143" spans="1:11" x14ac:dyDescent="0.25">
      <c r="A143" s="5" t="s">
        <v>455</v>
      </c>
      <c r="B143" s="5" t="s">
        <v>456</v>
      </c>
      <c r="C143" s="5" t="s">
        <v>226</v>
      </c>
      <c r="D143" s="5" t="s">
        <v>227</v>
      </c>
      <c r="E143" s="5" t="s">
        <v>134</v>
      </c>
      <c r="F143" s="5" t="s">
        <v>131</v>
      </c>
      <c r="G143" s="5" t="s">
        <v>131</v>
      </c>
      <c r="H143" s="5" t="s">
        <v>131</v>
      </c>
      <c r="I143" s="5" t="s">
        <v>131</v>
      </c>
      <c r="J143" s="5" t="s">
        <v>423</v>
      </c>
      <c r="K143" s="5" t="s">
        <v>244</v>
      </c>
    </row>
    <row r="144" spans="1:11" x14ac:dyDescent="0.25">
      <c r="A144" s="5" t="s">
        <v>457</v>
      </c>
      <c r="B144" s="5" t="s">
        <v>458</v>
      </c>
      <c r="C144" s="5" t="s">
        <v>226</v>
      </c>
      <c r="D144" s="5" t="s">
        <v>227</v>
      </c>
      <c r="E144" s="5" t="s">
        <v>134</v>
      </c>
      <c r="F144" s="5" t="s">
        <v>131</v>
      </c>
      <c r="G144" s="5" t="s">
        <v>131</v>
      </c>
      <c r="H144" s="5" t="s">
        <v>131</v>
      </c>
      <c r="I144" s="5" t="s">
        <v>131</v>
      </c>
      <c r="J144" s="5" t="s">
        <v>423</v>
      </c>
      <c r="K144" s="5" t="s">
        <v>244</v>
      </c>
    </row>
    <row r="145" spans="1:11" x14ac:dyDescent="0.25">
      <c r="A145" s="5" t="s">
        <v>459</v>
      </c>
      <c r="B145" s="5" t="s">
        <v>460</v>
      </c>
      <c r="C145" s="5" t="s">
        <v>226</v>
      </c>
      <c r="D145" s="5" t="s">
        <v>227</v>
      </c>
      <c r="E145" s="5" t="s">
        <v>134</v>
      </c>
      <c r="F145" s="5" t="s">
        <v>131</v>
      </c>
      <c r="G145" s="5" t="s">
        <v>131</v>
      </c>
      <c r="H145" s="5" t="s">
        <v>131</v>
      </c>
      <c r="I145" s="5" t="s">
        <v>131</v>
      </c>
      <c r="J145" s="5" t="s">
        <v>423</v>
      </c>
      <c r="K145" s="5" t="s">
        <v>244</v>
      </c>
    </row>
    <row r="146" spans="1:11" x14ac:dyDescent="0.25">
      <c r="A146" s="5" t="s">
        <v>461</v>
      </c>
      <c r="B146" s="5" t="s">
        <v>462</v>
      </c>
      <c r="C146" s="5" t="s">
        <v>226</v>
      </c>
      <c r="D146" s="5" t="s">
        <v>227</v>
      </c>
      <c r="E146" s="5" t="s">
        <v>134</v>
      </c>
      <c r="F146" s="5" t="s">
        <v>131</v>
      </c>
      <c r="G146" s="5" t="s">
        <v>131</v>
      </c>
      <c r="H146" s="5" t="s">
        <v>131</v>
      </c>
      <c r="I146" s="5" t="s">
        <v>131</v>
      </c>
      <c r="J146" s="5" t="s">
        <v>423</v>
      </c>
      <c r="K146" s="5" t="s">
        <v>244</v>
      </c>
    </row>
    <row r="147" spans="1:11" x14ac:dyDescent="0.25">
      <c r="A147" s="5" t="s">
        <v>463</v>
      </c>
      <c r="B147" s="5" t="s">
        <v>464</v>
      </c>
      <c r="C147" s="5" t="s">
        <v>226</v>
      </c>
      <c r="D147" s="5" t="s">
        <v>227</v>
      </c>
      <c r="E147" s="5" t="s">
        <v>134</v>
      </c>
      <c r="F147" s="5" t="s">
        <v>131</v>
      </c>
      <c r="G147" s="5" t="s">
        <v>131</v>
      </c>
      <c r="H147" s="5" t="s">
        <v>131</v>
      </c>
      <c r="I147" s="5" t="s">
        <v>131</v>
      </c>
      <c r="J147" s="5" t="s">
        <v>423</v>
      </c>
      <c r="K147" s="5" t="s">
        <v>244</v>
      </c>
    </row>
    <row r="148" spans="1:11" x14ac:dyDescent="0.25">
      <c r="A148" s="5" t="s">
        <v>465</v>
      </c>
      <c r="B148" s="5" t="s">
        <v>466</v>
      </c>
      <c r="C148" s="5" t="s">
        <v>226</v>
      </c>
      <c r="D148" s="5" t="s">
        <v>227</v>
      </c>
      <c r="E148" s="5" t="s">
        <v>134</v>
      </c>
      <c r="F148" s="5" t="s">
        <v>131</v>
      </c>
      <c r="G148" s="5" t="s">
        <v>131</v>
      </c>
      <c r="H148" s="5" t="s">
        <v>131</v>
      </c>
      <c r="I148" s="5" t="s">
        <v>131</v>
      </c>
      <c r="J148" s="5" t="s">
        <v>423</v>
      </c>
      <c r="K148" s="5" t="s">
        <v>244</v>
      </c>
    </row>
    <row r="149" spans="1:11" x14ac:dyDescent="0.25">
      <c r="A149" s="5" t="s">
        <v>467</v>
      </c>
      <c r="B149" s="5" t="s">
        <v>468</v>
      </c>
      <c r="C149" s="5" t="s">
        <v>226</v>
      </c>
      <c r="D149" s="5" t="s">
        <v>227</v>
      </c>
      <c r="E149" s="5" t="s">
        <v>134</v>
      </c>
      <c r="F149" s="5" t="s">
        <v>131</v>
      </c>
      <c r="G149" s="5" t="s">
        <v>131</v>
      </c>
      <c r="H149" s="5" t="s">
        <v>131</v>
      </c>
      <c r="I149" s="5" t="s">
        <v>131</v>
      </c>
      <c r="J149" s="5" t="s">
        <v>423</v>
      </c>
      <c r="K149" s="5" t="s">
        <v>138</v>
      </c>
    </row>
    <row r="150" spans="1:11" x14ac:dyDescent="0.25">
      <c r="A150" s="5" t="s">
        <v>469</v>
      </c>
      <c r="B150" s="5" t="s">
        <v>470</v>
      </c>
      <c r="C150" s="5" t="s">
        <v>226</v>
      </c>
      <c r="D150" s="5" t="s">
        <v>227</v>
      </c>
      <c r="E150" s="5" t="s">
        <v>134</v>
      </c>
      <c r="F150" s="5" t="s">
        <v>131</v>
      </c>
      <c r="G150" s="5" t="s">
        <v>131</v>
      </c>
      <c r="H150" s="5" t="s">
        <v>131</v>
      </c>
      <c r="I150" s="5" t="s">
        <v>131</v>
      </c>
      <c r="J150" s="5" t="s">
        <v>243</v>
      </c>
      <c r="K150" s="5" t="s">
        <v>244</v>
      </c>
    </row>
    <row r="151" spans="1:11" x14ac:dyDescent="0.25">
      <c r="A151" s="5" t="s">
        <v>471</v>
      </c>
      <c r="B151" s="5" t="s">
        <v>472</v>
      </c>
      <c r="C151" s="5" t="s">
        <v>226</v>
      </c>
      <c r="D151" s="5" t="s">
        <v>227</v>
      </c>
      <c r="E151" s="5" t="s">
        <v>134</v>
      </c>
      <c r="F151" s="5" t="s">
        <v>131</v>
      </c>
      <c r="G151" s="5" t="s">
        <v>131</v>
      </c>
      <c r="H151" s="5" t="s">
        <v>131</v>
      </c>
      <c r="I151" s="5" t="s">
        <v>131</v>
      </c>
      <c r="J151" s="5" t="s">
        <v>243</v>
      </c>
      <c r="K151" s="5" t="s">
        <v>138</v>
      </c>
    </row>
    <row r="152" spans="1:11" x14ac:dyDescent="0.25">
      <c r="A152" s="5" t="s">
        <v>473</v>
      </c>
      <c r="B152" s="5" t="s">
        <v>474</v>
      </c>
      <c r="C152" s="5" t="s">
        <v>226</v>
      </c>
      <c r="D152" s="5" t="s">
        <v>227</v>
      </c>
      <c r="E152" s="5" t="s">
        <v>134</v>
      </c>
      <c r="F152" s="5" t="s">
        <v>131</v>
      </c>
      <c r="G152" s="5" t="s">
        <v>131</v>
      </c>
      <c r="H152" s="5" t="s">
        <v>131</v>
      </c>
      <c r="I152" s="5" t="s">
        <v>131</v>
      </c>
      <c r="J152" s="5" t="s">
        <v>243</v>
      </c>
      <c r="K152" s="5" t="s">
        <v>244</v>
      </c>
    </row>
    <row r="153" spans="1:11" x14ac:dyDescent="0.25">
      <c r="A153" s="5" t="s">
        <v>475</v>
      </c>
      <c r="B153" s="5" t="s">
        <v>476</v>
      </c>
      <c r="C153" s="5" t="s">
        <v>226</v>
      </c>
      <c r="D153" s="5" t="s">
        <v>227</v>
      </c>
      <c r="E153" s="5" t="s">
        <v>134</v>
      </c>
      <c r="F153" s="5" t="s">
        <v>131</v>
      </c>
      <c r="G153" s="5" t="s">
        <v>131</v>
      </c>
      <c r="H153" s="5" t="s">
        <v>131</v>
      </c>
      <c r="I153" s="5" t="s">
        <v>131</v>
      </c>
      <c r="J153" s="5" t="s">
        <v>423</v>
      </c>
      <c r="K153" s="5" t="s">
        <v>244</v>
      </c>
    </row>
    <row r="154" spans="1:11" x14ac:dyDescent="0.25">
      <c r="A154" s="5" t="s">
        <v>477</v>
      </c>
      <c r="B154" s="5" t="s">
        <v>478</v>
      </c>
      <c r="C154" s="5" t="s">
        <v>226</v>
      </c>
      <c r="D154" s="5" t="s">
        <v>227</v>
      </c>
      <c r="E154" s="5" t="s">
        <v>134</v>
      </c>
      <c r="F154" s="5" t="s">
        <v>131</v>
      </c>
      <c r="G154" s="5" t="s">
        <v>131</v>
      </c>
      <c r="H154" s="5" t="s">
        <v>131</v>
      </c>
      <c r="I154" s="5" t="s">
        <v>131</v>
      </c>
      <c r="J154" s="5" t="s">
        <v>243</v>
      </c>
      <c r="K154" s="5" t="s">
        <v>244</v>
      </c>
    </row>
    <row r="155" spans="1:11" x14ac:dyDescent="0.25">
      <c r="A155" s="5" t="s">
        <v>479</v>
      </c>
      <c r="B155" s="5" t="s">
        <v>480</v>
      </c>
      <c r="C155" s="5" t="s">
        <v>226</v>
      </c>
      <c r="D155" s="5" t="s">
        <v>227</v>
      </c>
      <c r="E155" s="5" t="s">
        <v>134</v>
      </c>
      <c r="F155" s="5" t="s">
        <v>131</v>
      </c>
      <c r="G155" s="5" t="s">
        <v>131</v>
      </c>
      <c r="H155" s="5" t="s">
        <v>131</v>
      </c>
      <c r="I155" s="5" t="s">
        <v>131</v>
      </c>
      <c r="J155" s="5" t="s">
        <v>423</v>
      </c>
      <c r="K155" s="5" t="s">
        <v>244</v>
      </c>
    </row>
    <row r="156" spans="1:11" x14ac:dyDescent="0.25">
      <c r="A156" s="5" t="s">
        <v>481</v>
      </c>
      <c r="B156" s="5" t="s">
        <v>482</v>
      </c>
      <c r="C156" s="5" t="s">
        <v>226</v>
      </c>
      <c r="D156" s="5" t="s">
        <v>227</v>
      </c>
      <c r="E156" s="5" t="s">
        <v>134</v>
      </c>
      <c r="F156" s="5" t="s">
        <v>131</v>
      </c>
      <c r="G156" s="5" t="s">
        <v>131</v>
      </c>
      <c r="H156" s="5" t="s">
        <v>131</v>
      </c>
      <c r="I156" s="5" t="s">
        <v>131</v>
      </c>
      <c r="J156" s="5" t="s">
        <v>243</v>
      </c>
      <c r="K156" s="5" t="s">
        <v>244</v>
      </c>
    </row>
    <row r="157" spans="1:11" x14ac:dyDescent="0.25">
      <c r="A157" s="5" t="s">
        <v>483</v>
      </c>
      <c r="B157" s="5" t="s">
        <v>484</v>
      </c>
      <c r="C157" s="5" t="s">
        <v>226</v>
      </c>
      <c r="D157" s="5" t="s">
        <v>227</v>
      </c>
      <c r="E157" s="5" t="s">
        <v>134</v>
      </c>
      <c r="F157" s="5" t="s">
        <v>131</v>
      </c>
      <c r="G157" s="5" t="s">
        <v>131</v>
      </c>
      <c r="H157" s="5" t="s">
        <v>131</v>
      </c>
      <c r="I157" s="5" t="s">
        <v>131</v>
      </c>
      <c r="J157" s="5" t="s">
        <v>243</v>
      </c>
      <c r="K157" s="5" t="s">
        <v>244</v>
      </c>
    </row>
    <row r="158" spans="1:11" x14ac:dyDescent="0.25">
      <c r="A158" s="5" t="s">
        <v>485</v>
      </c>
      <c r="B158" s="5" t="s">
        <v>486</v>
      </c>
      <c r="C158" s="5" t="s">
        <v>226</v>
      </c>
      <c r="D158" s="5" t="s">
        <v>227</v>
      </c>
      <c r="E158" s="5" t="s">
        <v>134</v>
      </c>
      <c r="F158" s="5" t="s">
        <v>131</v>
      </c>
      <c r="G158" s="5" t="s">
        <v>131</v>
      </c>
      <c r="H158" s="5" t="s">
        <v>131</v>
      </c>
      <c r="I158" s="5" t="s">
        <v>131</v>
      </c>
      <c r="J158" s="5" t="s">
        <v>243</v>
      </c>
      <c r="K158" s="5" t="s">
        <v>138</v>
      </c>
    </row>
    <row r="159" spans="1:11" x14ac:dyDescent="0.25">
      <c r="A159" s="5" t="s">
        <v>487</v>
      </c>
      <c r="B159" s="5" t="s">
        <v>488</v>
      </c>
      <c r="C159" s="5" t="s">
        <v>226</v>
      </c>
      <c r="D159" s="5" t="s">
        <v>227</v>
      </c>
      <c r="E159" s="5" t="s">
        <v>134</v>
      </c>
      <c r="F159" s="5" t="s">
        <v>131</v>
      </c>
      <c r="G159" s="5" t="s">
        <v>131</v>
      </c>
      <c r="H159" s="5" t="s">
        <v>131</v>
      </c>
      <c r="I159" s="5" t="s">
        <v>131</v>
      </c>
      <c r="J159" s="5" t="s">
        <v>243</v>
      </c>
      <c r="K159" s="5" t="s">
        <v>244</v>
      </c>
    </row>
    <row r="160" spans="1:11" x14ac:dyDescent="0.25">
      <c r="A160" s="5" t="s">
        <v>489</v>
      </c>
      <c r="B160" s="5" t="s">
        <v>490</v>
      </c>
      <c r="C160" s="5" t="s">
        <v>226</v>
      </c>
      <c r="D160" s="5" t="s">
        <v>227</v>
      </c>
      <c r="E160" s="5" t="s">
        <v>134</v>
      </c>
      <c r="F160" s="5" t="s">
        <v>131</v>
      </c>
      <c r="G160" s="5" t="s">
        <v>131</v>
      </c>
      <c r="H160" s="5" t="s">
        <v>131</v>
      </c>
      <c r="I160" s="5" t="s">
        <v>131</v>
      </c>
      <c r="J160" s="5" t="s">
        <v>423</v>
      </c>
      <c r="K160" s="5" t="s">
        <v>244</v>
      </c>
    </row>
    <row r="161" spans="1:11" x14ac:dyDescent="0.25">
      <c r="A161" s="5" t="s">
        <v>491</v>
      </c>
      <c r="B161" s="5" t="s">
        <v>492</v>
      </c>
      <c r="C161" s="5" t="s">
        <v>226</v>
      </c>
      <c r="D161" s="5" t="s">
        <v>227</v>
      </c>
      <c r="E161" s="5" t="s">
        <v>134</v>
      </c>
      <c r="F161" s="5" t="s">
        <v>131</v>
      </c>
      <c r="G161" s="5" t="s">
        <v>131</v>
      </c>
      <c r="H161" s="5" t="s">
        <v>131</v>
      </c>
      <c r="I161" s="5" t="s">
        <v>131</v>
      </c>
      <c r="J161" s="5" t="s">
        <v>243</v>
      </c>
      <c r="K161" s="5" t="s">
        <v>138</v>
      </c>
    </row>
    <row r="162" spans="1:11" x14ac:dyDescent="0.25">
      <c r="A162" s="5" t="s">
        <v>493</v>
      </c>
      <c r="B162" s="5" t="s">
        <v>494</v>
      </c>
      <c r="C162" s="5" t="s">
        <v>226</v>
      </c>
      <c r="D162" s="5" t="s">
        <v>227</v>
      </c>
      <c r="E162" s="5" t="s">
        <v>134</v>
      </c>
      <c r="F162" s="5" t="s">
        <v>131</v>
      </c>
      <c r="G162" s="5" t="s">
        <v>131</v>
      </c>
      <c r="H162" s="5" t="s">
        <v>131</v>
      </c>
      <c r="I162" s="5" t="s">
        <v>131</v>
      </c>
      <c r="J162" s="5" t="s">
        <v>243</v>
      </c>
      <c r="K162" s="5" t="s">
        <v>244</v>
      </c>
    </row>
    <row r="163" spans="1:11" x14ac:dyDescent="0.25">
      <c r="A163" s="5" t="s">
        <v>495</v>
      </c>
      <c r="B163" s="5" t="s">
        <v>496</v>
      </c>
      <c r="C163" s="5" t="s">
        <v>226</v>
      </c>
      <c r="D163" s="5" t="s">
        <v>227</v>
      </c>
      <c r="E163" s="5" t="s">
        <v>134</v>
      </c>
      <c r="F163" s="5" t="s">
        <v>131</v>
      </c>
      <c r="G163" s="5" t="s">
        <v>131</v>
      </c>
      <c r="H163" s="5" t="s">
        <v>131</v>
      </c>
      <c r="I163" s="5" t="s">
        <v>131</v>
      </c>
      <c r="J163" s="5" t="s">
        <v>243</v>
      </c>
      <c r="K163" s="5" t="s">
        <v>244</v>
      </c>
    </row>
    <row r="164" spans="1:11" x14ac:dyDescent="0.25">
      <c r="A164" s="5" t="s">
        <v>497</v>
      </c>
      <c r="B164" s="5" t="s">
        <v>391</v>
      </c>
      <c r="C164" s="5" t="s">
        <v>226</v>
      </c>
      <c r="D164" s="5" t="s">
        <v>227</v>
      </c>
      <c r="E164" s="5" t="s">
        <v>134</v>
      </c>
      <c r="F164" s="5" t="s">
        <v>131</v>
      </c>
      <c r="G164" s="5" t="s">
        <v>131</v>
      </c>
      <c r="H164" s="5" t="s">
        <v>131</v>
      </c>
      <c r="I164" s="5" t="s">
        <v>131</v>
      </c>
      <c r="J164" s="5" t="s">
        <v>243</v>
      </c>
      <c r="K164" s="5" t="s">
        <v>138</v>
      </c>
    </row>
    <row r="165" spans="1:11" x14ac:dyDescent="0.25">
      <c r="A165" s="5" t="s">
        <v>498</v>
      </c>
      <c r="B165" s="5" t="s">
        <v>499</v>
      </c>
      <c r="C165" s="5" t="s">
        <v>226</v>
      </c>
      <c r="D165" s="5" t="s">
        <v>227</v>
      </c>
      <c r="E165" s="5" t="s">
        <v>134</v>
      </c>
      <c r="F165" s="5" t="s">
        <v>131</v>
      </c>
      <c r="G165" s="5" t="s">
        <v>131</v>
      </c>
      <c r="H165" s="5" t="s">
        <v>131</v>
      </c>
      <c r="I165" s="5" t="s">
        <v>131</v>
      </c>
      <c r="J165" s="5" t="s">
        <v>243</v>
      </c>
      <c r="K165" s="5" t="s">
        <v>244</v>
      </c>
    </row>
    <row r="166" spans="1:11" x14ac:dyDescent="0.25">
      <c r="A166" s="5" t="s">
        <v>500</v>
      </c>
      <c r="B166" s="5" t="s">
        <v>501</v>
      </c>
      <c r="C166" s="5" t="s">
        <v>226</v>
      </c>
      <c r="D166" s="5" t="s">
        <v>227</v>
      </c>
      <c r="E166" s="5" t="s">
        <v>134</v>
      </c>
      <c r="F166" s="5" t="s">
        <v>131</v>
      </c>
      <c r="G166" s="5" t="s">
        <v>131</v>
      </c>
      <c r="H166" s="5" t="s">
        <v>131</v>
      </c>
      <c r="I166" s="5" t="s">
        <v>131</v>
      </c>
      <c r="J166" s="5" t="s">
        <v>243</v>
      </c>
      <c r="K166" s="5" t="s">
        <v>138</v>
      </c>
    </row>
    <row r="167" spans="1:11" x14ac:dyDescent="0.25">
      <c r="A167" s="5" t="s">
        <v>502</v>
      </c>
      <c r="B167" s="5" t="s">
        <v>503</v>
      </c>
      <c r="C167" s="5" t="s">
        <v>226</v>
      </c>
      <c r="D167" s="5" t="s">
        <v>227</v>
      </c>
      <c r="E167" s="5" t="s">
        <v>134</v>
      </c>
      <c r="F167" s="5" t="s">
        <v>131</v>
      </c>
      <c r="G167" s="5" t="s">
        <v>131</v>
      </c>
      <c r="H167" s="5" t="s">
        <v>131</v>
      </c>
      <c r="I167" s="5" t="s">
        <v>131</v>
      </c>
      <c r="J167" s="5" t="s">
        <v>423</v>
      </c>
      <c r="K167" s="5" t="s">
        <v>138</v>
      </c>
    </row>
    <row r="168" spans="1:11" x14ac:dyDescent="0.25">
      <c r="A168" s="5" t="s">
        <v>504</v>
      </c>
      <c r="B168" s="5" t="s">
        <v>505</v>
      </c>
      <c r="C168" s="5" t="s">
        <v>226</v>
      </c>
      <c r="D168" s="5" t="s">
        <v>227</v>
      </c>
      <c r="E168" s="5" t="s">
        <v>134</v>
      </c>
      <c r="F168" s="5" t="s">
        <v>131</v>
      </c>
      <c r="G168" s="5" t="s">
        <v>131</v>
      </c>
      <c r="H168" s="5" t="s">
        <v>131</v>
      </c>
      <c r="I168" s="5" t="s">
        <v>131</v>
      </c>
      <c r="J168" s="5" t="s">
        <v>423</v>
      </c>
      <c r="K168" s="5" t="s">
        <v>138</v>
      </c>
    </row>
    <row r="169" spans="1:11" x14ac:dyDescent="0.25">
      <c r="A169" s="5" t="s">
        <v>506</v>
      </c>
      <c r="B169" s="5" t="s">
        <v>507</v>
      </c>
      <c r="C169" s="5" t="s">
        <v>226</v>
      </c>
      <c r="D169" s="5" t="s">
        <v>227</v>
      </c>
      <c r="E169" s="5" t="s">
        <v>134</v>
      </c>
      <c r="F169" s="5" t="s">
        <v>131</v>
      </c>
      <c r="G169" s="5" t="s">
        <v>131</v>
      </c>
      <c r="H169" s="5" t="s">
        <v>131</v>
      </c>
      <c r="I169" s="5" t="s">
        <v>131</v>
      </c>
      <c r="J169" s="5" t="s">
        <v>228</v>
      </c>
      <c r="K169" s="5" t="s">
        <v>138</v>
      </c>
    </row>
    <row r="170" spans="1:11" x14ac:dyDescent="0.25">
      <c r="A170" s="5" t="s">
        <v>508</v>
      </c>
      <c r="B170" s="5" t="s">
        <v>509</v>
      </c>
      <c r="C170" s="5" t="s">
        <v>226</v>
      </c>
      <c r="D170" s="5" t="s">
        <v>227</v>
      </c>
      <c r="E170" s="5" t="s">
        <v>134</v>
      </c>
      <c r="F170" s="5" t="s">
        <v>131</v>
      </c>
      <c r="G170" s="5" t="s">
        <v>131</v>
      </c>
      <c r="H170" s="5" t="s">
        <v>131</v>
      </c>
      <c r="I170" s="5" t="s">
        <v>131</v>
      </c>
      <c r="J170" s="5" t="s">
        <v>243</v>
      </c>
      <c r="K170" s="5" t="s">
        <v>138</v>
      </c>
    </row>
    <row r="171" spans="1:11" x14ac:dyDescent="0.25">
      <c r="A171" s="5" t="s">
        <v>510</v>
      </c>
      <c r="B171" s="5" t="s">
        <v>511</v>
      </c>
      <c r="C171" s="5" t="s">
        <v>226</v>
      </c>
      <c r="D171" s="5" t="s">
        <v>227</v>
      </c>
      <c r="E171" s="5" t="s">
        <v>134</v>
      </c>
      <c r="F171" s="5" t="s">
        <v>131</v>
      </c>
      <c r="G171" s="5" t="s">
        <v>131</v>
      </c>
      <c r="H171" s="5" t="s">
        <v>131</v>
      </c>
      <c r="I171" s="5" t="s">
        <v>131</v>
      </c>
      <c r="J171" s="5" t="s">
        <v>243</v>
      </c>
      <c r="K171" s="5" t="s">
        <v>138</v>
      </c>
    </row>
    <row r="172" spans="1:11" x14ac:dyDescent="0.25">
      <c r="A172" s="5" t="s">
        <v>1540</v>
      </c>
      <c r="B172" s="5" t="s">
        <v>1541</v>
      </c>
      <c r="C172" s="5" t="s">
        <v>226</v>
      </c>
      <c r="D172" s="5" t="s">
        <v>1542</v>
      </c>
      <c r="E172" s="5" t="s">
        <v>134</v>
      </c>
      <c r="F172" s="5" t="s">
        <v>131</v>
      </c>
      <c r="G172" s="5" t="s">
        <v>131</v>
      </c>
      <c r="H172" s="5" t="s">
        <v>131</v>
      </c>
      <c r="I172" s="5" t="s">
        <v>131</v>
      </c>
      <c r="J172" s="5" t="s">
        <v>1543</v>
      </c>
      <c r="K172" s="5" t="s">
        <v>138</v>
      </c>
    </row>
    <row r="173" spans="1:11" x14ac:dyDescent="0.25">
      <c r="A173" s="5" t="s">
        <v>512</v>
      </c>
      <c r="B173" s="5" t="s">
        <v>513</v>
      </c>
      <c r="C173" s="5" t="s">
        <v>226</v>
      </c>
      <c r="D173" s="5" t="s">
        <v>227</v>
      </c>
      <c r="E173" s="5" t="s">
        <v>134</v>
      </c>
      <c r="F173" s="5" t="s">
        <v>131</v>
      </c>
      <c r="G173" s="5" t="s">
        <v>131</v>
      </c>
      <c r="H173" s="5" t="s">
        <v>131</v>
      </c>
      <c r="I173" s="5" t="s">
        <v>131</v>
      </c>
      <c r="J173" s="5" t="s">
        <v>243</v>
      </c>
      <c r="K173" s="5" t="s">
        <v>138</v>
      </c>
    </row>
    <row r="174" spans="1:11" x14ac:dyDescent="0.25">
      <c r="A174" s="5" t="s">
        <v>514</v>
      </c>
      <c r="B174" s="5" t="s">
        <v>515</v>
      </c>
      <c r="C174" s="5" t="s">
        <v>226</v>
      </c>
      <c r="D174" s="5" t="s">
        <v>227</v>
      </c>
      <c r="E174" s="5" t="s">
        <v>134</v>
      </c>
      <c r="F174" s="5" t="s">
        <v>131</v>
      </c>
      <c r="G174" s="5" t="s">
        <v>131</v>
      </c>
      <c r="H174" s="5" t="s">
        <v>131</v>
      </c>
      <c r="I174" s="5" t="s">
        <v>131</v>
      </c>
      <c r="J174" s="5" t="s">
        <v>243</v>
      </c>
      <c r="K174" s="5" t="s">
        <v>138</v>
      </c>
    </row>
    <row r="175" spans="1:11" x14ac:dyDescent="0.25">
      <c r="A175" s="5" t="s">
        <v>516</v>
      </c>
      <c r="B175" s="5" t="s">
        <v>517</v>
      </c>
      <c r="C175" s="5" t="s">
        <v>141</v>
      </c>
      <c r="D175" s="5" t="s">
        <v>142</v>
      </c>
      <c r="E175" s="5" t="s">
        <v>134</v>
      </c>
      <c r="F175" s="5" t="s">
        <v>131</v>
      </c>
      <c r="G175" s="5" t="s">
        <v>131</v>
      </c>
      <c r="H175" s="5" t="s">
        <v>131</v>
      </c>
      <c r="I175" s="5" t="s">
        <v>131</v>
      </c>
      <c r="J175" s="5" t="s">
        <v>228</v>
      </c>
      <c r="K175" s="5" t="s">
        <v>138</v>
      </c>
    </row>
    <row r="176" spans="1:11" x14ac:dyDescent="0.25">
      <c r="A176" s="5" t="s">
        <v>518</v>
      </c>
      <c r="B176" s="5" t="s">
        <v>519</v>
      </c>
      <c r="C176" s="5" t="s">
        <v>141</v>
      </c>
      <c r="D176" s="5" t="s">
        <v>142</v>
      </c>
      <c r="E176" s="5" t="s">
        <v>134</v>
      </c>
      <c r="F176" s="5" t="s">
        <v>131</v>
      </c>
      <c r="G176" s="5" t="s">
        <v>131</v>
      </c>
      <c r="H176" s="5" t="s">
        <v>131</v>
      </c>
      <c r="I176" s="5" t="s">
        <v>131</v>
      </c>
      <c r="J176" s="5" t="s">
        <v>228</v>
      </c>
      <c r="K176" s="5" t="s">
        <v>138</v>
      </c>
    </row>
    <row r="177" spans="1:11" x14ac:dyDescent="0.25">
      <c r="A177" s="5" t="s">
        <v>520</v>
      </c>
      <c r="B177" s="5" t="s">
        <v>521</v>
      </c>
      <c r="C177" s="5" t="s">
        <v>141</v>
      </c>
      <c r="D177" s="5" t="s">
        <v>142</v>
      </c>
      <c r="E177" s="5" t="s">
        <v>134</v>
      </c>
      <c r="F177" s="5" t="s">
        <v>131</v>
      </c>
      <c r="G177" s="5" t="s">
        <v>131</v>
      </c>
      <c r="H177" s="5" t="s">
        <v>131</v>
      </c>
      <c r="I177" s="5" t="s">
        <v>131</v>
      </c>
      <c r="J177" s="5" t="s">
        <v>228</v>
      </c>
      <c r="K177" s="5" t="s">
        <v>138</v>
      </c>
    </row>
    <row r="178" spans="1:11" x14ac:dyDescent="0.25">
      <c r="A178" s="5" t="s">
        <v>522</v>
      </c>
      <c r="B178" s="5" t="s">
        <v>523</v>
      </c>
      <c r="C178" s="5" t="s">
        <v>226</v>
      </c>
      <c r="D178" s="5" t="s">
        <v>227</v>
      </c>
      <c r="E178" s="5" t="s">
        <v>134</v>
      </c>
      <c r="F178" s="5" t="s">
        <v>131</v>
      </c>
      <c r="G178" s="5" t="s">
        <v>131</v>
      </c>
      <c r="H178" s="5" t="s">
        <v>131</v>
      </c>
      <c r="I178" s="5" t="s">
        <v>131</v>
      </c>
      <c r="J178" s="5" t="s">
        <v>228</v>
      </c>
      <c r="K178" s="5" t="s">
        <v>138</v>
      </c>
    </row>
    <row r="179" spans="1:11" x14ac:dyDescent="0.25">
      <c r="A179" s="5" t="s">
        <v>524</v>
      </c>
      <c r="B179" s="5" t="s">
        <v>525</v>
      </c>
      <c r="C179" s="5" t="s">
        <v>226</v>
      </c>
      <c r="D179" s="5" t="s">
        <v>227</v>
      </c>
      <c r="E179" s="5" t="s">
        <v>134</v>
      </c>
      <c r="F179" s="5" t="s">
        <v>131</v>
      </c>
      <c r="G179" s="5" t="s">
        <v>131</v>
      </c>
      <c r="H179" s="5" t="s">
        <v>131</v>
      </c>
      <c r="I179" s="5" t="s">
        <v>131</v>
      </c>
      <c r="J179" s="5" t="s">
        <v>243</v>
      </c>
      <c r="K179" s="5" t="s">
        <v>138</v>
      </c>
    </row>
    <row r="180" spans="1:11" x14ac:dyDescent="0.25">
      <c r="A180" s="5" t="s">
        <v>526</v>
      </c>
      <c r="B180" s="5" t="s">
        <v>527</v>
      </c>
      <c r="C180" s="5" t="s">
        <v>226</v>
      </c>
      <c r="D180" s="5" t="s">
        <v>227</v>
      </c>
      <c r="E180" s="5" t="s">
        <v>134</v>
      </c>
      <c r="F180" s="5" t="s">
        <v>131</v>
      </c>
      <c r="G180" s="5" t="s">
        <v>131</v>
      </c>
      <c r="H180" s="5" t="s">
        <v>131</v>
      </c>
      <c r="I180" s="5" t="s">
        <v>131</v>
      </c>
      <c r="J180" s="5" t="s">
        <v>243</v>
      </c>
      <c r="K180" s="5" t="s">
        <v>244</v>
      </c>
    </row>
    <row r="181" spans="1:11" x14ac:dyDescent="0.25">
      <c r="A181" s="5" t="s">
        <v>528</v>
      </c>
      <c r="B181" s="5" t="s">
        <v>529</v>
      </c>
      <c r="C181" s="5" t="s">
        <v>226</v>
      </c>
      <c r="D181" s="5" t="s">
        <v>227</v>
      </c>
      <c r="E181" s="5" t="s">
        <v>134</v>
      </c>
      <c r="F181" s="5" t="s">
        <v>131</v>
      </c>
      <c r="G181" s="5" t="s">
        <v>131</v>
      </c>
      <c r="H181" s="5" t="s">
        <v>131</v>
      </c>
      <c r="I181" s="5" t="s">
        <v>131</v>
      </c>
      <c r="J181" s="5" t="s">
        <v>530</v>
      </c>
      <c r="K181" s="5" t="s">
        <v>138</v>
      </c>
    </row>
    <row r="182" spans="1:11" x14ac:dyDescent="0.25">
      <c r="A182" s="5" t="s">
        <v>531</v>
      </c>
      <c r="B182" s="5" t="s">
        <v>532</v>
      </c>
      <c r="C182" s="5" t="s">
        <v>226</v>
      </c>
      <c r="D182" s="5" t="s">
        <v>227</v>
      </c>
      <c r="E182" s="5" t="s">
        <v>134</v>
      </c>
      <c r="F182" s="5" t="s">
        <v>131</v>
      </c>
      <c r="G182" s="5" t="s">
        <v>131</v>
      </c>
      <c r="H182" s="5" t="s">
        <v>131</v>
      </c>
      <c r="I182" s="5" t="s">
        <v>131</v>
      </c>
      <c r="J182" s="5" t="s">
        <v>530</v>
      </c>
      <c r="K182" s="5" t="s">
        <v>138</v>
      </c>
    </row>
    <row r="183" spans="1:11" x14ac:dyDescent="0.25">
      <c r="A183" s="5" t="s">
        <v>533</v>
      </c>
      <c r="B183" s="5" t="s">
        <v>232</v>
      </c>
      <c r="C183" s="5" t="s">
        <v>231</v>
      </c>
      <c r="D183" s="5" t="s">
        <v>232</v>
      </c>
      <c r="E183" s="5" t="s">
        <v>134</v>
      </c>
      <c r="F183" s="5" t="s">
        <v>131</v>
      </c>
      <c r="G183" s="5" t="s">
        <v>131</v>
      </c>
      <c r="H183" s="5" t="s">
        <v>131</v>
      </c>
      <c r="I183" s="5" t="s">
        <v>131</v>
      </c>
      <c r="J183" s="5" t="s">
        <v>423</v>
      </c>
      <c r="K183" s="5" t="s">
        <v>138</v>
      </c>
    </row>
    <row r="184" spans="1:11" x14ac:dyDescent="0.25">
      <c r="A184" s="5" t="s">
        <v>534</v>
      </c>
      <c r="B184" s="5" t="s">
        <v>535</v>
      </c>
      <c r="C184" s="5" t="s">
        <v>226</v>
      </c>
      <c r="D184" s="5" t="s">
        <v>227</v>
      </c>
      <c r="E184" s="5" t="s">
        <v>134</v>
      </c>
      <c r="F184" s="5" t="s">
        <v>131</v>
      </c>
      <c r="G184" s="5" t="s">
        <v>131</v>
      </c>
      <c r="H184" s="5" t="s">
        <v>131</v>
      </c>
      <c r="I184" s="5" t="s">
        <v>131</v>
      </c>
      <c r="J184" s="5" t="s">
        <v>530</v>
      </c>
      <c r="K184" s="5" t="s">
        <v>138</v>
      </c>
    </row>
    <row r="185" spans="1:11" x14ac:dyDescent="0.25">
      <c r="A185" s="5" t="s">
        <v>536</v>
      </c>
      <c r="B185" s="5" t="s">
        <v>537</v>
      </c>
      <c r="C185" s="5" t="s">
        <v>226</v>
      </c>
      <c r="D185" s="5" t="s">
        <v>227</v>
      </c>
      <c r="E185" s="5" t="s">
        <v>134</v>
      </c>
      <c r="F185" s="5" t="s">
        <v>131</v>
      </c>
      <c r="G185" s="5" t="s">
        <v>131</v>
      </c>
      <c r="H185" s="5" t="s">
        <v>131</v>
      </c>
      <c r="I185" s="5" t="s">
        <v>131</v>
      </c>
      <c r="J185" s="5" t="s">
        <v>530</v>
      </c>
      <c r="K185" s="5" t="s">
        <v>138</v>
      </c>
    </row>
    <row r="186" spans="1:11" x14ac:dyDescent="0.25">
      <c r="A186" s="5" t="s">
        <v>538</v>
      </c>
      <c r="B186" s="5" t="s">
        <v>539</v>
      </c>
      <c r="C186" s="5" t="s">
        <v>226</v>
      </c>
      <c r="D186" s="5" t="s">
        <v>227</v>
      </c>
      <c r="E186" s="5" t="s">
        <v>134</v>
      </c>
      <c r="F186" s="5" t="s">
        <v>131</v>
      </c>
      <c r="G186" s="5" t="s">
        <v>131</v>
      </c>
      <c r="H186" s="5" t="s">
        <v>131</v>
      </c>
      <c r="I186" s="5" t="s">
        <v>131</v>
      </c>
      <c r="J186" s="5" t="s">
        <v>530</v>
      </c>
      <c r="K186" s="5" t="s">
        <v>138</v>
      </c>
    </row>
    <row r="187" spans="1:11" x14ac:dyDescent="0.25">
      <c r="A187" s="5" t="s">
        <v>540</v>
      </c>
      <c r="B187" s="5" t="s">
        <v>541</v>
      </c>
      <c r="C187" s="5" t="s">
        <v>226</v>
      </c>
      <c r="D187" s="5" t="s">
        <v>227</v>
      </c>
      <c r="E187" s="5" t="s">
        <v>134</v>
      </c>
      <c r="F187" s="5" t="s">
        <v>131</v>
      </c>
      <c r="G187" s="5" t="s">
        <v>131</v>
      </c>
      <c r="H187" s="5" t="s">
        <v>131</v>
      </c>
      <c r="I187" s="5" t="s">
        <v>131</v>
      </c>
      <c r="J187" s="5" t="s">
        <v>530</v>
      </c>
      <c r="K187" s="5" t="s">
        <v>138</v>
      </c>
    </row>
    <row r="188" spans="1:11" x14ac:dyDescent="0.25">
      <c r="A188" s="5" t="s">
        <v>542</v>
      </c>
      <c r="B188" s="5" t="s">
        <v>543</v>
      </c>
      <c r="C188" s="5" t="s">
        <v>226</v>
      </c>
      <c r="D188" s="5" t="s">
        <v>227</v>
      </c>
      <c r="E188" s="5" t="s">
        <v>134</v>
      </c>
      <c r="F188" s="5" t="s">
        <v>131</v>
      </c>
      <c r="G188" s="5" t="s">
        <v>131</v>
      </c>
      <c r="H188" s="5" t="s">
        <v>131</v>
      </c>
      <c r="I188" s="5" t="s">
        <v>131</v>
      </c>
      <c r="J188" s="5" t="s">
        <v>544</v>
      </c>
      <c r="K188" s="5" t="s">
        <v>244</v>
      </c>
    </row>
    <row r="189" spans="1:11" x14ac:dyDescent="0.25">
      <c r="A189" s="5" t="s">
        <v>545</v>
      </c>
      <c r="B189" s="5" t="s">
        <v>546</v>
      </c>
      <c r="C189" s="5" t="s">
        <v>226</v>
      </c>
      <c r="D189" s="5" t="s">
        <v>227</v>
      </c>
      <c r="E189" s="5" t="s">
        <v>134</v>
      </c>
      <c r="F189" s="5" t="s">
        <v>131</v>
      </c>
      <c r="G189" s="5" t="s">
        <v>131</v>
      </c>
      <c r="H189" s="5" t="s">
        <v>131</v>
      </c>
      <c r="I189" s="5" t="s">
        <v>131</v>
      </c>
      <c r="J189" s="5" t="s">
        <v>544</v>
      </c>
      <c r="K189" s="5" t="s">
        <v>244</v>
      </c>
    </row>
    <row r="190" spans="1:11" x14ac:dyDescent="0.25">
      <c r="A190" s="5" t="s">
        <v>547</v>
      </c>
      <c r="B190" s="5" t="s">
        <v>548</v>
      </c>
      <c r="C190" s="5" t="s">
        <v>226</v>
      </c>
      <c r="D190" s="5" t="s">
        <v>227</v>
      </c>
      <c r="E190" s="5" t="s">
        <v>134</v>
      </c>
      <c r="F190" s="5" t="s">
        <v>131</v>
      </c>
      <c r="G190" s="5" t="s">
        <v>131</v>
      </c>
      <c r="H190" s="5" t="s">
        <v>131</v>
      </c>
      <c r="I190" s="5" t="s">
        <v>131</v>
      </c>
      <c r="J190" s="5" t="s">
        <v>530</v>
      </c>
      <c r="K190" s="5" t="s">
        <v>138</v>
      </c>
    </row>
    <row r="191" spans="1:11" x14ac:dyDescent="0.25">
      <c r="A191" s="5" t="s">
        <v>549</v>
      </c>
      <c r="B191" s="5" t="s">
        <v>550</v>
      </c>
      <c r="C191" s="5" t="s">
        <v>226</v>
      </c>
      <c r="D191" s="5" t="s">
        <v>551</v>
      </c>
      <c r="E191" s="5" t="s">
        <v>552</v>
      </c>
      <c r="F191" s="5" t="s">
        <v>131</v>
      </c>
      <c r="G191" s="5" t="s">
        <v>131</v>
      </c>
      <c r="H191" s="5" t="s">
        <v>131</v>
      </c>
      <c r="I191" s="5" t="s">
        <v>131</v>
      </c>
      <c r="J191" s="5" t="s">
        <v>553</v>
      </c>
      <c r="K191" s="5" t="s">
        <v>138</v>
      </c>
    </row>
    <row r="192" spans="1:11" x14ac:dyDescent="0.25">
      <c r="A192" s="5" t="s">
        <v>554</v>
      </c>
      <c r="B192" s="5" t="s">
        <v>555</v>
      </c>
      <c r="C192" s="5" t="s">
        <v>226</v>
      </c>
      <c r="D192" s="5" t="s">
        <v>551</v>
      </c>
      <c r="E192" s="5" t="s">
        <v>552</v>
      </c>
      <c r="F192" s="5" t="s">
        <v>131</v>
      </c>
      <c r="G192" s="5" t="s">
        <v>131</v>
      </c>
      <c r="H192" s="5" t="s">
        <v>131</v>
      </c>
      <c r="I192" s="5" t="s">
        <v>131</v>
      </c>
      <c r="J192" s="5" t="s">
        <v>556</v>
      </c>
      <c r="K192" s="5" t="s">
        <v>138</v>
      </c>
    </row>
    <row r="193" spans="1:11" x14ac:dyDescent="0.25">
      <c r="A193" s="5" t="s">
        <v>557</v>
      </c>
      <c r="B193" s="5" t="s">
        <v>558</v>
      </c>
      <c r="C193" s="5" t="s">
        <v>226</v>
      </c>
      <c r="D193" s="5" t="s">
        <v>227</v>
      </c>
      <c r="E193" s="5" t="s">
        <v>134</v>
      </c>
      <c r="F193" s="5" t="s">
        <v>131</v>
      </c>
      <c r="G193" s="5" t="s">
        <v>131</v>
      </c>
      <c r="H193" s="5" t="s">
        <v>131</v>
      </c>
      <c r="I193" s="5" t="s">
        <v>131</v>
      </c>
      <c r="J193" s="5" t="s">
        <v>530</v>
      </c>
      <c r="K193" s="5" t="s">
        <v>138</v>
      </c>
    </row>
    <row r="194" spans="1:11" x14ac:dyDescent="0.25">
      <c r="A194" s="5" t="s">
        <v>559</v>
      </c>
      <c r="B194" s="5" t="s">
        <v>560</v>
      </c>
      <c r="C194" s="5" t="s">
        <v>226</v>
      </c>
      <c r="D194" s="5" t="s">
        <v>227</v>
      </c>
      <c r="E194" s="5" t="s">
        <v>134</v>
      </c>
      <c r="F194" s="5" t="s">
        <v>131</v>
      </c>
      <c r="G194" s="5" t="s">
        <v>131</v>
      </c>
      <c r="H194" s="5" t="s">
        <v>131</v>
      </c>
      <c r="I194" s="5" t="s">
        <v>131</v>
      </c>
      <c r="J194" s="5" t="s">
        <v>530</v>
      </c>
      <c r="K194" s="5" t="s">
        <v>138</v>
      </c>
    </row>
    <row r="195" spans="1:11" x14ac:dyDescent="0.25">
      <c r="A195" s="5" t="s">
        <v>561</v>
      </c>
      <c r="B195" s="5" t="s">
        <v>562</v>
      </c>
      <c r="C195" s="5" t="s">
        <v>226</v>
      </c>
      <c r="D195" s="5" t="s">
        <v>227</v>
      </c>
      <c r="E195" s="5" t="s">
        <v>134</v>
      </c>
      <c r="F195" s="5" t="s">
        <v>131</v>
      </c>
      <c r="G195" s="5" t="s">
        <v>131</v>
      </c>
      <c r="H195" s="5" t="s">
        <v>131</v>
      </c>
      <c r="I195" s="5" t="s">
        <v>131</v>
      </c>
      <c r="J195" s="5" t="s">
        <v>530</v>
      </c>
      <c r="K195" s="5" t="s">
        <v>138</v>
      </c>
    </row>
    <row r="196" spans="1:11" x14ac:dyDescent="0.25">
      <c r="A196" s="5" t="s">
        <v>563</v>
      </c>
      <c r="B196" s="5" t="s">
        <v>564</v>
      </c>
      <c r="C196" s="5" t="s">
        <v>226</v>
      </c>
      <c r="D196" s="5" t="s">
        <v>227</v>
      </c>
      <c r="E196" s="5" t="s">
        <v>134</v>
      </c>
      <c r="F196" s="5" t="s">
        <v>131</v>
      </c>
      <c r="G196" s="5" t="s">
        <v>131</v>
      </c>
      <c r="H196" s="5" t="s">
        <v>131</v>
      </c>
      <c r="I196" s="5" t="s">
        <v>131</v>
      </c>
      <c r="J196" s="5" t="s">
        <v>530</v>
      </c>
      <c r="K196" s="5" t="s">
        <v>138</v>
      </c>
    </row>
    <row r="197" spans="1:11" x14ac:dyDescent="0.25">
      <c r="A197" s="5" t="s">
        <v>565</v>
      </c>
      <c r="B197" s="5" t="s">
        <v>566</v>
      </c>
      <c r="C197" s="5" t="s">
        <v>226</v>
      </c>
      <c r="D197" s="5" t="s">
        <v>227</v>
      </c>
      <c r="E197" s="5" t="s">
        <v>134</v>
      </c>
      <c r="F197" s="5" t="s">
        <v>131</v>
      </c>
      <c r="G197" s="5" t="s">
        <v>131</v>
      </c>
      <c r="H197" s="5" t="s">
        <v>131</v>
      </c>
      <c r="I197" s="5" t="s">
        <v>131</v>
      </c>
      <c r="J197" s="5" t="s">
        <v>530</v>
      </c>
      <c r="K197" s="5" t="s">
        <v>138</v>
      </c>
    </row>
    <row r="198" spans="1:11" x14ac:dyDescent="0.25">
      <c r="A198" s="5" t="s">
        <v>567</v>
      </c>
      <c r="B198" s="5" t="s">
        <v>568</v>
      </c>
      <c r="C198" s="5" t="s">
        <v>226</v>
      </c>
      <c r="D198" s="5" t="s">
        <v>227</v>
      </c>
      <c r="E198" s="5" t="s">
        <v>134</v>
      </c>
      <c r="F198" s="5" t="s">
        <v>131</v>
      </c>
      <c r="G198" s="5" t="s">
        <v>131</v>
      </c>
      <c r="H198" s="5" t="s">
        <v>131</v>
      </c>
      <c r="I198" s="5" t="s">
        <v>131</v>
      </c>
      <c r="J198" s="5" t="s">
        <v>530</v>
      </c>
      <c r="K198" s="5" t="s">
        <v>166</v>
      </c>
    </row>
    <row r="199" spans="1:11" x14ac:dyDescent="0.25">
      <c r="A199" s="5" t="s">
        <v>569</v>
      </c>
      <c r="B199" s="5" t="s">
        <v>570</v>
      </c>
      <c r="C199" s="5" t="s">
        <v>226</v>
      </c>
      <c r="D199" s="5" t="s">
        <v>227</v>
      </c>
      <c r="E199" s="5" t="s">
        <v>134</v>
      </c>
      <c r="F199" s="5" t="s">
        <v>131</v>
      </c>
      <c r="G199" s="5" t="s">
        <v>131</v>
      </c>
      <c r="H199" s="5" t="s">
        <v>131</v>
      </c>
      <c r="I199" s="5" t="s">
        <v>131</v>
      </c>
      <c r="J199" s="5" t="s">
        <v>530</v>
      </c>
      <c r="K199" s="5" t="s">
        <v>138</v>
      </c>
    </row>
    <row r="200" spans="1:11" x14ac:dyDescent="0.25">
      <c r="A200" s="5" t="s">
        <v>571</v>
      </c>
      <c r="B200" s="5" t="s">
        <v>572</v>
      </c>
      <c r="C200" s="5" t="s">
        <v>226</v>
      </c>
      <c r="D200" s="5" t="s">
        <v>227</v>
      </c>
      <c r="E200" s="5" t="s">
        <v>134</v>
      </c>
      <c r="F200" s="5" t="s">
        <v>131</v>
      </c>
      <c r="G200" s="5" t="s">
        <v>131</v>
      </c>
      <c r="H200" s="5" t="s">
        <v>131</v>
      </c>
      <c r="I200" s="5" t="s">
        <v>131</v>
      </c>
      <c r="J200" s="5" t="s">
        <v>544</v>
      </c>
      <c r="K200" s="5" t="s">
        <v>244</v>
      </c>
    </row>
    <row r="201" spans="1:11" x14ac:dyDescent="0.25">
      <c r="A201" s="5" t="s">
        <v>573</v>
      </c>
      <c r="B201" s="5" t="s">
        <v>574</v>
      </c>
      <c r="C201" s="5" t="s">
        <v>226</v>
      </c>
      <c r="D201" s="5" t="s">
        <v>227</v>
      </c>
      <c r="E201" s="5" t="s">
        <v>134</v>
      </c>
      <c r="F201" s="5" t="s">
        <v>131</v>
      </c>
      <c r="G201" s="5" t="s">
        <v>131</v>
      </c>
      <c r="H201" s="5" t="s">
        <v>131</v>
      </c>
      <c r="I201" s="5" t="s">
        <v>131</v>
      </c>
      <c r="J201" s="5" t="s">
        <v>228</v>
      </c>
      <c r="K201" s="5" t="s">
        <v>138</v>
      </c>
    </row>
    <row r="202" spans="1:11" x14ac:dyDescent="0.25">
      <c r="A202" s="5" t="s">
        <v>575</v>
      </c>
      <c r="B202" s="5" t="s">
        <v>576</v>
      </c>
      <c r="C202" s="5" t="s">
        <v>226</v>
      </c>
      <c r="D202" s="5" t="s">
        <v>227</v>
      </c>
      <c r="E202" s="5" t="s">
        <v>134</v>
      </c>
      <c r="F202" s="5" t="s">
        <v>131</v>
      </c>
      <c r="G202" s="5" t="s">
        <v>131</v>
      </c>
      <c r="H202" s="5" t="s">
        <v>131</v>
      </c>
      <c r="I202" s="5" t="s">
        <v>131</v>
      </c>
      <c r="J202" s="5" t="s">
        <v>530</v>
      </c>
      <c r="K202" s="5" t="s">
        <v>138</v>
      </c>
    </row>
    <row r="203" spans="1:11" x14ac:dyDescent="0.25">
      <c r="A203" s="5" t="s">
        <v>577</v>
      </c>
      <c r="B203" s="5" t="s">
        <v>349</v>
      </c>
      <c r="C203" s="5" t="s">
        <v>226</v>
      </c>
      <c r="D203" s="5" t="s">
        <v>227</v>
      </c>
      <c r="E203" s="5" t="s">
        <v>134</v>
      </c>
      <c r="F203" s="5" t="s">
        <v>131</v>
      </c>
      <c r="G203" s="5" t="s">
        <v>131</v>
      </c>
      <c r="H203" s="5" t="s">
        <v>131</v>
      </c>
      <c r="I203" s="5" t="s">
        <v>131</v>
      </c>
      <c r="J203" s="5" t="s">
        <v>530</v>
      </c>
      <c r="K203" s="5" t="s">
        <v>166</v>
      </c>
    </row>
    <row r="204" spans="1:11" x14ac:dyDescent="0.25">
      <c r="A204" s="5" t="s">
        <v>578</v>
      </c>
      <c r="B204" s="5" t="s">
        <v>310</v>
      </c>
      <c r="C204" s="5" t="s">
        <v>226</v>
      </c>
      <c r="D204" s="5" t="s">
        <v>227</v>
      </c>
      <c r="E204" s="5" t="s">
        <v>134</v>
      </c>
      <c r="F204" s="5" t="s">
        <v>131</v>
      </c>
      <c r="G204" s="5" t="s">
        <v>131</v>
      </c>
      <c r="H204" s="5" t="s">
        <v>131</v>
      </c>
      <c r="I204" s="5" t="s">
        <v>131</v>
      </c>
      <c r="J204" s="5" t="s">
        <v>530</v>
      </c>
      <c r="K204" s="5" t="s">
        <v>244</v>
      </c>
    </row>
    <row r="205" spans="1:11" x14ac:dyDescent="0.25">
      <c r="A205" s="5" t="s">
        <v>579</v>
      </c>
      <c r="B205" s="5" t="s">
        <v>580</v>
      </c>
      <c r="C205" s="5" t="s">
        <v>226</v>
      </c>
      <c r="D205" s="5" t="s">
        <v>227</v>
      </c>
      <c r="E205" s="5" t="s">
        <v>134</v>
      </c>
      <c r="F205" s="5" t="s">
        <v>131</v>
      </c>
      <c r="G205" s="5" t="s">
        <v>131</v>
      </c>
      <c r="H205" s="5" t="s">
        <v>131</v>
      </c>
      <c r="I205" s="5" t="s">
        <v>131</v>
      </c>
      <c r="J205" s="5" t="s">
        <v>530</v>
      </c>
      <c r="K205" s="5" t="s">
        <v>138</v>
      </c>
    </row>
    <row r="206" spans="1:11" x14ac:dyDescent="0.25">
      <c r="A206" s="5" t="s">
        <v>581</v>
      </c>
      <c r="B206" s="5" t="s">
        <v>582</v>
      </c>
      <c r="C206" s="5" t="s">
        <v>226</v>
      </c>
      <c r="D206" s="5" t="s">
        <v>227</v>
      </c>
      <c r="E206" s="5" t="s">
        <v>134</v>
      </c>
      <c r="F206" s="5" t="s">
        <v>131</v>
      </c>
      <c r="G206" s="5" t="s">
        <v>131</v>
      </c>
      <c r="H206" s="5" t="s">
        <v>131</v>
      </c>
      <c r="I206" s="5" t="s">
        <v>131</v>
      </c>
      <c r="J206" s="5" t="s">
        <v>583</v>
      </c>
      <c r="K206" s="5" t="s">
        <v>138</v>
      </c>
    </row>
    <row r="207" spans="1:11" x14ac:dyDescent="0.25">
      <c r="A207" s="5" t="s">
        <v>584</v>
      </c>
      <c r="B207" s="5" t="s">
        <v>585</v>
      </c>
      <c r="C207" s="5" t="s">
        <v>226</v>
      </c>
      <c r="D207" s="5" t="s">
        <v>227</v>
      </c>
      <c r="E207" s="5" t="s">
        <v>134</v>
      </c>
      <c r="F207" s="5" t="s">
        <v>131</v>
      </c>
      <c r="G207" s="5" t="s">
        <v>131</v>
      </c>
      <c r="H207" s="5" t="s">
        <v>131</v>
      </c>
      <c r="I207" s="5" t="s">
        <v>131</v>
      </c>
      <c r="J207" s="5" t="s">
        <v>530</v>
      </c>
      <c r="K207" s="5" t="s">
        <v>138</v>
      </c>
    </row>
    <row r="208" spans="1:11" x14ac:dyDescent="0.25">
      <c r="A208" s="5" t="s">
        <v>586</v>
      </c>
      <c r="B208" s="5" t="s">
        <v>587</v>
      </c>
      <c r="C208" s="5" t="s">
        <v>226</v>
      </c>
      <c r="D208" s="5" t="s">
        <v>227</v>
      </c>
      <c r="E208" s="5" t="s">
        <v>134</v>
      </c>
      <c r="F208" s="5" t="s">
        <v>131</v>
      </c>
      <c r="G208" s="5" t="s">
        <v>131</v>
      </c>
      <c r="H208" s="5" t="s">
        <v>131</v>
      </c>
      <c r="I208" s="5" t="s">
        <v>131</v>
      </c>
      <c r="J208" s="5" t="s">
        <v>530</v>
      </c>
      <c r="K208" s="5" t="s">
        <v>138</v>
      </c>
    </row>
    <row r="209" spans="1:11" x14ac:dyDescent="0.25">
      <c r="A209" s="5" t="s">
        <v>588</v>
      </c>
      <c r="B209" s="5" t="s">
        <v>232</v>
      </c>
      <c r="C209" s="5" t="s">
        <v>231</v>
      </c>
      <c r="D209" s="5" t="s">
        <v>232</v>
      </c>
      <c r="E209" s="5" t="s">
        <v>134</v>
      </c>
      <c r="F209" s="5" t="s">
        <v>131</v>
      </c>
      <c r="G209" s="5" t="s">
        <v>131</v>
      </c>
      <c r="H209" s="5" t="s">
        <v>131</v>
      </c>
      <c r="I209" s="5" t="s">
        <v>131</v>
      </c>
      <c r="J209" s="5" t="s">
        <v>589</v>
      </c>
      <c r="K209" s="5" t="s">
        <v>138</v>
      </c>
    </row>
    <row r="210" spans="1:11" x14ac:dyDescent="0.25">
      <c r="A210" s="5" t="s">
        <v>590</v>
      </c>
      <c r="B210" s="5" t="s">
        <v>591</v>
      </c>
      <c r="C210" s="5" t="s">
        <v>231</v>
      </c>
      <c r="D210" s="5" t="s">
        <v>232</v>
      </c>
      <c r="E210" s="5" t="s">
        <v>134</v>
      </c>
      <c r="F210" s="5" t="s">
        <v>131</v>
      </c>
      <c r="G210" s="5" t="s">
        <v>131</v>
      </c>
      <c r="H210" s="5" t="s">
        <v>131</v>
      </c>
      <c r="I210" s="5" t="s">
        <v>131</v>
      </c>
      <c r="J210" s="5" t="s">
        <v>217</v>
      </c>
      <c r="K210" s="5" t="s">
        <v>244</v>
      </c>
    </row>
    <row r="211" spans="1:11" x14ac:dyDescent="0.25">
      <c r="A211" s="5" t="s">
        <v>592</v>
      </c>
      <c r="B211" s="5" t="s">
        <v>593</v>
      </c>
      <c r="C211" s="5" t="s">
        <v>231</v>
      </c>
      <c r="D211" s="5" t="s">
        <v>232</v>
      </c>
      <c r="E211" s="5" t="s">
        <v>134</v>
      </c>
      <c r="F211" s="5" t="s">
        <v>131</v>
      </c>
      <c r="G211" s="5" t="s">
        <v>131</v>
      </c>
      <c r="H211" s="5" t="s">
        <v>131</v>
      </c>
      <c r="I211" s="5" t="s">
        <v>131</v>
      </c>
      <c r="J211" s="5" t="s">
        <v>228</v>
      </c>
      <c r="K211" s="5" t="s">
        <v>244</v>
      </c>
    </row>
    <row r="212" spans="1:11" x14ac:dyDescent="0.25">
      <c r="A212" s="5" t="s">
        <v>594</v>
      </c>
      <c r="B212" s="5" t="s">
        <v>595</v>
      </c>
      <c r="C212" s="5" t="s">
        <v>231</v>
      </c>
      <c r="D212" s="5" t="s">
        <v>232</v>
      </c>
      <c r="E212" s="5" t="s">
        <v>134</v>
      </c>
      <c r="F212" s="5" t="s">
        <v>131</v>
      </c>
      <c r="G212" s="5" t="s">
        <v>131</v>
      </c>
      <c r="H212" s="5" t="s">
        <v>131</v>
      </c>
      <c r="I212" s="5" t="s">
        <v>131</v>
      </c>
      <c r="J212" s="5" t="s">
        <v>423</v>
      </c>
      <c r="K212" s="5" t="s">
        <v>138</v>
      </c>
    </row>
    <row r="213" spans="1:11" x14ac:dyDescent="0.25">
      <c r="A213" s="5" t="s">
        <v>596</v>
      </c>
      <c r="B213" s="5" t="s">
        <v>597</v>
      </c>
      <c r="C213" s="5" t="s">
        <v>231</v>
      </c>
      <c r="D213" s="5" t="s">
        <v>232</v>
      </c>
      <c r="E213" s="5" t="s">
        <v>134</v>
      </c>
      <c r="F213" s="5" t="s">
        <v>131</v>
      </c>
      <c r="G213" s="5" t="s">
        <v>131</v>
      </c>
      <c r="H213" s="5" t="s">
        <v>131</v>
      </c>
      <c r="I213" s="5" t="s">
        <v>131</v>
      </c>
      <c r="J213" s="5" t="s">
        <v>423</v>
      </c>
      <c r="K213" s="5" t="s">
        <v>138</v>
      </c>
    </row>
    <row r="214" spans="1:11" x14ac:dyDescent="0.25">
      <c r="A214" s="5" t="s">
        <v>598</v>
      </c>
      <c r="B214" s="5" t="s">
        <v>599</v>
      </c>
      <c r="C214" s="5" t="s">
        <v>231</v>
      </c>
      <c r="D214" s="5" t="s">
        <v>232</v>
      </c>
      <c r="E214" s="5" t="s">
        <v>134</v>
      </c>
      <c r="F214" s="5" t="s">
        <v>131</v>
      </c>
      <c r="G214" s="5" t="s">
        <v>131</v>
      </c>
      <c r="H214" s="5" t="s">
        <v>131</v>
      </c>
      <c r="I214" s="5" t="s">
        <v>131</v>
      </c>
      <c r="J214" s="5" t="s">
        <v>600</v>
      </c>
      <c r="K214" s="5" t="s">
        <v>138</v>
      </c>
    </row>
    <row r="215" spans="1:11" x14ac:dyDescent="0.25">
      <c r="A215" s="5" t="s">
        <v>601</v>
      </c>
      <c r="B215" s="5" t="s">
        <v>602</v>
      </c>
      <c r="C215" s="5" t="s">
        <v>231</v>
      </c>
      <c r="D215" s="5" t="s">
        <v>232</v>
      </c>
      <c r="E215" s="5" t="s">
        <v>603</v>
      </c>
      <c r="F215" s="5" t="s">
        <v>131</v>
      </c>
      <c r="G215" s="5" t="s">
        <v>131</v>
      </c>
      <c r="H215" s="5" t="s">
        <v>131</v>
      </c>
      <c r="I215" s="5" t="s">
        <v>131</v>
      </c>
      <c r="J215" s="5" t="s">
        <v>604</v>
      </c>
      <c r="K215" s="5" t="s">
        <v>138</v>
      </c>
    </row>
    <row r="216" spans="1:11" x14ac:dyDescent="0.25">
      <c r="A216" s="5" t="s">
        <v>605</v>
      </c>
      <c r="B216" s="5" t="s">
        <v>606</v>
      </c>
      <c r="C216" s="5" t="s">
        <v>231</v>
      </c>
      <c r="D216" s="5" t="s">
        <v>232</v>
      </c>
      <c r="E216" s="5" t="s">
        <v>134</v>
      </c>
      <c r="F216" s="5" t="s">
        <v>131</v>
      </c>
      <c r="G216" s="5" t="s">
        <v>131</v>
      </c>
      <c r="H216" s="5" t="s">
        <v>131</v>
      </c>
      <c r="I216" s="5" t="s">
        <v>131</v>
      </c>
      <c r="J216" s="5" t="s">
        <v>423</v>
      </c>
      <c r="K216" s="5" t="s">
        <v>244</v>
      </c>
    </row>
    <row r="217" spans="1:11" x14ac:dyDescent="0.25">
      <c r="A217" s="5" t="s">
        <v>607</v>
      </c>
      <c r="B217" s="5" t="s">
        <v>608</v>
      </c>
      <c r="C217" s="5" t="s">
        <v>231</v>
      </c>
      <c r="D217" s="5" t="s">
        <v>232</v>
      </c>
      <c r="E217" s="5" t="s">
        <v>134</v>
      </c>
      <c r="F217" s="5" t="s">
        <v>131</v>
      </c>
      <c r="G217" s="5" t="s">
        <v>131</v>
      </c>
      <c r="H217" s="5" t="s">
        <v>131</v>
      </c>
      <c r="I217" s="5" t="s">
        <v>131</v>
      </c>
      <c r="J217" s="5" t="s">
        <v>423</v>
      </c>
      <c r="K217" s="5" t="s">
        <v>138</v>
      </c>
    </row>
    <row r="218" spans="1:11" x14ac:dyDescent="0.25">
      <c r="A218" s="5" t="s">
        <v>609</v>
      </c>
      <c r="B218" s="5" t="s">
        <v>610</v>
      </c>
      <c r="C218" s="5" t="s">
        <v>226</v>
      </c>
      <c r="D218" s="5" t="s">
        <v>227</v>
      </c>
      <c r="E218" s="5" t="s">
        <v>134</v>
      </c>
      <c r="F218" s="5" t="s">
        <v>131</v>
      </c>
      <c r="G218" s="5" t="s">
        <v>131</v>
      </c>
      <c r="H218" s="5" t="s">
        <v>131</v>
      </c>
      <c r="I218" s="5" t="s">
        <v>131</v>
      </c>
      <c r="J218" s="5" t="s">
        <v>530</v>
      </c>
      <c r="K218" s="5" t="s">
        <v>138</v>
      </c>
    </row>
    <row r="219" spans="1:11" x14ac:dyDescent="0.25">
      <c r="A219" s="5" t="s">
        <v>611</v>
      </c>
      <c r="B219" s="5" t="s">
        <v>612</v>
      </c>
      <c r="C219" s="5" t="s">
        <v>226</v>
      </c>
      <c r="D219" s="5" t="s">
        <v>227</v>
      </c>
      <c r="E219" s="5" t="s">
        <v>134</v>
      </c>
      <c r="F219" s="5" t="s">
        <v>131</v>
      </c>
      <c r="G219" s="5" t="s">
        <v>131</v>
      </c>
      <c r="H219" s="5" t="s">
        <v>131</v>
      </c>
      <c r="I219" s="5" t="s">
        <v>131</v>
      </c>
      <c r="J219" s="5" t="s">
        <v>530</v>
      </c>
      <c r="K219" s="5" t="s">
        <v>138</v>
      </c>
    </row>
    <row r="220" spans="1:11" x14ac:dyDescent="0.25">
      <c r="A220" s="5" t="s">
        <v>613</v>
      </c>
      <c r="B220" s="5" t="s">
        <v>614</v>
      </c>
      <c r="C220" s="5" t="s">
        <v>226</v>
      </c>
      <c r="D220" s="5" t="s">
        <v>227</v>
      </c>
      <c r="E220" s="5" t="s">
        <v>134</v>
      </c>
      <c r="F220" s="5" t="s">
        <v>131</v>
      </c>
      <c r="G220" s="5" t="s">
        <v>131</v>
      </c>
      <c r="H220" s="5" t="s">
        <v>131</v>
      </c>
      <c r="I220" s="5" t="s">
        <v>131</v>
      </c>
      <c r="J220" s="5" t="s">
        <v>530</v>
      </c>
      <c r="K220" s="5" t="s">
        <v>138</v>
      </c>
    </row>
    <row r="221" spans="1:11" x14ac:dyDescent="0.25">
      <c r="A221" s="5" t="s">
        <v>615</v>
      </c>
      <c r="B221" s="5" t="s">
        <v>616</v>
      </c>
      <c r="C221" s="5" t="s">
        <v>241</v>
      </c>
      <c r="D221" s="5" t="s">
        <v>242</v>
      </c>
      <c r="E221" s="5" t="s">
        <v>134</v>
      </c>
      <c r="F221" s="5" t="s">
        <v>131</v>
      </c>
      <c r="G221" s="5" t="s">
        <v>131</v>
      </c>
      <c r="H221" s="5" t="s">
        <v>131</v>
      </c>
      <c r="I221" s="5" t="s">
        <v>131</v>
      </c>
      <c r="J221" s="5" t="s">
        <v>325</v>
      </c>
      <c r="K221" s="5" t="s">
        <v>138</v>
      </c>
    </row>
    <row r="222" spans="1:11" x14ac:dyDescent="0.25">
      <c r="A222" s="5" t="s">
        <v>617</v>
      </c>
      <c r="B222" s="5" t="s">
        <v>618</v>
      </c>
      <c r="C222" s="5" t="s">
        <v>241</v>
      </c>
      <c r="D222" s="5" t="s">
        <v>242</v>
      </c>
      <c r="E222" s="5" t="s">
        <v>134</v>
      </c>
      <c r="F222" s="5" t="s">
        <v>131</v>
      </c>
      <c r="G222" s="5" t="s">
        <v>131</v>
      </c>
      <c r="H222" s="5" t="s">
        <v>131</v>
      </c>
      <c r="I222" s="5" t="s">
        <v>131</v>
      </c>
      <c r="J222" s="5" t="s">
        <v>619</v>
      </c>
      <c r="K222" s="5" t="s">
        <v>138</v>
      </c>
    </row>
    <row r="223" spans="1:11" x14ac:dyDescent="0.25">
      <c r="A223" s="5" t="s">
        <v>620</v>
      </c>
      <c r="B223" s="5" t="s">
        <v>621</v>
      </c>
      <c r="C223" s="5" t="s">
        <v>241</v>
      </c>
      <c r="D223" s="5" t="s">
        <v>242</v>
      </c>
      <c r="E223" s="5" t="s">
        <v>134</v>
      </c>
      <c r="F223" s="5" t="s">
        <v>131</v>
      </c>
      <c r="G223" s="5" t="s">
        <v>131</v>
      </c>
      <c r="H223" s="5" t="s">
        <v>131</v>
      </c>
      <c r="I223" s="5" t="s">
        <v>131</v>
      </c>
      <c r="J223" s="5" t="s">
        <v>622</v>
      </c>
      <c r="K223" s="5" t="s">
        <v>138</v>
      </c>
    </row>
    <row r="224" spans="1:11" x14ac:dyDescent="0.25">
      <c r="A224" s="5" t="s">
        <v>623</v>
      </c>
      <c r="B224" s="5" t="s">
        <v>624</v>
      </c>
      <c r="C224" s="5" t="s">
        <v>241</v>
      </c>
      <c r="D224" s="5" t="s">
        <v>242</v>
      </c>
      <c r="E224" s="5" t="s">
        <v>134</v>
      </c>
      <c r="F224" s="5" t="s">
        <v>131</v>
      </c>
      <c r="G224" s="5" t="s">
        <v>131</v>
      </c>
      <c r="H224" s="5" t="s">
        <v>131</v>
      </c>
      <c r="I224" s="5" t="s">
        <v>131</v>
      </c>
      <c r="J224" s="5" t="s">
        <v>143</v>
      </c>
      <c r="K224" s="5" t="s">
        <v>244</v>
      </c>
    </row>
    <row r="225" spans="1:11" x14ac:dyDescent="0.25">
      <c r="A225" s="5" t="s">
        <v>625</v>
      </c>
      <c r="B225" s="5" t="s">
        <v>626</v>
      </c>
      <c r="C225" s="5" t="s">
        <v>241</v>
      </c>
      <c r="D225" s="5" t="s">
        <v>242</v>
      </c>
      <c r="E225" s="5" t="s">
        <v>134</v>
      </c>
      <c r="F225" s="5" t="s">
        <v>131</v>
      </c>
      <c r="G225" s="5" t="s">
        <v>131</v>
      </c>
      <c r="H225" s="5" t="s">
        <v>131</v>
      </c>
      <c r="I225" s="5" t="s">
        <v>131</v>
      </c>
      <c r="J225" s="5" t="s">
        <v>328</v>
      </c>
      <c r="K225" s="5" t="s">
        <v>244</v>
      </c>
    </row>
    <row r="226" spans="1:11" x14ac:dyDescent="0.25">
      <c r="A226" s="5" t="s">
        <v>627</v>
      </c>
      <c r="B226" s="5" t="s">
        <v>628</v>
      </c>
      <c r="C226" s="5" t="s">
        <v>241</v>
      </c>
      <c r="D226" s="5" t="s">
        <v>242</v>
      </c>
      <c r="E226" s="5" t="s">
        <v>134</v>
      </c>
      <c r="F226" s="5" t="s">
        <v>131</v>
      </c>
      <c r="G226" s="5" t="s">
        <v>131</v>
      </c>
      <c r="H226" s="5" t="s">
        <v>131</v>
      </c>
      <c r="I226" s="5" t="s">
        <v>131</v>
      </c>
      <c r="J226" s="5" t="s">
        <v>146</v>
      </c>
      <c r="K226" s="5" t="s">
        <v>138</v>
      </c>
    </row>
    <row r="227" spans="1:11" x14ac:dyDescent="0.25">
      <c r="A227" s="5" t="s">
        <v>629</v>
      </c>
      <c r="B227" s="5" t="s">
        <v>630</v>
      </c>
      <c r="C227" s="5" t="s">
        <v>241</v>
      </c>
      <c r="D227" s="5" t="s">
        <v>242</v>
      </c>
      <c r="E227" s="5" t="s">
        <v>134</v>
      </c>
      <c r="F227" s="5" t="s">
        <v>131</v>
      </c>
      <c r="G227" s="5" t="s">
        <v>131</v>
      </c>
      <c r="H227" s="5" t="s">
        <v>131</v>
      </c>
      <c r="I227" s="5" t="s">
        <v>131</v>
      </c>
      <c r="J227" s="5" t="s">
        <v>146</v>
      </c>
      <c r="K227" s="5" t="s">
        <v>138</v>
      </c>
    </row>
    <row r="228" spans="1:11" x14ac:dyDescent="0.25">
      <c r="A228" s="5" t="s">
        <v>631</v>
      </c>
      <c r="B228" s="5" t="s">
        <v>632</v>
      </c>
      <c r="C228" s="5" t="s">
        <v>241</v>
      </c>
      <c r="D228" s="5" t="s">
        <v>242</v>
      </c>
      <c r="E228" s="5" t="s">
        <v>134</v>
      </c>
      <c r="F228" s="5" t="s">
        <v>131</v>
      </c>
      <c r="G228" s="5" t="s">
        <v>131</v>
      </c>
      <c r="H228" s="5" t="s">
        <v>131</v>
      </c>
      <c r="I228" s="5" t="s">
        <v>131</v>
      </c>
      <c r="J228" s="5" t="s">
        <v>143</v>
      </c>
      <c r="K228" s="5" t="s">
        <v>138</v>
      </c>
    </row>
    <row r="229" spans="1:11" x14ac:dyDescent="0.25">
      <c r="A229" s="5" t="s">
        <v>633</v>
      </c>
      <c r="B229" s="5" t="s">
        <v>634</v>
      </c>
      <c r="C229" s="5" t="s">
        <v>241</v>
      </c>
      <c r="D229" s="5" t="s">
        <v>242</v>
      </c>
      <c r="E229" s="5" t="s">
        <v>134</v>
      </c>
      <c r="F229" s="5" t="s">
        <v>131</v>
      </c>
      <c r="G229" s="5" t="s">
        <v>131</v>
      </c>
      <c r="H229" s="5" t="s">
        <v>131</v>
      </c>
      <c r="I229" s="5" t="s">
        <v>131</v>
      </c>
      <c r="J229" s="5" t="s">
        <v>600</v>
      </c>
      <c r="K229" s="5" t="s">
        <v>138</v>
      </c>
    </row>
    <row r="230" spans="1:11" x14ac:dyDescent="0.25">
      <c r="A230" s="5" t="s">
        <v>635</v>
      </c>
      <c r="B230" s="5" t="s">
        <v>636</v>
      </c>
      <c r="C230" s="5" t="s">
        <v>241</v>
      </c>
      <c r="D230" s="5" t="s">
        <v>242</v>
      </c>
      <c r="E230" s="5" t="s">
        <v>134</v>
      </c>
      <c r="F230" s="5" t="s">
        <v>131</v>
      </c>
      <c r="G230" s="5" t="s">
        <v>131</v>
      </c>
      <c r="H230" s="5" t="s">
        <v>131</v>
      </c>
      <c r="I230" s="5" t="s">
        <v>131</v>
      </c>
      <c r="J230" s="5" t="s">
        <v>637</v>
      </c>
      <c r="K230" s="5" t="s">
        <v>138</v>
      </c>
    </row>
    <row r="231" spans="1:11" x14ac:dyDescent="0.25">
      <c r="A231" s="5" t="s">
        <v>638</v>
      </c>
      <c r="B231" s="5" t="s">
        <v>639</v>
      </c>
      <c r="C231" s="5" t="s">
        <v>241</v>
      </c>
      <c r="D231" s="5" t="s">
        <v>242</v>
      </c>
      <c r="E231" s="5" t="s">
        <v>134</v>
      </c>
      <c r="F231" s="5" t="s">
        <v>131</v>
      </c>
      <c r="G231" s="5" t="s">
        <v>131</v>
      </c>
      <c r="H231" s="5" t="s">
        <v>131</v>
      </c>
      <c r="I231" s="5" t="s">
        <v>131</v>
      </c>
      <c r="J231" s="5" t="s">
        <v>143</v>
      </c>
      <c r="K231" s="5" t="s">
        <v>138</v>
      </c>
    </row>
    <row r="232" spans="1:11" x14ac:dyDescent="0.25">
      <c r="A232" s="5" t="s">
        <v>640</v>
      </c>
      <c r="B232" s="5" t="s">
        <v>641</v>
      </c>
      <c r="C232" s="5" t="s">
        <v>241</v>
      </c>
      <c r="D232" s="5" t="s">
        <v>242</v>
      </c>
      <c r="E232" s="5" t="s">
        <v>134</v>
      </c>
      <c r="F232" s="5" t="s">
        <v>131</v>
      </c>
      <c r="G232" s="5" t="s">
        <v>131</v>
      </c>
      <c r="H232" s="5" t="s">
        <v>131</v>
      </c>
      <c r="I232" s="5" t="s">
        <v>131</v>
      </c>
      <c r="J232" s="5" t="s">
        <v>146</v>
      </c>
      <c r="K232" s="5" t="s">
        <v>166</v>
      </c>
    </row>
    <row r="233" spans="1:11" x14ac:dyDescent="0.25">
      <c r="A233" s="5" t="s">
        <v>642</v>
      </c>
      <c r="B233" s="5" t="s">
        <v>643</v>
      </c>
      <c r="C233" s="5" t="s">
        <v>241</v>
      </c>
      <c r="D233" s="5" t="s">
        <v>242</v>
      </c>
      <c r="E233" s="5" t="s">
        <v>134</v>
      </c>
      <c r="F233" s="5" t="s">
        <v>131</v>
      </c>
      <c r="G233" s="5" t="s">
        <v>131</v>
      </c>
      <c r="H233" s="5" t="s">
        <v>131</v>
      </c>
      <c r="I233" s="5" t="s">
        <v>131</v>
      </c>
      <c r="J233" s="5" t="s">
        <v>146</v>
      </c>
      <c r="K233" s="5" t="s">
        <v>166</v>
      </c>
    </row>
    <row r="234" spans="1:11" x14ac:dyDescent="0.25">
      <c r="A234" s="5" t="s">
        <v>644</v>
      </c>
      <c r="B234" s="5" t="s">
        <v>645</v>
      </c>
      <c r="C234" s="5" t="s">
        <v>241</v>
      </c>
      <c r="D234" s="5" t="s">
        <v>242</v>
      </c>
      <c r="E234" s="5" t="s">
        <v>134</v>
      </c>
      <c r="F234" s="5" t="s">
        <v>131</v>
      </c>
      <c r="G234" s="5" t="s">
        <v>131</v>
      </c>
      <c r="H234" s="5" t="s">
        <v>131</v>
      </c>
      <c r="I234" s="5" t="s">
        <v>131</v>
      </c>
      <c r="J234" s="5" t="s">
        <v>328</v>
      </c>
      <c r="K234" s="5" t="s">
        <v>244</v>
      </c>
    </row>
    <row r="235" spans="1:11" x14ac:dyDescent="0.25">
      <c r="A235" s="5" t="s">
        <v>1544</v>
      </c>
      <c r="B235" s="5" t="s">
        <v>1545</v>
      </c>
      <c r="C235" s="5" t="s">
        <v>241</v>
      </c>
      <c r="D235" s="5" t="s">
        <v>242</v>
      </c>
      <c r="E235" s="5" t="s">
        <v>134</v>
      </c>
      <c r="F235" s="5" t="s">
        <v>131</v>
      </c>
      <c r="G235" s="5" t="s">
        <v>131</v>
      </c>
      <c r="H235" s="5" t="s">
        <v>131</v>
      </c>
      <c r="I235" s="5" t="s">
        <v>131</v>
      </c>
      <c r="J235" s="5" t="s">
        <v>1539</v>
      </c>
      <c r="K235" s="5" t="s">
        <v>138</v>
      </c>
    </row>
    <row r="236" spans="1:11" x14ac:dyDescent="0.25">
      <c r="A236" s="5" t="s">
        <v>646</v>
      </c>
      <c r="B236" s="5" t="s">
        <v>647</v>
      </c>
      <c r="C236" s="5" t="s">
        <v>241</v>
      </c>
      <c r="D236" s="5" t="s">
        <v>242</v>
      </c>
      <c r="E236" s="5" t="s">
        <v>134</v>
      </c>
      <c r="F236" s="5" t="s">
        <v>131</v>
      </c>
      <c r="G236" s="5" t="s">
        <v>131</v>
      </c>
      <c r="H236" s="5" t="s">
        <v>131</v>
      </c>
      <c r="I236" s="5" t="s">
        <v>131</v>
      </c>
      <c r="J236" s="5" t="s">
        <v>143</v>
      </c>
      <c r="K236" s="5" t="s">
        <v>138</v>
      </c>
    </row>
    <row r="237" spans="1:11" x14ac:dyDescent="0.25">
      <c r="A237" s="5" t="s">
        <v>648</v>
      </c>
      <c r="B237" s="5" t="s">
        <v>649</v>
      </c>
      <c r="C237" s="5" t="s">
        <v>241</v>
      </c>
      <c r="D237" s="5" t="s">
        <v>242</v>
      </c>
      <c r="E237" s="5" t="s">
        <v>134</v>
      </c>
      <c r="F237" s="5" t="s">
        <v>131</v>
      </c>
      <c r="G237" s="5" t="s">
        <v>131</v>
      </c>
      <c r="H237" s="5" t="s">
        <v>131</v>
      </c>
      <c r="I237" s="5" t="s">
        <v>131</v>
      </c>
      <c r="J237" s="5" t="s">
        <v>650</v>
      </c>
      <c r="K237" s="5" t="s">
        <v>138</v>
      </c>
    </row>
    <row r="238" spans="1:11" x14ac:dyDescent="0.25">
      <c r="A238" s="5" t="s">
        <v>651</v>
      </c>
      <c r="B238" s="5" t="s">
        <v>652</v>
      </c>
      <c r="C238" s="5" t="s">
        <v>241</v>
      </c>
      <c r="D238" s="5" t="s">
        <v>242</v>
      </c>
      <c r="E238" s="5" t="s">
        <v>134</v>
      </c>
      <c r="F238" s="5" t="s">
        <v>131</v>
      </c>
      <c r="G238" s="5" t="s">
        <v>131</v>
      </c>
      <c r="H238" s="5" t="s">
        <v>131</v>
      </c>
      <c r="I238" s="5" t="s">
        <v>131</v>
      </c>
      <c r="J238" s="5" t="s">
        <v>143</v>
      </c>
      <c r="K238" s="5" t="s">
        <v>138</v>
      </c>
    </row>
    <row r="239" spans="1:11" x14ac:dyDescent="0.25">
      <c r="A239" s="5" t="s">
        <v>653</v>
      </c>
      <c r="B239" s="5" t="s">
        <v>654</v>
      </c>
      <c r="C239" s="5" t="s">
        <v>241</v>
      </c>
      <c r="D239" s="5" t="s">
        <v>242</v>
      </c>
      <c r="E239" s="5" t="s">
        <v>134</v>
      </c>
      <c r="F239" s="5" t="s">
        <v>131</v>
      </c>
      <c r="G239" s="5" t="s">
        <v>131</v>
      </c>
      <c r="H239" s="5" t="s">
        <v>131</v>
      </c>
      <c r="I239" s="5" t="s">
        <v>131</v>
      </c>
      <c r="J239" s="5" t="s">
        <v>328</v>
      </c>
      <c r="K239" s="5" t="s">
        <v>244</v>
      </c>
    </row>
    <row r="240" spans="1:11" x14ac:dyDescent="0.25">
      <c r="A240" s="5" t="s">
        <v>655</v>
      </c>
      <c r="B240" s="5" t="s">
        <v>656</v>
      </c>
      <c r="C240" s="5" t="s">
        <v>241</v>
      </c>
      <c r="D240" s="5" t="s">
        <v>242</v>
      </c>
      <c r="E240" s="5" t="s">
        <v>134</v>
      </c>
      <c r="F240" s="5" t="s">
        <v>131</v>
      </c>
      <c r="G240" s="5" t="s">
        <v>131</v>
      </c>
      <c r="H240" s="5" t="s">
        <v>131</v>
      </c>
      <c r="I240" s="5" t="s">
        <v>131</v>
      </c>
      <c r="J240" s="5" t="s">
        <v>143</v>
      </c>
      <c r="K240" s="5" t="s">
        <v>244</v>
      </c>
    </row>
    <row r="241" spans="1:11" x14ac:dyDescent="0.25">
      <c r="A241" s="5" t="s">
        <v>657</v>
      </c>
      <c r="B241" s="5" t="s">
        <v>658</v>
      </c>
      <c r="C241" s="5" t="s">
        <v>241</v>
      </c>
      <c r="D241" s="5" t="s">
        <v>242</v>
      </c>
      <c r="E241" s="5" t="s">
        <v>134</v>
      </c>
      <c r="F241" s="5" t="s">
        <v>131</v>
      </c>
      <c r="G241" s="5" t="s">
        <v>131</v>
      </c>
      <c r="H241" s="5" t="s">
        <v>131</v>
      </c>
      <c r="I241" s="5" t="s">
        <v>131</v>
      </c>
      <c r="J241" s="5" t="s">
        <v>328</v>
      </c>
      <c r="K241" s="5" t="s">
        <v>244</v>
      </c>
    </row>
    <row r="242" spans="1:11" x14ac:dyDescent="0.25">
      <c r="A242" s="5" t="s">
        <v>659</v>
      </c>
      <c r="B242" s="5" t="s">
        <v>660</v>
      </c>
      <c r="C242" s="5" t="s">
        <v>241</v>
      </c>
      <c r="D242" s="5" t="s">
        <v>242</v>
      </c>
      <c r="E242" s="5" t="s">
        <v>134</v>
      </c>
      <c r="F242" s="5" t="s">
        <v>131</v>
      </c>
      <c r="G242" s="5" t="s">
        <v>131</v>
      </c>
      <c r="H242" s="5" t="s">
        <v>131</v>
      </c>
      <c r="I242" s="5" t="s">
        <v>131</v>
      </c>
      <c r="J242" s="5" t="s">
        <v>146</v>
      </c>
      <c r="K242" s="5" t="s">
        <v>244</v>
      </c>
    </row>
    <row r="243" spans="1:11" x14ac:dyDescent="0.25">
      <c r="A243" s="5" t="s">
        <v>661</v>
      </c>
      <c r="B243" s="5" t="s">
        <v>662</v>
      </c>
      <c r="C243" s="5" t="s">
        <v>241</v>
      </c>
      <c r="D243" s="5" t="s">
        <v>242</v>
      </c>
      <c r="E243" s="5" t="s">
        <v>134</v>
      </c>
      <c r="F243" s="5" t="s">
        <v>131</v>
      </c>
      <c r="G243" s="5" t="s">
        <v>131</v>
      </c>
      <c r="H243" s="5" t="s">
        <v>131</v>
      </c>
      <c r="I243" s="5" t="s">
        <v>131</v>
      </c>
      <c r="J243" s="5" t="s">
        <v>137</v>
      </c>
      <c r="K243" s="5" t="s">
        <v>138</v>
      </c>
    </row>
    <row r="244" spans="1:11" x14ac:dyDescent="0.25">
      <c r="A244" s="5" t="s">
        <v>663</v>
      </c>
      <c r="B244" s="5" t="s">
        <v>664</v>
      </c>
      <c r="C244" s="5" t="s">
        <v>241</v>
      </c>
      <c r="D244" s="5" t="s">
        <v>242</v>
      </c>
      <c r="E244" s="5" t="s">
        <v>134</v>
      </c>
      <c r="F244" s="5" t="s">
        <v>131</v>
      </c>
      <c r="G244" s="5" t="s">
        <v>131</v>
      </c>
      <c r="H244" s="5" t="s">
        <v>131</v>
      </c>
      <c r="I244" s="5" t="s">
        <v>131</v>
      </c>
      <c r="J244" s="5" t="s">
        <v>137</v>
      </c>
      <c r="K244" s="5" t="s">
        <v>138</v>
      </c>
    </row>
    <row r="245" spans="1:11" x14ac:dyDescent="0.25">
      <c r="A245" s="5" t="s">
        <v>665</v>
      </c>
      <c r="B245" s="5" t="s">
        <v>666</v>
      </c>
      <c r="C245" s="5" t="s">
        <v>241</v>
      </c>
      <c r="D245" s="5" t="s">
        <v>242</v>
      </c>
      <c r="E245" s="5" t="s">
        <v>134</v>
      </c>
      <c r="F245" s="5" t="s">
        <v>131</v>
      </c>
      <c r="G245" s="5" t="s">
        <v>131</v>
      </c>
      <c r="H245" s="5" t="s">
        <v>131</v>
      </c>
      <c r="I245" s="5" t="s">
        <v>131</v>
      </c>
      <c r="J245" s="5" t="s">
        <v>328</v>
      </c>
      <c r="K245" s="5" t="s">
        <v>244</v>
      </c>
    </row>
    <row r="246" spans="1:11" x14ac:dyDescent="0.25">
      <c r="A246" s="5" t="s">
        <v>667</v>
      </c>
      <c r="B246" s="5" t="s">
        <v>668</v>
      </c>
      <c r="C246" s="5" t="s">
        <v>241</v>
      </c>
      <c r="D246" s="5" t="s">
        <v>242</v>
      </c>
      <c r="E246" s="5" t="s">
        <v>134</v>
      </c>
      <c r="F246" s="5" t="s">
        <v>131</v>
      </c>
      <c r="G246" s="5" t="s">
        <v>131</v>
      </c>
      <c r="H246" s="5" t="s">
        <v>131</v>
      </c>
      <c r="I246" s="5" t="s">
        <v>131</v>
      </c>
      <c r="J246" s="5" t="s">
        <v>669</v>
      </c>
      <c r="K246" s="5" t="s">
        <v>138</v>
      </c>
    </row>
    <row r="247" spans="1:11" x14ac:dyDescent="0.25">
      <c r="A247" s="5" t="s">
        <v>670</v>
      </c>
      <c r="B247" s="5" t="s">
        <v>671</v>
      </c>
      <c r="C247" s="5" t="s">
        <v>241</v>
      </c>
      <c r="D247" s="5" t="s">
        <v>242</v>
      </c>
      <c r="E247" s="5" t="s">
        <v>134</v>
      </c>
      <c r="F247" s="5" t="s">
        <v>131</v>
      </c>
      <c r="G247" s="5" t="s">
        <v>131</v>
      </c>
      <c r="H247" s="5" t="s">
        <v>131</v>
      </c>
      <c r="I247" s="5" t="s">
        <v>131</v>
      </c>
      <c r="J247" s="5" t="s">
        <v>173</v>
      </c>
      <c r="K247" s="5" t="s">
        <v>138</v>
      </c>
    </row>
    <row r="248" spans="1:11" x14ac:dyDescent="0.25">
      <c r="A248" s="5" t="s">
        <v>672</v>
      </c>
      <c r="B248" s="5" t="s">
        <v>673</v>
      </c>
      <c r="C248" s="5" t="s">
        <v>241</v>
      </c>
      <c r="D248" s="5" t="s">
        <v>242</v>
      </c>
      <c r="E248" s="5" t="s">
        <v>134</v>
      </c>
      <c r="F248" s="5" t="s">
        <v>131</v>
      </c>
      <c r="G248" s="5" t="s">
        <v>131</v>
      </c>
      <c r="H248" s="5" t="s">
        <v>131</v>
      </c>
      <c r="I248" s="5" t="s">
        <v>131</v>
      </c>
      <c r="J248" s="5" t="s">
        <v>143</v>
      </c>
      <c r="K248" s="5" t="s">
        <v>138</v>
      </c>
    </row>
    <row r="249" spans="1:11" x14ac:dyDescent="0.25">
      <c r="A249" s="5" t="s">
        <v>674</v>
      </c>
      <c r="B249" s="5" t="s">
        <v>675</v>
      </c>
      <c r="C249" s="5" t="s">
        <v>241</v>
      </c>
      <c r="D249" s="5" t="s">
        <v>242</v>
      </c>
      <c r="E249" s="5" t="s">
        <v>134</v>
      </c>
      <c r="F249" s="5" t="s">
        <v>131</v>
      </c>
      <c r="G249" s="5" t="s">
        <v>131</v>
      </c>
      <c r="H249" s="5" t="s">
        <v>131</v>
      </c>
      <c r="I249" s="5" t="s">
        <v>131</v>
      </c>
      <c r="J249" s="5" t="s">
        <v>143</v>
      </c>
      <c r="K249" s="5" t="s">
        <v>138</v>
      </c>
    </row>
    <row r="250" spans="1:11" x14ac:dyDescent="0.25">
      <c r="A250" s="5" t="s">
        <v>676</v>
      </c>
      <c r="B250" s="5" t="s">
        <v>677</v>
      </c>
      <c r="C250" s="5" t="s">
        <v>241</v>
      </c>
      <c r="D250" s="5" t="s">
        <v>242</v>
      </c>
      <c r="E250" s="5" t="s">
        <v>134</v>
      </c>
      <c r="F250" s="5" t="s">
        <v>131</v>
      </c>
      <c r="G250" s="5" t="s">
        <v>131</v>
      </c>
      <c r="H250" s="5" t="s">
        <v>131</v>
      </c>
      <c r="I250" s="5" t="s">
        <v>131</v>
      </c>
      <c r="J250" s="5" t="s">
        <v>143</v>
      </c>
      <c r="K250" s="5" t="s">
        <v>244</v>
      </c>
    </row>
    <row r="251" spans="1:11" x14ac:dyDescent="0.25">
      <c r="A251" s="5" t="s">
        <v>678</v>
      </c>
      <c r="B251" s="5" t="s">
        <v>679</v>
      </c>
      <c r="C251" s="5" t="s">
        <v>241</v>
      </c>
      <c r="D251" s="5" t="s">
        <v>242</v>
      </c>
      <c r="E251" s="5" t="s">
        <v>134</v>
      </c>
      <c r="F251" s="5" t="s">
        <v>131</v>
      </c>
      <c r="G251" s="5" t="s">
        <v>131</v>
      </c>
      <c r="H251" s="5" t="s">
        <v>131</v>
      </c>
      <c r="I251" s="5" t="s">
        <v>131</v>
      </c>
      <c r="J251" s="5" t="s">
        <v>253</v>
      </c>
      <c r="K251" s="5" t="s">
        <v>138</v>
      </c>
    </row>
    <row r="252" spans="1:11" x14ac:dyDescent="0.25">
      <c r="A252" s="5" t="s">
        <v>680</v>
      </c>
      <c r="B252" s="5" t="s">
        <v>681</v>
      </c>
      <c r="C252" s="5" t="s">
        <v>241</v>
      </c>
      <c r="D252" s="5" t="s">
        <v>242</v>
      </c>
      <c r="E252" s="5" t="s">
        <v>134</v>
      </c>
      <c r="F252" s="5" t="s">
        <v>131</v>
      </c>
      <c r="G252" s="5" t="s">
        <v>131</v>
      </c>
      <c r="H252" s="5" t="s">
        <v>131</v>
      </c>
      <c r="I252" s="5" t="s">
        <v>131</v>
      </c>
      <c r="J252" s="5" t="s">
        <v>311</v>
      </c>
      <c r="K252" s="5" t="s">
        <v>138</v>
      </c>
    </row>
    <row r="253" spans="1:11" x14ac:dyDescent="0.25">
      <c r="A253" s="5" t="s">
        <v>682</v>
      </c>
      <c r="B253" s="5" t="s">
        <v>683</v>
      </c>
      <c r="C253" s="5" t="s">
        <v>241</v>
      </c>
      <c r="D253" s="5" t="s">
        <v>242</v>
      </c>
      <c r="E253" s="5" t="s">
        <v>134</v>
      </c>
      <c r="F253" s="5" t="s">
        <v>131</v>
      </c>
      <c r="G253" s="5" t="s">
        <v>131</v>
      </c>
      <c r="H253" s="5" t="s">
        <v>131</v>
      </c>
      <c r="I253" s="5" t="s">
        <v>131</v>
      </c>
      <c r="J253" s="5" t="s">
        <v>684</v>
      </c>
      <c r="K253" s="5" t="s">
        <v>138</v>
      </c>
    </row>
    <row r="254" spans="1:11" x14ac:dyDescent="0.25">
      <c r="A254" s="5" t="s">
        <v>685</v>
      </c>
      <c r="B254" s="5" t="s">
        <v>686</v>
      </c>
      <c r="C254" s="5" t="s">
        <v>241</v>
      </c>
      <c r="D254" s="5" t="s">
        <v>242</v>
      </c>
      <c r="E254" s="5" t="s">
        <v>134</v>
      </c>
      <c r="F254" s="5" t="s">
        <v>131</v>
      </c>
      <c r="G254" s="5" t="s">
        <v>131</v>
      </c>
      <c r="H254" s="5" t="s">
        <v>131</v>
      </c>
      <c r="I254" s="5" t="s">
        <v>131</v>
      </c>
      <c r="J254" s="5" t="s">
        <v>687</v>
      </c>
      <c r="K254" s="5" t="s">
        <v>138</v>
      </c>
    </row>
    <row r="255" spans="1:11" x14ac:dyDescent="0.25">
      <c r="A255" s="5" t="s">
        <v>688</v>
      </c>
      <c r="B255" s="5" t="s">
        <v>689</v>
      </c>
      <c r="C255" s="5" t="s">
        <v>241</v>
      </c>
      <c r="D255" s="5" t="s">
        <v>242</v>
      </c>
      <c r="E255" s="5" t="s">
        <v>134</v>
      </c>
      <c r="F255" s="5" t="s">
        <v>131</v>
      </c>
      <c r="G255" s="5" t="s">
        <v>131</v>
      </c>
      <c r="H255" s="5" t="s">
        <v>131</v>
      </c>
      <c r="I255" s="5" t="s">
        <v>131</v>
      </c>
      <c r="J255" s="5" t="s">
        <v>690</v>
      </c>
      <c r="K255" s="5" t="s">
        <v>138</v>
      </c>
    </row>
    <row r="256" spans="1:11" x14ac:dyDescent="0.25">
      <c r="A256" s="5" t="s">
        <v>691</v>
      </c>
      <c r="B256" s="5" t="s">
        <v>692</v>
      </c>
      <c r="C256" s="5" t="s">
        <v>241</v>
      </c>
      <c r="D256" s="5" t="s">
        <v>242</v>
      </c>
      <c r="E256" s="5" t="s">
        <v>134</v>
      </c>
      <c r="F256" s="5" t="s">
        <v>131</v>
      </c>
      <c r="G256" s="5" t="s">
        <v>131</v>
      </c>
      <c r="H256" s="5" t="s">
        <v>131</v>
      </c>
      <c r="I256" s="5" t="s">
        <v>131</v>
      </c>
      <c r="J256" s="5" t="s">
        <v>292</v>
      </c>
      <c r="K256" s="5" t="s">
        <v>138</v>
      </c>
    </row>
    <row r="257" spans="1:11" x14ac:dyDescent="0.25">
      <c r="A257" s="5" t="s">
        <v>693</v>
      </c>
      <c r="B257" s="5" t="s">
        <v>694</v>
      </c>
      <c r="C257" s="5" t="s">
        <v>241</v>
      </c>
      <c r="D257" s="5" t="s">
        <v>242</v>
      </c>
      <c r="E257" s="5" t="s">
        <v>134</v>
      </c>
      <c r="F257" s="5" t="s">
        <v>131</v>
      </c>
      <c r="G257" s="5" t="s">
        <v>131</v>
      </c>
      <c r="H257" s="5" t="s">
        <v>131</v>
      </c>
      <c r="I257" s="5" t="s">
        <v>131</v>
      </c>
      <c r="J257" s="5" t="s">
        <v>143</v>
      </c>
      <c r="K257" s="5" t="s">
        <v>138</v>
      </c>
    </row>
    <row r="258" spans="1:11" x14ac:dyDescent="0.25">
      <c r="A258" s="5" t="s">
        <v>695</v>
      </c>
      <c r="B258" s="5" t="s">
        <v>696</v>
      </c>
      <c r="C258" s="5" t="s">
        <v>241</v>
      </c>
      <c r="D258" s="5" t="s">
        <v>242</v>
      </c>
      <c r="E258" s="5" t="s">
        <v>134</v>
      </c>
      <c r="F258" s="5" t="s">
        <v>131</v>
      </c>
      <c r="G258" s="5" t="s">
        <v>131</v>
      </c>
      <c r="H258" s="5" t="s">
        <v>131</v>
      </c>
      <c r="I258" s="5" t="s">
        <v>131</v>
      </c>
      <c r="J258" s="5" t="s">
        <v>137</v>
      </c>
      <c r="K258" s="5" t="s">
        <v>138</v>
      </c>
    </row>
    <row r="259" spans="1:11" x14ac:dyDescent="0.25">
      <c r="A259" s="5" t="s">
        <v>697</v>
      </c>
      <c r="B259" s="5" t="s">
        <v>698</v>
      </c>
      <c r="C259" s="5" t="s">
        <v>241</v>
      </c>
      <c r="D259" s="5" t="s">
        <v>242</v>
      </c>
      <c r="E259" s="5" t="s">
        <v>134</v>
      </c>
      <c r="F259" s="5" t="s">
        <v>131</v>
      </c>
      <c r="G259" s="5" t="s">
        <v>131</v>
      </c>
      <c r="H259" s="5" t="s">
        <v>131</v>
      </c>
      <c r="I259" s="5" t="s">
        <v>131</v>
      </c>
      <c r="J259" s="5" t="s">
        <v>690</v>
      </c>
      <c r="K259" s="5" t="s">
        <v>138</v>
      </c>
    </row>
    <row r="260" spans="1:11" x14ac:dyDescent="0.25">
      <c r="A260" s="5" t="s">
        <v>699</v>
      </c>
      <c r="B260" s="5" t="s">
        <v>700</v>
      </c>
      <c r="C260" s="5" t="s">
        <v>241</v>
      </c>
      <c r="D260" s="5" t="s">
        <v>242</v>
      </c>
      <c r="E260" s="5" t="s">
        <v>134</v>
      </c>
      <c r="F260" s="5" t="s">
        <v>131</v>
      </c>
      <c r="G260" s="5" t="s">
        <v>131</v>
      </c>
      <c r="H260" s="5" t="s">
        <v>131</v>
      </c>
      <c r="I260" s="5" t="s">
        <v>131</v>
      </c>
      <c r="J260" s="5" t="s">
        <v>325</v>
      </c>
      <c r="K260" s="5" t="s">
        <v>138</v>
      </c>
    </row>
    <row r="261" spans="1:11" x14ac:dyDescent="0.25">
      <c r="A261" s="5" t="s">
        <v>701</v>
      </c>
      <c r="B261" s="5" t="s">
        <v>702</v>
      </c>
      <c r="C261" s="5" t="s">
        <v>241</v>
      </c>
      <c r="D261" s="5" t="s">
        <v>242</v>
      </c>
      <c r="E261" s="5" t="s">
        <v>134</v>
      </c>
      <c r="F261" s="5" t="s">
        <v>131</v>
      </c>
      <c r="G261" s="5" t="s">
        <v>131</v>
      </c>
      <c r="H261" s="5" t="s">
        <v>131</v>
      </c>
      <c r="I261" s="5" t="s">
        <v>131</v>
      </c>
      <c r="J261" s="5" t="s">
        <v>325</v>
      </c>
      <c r="K261" s="5" t="s">
        <v>138</v>
      </c>
    </row>
    <row r="262" spans="1:11" x14ac:dyDescent="0.25">
      <c r="A262" s="5" t="s">
        <v>703</v>
      </c>
      <c r="B262" s="5" t="s">
        <v>704</v>
      </c>
      <c r="C262" s="5" t="s">
        <v>241</v>
      </c>
      <c r="D262" s="5" t="s">
        <v>242</v>
      </c>
      <c r="E262" s="5" t="s">
        <v>134</v>
      </c>
      <c r="F262" s="5" t="s">
        <v>131</v>
      </c>
      <c r="G262" s="5" t="s">
        <v>131</v>
      </c>
      <c r="H262" s="5" t="s">
        <v>131</v>
      </c>
      <c r="I262" s="5" t="s">
        <v>131</v>
      </c>
      <c r="J262" s="5" t="s">
        <v>705</v>
      </c>
      <c r="K262" s="5" t="s">
        <v>138</v>
      </c>
    </row>
    <row r="263" spans="1:11" x14ac:dyDescent="0.25">
      <c r="A263" s="5" t="s">
        <v>706</v>
      </c>
      <c r="B263" s="5" t="s">
        <v>707</v>
      </c>
      <c r="C263" s="5" t="s">
        <v>241</v>
      </c>
      <c r="D263" s="5" t="s">
        <v>242</v>
      </c>
      <c r="E263" s="5" t="s">
        <v>134</v>
      </c>
      <c r="F263" s="5" t="s">
        <v>131</v>
      </c>
      <c r="G263" s="5" t="s">
        <v>131</v>
      </c>
      <c r="H263" s="5" t="s">
        <v>131</v>
      </c>
      <c r="I263" s="5" t="s">
        <v>131</v>
      </c>
      <c r="J263" s="5" t="s">
        <v>143</v>
      </c>
      <c r="K263" s="5" t="s">
        <v>138</v>
      </c>
    </row>
    <row r="264" spans="1:11" x14ac:dyDescent="0.25">
      <c r="A264" s="5" t="s">
        <v>708</v>
      </c>
      <c r="B264" s="5" t="s">
        <v>709</v>
      </c>
      <c r="C264" s="5" t="s">
        <v>241</v>
      </c>
      <c r="D264" s="5" t="s">
        <v>242</v>
      </c>
      <c r="E264" s="5" t="s">
        <v>134</v>
      </c>
      <c r="F264" s="5" t="s">
        <v>131</v>
      </c>
      <c r="G264" s="5" t="s">
        <v>131</v>
      </c>
      <c r="H264" s="5" t="s">
        <v>131</v>
      </c>
      <c r="I264" s="5" t="s">
        <v>131</v>
      </c>
      <c r="J264" s="5" t="s">
        <v>669</v>
      </c>
      <c r="K264" s="5" t="s">
        <v>138</v>
      </c>
    </row>
    <row r="265" spans="1:11" x14ac:dyDescent="0.25">
      <c r="A265" s="5" t="s">
        <v>710</v>
      </c>
      <c r="B265" s="5" t="s">
        <v>711</v>
      </c>
      <c r="C265" s="5" t="s">
        <v>241</v>
      </c>
      <c r="D265" s="5" t="s">
        <v>242</v>
      </c>
      <c r="E265" s="5" t="s">
        <v>134</v>
      </c>
      <c r="F265" s="5" t="s">
        <v>131</v>
      </c>
      <c r="G265" s="5" t="s">
        <v>131</v>
      </c>
      <c r="H265" s="5" t="s">
        <v>131</v>
      </c>
      <c r="I265" s="5" t="s">
        <v>131</v>
      </c>
      <c r="J265" s="5" t="s">
        <v>143</v>
      </c>
      <c r="K265" s="5" t="s">
        <v>244</v>
      </c>
    </row>
    <row r="266" spans="1:11" x14ac:dyDescent="0.25">
      <c r="A266" s="5" t="s">
        <v>712</v>
      </c>
      <c r="B266" s="5" t="s">
        <v>713</v>
      </c>
      <c r="C266" s="5" t="s">
        <v>241</v>
      </c>
      <c r="D266" s="5" t="s">
        <v>242</v>
      </c>
      <c r="E266" s="5" t="s">
        <v>134</v>
      </c>
      <c r="F266" s="5" t="s">
        <v>131</v>
      </c>
      <c r="G266" s="5" t="s">
        <v>131</v>
      </c>
      <c r="H266" s="5" t="s">
        <v>131</v>
      </c>
      <c r="I266" s="5" t="s">
        <v>131</v>
      </c>
      <c r="J266" s="5" t="s">
        <v>714</v>
      </c>
      <c r="K266" s="5" t="s">
        <v>138</v>
      </c>
    </row>
    <row r="267" spans="1:11" x14ac:dyDescent="0.25">
      <c r="A267" s="5" t="s">
        <v>715</v>
      </c>
      <c r="B267" s="5" t="s">
        <v>716</v>
      </c>
      <c r="C267" s="5" t="s">
        <v>241</v>
      </c>
      <c r="D267" s="5" t="s">
        <v>242</v>
      </c>
      <c r="E267" s="5" t="s">
        <v>134</v>
      </c>
      <c r="F267" s="5" t="s">
        <v>131</v>
      </c>
      <c r="G267" s="5" t="s">
        <v>131</v>
      </c>
      <c r="H267" s="5" t="s">
        <v>131</v>
      </c>
      <c r="I267" s="5" t="s">
        <v>131</v>
      </c>
      <c r="J267" s="5" t="s">
        <v>146</v>
      </c>
      <c r="K267" s="5" t="s">
        <v>138</v>
      </c>
    </row>
    <row r="268" spans="1:11" x14ac:dyDescent="0.25">
      <c r="A268" s="5" t="s">
        <v>717</v>
      </c>
      <c r="B268" s="5" t="s">
        <v>718</v>
      </c>
      <c r="C268" s="5" t="s">
        <v>241</v>
      </c>
      <c r="D268" s="5" t="s">
        <v>242</v>
      </c>
      <c r="E268" s="5" t="s">
        <v>134</v>
      </c>
      <c r="F268" s="5" t="s">
        <v>131</v>
      </c>
      <c r="G268" s="5" t="s">
        <v>131</v>
      </c>
      <c r="H268" s="5" t="s">
        <v>131</v>
      </c>
      <c r="I268" s="5" t="s">
        <v>131</v>
      </c>
      <c r="J268" s="5" t="s">
        <v>714</v>
      </c>
      <c r="K268" s="5" t="s">
        <v>138</v>
      </c>
    </row>
    <row r="269" spans="1:11" x14ac:dyDescent="0.25">
      <c r="A269" s="5" t="s">
        <v>719</v>
      </c>
      <c r="B269" s="5" t="s">
        <v>720</v>
      </c>
      <c r="C269" s="5" t="s">
        <v>241</v>
      </c>
      <c r="D269" s="5" t="s">
        <v>242</v>
      </c>
      <c r="E269" s="5" t="s">
        <v>134</v>
      </c>
      <c r="F269" s="5" t="s">
        <v>131</v>
      </c>
      <c r="G269" s="5" t="s">
        <v>131</v>
      </c>
      <c r="H269" s="5" t="s">
        <v>131</v>
      </c>
      <c r="I269" s="5" t="s">
        <v>131</v>
      </c>
      <c r="J269" s="5" t="s">
        <v>146</v>
      </c>
      <c r="K269" s="5" t="s">
        <v>138</v>
      </c>
    </row>
    <row r="270" spans="1:11" x14ac:dyDescent="0.25">
      <c r="A270" s="5" t="s">
        <v>721</v>
      </c>
      <c r="B270" s="5" t="s">
        <v>722</v>
      </c>
      <c r="C270" s="5" t="s">
        <v>241</v>
      </c>
      <c r="D270" s="5" t="s">
        <v>242</v>
      </c>
      <c r="E270" s="5" t="s">
        <v>134</v>
      </c>
      <c r="F270" s="5" t="s">
        <v>131</v>
      </c>
      <c r="G270" s="5" t="s">
        <v>131</v>
      </c>
      <c r="H270" s="5" t="s">
        <v>131</v>
      </c>
      <c r="I270" s="5" t="s">
        <v>131</v>
      </c>
      <c r="J270" s="5" t="s">
        <v>143</v>
      </c>
      <c r="K270" s="5" t="s">
        <v>138</v>
      </c>
    </row>
    <row r="271" spans="1:11" x14ac:dyDescent="0.25">
      <c r="A271" s="5" t="s">
        <v>723</v>
      </c>
      <c r="B271" s="5" t="s">
        <v>724</v>
      </c>
      <c r="C271" s="5" t="s">
        <v>241</v>
      </c>
      <c r="D271" s="5" t="s">
        <v>242</v>
      </c>
      <c r="E271" s="5" t="s">
        <v>134</v>
      </c>
      <c r="F271" s="5" t="s">
        <v>131</v>
      </c>
      <c r="G271" s="5" t="s">
        <v>131</v>
      </c>
      <c r="H271" s="5" t="s">
        <v>131</v>
      </c>
      <c r="I271" s="5" t="s">
        <v>131</v>
      </c>
      <c r="J271" s="5" t="s">
        <v>223</v>
      </c>
      <c r="K271" s="5" t="s">
        <v>138</v>
      </c>
    </row>
    <row r="272" spans="1:11" x14ac:dyDescent="0.25">
      <c r="A272" s="5" t="s">
        <v>725</v>
      </c>
      <c r="B272" s="5" t="s">
        <v>726</v>
      </c>
      <c r="C272" s="5" t="s">
        <v>241</v>
      </c>
      <c r="D272" s="5" t="s">
        <v>242</v>
      </c>
      <c r="E272" s="5" t="s">
        <v>134</v>
      </c>
      <c r="F272" s="5" t="s">
        <v>131</v>
      </c>
      <c r="G272" s="5" t="s">
        <v>131</v>
      </c>
      <c r="H272" s="5" t="s">
        <v>131</v>
      </c>
      <c r="I272" s="5" t="s">
        <v>131</v>
      </c>
      <c r="J272" s="5" t="s">
        <v>143</v>
      </c>
      <c r="K272" s="5" t="s">
        <v>138</v>
      </c>
    </row>
    <row r="273" spans="1:11" x14ac:dyDescent="0.25">
      <c r="A273" s="5" t="s">
        <v>727</v>
      </c>
      <c r="B273" s="5" t="s">
        <v>728</v>
      </c>
      <c r="C273" s="5" t="s">
        <v>235</v>
      </c>
      <c r="D273" s="5" t="s">
        <v>236</v>
      </c>
      <c r="E273" s="5" t="s">
        <v>134</v>
      </c>
      <c r="F273" s="5" t="s">
        <v>131</v>
      </c>
      <c r="G273" s="5" t="s">
        <v>131</v>
      </c>
      <c r="H273" s="5" t="s">
        <v>131</v>
      </c>
      <c r="I273" s="5" t="s">
        <v>131</v>
      </c>
      <c r="J273" s="5" t="s">
        <v>423</v>
      </c>
      <c r="K273" s="5" t="s">
        <v>138</v>
      </c>
    </row>
    <row r="274" spans="1:11" x14ac:dyDescent="0.25">
      <c r="A274" s="5" t="s">
        <v>729</v>
      </c>
      <c r="B274" s="5" t="s">
        <v>730</v>
      </c>
      <c r="C274" s="5" t="s">
        <v>235</v>
      </c>
      <c r="D274" s="5" t="s">
        <v>236</v>
      </c>
      <c r="E274" s="5" t="s">
        <v>134</v>
      </c>
      <c r="F274" s="5" t="s">
        <v>131</v>
      </c>
      <c r="G274" s="5" t="s">
        <v>131</v>
      </c>
      <c r="H274" s="5" t="s">
        <v>131</v>
      </c>
      <c r="I274" s="5" t="s">
        <v>131</v>
      </c>
      <c r="J274" s="5" t="s">
        <v>423</v>
      </c>
      <c r="K274" s="5" t="s">
        <v>244</v>
      </c>
    </row>
    <row r="275" spans="1:11" x14ac:dyDescent="0.25">
      <c r="A275" s="5" t="s">
        <v>731</v>
      </c>
      <c r="B275" s="5" t="s">
        <v>732</v>
      </c>
      <c r="C275" s="5" t="s">
        <v>235</v>
      </c>
      <c r="D275" s="5" t="s">
        <v>236</v>
      </c>
      <c r="E275" s="5" t="s">
        <v>134</v>
      </c>
      <c r="F275" s="5" t="s">
        <v>131</v>
      </c>
      <c r="G275" s="5" t="s">
        <v>131</v>
      </c>
      <c r="H275" s="5" t="s">
        <v>131</v>
      </c>
      <c r="I275" s="5" t="s">
        <v>131</v>
      </c>
      <c r="J275" s="5" t="s">
        <v>423</v>
      </c>
      <c r="K275" s="5" t="s">
        <v>244</v>
      </c>
    </row>
    <row r="276" spans="1:11" x14ac:dyDescent="0.25">
      <c r="A276" s="5" t="s">
        <v>733</v>
      </c>
      <c r="B276" s="5" t="s">
        <v>734</v>
      </c>
      <c r="C276" s="5" t="s">
        <v>235</v>
      </c>
      <c r="D276" s="5" t="s">
        <v>236</v>
      </c>
      <c r="E276" s="5" t="s">
        <v>134</v>
      </c>
      <c r="F276" s="5" t="s">
        <v>131</v>
      </c>
      <c r="G276" s="5" t="s">
        <v>131</v>
      </c>
      <c r="H276" s="5" t="s">
        <v>131</v>
      </c>
      <c r="I276" s="5" t="s">
        <v>131</v>
      </c>
      <c r="J276" s="5" t="s">
        <v>423</v>
      </c>
      <c r="K276" s="5" t="s">
        <v>138</v>
      </c>
    </row>
    <row r="277" spans="1:11" x14ac:dyDescent="0.25">
      <c r="A277" s="5" t="s">
        <v>735</v>
      </c>
      <c r="B277" s="5" t="s">
        <v>736</v>
      </c>
      <c r="C277" s="5" t="s">
        <v>235</v>
      </c>
      <c r="D277" s="5" t="s">
        <v>236</v>
      </c>
      <c r="E277" s="5" t="s">
        <v>134</v>
      </c>
      <c r="F277" s="5" t="s">
        <v>131</v>
      </c>
      <c r="G277" s="5" t="s">
        <v>131</v>
      </c>
      <c r="H277" s="5" t="s">
        <v>131</v>
      </c>
      <c r="I277" s="5" t="s">
        <v>131</v>
      </c>
      <c r="J277" s="5" t="s">
        <v>423</v>
      </c>
      <c r="K277" s="5" t="s">
        <v>138</v>
      </c>
    </row>
    <row r="278" spans="1:11" x14ac:dyDescent="0.25">
      <c r="A278" s="5" t="s">
        <v>737</v>
      </c>
      <c r="B278" s="5" t="s">
        <v>738</v>
      </c>
      <c r="C278" s="5" t="s">
        <v>235</v>
      </c>
      <c r="D278" s="5" t="s">
        <v>236</v>
      </c>
      <c r="E278" s="5" t="s">
        <v>134</v>
      </c>
      <c r="F278" s="5" t="s">
        <v>131</v>
      </c>
      <c r="G278" s="5" t="s">
        <v>131</v>
      </c>
      <c r="H278" s="5" t="s">
        <v>131</v>
      </c>
      <c r="I278" s="5" t="s">
        <v>131</v>
      </c>
      <c r="J278" s="5" t="s">
        <v>423</v>
      </c>
      <c r="K278" s="5" t="s">
        <v>138</v>
      </c>
    </row>
    <row r="279" spans="1:11" x14ac:dyDescent="0.25">
      <c r="A279" s="5" t="s">
        <v>739</v>
      </c>
      <c r="B279" s="5" t="s">
        <v>740</v>
      </c>
      <c r="C279" s="5" t="s">
        <v>235</v>
      </c>
      <c r="D279" s="5" t="s">
        <v>236</v>
      </c>
      <c r="E279" s="5" t="s">
        <v>741</v>
      </c>
      <c r="F279" s="5" t="s">
        <v>131</v>
      </c>
      <c r="G279" s="5" t="s">
        <v>131</v>
      </c>
      <c r="H279" s="5" t="s">
        <v>131</v>
      </c>
      <c r="I279" s="5" t="s">
        <v>131</v>
      </c>
      <c r="J279" s="5" t="s">
        <v>423</v>
      </c>
      <c r="K279" s="5" t="s">
        <v>138</v>
      </c>
    </row>
    <row r="280" spans="1:11" x14ac:dyDescent="0.25">
      <c r="A280" s="5" t="s">
        <v>742</v>
      </c>
      <c r="B280" s="5" t="s">
        <v>743</v>
      </c>
      <c r="C280" s="5" t="s">
        <v>235</v>
      </c>
      <c r="D280" s="5" t="s">
        <v>236</v>
      </c>
      <c r="E280" s="5" t="s">
        <v>134</v>
      </c>
      <c r="F280" s="5" t="s">
        <v>131</v>
      </c>
      <c r="G280" s="5" t="s">
        <v>131</v>
      </c>
      <c r="H280" s="5" t="s">
        <v>131</v>
      </c>
      <c r="I280" s="5" t="s">
        <v>131</v>
      </c>
      <c r="J280" s="5" t="s">
        <v>423</v>
      </c>
      <c r="K280" s="5" t="s">
        <v>244</v>
      </c>
    </row>
    <row r="281" spans="1:11" x14ac:dyDescent="0.25">
      <c r="A281" s="5" t="s">
        <v>744</v>
      </c>
      <c r="B281" s="5" t="s">
        <v>745</v>
      </c>
      <c r="C281" s="5" t="s">
        <v>235</v>
      </c>
      <c r="D281" s="5" t="s">
        <v>236</v>
      </c>
      <c r="E281" s="5" t="s">
        <v>134</v>
      </c>
      <c r="F281" s="5" t="s">
        <v>131</v>
      </c>
      <c r="G281" s="5" t="s">
        <v>131</v>
      </c>
      <c r="H281" s="5" t="s">
        <v>131</v>
      </c>
      <c r="I281" s="5" t="s">
        <v>131</v>
      </c>
      <c r="J281" s="5" t="s">
        <v>423</v>
      </c>
      <c r="K281" s="5" t="s">
        <v>244</v>
      </c>
    </row>
    <row r="282" spans="1:11" x14ac:dyDescent="0.25">
      <c r="A282" s="5" t="s">
        <v>746</v>
      </c>
      <c r="B282" s="5" t="s">
        <v>747</v>
      </c>
      <c r="C282" s="5" t="s">
        <v>235</v>
      </c>
      <c r="D282" s="5" t="s">
        <v>236</v>
      </c>
      <c r="E282" s="5" t="s">
        <v>134</v>
      </c>
      <c r="F282" s="5" t="s">
        <v>131</v>
      </c>
      <c r="G282" s="5" t="s">
        <v>131</v>
      </c>
      <c r="H282" s="5" t="s">
        <v>131</v>
      </c>
      <c r="I282" s="5" t="s">
        <v>131</v>
      </c>
      <c r="J282" s="5" t="s">
        <v>423</v>
      </c>
      <c r="K282" s="5" t="s">
        <v>138</v>
      </c>
    </row>
    <row r="283" spans="1:11" x14ac:dyDescent="0.25">
      <c r="A283" s="5" t="s">
        <v>748</v>
      </c>
      <c r="B283" s="5" t="s">
        <v>749</v>
      </c>
      <c r="C283" s="5" t="s">
        <v>235</v>
      </c>
      <c r="D283" s="5" t="s">
        <v>236</v>
      </c>
      <c r="E283" s="5" t="s">
        <v>134</v>
      </c>
      <c r="F283" s="5" t="s">
        <v>131</v>
      </c>
      <c r="G283" s="5" t="s">
        <v>131</v>
      </c>
      <c r="H283" s="5" t="s">
        <v>131</v>
      </c>
      <c r="I283" s="5" t="s">
        <v>131</v>
      </c>
      <c r="J283" s="5" t="s">
        <v>423</v>
      </c>
      <c r="K283" s="5" t="s">
        <v>138</v>
      </c>
    </row>
    <row r="284" spans="1:11" x14ac:dyDescent="0.25">
      <c r="A284" s="5" t="s">
        <v>750</v>
      </c>
      <c r="B284" s="5" t="s">
        <v>751</v>
      </c>
      <c r="C284" s="5" t="s">
        <v>235</v>
      </c>
      <c r="D284" s="5" t="s">
        <v>236</v>
      </c>
      <c r="E284" s="5" t="s">
        <v>134</v>
      </c>
      <c r="F284" s="5" t="s">
        <v>131</v>
      </c>
      <c r="G284" s="5" t="s">
        <v>131</v>
      </c>
      <c r="H284" s="5" t="s">
        <v>131</v>
      </c>
      <c r="I284" s="5" t="s">
        <v>131</v>
      </c>
      <c r="J284" s="5" t="s">
        <v>423</v>
      </c>
      <c r="K284" s="5" t="s">
        <v>138</v>
      </c>
    </row>
    <row r="285" spans="1:11" x14ac:dyDescent="0.25">
      <c r="A285" s="5" t="s">
        <v>752</v>
      </c>
      <c r="B285" s="5" t="s">
        <v>753</v>
      </c>
      <c r="C285" s="5" t="s">
        <v>235</v>
      </c>
      <c r="D285" s="5" t="s">
        <v>236</v>
      </c>
      <c r="E285" s="5" t="s">
        <v>134</v>
      </c>
      <c r="F285" s="5" t="s">
        <v>131</v>
      </c>
      <c r="G285" s="5" t="s">
        <v>131</v>
      </c>
      <c r="H285" s="5" t="s">
        <v>131</v>
      </c>
      <c r="I285" s="5" t="s">
        <v>131</v>
      </c>
      <c r="J285" s="5" t="s">
        <v>423</v>
      </c>
      <c r="K285" s="5" t="s">
        <v>138</v>
      </c>
    </row>
    <row r="286" spans="1:11" x14ac:dyDescent="0.25">
      <c r="A286" s="5" t="s">
        <v>754</v>
      </c>
      <c r="B286" s="5" t="s">
        <v>755</v>
      </c>
      <c r="C286" s="5" t="s">
        <v>235</v>
      </c>
      <c r="D286" s="5" t="s">
        <v>236</v>
      </c>
      <c r="E286" s="5" t="s">
        <v>134</v>
      </c>
      <c r="F286" s="5" t="s">
        <v>131</v>
      </c>
      <c r="G286" s="5" t="s">
        <v>131</v>
      </c>
      <c r="H286" s="5" t="s">
        <v>131</v>
      </c>
      <c r="I286" s="5" t="s">
        <v>131</v>
      </c>
      <c r="J286" s="5" t="s">
        <v>423</v>
      </c>
      <c r="K286" s="5" t="s">
        <v>138</v>
      </c>
    </row>
    <row r="287" spans="1:11" x14ac:dyDescent="0.25">
      <c r="A287" s="5" t="s">
        <v>756</v>
      </c>
      <c r="B287" s="5" t="s">
        <v>757</v>
      </c>
      <c r="C287" s="5" t="s">
        <v>235</v>
      </c>
      <c r="D287" s="5" t="s">
        <v>236</v>
      </c>
      <c r="E287" s="5" t="s">
        <v>134</v>
      </c>
      <c r="F287" s="5" t="s">
        <v>131</v>
      </c>
      <c r="G287" s="5" t="s">
        <v>131</v>
      </c>
      <c r="H287" s="5" t="s">
        <v>131</v>
      </c>
      <c r="I287" s="5" t="s">
        <v>131</v>
      </c>
      <c r="J287" s="5" t="s">
        <v>423</v>
      </c>
      <c r="K287" s="5" t="s">
        <v>138</v>
      </c>
    </row>
    <row r="288" spans="1:11" x14ac:dyDescent="0.25">
      <c r="A288" s="5" t="s">
        <v>758</v>
      </c>
      <c r="B288" s="5" t="s">
        <v>759</v>
      </c>
      <c r="C288" s="5" t="s">
        <v>235</v>
      </c>
      <c r="D288" s="5" t="s">
        <v>236</v>
      </c>
      <c r="E288" s="5" t="s">
        <v>134</v>
      </c>
      <c r="F288" s="5" t="s">
        <v>131</v>
      </c>
      <c r="G288" s="5" t="s">
        <v>131</v>
      </c>
      <c r="H288" s="5" t="s">
        <v>131</v>
      </c>
      <c r="I288" s="5" t="s">
        <v>131</v>
      </c>
      <c r="J288" s="5" t="s">
        <v>423</v>
      </c>
      <c r="K288" s="5" t="s">
        <v>244</v>
      </c>
    </row>
    <row r="289" spans="1:11" x14ac:dyDescent="0.25">
      <c r="A289" s="5" t="s">
        <v>760</v>
      </c>
      <c r="B289" s="5" t="s">
        <v>761</v>
      </c>
      <c r="C289" s="5" t="s">
        <v>235</v>
      </c>
      <c r="D289" s="5" t="s">
        <v>236</v>
      </c>
      <c r="E289" s="5" t="s">
        <v>134</v>
      </c>
      <c r="F289" s="5" t="s">
        <v>131</v>
      </c>
      <c r="G289" s="5" t="s">
        <v>131</v>
      </c>
      <c r="H289" s="5" t="s">
        <v>131</v>
      </c>
      <c r="I289" s="5" t="s">
        <v>131</v>
      </c>
      <c r="J289" s="5" t="s">
        <v>423</v>
      </c>
      <c r="K289" s="5" t="s">
        <v>138</v>
      </c>
    </row>
    <row r="290" spans="1:11" x14ac:dyDescent="0.25">
      <c r="A290" s="5" t="s">
        <v>762</v>
      </c>
      <c r="B290" s="5" t="s">
        <v>763</v>
      </c>
      <c r="C290" s="5" t="s">
        <v>235</v>
      </c>
      <c r="D290" s="5" t="s">
        <v>236</v>
      </c>
      <c r="E290" s="5" t="s">
        <v>134</v>
      </c>
      <c r="F290" s="5" t="s">
        <v>131</v>
      </c>
      <c r="G290" s="5" t="s">
        <v>131</v>
      </c>
      <c r="H290" s="5" t="s">
        <v>131</v>
      </c>
      <c r="I290" s="5" t="s">
        <v>131</v>
      </c>
      <c r="J290" s="5" t="s">
        <v>423</v>
      </c>
      <c r="K290" s="5" t="s">
        <v>138</v>
      </c>
    </row>
    <row r="291" spans="1:11" x14ac:dyDescent="0.25">
      <c r="A291" s="5" t="s">
        <v>764</v>
      </c>
      <c r="B291" s="5" t="s">
        <v>765</v>
      </c>
      <c r="C291" s="5" t="s">
        <v>235</v>
      </c>
      <c r="D291" s="5" t="s">
        <v>134</v>
      </c>
      <c r="E291" s="5" t="s">
        <v>134</v>
      </c>
      <c r="F291" s="5" t="s">
        <v>131</v>
      </c>
      <c r="G291" s="5" t="s">
        <v>131</v>
      </c>
      <c r="H291" s="5" t="s">
        <v>131</v>
      </c>
      <c r="I291" s="5" t="s">
        <v>131</v>
      </c>
      <c r="J291" s="5" t="s">
        <v>766</v>
      </c>
      <c r="K291" s="5" t="s">
        <v>138</v>
      </c>
    </row>
    <row r="292" spans="1:11" x14ac:dyDescent="0.25">
      <c r="A292" s="5" t="s">
        <v>767</v>
      </c>
      <c r="B292" s="5" t="s">
        <v>768</v>
      </c>
      <c r="C292" s="5" t="s">
        <v>235</v>
      </c>
      <c r="D292" s="5" t="s">
        <v>236</v>
      </c>
      <c r="E292" s="5" t="s">
        <v>134</v>
      </c>
      <c r="F292" s="5" t="s">
        <v>131</v>
      </c>
      <c r="G292" s="5" t="s">
        <v>131</v>
      </c>
      <c r="H292" s="5" t="s">
        <v>131</v>
      </c>
      <c r="I292" s="5" t="s">
        <v>131</v>
      </c>
      <c r="J292" s="5" t="s">
        <v>423</v>
      </c>
      <c r="K292" s="5" t="s">
        <v>138</v>
      </c>
    </row>
    <row r="293" spans="1:11" x14ac:dyDescent="0.25">
      <c r="A293" s="5" t="s">
        <v>769</v>
      </c>
      <c r="B293" s="5" t="s">
        <v>765</v>
      </c>
      <c r="C293" s="5" t="s">
        <v>235</v>
      </c>
      <c r="D293" s="5" t="s">
        <v>134</v>
      </c>
      <c r="E293" s="5" t="s">
        <v>134</v>
      </c>
      <c r="F293" s="5" t="s">
        <v>131</v>
      </c>
      <c r="G293" s="5" t="s">
        <v>131</v>
      </c>
      <c r="H293" s="5" t="s">
        <v>131</v>
      </c>
      <c r="I293" s="5" t="s">
        <v>131</v>
      </c>
      <c r="J293" s="5" t="s">
        <v>766</v>
      </c>
      <c r="K293" s="5" t="s">
        <v>138</v>
      </c>
    </row>
    <row r="294" spans="1:11" x14ac:dyDescent="0.25">
      <c r="A294" s="5" t="s">
        <v>770</v>
      </c>
      <c r="B294" s="5" t="s">
        <v>765</v>
      </c>
      <c r="C294" s="5" t="s">
        <v>235</v>
      </c>
      <c r="D294" s="5" t="s">
        <v>134</v>
      </c>
      <c r="E294" s="5" t="s">
        <v>134</v>
      </c>
      <c r="F294" s="5" t="s">
        <v>131</v>
      </c>
      <c r="G294" s="5" t="s">
        <v>131</v>
      </c>
      <c r="H294" s="5" t="s">
        <v>131</v>
      </c>
      <c r="I294" s="5" t="s">
        <v>131</v>
      </c>
      <c r="J294" s="5" t="s">
        <v>766</v>
      </c>
      <c r="K294" s="5" t="s">
        <v>138</v>
      </c>
    </row>
    <row r="295" spans="1:11" x14ac:dyDescent="0.25">
      <c r="A295" s="5" t="s">
        <v>771</v>
      </c>
      <c r="B295" s="5" t="s">
        <v>765</v>
      </c>
      <c r="C295" s="5" t="s">
        <v>235</v>
      </c>
      <c r="D295" s="5" t="s">
        <v>134</v>
      </c>
      <c r="E295" s="5" t="s">
        <v>134</v>
      </c>
      <c r="F295" s="5" t="s">
        <v>131</v>
      </c>
      <c r="G295" s="5" t="s">
        <v>131</v>
      </c>
      <c r="H295" s="5" t="s">
        <v>131</v>
      </c>
      <c r="I295" s="5" t="s">
        <v>131</v>
      </c>
      <c r="J295" s="5" t="s">
        <v>766</v>
      </c>
      <c r="K295" s="5" t="s">
        <v>138</v>
      </c>
    </row>
    <row r="296" spans="1:11" x14ac:dyDescent="0.25">
      <c r="A296" s="5" t="s">
        <v>772</v>
      </c>
      <c r="B296" s="5" t="s">
        <v>765</v>
      </c>
      <c r="C296" s="5" t="s">
        <v>235</v>
      </c>
      <c r="D296" s="5" t="s">
        <v>134</v>
      </c>
      <c r="E296" s="5" t="s">
        <v>134</v>
      </c>
      <c r="F296" s="5" t="s">
        <v>131</v>
      </c>
      <c r="G296" s="5" t="s">
        <v>131</v>
      </c>
      <c r="H296" s="5" t="s">
        <v>131</v>
      </c>
      <c r="I296" s="5" t="s">
        <v>131</v>
      </c>
      <c r="J296" s="5" t="s">
        <v>766</v>
      </c>
      <c r="K296" s="5" t="s">
        <v>138</v>
      </c>
    </row>
    <row r="297" spans="1:11" x14ac:dyDescent="0.25">
      <c r="A297" s="5" t="s">
        <v>773</v>
      </c>
      <c r="B297" s="5" t="s">
        <v>765</v>
      </c>
      <c r="C297" s="5" t="s">
        <v>235</v>
      </c>
      <c r="D297" s="5" t="s">
        <v>134</v>
      </c>
      <c r="E297" s="5" t="s">
        <v>134</v>
      </c>
      <c r="F297" s="5" t="s">
        <v>131</v>
      </c>
      <c r="G297" s="5" t="s">
        <v>131</v>
      </c>
      <c r="H297" s="5" t="s">
        <v>131</v>
      </c>
      <c r="I297" s="5" t="s">
        <v>131</v>
      </c>
      <c r="J297" s="5" t="s">
        <v>766</v>
      </c>
      <c r="K297" s="5" t="s">
        <v>138</v>
      </c>
    </row>
    <row r="298" spans="1:11" x14ac:dyDescent="0.25">
      <c r="A298" s="5" t="s">
        <v>774</v>
      </c>
      <c r="B298" s="5" t="s">
        <v>775</v>
      </c>
      <c r="C298" s="5" t="s">
        <v>235</v>
      </c>
      <c r="D298" s="5" t="s">
        <v>236</v>
      </c>
      <c r="E298" s="5" t="s">
        <v>134</v>
      </c>
      <c r="F298" s="5" t="s">
        <v>131</v>
      </c>
      <c r="G298" s="5" t="s">
        <v>131</v>
      </c>
      <c r="H298" s="5" t="s">
        <v>131</v>
      </c>
      <c r="I298" s="5" t="s">
        <v>131</v>
      </c>
      <c r="J298" s="5" t="s">
        <v>423</v>
      </c>
      <c r="K298" s="5" t="s">
        <v>138</v>
      </c>
    </row>
    <row r="299" spans="1:11" x14ac:dyDescent="0.25">
      <c r="A299" s="5" t="s">
        <v>776</v>
      </c>
      <c r="B299" s="5" t="s">
        <v>777</v>
      </c>
      <c r="C299" s="5" t="s">
        <v>235</v>
      </c>
      <c r="D299" s="5" t="s">
        <v>236</v>
      </c>
      <c r="E299" s="5" t="s">
        <v>134</v>
      </c>
      <c r="F299" s="5" t="s">
        <v>131</v>
      </c>
      <c r="G299" s="5" t="s">
        <v>131</v>
      </c>
      <c r="H299" s="5" t="s">
        <v>131</v>
      </c>
      <c r="I299" s="5" t="s">
        <v>131</v>
      </c>
      <c r="J299" s="5" t="s">
        <v>423</v>
      </c>
      <c r="K299" s="5" t="s">
        <v>244</v>
      </c>
    </row>
    <row r="300" spans="1:11" x14ac:dyDescent="0.25">
      <c r="A300" s="5" t="s">
        <v>778</v>
      </c>
      <c r="B300" s="5" t="s">
        <v>768</v>
      </c>
      <c r="C300" s="5" t="s">
        <v>235</v>
      </c>
      <c r="D300" s="5" t="s">
        <v>236</v>
      </c>
      <c r="E300" s="5" t="s">
        <v>134</v>
      </c>
      <c r="F300" s="5" t="s">
        <v>131</v>
      </c>
      <c r="G300" s="5" t="s">
        <v>131</v>
      </c>
      <c r="H300" s="5" t="s">
        <v>131</v>
      </c>
      <c r="I300" s="5" t="s">
        <v>131</v>
      </c>
      <c r="J300" s="5" t="s">
        <v>423</v>
      </c>
      <c r="K300" s="5" t="s">
        <v>138</v>
      </c>
    </row>
    <row r="301" spans="1:11" x14ac:dyDescent="0.25">
      <c r="A301" s="5" t="s">
        <v>779</v>
      </c>
      <c r="B301" s="5" t="s">
        <v>780</v>
      </c>
      <c r="C301" s="5" t="s">
        <v>235</v>
      </c>
      <c r="D301" s="5" t="s">
        <v>236</v>
      </c>
      <c r="E301" s="5" t="s">
        <v>134</v>
      </c>
      <c r="F301" s="5" t="s">
        <v>131</v>
      </c>
      <c r="G301" s="5" t="s">
        <v>131</v>
      </c>
      <c r="H301" s="5" t="s">
        <v>131</v>
      </c>
      <c r="I301" s="5" t="s">
        <v>131</v>
      </c>
      <c r="J301" s="5" t="s">
        <v>423</v>
      </c>
      <c r="K301" s="5" t="s">
        <v>244</v>
      </c>
    </row>
    <row r="302" spans="1:11" x14ac:dyDescent="0.25">
      <c r="A302" s="5" t="s">
        <v>781</v>
      </c>
      <c r="B302" s="5" t="s">
        <v>782</v>
      </c>
      <c r="C302" s="5" t="s">
        <v>235</v>
      </c>
      <c r="D302" s="5" t="s">
        <v>236</v>
      </c>
      <c r="E302" s="5" t="s">
        <v>134</v>
      </c>
      <c r="F302" s="5" t="s">
        <v>131</v>
      </c>
      <c r="G302" s="5" t="s">
        <v>131</v>
      </c>
      <c r="H302" s="5" t="s">
        <v>131</v>
      </c>
      <c r="I302" s="5" t="s">
        <v>131</v>
      </c>
      <c r="J302" s="5" t="s">
        <v>423</v>
      </c>
      <c r="K302" s="5" t="s">
        <v>244</v>
      </c>
    </row>
    <row r="303" spans="1:11" x14ac:dyDescent="0.25">
      <c r="A303" s="5" t="s">
        <v>783</v>
      </c>
      <c r="B303" s="5" t="s">
        <v>784</v>
      </c>
      <c r="C303" s="5" t="s">
        <v>235</v>
      </c>
      <c r="D303" s="5" t="s">
        <v>236</v>
      </c>
      <c r="E303" s="5" t="s">
        <v>134</v>
      </c>
      <c r="F303" s="5" t="s">
        <v>131</v>
      </c>
      <c r="G303" s="5" t="s">
        <v>131</v>
      </c>
      <c r="H303" s="5" t="s">
        <v>131</v>
      </c>
      <c r="I303" s="5" t="s">
        <v>131</v>
      </c>
      <c r="J303" s="5" t="s">
        <v>423</v>
      </c>
      <c r="K303" s="5" t="s">
        <v>244</v>
      </c>
    </row>
    <row r="304" spans="1:11" x14ac:dyDescent="0.25">
      <c r="A304" s="5" t="s">
        <v>785</v>
      </c>
      <c r="B304" s="5" t="s">
        <v>786</v>
      </c>
      <c r="C304" s="5" t="s">
        <v>235</v>
      </c>
      <c r="D304" s="5" t="s">
        <v>236</v>
      </c>
      <c r="E304" s="5" t="s">
        <v>134</v>
      </c>
      <c r="F304" s="5" t="s">
        <v>131</v>
      </c>
      <c r="G304" s="5" t="s">
        <v>131</v>
      </c>
      <c r="H304" s="5" t="s">
        <v>131</v>
      </c>
      <c r="I304" s="5" t="s">
        <v>131</v>
      </c>
      <c r="J304" s="5" t="s">
        <v>423</v>
      </c>
      <c r="K304" s="5" t="s">
        <v>244</v>
      </c>
    </row>
    <row r="305" spans="1:11" x14ac:dyDescent="0.25">
      <c r="A305" s="5" t="s">
        <v>787</v>
      </c>
      <c r="B305" s="5" t="s">
        <v>788</v>
      </c>
      <c r="C305" s="5" t="s">
        <v>235</v>
      </c>
      <c r="D305" s="5" t="s">
        <v>236</v>
      </c>
      <c r="E305" s="5" t="s">
        <v>134</v>
      </c>
      <c r="F305" s="5" t="s">
        <v>131</v>
      </c>
      <c r="G305" s="5" t="s">
        <v>131</v>
      </c>
      <c r="H305" s="5" t="s">
        <v>131</v>
      </c>
      <c r="I305" s="5" t="s">
        <v>131</v>
      </c>
      <c r="J305" s="5" t="s">
        <v>423</v>
      </c>
      <c r="K305" s="5" t="s">
        <v>244</v>
      </c>
    </row>
    <row r="306" spans="1:11" x14ac:dyDescent="0.25">
      <c r="A306" s="5" t="s">
        <v>789</v>
      </c>
      <c r="B306" s="5" t="s">
        <v>790</v>
      </c>
      <c r="C306" s="5" t="s">
        <v>235</v>
      </c>
      <c r="D306" s="5" t="s">
        <v>236</v>
      </c>
      <c r="E306" s="5" t="s">
        <v>134</v>
      </c>
      <c r="F306" s="5" t="s">
        <v>131</v>
      </c>
      <c r="G306" s="5" t="s">
        <v>131</v>
      </c>
      <c r="H306" s="5" t="s">
        <v>131</v>
      </c>
      <c r="I306" s="5" t="s">
        <v>131</v>
      </c>
      <c r="J306" s="5" t="s">
        <v>423</v>
      </c>
      <c r="K306" s="5" t="s">
        <v>138</v>
      </c>
    </row>
    <row r="307" spans="1:11" x14ac:dyDescent="0.25">
      <c r="A307" s="5" t="s">
        <v>791</v>
      </c>
      <c r="B307" s="5" t="s">
        <v>792</v>
      </c>
      <c r="C307" s="5" t="s">
        <v>235</v>
      </c>
      <c r="D307" s="5" t="s">
        <v>236</v>
      </c>
      <c r="E307" s="5" t="s">
        <v>134</v>
      </c>
      <c r="F307" s="5" t="s">
        <v>131</v>
      </c>
      <c r="G307" s="5" t="s">
        <v>131</v>
      </c>
      <c r="H307" s="5" t="s">
        <v>131</v>
      </c>
      <c r="I307" s="5" t="s">
        <v>131</v>
      </c>
      <c r="J307" s="5" t="s">
        <v>423</v>
      </c>
      <c r="K307" s="5" t="s">
        <v>138</v>
      </c>
    </row>
    <row r="308" spans="1:11" x14ac:dyDescent="0.25">
      <c r="A308" s="5" t="s">
        <v>793</v>
      </c>
      <c r="B308" s="5" t="s">
        <v>794</v>
      </c>
      <c r="C308" s="5" t="s">
        <v>235</v>
      </c>
      <c r="D308" s="5" t="s">
        <v>236</v>
      </c>
      <c r="E308" s="5" t="s">
        <v>134</v>
      </c>
      <c r="F308" s="5" t="s">
        <v>131</v>
      </c>
      <c r="G308" s="5" t="s">
        <v>131</v>
      </c>
      <c r="H308" s="5" t="s">
        <v>131</v>
      </c>
      <c r="I308" s="5" t="s">
        <v>131</v>
      </c>
      <c r="J308" s="5" t="s">
        <v>423</v>
      </c>
      <c r="K308" s="5" t="s">
        <v>138</v>
      </c>
    </row>
    <row r="309" spans="1:11" x14ac:dyDescent="0.25">
      <c r="A309" s="5" t="s">
        <v>795</v>
      </c>
      <c r="B309" s="5" t="s">
        <v>796</v>
      </c>
      <c r="C309" s="5" t="s">
        <v>235</v>
      </c>
      <c r="D309" s="5" t="s">
        <v>236</v>
      </c>
      <c r="E309" s="5" t="s">
        <v>134</v>
      </c>
      <c r="F309" s="5" t="s">
        <v>131</v>
      </c>
      <c r="G309" s="5" t="s">
        <v>131</v>
      </c>
      <c r="H309" s="5" t="s">
        <v>131</v>
      </c>
      <c r="I309" s="5" t="s">
        <v>131</v>
      </c>
      <c r="J309" s="5" t="s">
        <v>423</v>
      </c>
      <c r="K309" s="5" t="s">
        <v>138</v>
      </c>
    </row>
    <row r="310" spans="1:11" x14ac:dyDescent="0.25">
      <c r="A310" s="5" t="s">
        <v>797</v>
      </c>
      <c r="B310" s="5" t="s">
        <v>798</v>
      </c>
      <c r="C310" s="5" t="s">
        <v>235</v>
      </c>
      <c r="D310" s="5" t="s">
        <v>236</v>
      </c>
      <c r="E310" s="5" t="s">
        <v>134</v>
      </c>
      <c r="F310" s="5" t="s">
        <v>131</v>
      </c>
      <c r="G310" s="5" t="s">
        <v>131</v>
      </c>
      <c r="H310" s="5" t="s">
        <v>131</v>
      </c>
      <c r="I310" s="5" t="s">
        <v>131</v>
      </c>
      <c r="J310" s="5" t="s">
        <v>423</v>
      </c>
      <c r="K310" s="5" t="s">
        <v>138</v>
      </c>
    </row>
    <row r="311" spans="1:11" x14ac:dyDescent="0.25">
      <c r="A311" s="5" t="s">
        <v>799</v>
      </c>
      <c r="B311" s="5" t="s">
        <v>800</v>
      </c>
      <c r="C311" s="5" t="s">
        <v>235</v>
      </c>
      <c r="D311" s="5" t="s">
        <v>236</v>
      </c>
      <c r="E311" s="5" t="s">
        <v>134</v>
      </c>
      <c r="F311" s="5" t="s">
        <v>131</v>
      </c>
      <c r="G311" s="5" t="s">
        <v>131</v>
      </c>
      <c r="H311" s="5" t="s">
        <v>131</v>
      </c>
      <c r="I311" s="5" t="s">
        <v>131</v>
      </c>
      <c r="J311" s="5" t="s">
        <v>423</v>
      </c>
      <c r="K311" s="5" t="s">
        <v>138</v>
      </c>
    </row>
    <row r="312" spans="1:11" x14ac:dyDescent="0.25">
      <c r="A312" s="5" t="s">
        <v>801</v>
      </c>
      <c r="B312" s="5" t="s">
        <v>802</v>
      </c>
      <c r="C312" s="5" t="s">
        <v>235</v>
      </c>
      <c r="D312" s="5" t="s">
        <v>236</v>
      </c>
      <c r="E312" s="5" t="s">
        <v>134</v>
      </c>
      <c r="F312" s="5" t="s">
        <v>131</v>
      </c>
      <c r="G312" s="5" t="s">
        <v>131</v>
      </c>
      <c r="H312" s="5" t="s">
        <v>131</v>
      </c>
      <c r="I312" s="5" t="s">
        <v>131</v>
      </c>
      <c r="J312" s="5" t="s">
        <v>423</v>
      </c>
      <c r="K312" s="5" t="s">
        <v>138</v>
      </c>
    </row>
    <row r="313" spans="1:11" x14ac:dyDescent="0.25">
      <c r="A313" s="5" t="s">
        <v>803</v>
      </c>
      <c r="B313" s="5" t="s">
        <v>804</v>
      </c>
      <c r="C313" s="5" t="s">
        <v>235</v>
      </c>
      <c r="D313" s="5" t="s">
        <v>236</v>
      </c>
      <c r="E313" s="5" t="s">
        <v>134</v>
      </c>
      <c r="F313" s="5" t="s">
        <v>131</v>
      </c>
      <c r="G313" s="5" t="s">
        <v>131</v>
      </c>
      <c r="H313" s="5" t="s">
        <v>131</v>
      </c>
      <c r="I313" s="5" t="s">
        <v>131</v>
      </c>
      <c r="J313" s="5" t="s">
        <v>805</v>
      </c>
      <c r="K313" s="5" t="s">
        <v>138</v>
      </c>
    </row>
    <row r="314" spans="1:11" x14ac:dyDescent="0.25">
      <c r="A314" s="5" t="s">
        <v>806</v>
      </c>
      <c r="B314" s="5" t="s">
        <v>807</v>
      </c>
      <c r="C314" s="5" t="s">
        <v>235</v>
      </c>
      <c r="D314" s="5" t="s">
        <v>236</v>
      </c>
      <c r="E314" s="5" t="s">
        <v>134</v>
      </c>
      <c r="F314" s="5" t="s">
        <v>131</v>
      </c>
      <c r="G314" s="5" t="s">
        <v>131</v>
      </c>
      <c r="H314" s="5" t="s">
        <v>131</v>
      </c>
      <c r="I314" s="5" t="s">
        <v>131</v>
      </c>
      <c r="J314" s="5" t="s">
        <v>423</v>
      </c>
      <c r="K314" s="5" t="s">
        <v>138</v>
      </c>
    </row>
    <row r="315" spans="1:11" x14ac:dyDescent="0.25">
      <c r="A315" s="5" t="s">
        <v>808</v>
      </c>
      <c r="B315" s="5" t="s">
        <v>809</v>
      </c>
      <c r="C315" s="5" t="s">
        <v>235</v>
      </c>
      <c r="D315" s="5" t="s">
        <v>236</v>
      </c>
      <c r="E315" s="5" t="s">
        <v>134</v>
      </c>
      <c r="F315" s="5" t="s">
        <v>131</v>
      </c>
      <c r="G315" s="5" t="s">
        <v>131</v>
      </c>
      <c r="H315" s="5" t="s">
        <v>131</v>
      </c>
      <c r="I315" s="5" t="s">
        <v>131</v>
      </c>
      <c r="J315" s="5" t="s">
        <v>423</v>
      </c>
      <c r="K315" s="5" t="s">
        <v>138</v>
      </c>
    </row>
    <row r="316" spans="1:11" x14ac:dyDescent="0.25">
      <c r="A316" s="5" t="s">
        <v>810</v>
      </c>
      <c r="B316" s="5" t="s">
        <v>811</v>
      </c>
      <c r="C316" s="5" t="s">
        <v>235</v>
      </c>
      <c r="D316" s="5" t="s">
        <v>236</v>
      </c>
      <c r="E316" s="5" t="s">
        <v>134</v>
      </c>
      <c r="F316" s="5" t="s">
        <v>131</v>
      </c>
      <c r="G316" s="5" t="s">
        <v>131</v>
      </c>
      <c r="H316" s="5" t="s">
        <v>131</v>
      </c>
      <c r="I316" s="5" t="s">
        <v>131</v>
      </c>
      <c r="J316" s="5" t="s">
        <v>423</v>
      </c>
      <c r="K316" s="5" t="s">
        <v>138</v>
      </c>
    </row>
    <row r="317" spans="1:11" x14ac:dyDescent="0.25">
      <c r="A317" s="5" t="s">
        <v>812</v>
      </c>
      <c r="B317" s="5" t="s">
        <v>813</v>
      </c>
      <c r="C317" s="5" t="s">
        <v>235</v>
      </c>
      <c r="D317" s="5" t="s">
        <v>236</v>
      </c>
      <c r="E317" s="5" t="s">
        <v>134</v>
      </c>
      <c r="F317" s="5" t="s">
        <v>131</v>
      </c>
      <c r="G317" s="5" t="s">
        <v>131</v>
      </c>
      <c r="H317" s="5" t="s">
        <v>131</v>
      </c>
      <c r="I317" s="5" t="s">
        <v>131</v>
      </c>
      <c r="J317" s="5" t="s">
        <v>423</v>
      </c>
      <c r="K317" s="5" t="s">
        <v>138</v>
      </c>
    </row>
    <row r="318" spans="1:11" x14ac:dyDescent="0.25">
      <c r="A318" s="5" t="s">
        <v>814</v>
      </c>
      <c r="B318" s="5" t="s">
        <v>815</v>
      </c>
      <c r="C318" s="5" t="s">
        <v>235</v>
      </c>
      <c r="D318" s="5" t="s">
        <v>236</v>
      </c>
      <c r="E318" s="5" t="s">
        <v>134</v>
      </c>
      <c r="F318" s="5" t="s">
        <v>131</v>
      </c>
      <c r="G318" s="5" t="s">
        <v>131</v>
      </c>
      <c r="H318" s="5" t="s">
        <v>131</v>
      </c>
      <c r="I318" s="5" t="s">
        <v>131</v>
      </c>
      <c r="J318" s="5" t="s">
        <v>423</v>
      </c>
      <c r="K318" s="5" t="s">
        <v>138</v>
      </c>
    </row>
    <row r="319" spans="1:11" x14ac:dyDescent="0.25">
      <c r="A319" s="5" t="s">
        <v>816</v>
      </c>
      <c r="B319" s="5" t="s">
        <v>817</v>
      </c>
      <c r="C319" s="5" t="s">
        <v>235</v>
      </c>
      <c r="D319" s="5" t="s">
        <v>236</v>
      </c>
      <c r="E319" s="5" t="s">
        <v>134</v>
      </c>
      <c r="F319" s="5" t="s">
        <v>131</v>
      </c>
      <c r="G319" s="5" t="s">
        <v>131</v>
      </c>
      <c r="H319" s="5" t="s">
        <v>131</v>
      </c>
      <c r="I319" s="5" t="s">
        <v>131</v>
      </c>
      <c r="J319" s="5" t="s">
        <v>423</v>
      </c>
      <c r="K319" s="5" t="s">
        <v>138</v>
      </c>
    </row>
    <row r="320" spans="1:11" x14ac:dyDescent="0.25">
      <c r="A320" s="5" t="s">
        <v>818</v>
      </c>
      <c r="B320" s="5" t="s">
        <v>819</v>
      </c>
      <c r="C320" s="5" t="s">
        <v>247</v>
      </c>
      <c r="D320" s="5" t="s">
        <v>819</v>
      </c>
      <c r="E320" s="5" t="s">
        <v>134</v>
      </c>
      <c r="F320" s="5" t="s">
        <v>131</v>
      </c>
      <c r="G320" s="5" t="s">
        <v>131</v>
      </c>
      <c r="H320" s="5" t="s">
        <v>131</v>
      </c>
      <c r="I320" s="5" t="s">
        <v>131</v>
      </c>
      <c r="J320" s="5" t="s">
        <v>243</v>
      </c>
      <c r="K320" s="5" t="s">
        <v>138</v>
      </c>
    </row>
    <row r="321" spans="1:11" x14ac:dyDescent="0.25">
      <c r="A321" s="5" t="s">
        <v>820</v>
      </c>
      <c r="B321" s="5" t="s">
        <v>821</v>
      </c>
      <c r="C321" s="5" t="s">
        <v>247</v>
      </c>
      <c r="D321" s="5" t="s">
        <v>819</v>
      </c>
      <c r="E321" s="5" t="s">
        <v>134</v>
      </c>
      <c r="F321" s="5" t="s">
        <v>131</v>
      </c>
      <c r="G321" s="5" t="s">
        <v>131</v>
      </c>
      <c r="H321" s="5" t="s">
        <v>131</v>
      </c>
      <c r="I321" s="5" t="s">
        <v>131</v>
      </c>
      <c r="J321" s="5" t="s">
        <v>243</v>
      </c>
      <c r="K321" s="5" t="s">
        <v>138</v>
      </c>
    </row>
    <row r="322" spans="1:11" x14ac:dyDescent="0.25">
      <c r="A322" s="5" t="s">
        <v>822</v>
      </c>
      <c r="B322" s="5" t="s">
        <v>823</v>
      </c>
      <c r="C322" s="5" t="s">
        <v>247</v>
      </c>
      <c r="D322" s="5" t="s">
        <v>819</v>
      </c>
      <c r="E322" s="5" t="s">
        <v>134</v>
      </c>
      <c r="F322" s="5" t="s">
        <v>131</v>
      </c>
      <c r="G322" s="5" t="s">
        <v>131</v>
      </c>
      <c r="H322" s="5" t="s">
        <v>131</v>
      </c>
      <c r="I322" s="5" t="s">
        <v>131</v>
      </c>
      <c r="J322" s="5" t="s">
        <v>243</v>
      </c>
      <c r="K322" s="5" t="s">
        <v>138</v>
      </c>
    </row>
    <row r="323" spans="1:11" x14ac:dyDescent="0.25">
      <c r="A323" s="5" t="s">
        <v>824</v>
      </c>
      <c r="B323" s="5" t="s">
        <v>825</v>
      </c>
      <c r="C323" s="5" t="s">
        <v>247</v>
      </c>
      <c r="D323" s="5" t="s">
        <v>819</v>
      </c>
      <c r="E323" s="5" t="s">
        <v>134</v>
      </c>
      <c r="F323" s="5" t="s">
        <v>131</v>
      </c>
      <c r="G323" s="5" t="s">
        <v>131</v>
      </c>
      <c r="H323" s="5" t="s">
        <v>131</v>
      </c>
      <c r="I323" s="5" t="s">
        <v>131</v>
      </c>
      <c r="J323" s="5" t="s">
        <v>243</v>
      </c>
      <c r="K323" s="5" t="s">
        <v>138</v>
      </c>
    </row>
    <row r="324" spans="1:11" x14ac:dyDescent="0.25">
      <c r="A324" s="5" t="s">
        <v>826</v>
      </c>
      <c r="B324" s="5" t="s">
        <v>827</v>
      </c>
      <c r="C324" s="5" t="s">
        <v>247</v>
      </c>
      <c r="D324" s="5" t="s">
        <v>819</v>
      </c>
      <c r="E324" s="5" t="s">
        <v>134</v>
      </c>
      <c r="F324" s="5" t="s">
        <v>131</v>
      </c>
      <c r="G324" s="5" t="s">
        <v>131</v>
      </c>
      <c r="H324" s="5" t="s">
        <v>131</v>
      </c>
      <c r="I324" s="5" t="s">
        <v>131</v>
      </c>
      <c r="J324" s="5" t="s">
        <v>320</v>
      </c>
      <c r="K324" s="5" t="s">
        <v>138</v>
      </c>
    </row>
    <row r="325" spans="1:11" x14ac:dyDescent="0.25">
      <c r="A325" s="5" t="s">
        <v>828</v>
      </c>
      <c r="B325" s="5" t="s">
        <v>829</v>
      </c>
      <c r="C325" s="5" t="s">
        <v>247</v>
      </c>
      <c r="D325" s="5" t="s">
        <v>819</v>
      </c>
      <c r="E325" s="5" t="s">
        <v>134</v>
      </c>
      <c r="F325" s="5" t="s">
        <v>131</v>
      </c>
      <c r="G325" s="5" t="s">
        <v>131</v>
      </c>
      <c r="H325" s="5" t="s">
        <v>131</v>
      </c>
      <c r="I325" s="5" t="s">
        <v>131</v>
      </c>
      <c r="J325" s="5" t="s">
        <v>243</v>
      </c>
      <c r="K325" s="5" t="s">
        <v>138</v>
      </c>
    </row>
    <row r="326" spans="1:11" x14ac:dyDescent="0.25">
      <c r="A326" s="5" t="s">
        <v>830</v>
      </c>
      <c r="B326" s="5" t="s">
        <v>831</v>
      </c>
      <c r="C326" s="5" t="s">
        <v>247</v>
      </c>
      <c r="D326" s="5" t="s">
        <v>819</v>
      </c>
      <c r="E326" s="5" t="s">
        <v>134</v>
      </c>
      <c r="F326" s="5" t="s">
        <v>131</v>
      </c>
      <c r="G326" s="5" t="s">
        <v>131</v>
      </c>
      <c r="H326" s="5" t="s">
        <v>131</v>
      </c>
      <c r="I326" s="5" t="s">
        <v>131</v>
      </c>
      <c r="J326" s="5" t="s">
        <v>243</v>
      </c>
      <c r="K326" s="5" t="s">
        <v>138</v>
      </c>
    </row>
    <row r="327" spans="1:11" x14ac:dyDescent="0.25">
      <c r="A327" s="5" t="s">
        <v>832</v>
      </c>
      <c r="B327" s="5" t="s">
        <v>833</v>
      </c>
      <c r="C327" s="5" t="s">
        <v>247</v>
      </c>
      <c r="D327" s="5" t="s">
        <v>819</v>
      </c>
      <c r="E327" s="5" t="s">
        <v>134</v>
      </c>
      <c r="F327" s="5" t="s">
        <v>131</v>
      </c>
      <c r="G327" s="5" t="s">
        <v>131</v>
      </c>
      <c r="H327" s="5" t="s">
        <v>131</v>
      </c>
      <c r="I327" s="5" t="s">
        <v>131</v>
      </c>
      <c r="J327" s="5" t="s">
        <v>243</v>
      </c>
      <c r="K327" s="5" t="s">
        <v>138</v>
      </c>
    </row>
    <row r="328" spans="1:11" x14ac:dyDescent="0.25">
      <c r="A328" s="5" t="s">
        <v>834</v>
      </c>
      <c r="B328" s="5" t="s">
        <v>835</v>
      </c>
      <c r="C328" s="5" t="s">
        <v>247</v>
      </c>
      <c r="D328" s="5" t="s">
        <v>819</v>
      </c>
      <c r="E328" s="5" t="s">
        <v>134</v>
      </c>
      <c r="F328" s="5" t="s">
        <v>131</v>
      </c>
      <c r="G328" s="5" t="s">
        <v>131</v>
      </c>
      <c r="H328" s="5" t="s">
        <v>131</v>
      </c>
      <c r="I328" s="5" t="s">
        <v>131</v>
      </c>
      <c r="J328" s="5" t="s">
        <v>243</v>
      </c>
      <c r="K328" s="5" t="s">
        <v>138</v>
      </c>
    </row>
    <row r="329" spans="1:11" x14ac:dyDescent="0.25">
      <c r="A329" s="5" t="s">
        <v>836</v>
      </c>
      <c r="B329" s="5" t="s">
        <v>837</v>
      </c>
      <c r="C329" s="5" t="s">
        <v>247</v>
      </c>
      <c r="D329" s="5" t="s">
        <v>819</v>
      </c>
      <c r="E329" s="5" t="s">
        <v>134</v>
      </c>
      <c r="F329" s="5" t="s">
        <v>131</v>
      </c>
      <c r="G329" s="5" t="s">
        <v>131</v>
      </c>
      <c r="H329" s="5" t="s">
        <v>131</v>
      </c>
      <c r="I329" s="5" t="s">
        <v>131</v>
      </c>
      <c r="J329" s="5" t="s">
        <v>243</v>
      </c>
      <c r="K329" s="5" t="s">
        <v>138</v>
      </c>
    </row>
    <row r="330" spans="1:11" x14ac:dyDescent="0.25">
      <c r="A330" s="5" t="s">
        <v>838</v>
      </c>
      <c r="B330" s="5" t="s">
        <v>839</v>
      </c>
      <c r="C330" s="5" t="s">
        <v>247</v>
      </c>
      <c r="D330" s="5" t="s">
        <v>819</v>
      </c>
      <c r="E330" s="5" t="s">
        <v>134</v>
      </c>
      <c r="F330" s="5" t="s">
        <v>131</v>
      </c>
      <c r="G330" s="5" t="s">
        <v>131</v>
      </c>
      <c r="H330" s="5" t="s">
        <v>131</v>
      </c>
      <c r="I330" s="5" t="s">
        <v>131</v>
      </c>
      <c r="J330" s="5" t="s">
        <v>243</v>
      </c>
      <c r="K330" s="5" t="s">
        <v>138</v>
      </c>
    </row>
    <row r="331" spans="1:11" x14ac:dyDescent="0.25">
      <c r="A331" s="5" t="s">
        <v>840</v>
      </c>
      <c r="B331" s="5" t="s">
        <v>841</v>
      </c>
      <c r="C331" s="5" t="s">
        <v>247</v>
      </c>
      <c r="D331" s="5" t="s">
        <v>819</v>
      </c>
      <c r="E331" s="5" t="s">
        <v>134</v>
      </c>
      <c r="F331" s="5" t="s">
        <v>131</v>
      </c>
      <c r="G331" s="5" t="s">
        <v>131</v>
      </c>
      <c r="H331" s="5" t="s">
        <v>131</v>
      </c>
      <c r="I331" s="5" t="s">
        <v>131</v>
      </c>
      <c r="J331" s="5" t="s">
        <v>243</v>
      </c>
      <c r="K331" s="5" t="s">
        <v>138</v>
      </c>
    </row>
    <row r="332" spans="1:11" x14ac:dyDescent="0.25">
      <c r="A332" s="5" t="s">
        <v>842</v>
      </c>
      <c r="B332" s="5" t="s">
        <v>843</v>
      </c>
      <c r="C332" s="5" t="s">
        <v>247</v>
      </c>
      <c r="D332" s="5" t="s">
        <v>819</v>
      </c>
      <c r="E332" s="5" t="s">
        <v>134</v>
      </c>
      <c r="F332" s="5" t="s">
        <v>131</v>
      </c>
      <c r="G332" s="5" t="s">
        <v>131</v>
      </c>
      <c r="H332" s="5" t="s">
        <v>131</v>
      </c>
      <c r="I332" s="5" t="s">
        <v>131</v>
      </c>
      <c r="J332" s="5" t="s">
        <v>243</v>
      </c>
      <c r="K332" s="5" t="s">
        <v>138</v>
      </c>
    </row>
    <row r="333" spans="1:11" x14ac:dyDescent="0.25">
      <c r="A333" s="5" t="s">
        <v>844</v>
      </c>
      <c r="B333" s="5" t="s">
        <v>845</v>
      </c>
      <c r="C333" s="5" t="s">
        <v>247</v>
      </c>
      <c r="D333" s="5" t="s">
        <v>819</v>
      </c>
      <c r="E333" s="5" t="s">
        <v>134</v>
      </c>
      <c r="F333" s="5" t="s">
        <v>131</v>
      </c>
      <c r="G333" s="5" t="s">
        <v>131</v>
      </c>
      <c r="H333" s="5" t="s">
        <v>131</v>
      </c>
      <c r="I333" s="5" t="s">
        <v>131</v>
      </c>
      <c r="J333" s="5" t="s">
        <v>243</v>
      </c>
      <c r="K333" s="5" t="s">
        <v>138</v>
      </c>
    </row>
    <row r="334" spans="1:11" x14ac:dyDescent="0.25">
      <c r="A334" s="5" t="s">
        <v>846</v>
      </c>
      <c r="B334" s="5" t="s">
        <v>847</v>
      </c>
      <c r="C334" s="5" t="s">
        <v>247</v>
      </c>
      <c r="D334" s="5" t="s">
        <v>819</v>
      </c>
      <c r="E334" s="5" t="s">
        <v>134</v>
      </c>
      <c r="F334" s="5" t="s">
        <v>131</v>
      </c>
      <c r="G334" s="5" t="s">
        <v>131</v>
      </c>
      <c r="H334" s="5" t="s">
        <v>131</v>
      </c>
      <c r="I334" s="5" t="s">
        <v>131</v>
      </c>
      <c r="J334" s="5" t="s">
        <v>243</v>
      </c>
      <c r="K334" s="5" t="s">
        <v>138</v>
      </c>
    </row>
    <row r="335" spans="1:11" x14ac:dyDescent="0.25">
      <c r="A335" s="5" t="s">
        <v>848</v>
      </c>
      <c r="B335" s="5" t="s">
        <v>849</v>
      </c>
      <c r="C335" s="5" t="s">
        <v>247</v>
      </c>
      <c r="D335" s="5" t="s">
        <v>819</v>
      </c>
      <c r="E335" s="5" t="s">
        <v>134</v>
      </c>
      <c r="F335" s="5" t="s">
        <v>131</v>
      </c>
      <c r="G335" s="5" t="s">
        <v>131</v>
      </c>
      <c r="H335" s="5" t="s">
        <v>131</v>
      </c>
      <c r="I335" s="5" t="s">
        <v>131</v>
      </c>
      <c r="J335" s="5" t="s">
        <v>243</v>
      </c>
      <c r="K335" s="5" t="s">
        <v>138</v>
      </c>
    </row>
    <row r="336" spans="1:11" x14ac:dyDescent="0.25">
      <c r="A336" s="5" t="s">
        <v>850</v>
      </c>
      <c r="B336" s="5" t="s">
        <v>843</v>
      </c>
      <c r="C336" s="5" t="s">
        <v>247</v>
      </c>
      <c r="D336" s="5" t="s">
        <v>819</v>
      </c>
      <c r="E336" s="5" t="s">
        <v>134</v>
      </c>
      <c r="F336" s="5" t="s">
        <v>131</v>
      </c>
      <c r="G336" s="5" t="s">
        <v>131</v>
      </c>
      <c r="H336" s="5" t="s">
        <v>131</v>
      </c>
      <c r="I336" s="5" t="s">
        <v>131</v>
      </c>
      <c r="J336" s="5" t="s">
        <v>243</v>
      </c>
      <c r="K336" s="5" t="s">
        <v>244</v>
      </c>
    </row>
    <row r="337" spans="1:11" x14ac:dyDescent="0.25">
      <c r="A337" s="5" t="s">
        <v>851</v>
      </c>
      <c r="B337" s="5" t="s">
        <v>852</v>
      </c>
      <c r="C337" s="5" t="s">
        <v>247</v>
      </c>
      <c r="D337" s="5" t="s">
        <v>819</v>
      </c>
      <c r="E337" s="5" t="s">
        <v>134</v>
      </c>
      <c r="F337" s="5" t="s">
        <v>131</v>
      </c>
      <c r="G337" s="5" t="s">
        <v>131</v>
      </c>
      <c r="H337" s="5" t="s">
        <v>131</v>
      </c>
      <c r="I337" s="5" t="s">
        <v>131</v>
      </c>
      <c r="J337" s="5" t="s">
        <v>243</v>
      </c>
      <c r="K337" s="5" t="s">
        <v>244</v>
      </c>
    </row>
    <row r="338" spans="1:11" x14ac:dyDescent="0.25">
      <c r="A338" s="5" t="s">
        <v>853</v>
      </c>
      <c r="B338" s="5" t="s">
        <v>854</v>
      </c>
      <c r="C338" s="5" t="s">
        <v>247</v>
      </c>
      <c r="D338" s="5" t="s">
        <v>819</v>
      </c>
      <c r="E338" s="5" t="s">
        <v>134</v>
      </c>
      <c r="F338" s="5" t="s">
        <v>131</v>
      </c>
      <c r="G338" s="5" t="s">
        <v>131</v>
      </c>
      <c r="H338" s="5" t="s">
        <v>131</v>
      </c>
      <c r="I338" s="5" t="s">
        <v>131</v>
      </c>
      <c r="J338" s="5" t="s">
        <v>243</v>
      </c>
      <c r="K338" s="5" t="s">
        <v>138</v>
      </c>
    </row>
    <row r="339" spans="1:11" x14ac:dyDescent="0.25">
      <c r="A339" s="5" t="s">
        <v>855</v>
      </c>
      <c r="B339" s="5" t="s">
        <v>856</v>
      </c>
      <c r="C339" s="5" t="s">
        <v>247</v>
      </c>
      <c r="D339" s="5" t="s">
        <v>819</v>
      </c>
      <c r="E339" s="5" t="s">
        <v>134</v>
      </c>
      <c r="F339" s="5" t="s">
        <v>131</v>
      </c>
      <c r="G339" s="5" t="s">
        <v>131</v>
      </c>
      <c r="H339" s="5" t="s">
        <v>131</v>
      </c>
      <c r="I339" s="5" t="s">
        <v>131</v>
      </c>
      <c r="J339" s="5" t="s">
        <v>243</v>
      </c>
      <c r="K339" s="5" t="s">
        <v>138</v>
      </c>
    </row>
    <row r="340" spans="1:11" x14ac:dyDescent="0.25">
      <c r="A340" s="5" t="s">
        <v>857</v>
      </c>
      <c r="B340" s="5" t="s">
        <v>858</v>
      </c>
      <c r="C340" s="5" t="s">
        <v>247</v>
      </c>
      <c r="D340" s="5" t="s">
        <v>819</v>
      </c>
      <c r="E340" s="5" t="s">
        <v>134</v>
      </c>
      <c r="F340" s="5" t="s">
        <v>131</v>
      </c>
      <c r="G340" s="5" t="s">
        <v>131</v>
      </c>
      <c r="H340" s="5" t="s">
        <v>131</v>
      </c>
      <c r="I340" s="5" t="s">
        <v>131</v>
      </c>
      <c r="J340" s="5" t="s">
        <v>243</v>
      </c>
      <c r="K340" s="5" t="s">
        <v>138</v>
      </c>
    </row>
    <row r="341" spans="1:11" x14ac:dyDescent="0.25">
      <c r="A341" s="5" t="s">
        <v>859</v>
      </c>
      <c r="B341" s="5" t="s">
        <v>860</v>
      </c>
      <c r="C341" s="5" t="s">
        <v>247</v>
      </c>
      <c r="D341" s="5" t="s">
        <v>819</v>
      </c>
      <c r="E341" s="5" t="s">
        <v>134</v>
      </c>
      <c r="F341" s="5" t="s">
        <v>131</v>
      </c>
      <c r="G341" s="5" t="s">
        <v>131</v>
      </c>
      <c r="H341" s="5" t="s">
        <v>131</v>
      </c>
      <c r="I341" s="5" t="s">
        <v>131</v>
      </c>
      <c r="J341" s="5" t="s">
        <v>243</v>
      </c>
      <c r="K341" s="5" t="s">
        <v>138</v>
      </c>
    </row>
    <row r="342" spans="1:11" x14ac:dyDescent="0.25">
      <c r="A342" s="5" t="s">
        <v>861</v>
      </c>
      <c r="B342" s="5" t="s">
        <v>862</v>
      </c>
      <c r="C342" s="5" t="s">
        <v>247</v>
      </c>
      <c r="D342" s="5" t="s">
        <v>819</v>
      </c>
      <c r="E342" s="5" t="s">
        <v>134</v>
      </c>
      <c r="F342" s="5" t="s">
        <v>131</v>
      </c>
      <c r="G342" s="5" t="s">
        <v>131</v>
      </c>
      <c r="H342" s="5" t="s">
        <v>131</v>
      </c>
      <c r="I342" s="5" t="s">
        <v>131</v>
      </c>
      <c r="J342" s="5" t="s">
        <v>243</v>
      </c>
      <c r="K342" s="5" t="s">
        <v>138</v>
      </c>
    </row>
    <row r="343" spans="1:11" x14ac:dyDescent="0.25">
      <c r="A343" s="5" t="s">
        <v>863</v>
      </c>
      <c r="B343" s="5" t="s">
        <v>864</v>
      </c>
      <c r="C343" s="5" t="s">
        <v>247</v>
      </c>
      <c r="D343" s="5" t="s">
        <v>819</v>
      </c>
      <c r="E343" s="5" t="s">
        <v>134</v>
      </c>
      <c r="F343" s="5" t="s">
        <v>131</v>
      </c>
      <c r="G343" s="5" t="s">
        <v>131</v>
      </c>
      <c r="H343" s="5" t="s">
        <v>131</v>
      </c>
      <c r="I343" s="5" t="s">
        <v>131</v>
      </c>
      <c r="J343" s="5" t="s">
        <v>243</v>
      </c>
      <c r="K343" s="5" t="s">
        <v>138</v>
      </c>
    </row>
    <row r="344" spans="1:11" x14ac:dyDescent="0.25">
      <c r="A344" s="5" t="s">
        <v>865</v>
      </c>
      <c r="B344" s="5" t="s">
        <v>866</v>
      </c>
      <c r="C344" s="5" t="s">
        <v>247</v>
      </c>
      <c r="D344" s="5" t="s">
        <v>819</v>
      </c>
      <c r="E344" s="5" t="s">
        <v>134</v>
      </c>
      <c r="F344" s="5" t="s">
        <v>131</v>
      </c>
      <c r="G344" s="5" t="s">
        <v>131</v>
      </c>
      <c r="H344" s="5" t="s">
        <v>131</v>
      </c>
      <c r="I344" s="5" t="s">
        <v>131</v>
      </c>
      <c r="J344" s="5" t="s">
        <v>243</v>
      </c>
      <c r="K344" s="5" t="s">
        <v>138</v>
      </c>
    </row>
    <row r="345" spans="1:11" x14ac:dyDescent="0.25">
      <c r="A345" s="5" t="s">
        <v>867</v>
      </c>
      <c r="B345" s="5" t="s">
        <v>868</v>
      </c>
      <c r="C345" s="5" t="s">
        <v>247</v>
      </c>
      <c r="D345" s="5" t="s">
        <v>819</v>
      </c>
      <c r="E345" s="5" t="s">
        <v>134</v>
      </c>
      <c r="F345" s="5" t="s">
        <v>131</v>
      </c>
      <c r="G345" s="5" t="s">
        <v>131</v>
      </c>
      <c r="H345" s="5" t="s">
        <v>131</v>
      </c>
      <c r="I345" s="5" t="s">
        <v>131</v>
      </c>
      <c r="J345" s="5" t="s">
        <v>243</v>
      </c>
      <c r="K345" s="5" t="s">
        <v>138</v>
      </c>
    </row>
    <row r="346" spans="1:11" x14ac:dyDescent="0.25">
      <c r="A346" s="5" t="s">
        <v>869</v>
      </c>
      <c r="B346" s="5" t="s">
        <v>870</v>
      </c>
      <c r="C346" s="5" t="s">
        <v>247</v>
      </c>
      <c r="D346" s="5" t="s">
        <v>819</v>
      </c>
      <c r="E346" s="5" t="s">
        <v>134</v>
      </c>
      <c r="F346" s="5" t="s">
        <v>131</v>
      </c>
      <c r="G346" s="5" t="s">
        <v>131</v>
      </c>
      <c r="H346" s="5" t="s">
        <v>131</v>
      </c>
      <c r="I346" s="5" t="s">
        <v>131</v>
      </c>
      <c r="J346" s="5" t="s">
        <v>243</v>
      </c>
      <c r="K346" s="5" t="s">
        <v>138</v>
      </c>
    </row>
    <row r="347" spans="1:11" x14ac:dyDescent="0.25">
      <c r="A347" s="5" t="s">
        <v>871</v>
      </c>
      <c r="B347" s="5" t="s">
        <v>872</v>
      </c>
      <c r="C347" s="5" t="s">
        <v>247</v>
      </c>
      <c r="D347" s="5" t="s">
        <v>819</v>
      </c>
      <c r="E347" s="5" t="s">
        <v>134</v>
      </c>
      <c r="F347" s="5" t="s">
        <v>131</v>
      </c>
      <c r="G347" s="5" t="s">
        <v>131</v>
      </c>
      <c r="H347" s="5" t="s">
        <v>131</v>
      </c>
      <c r="I347" s="5" t="s">
        <v>131</v>
      </c>
      <c r="J347" s="5" t="s">
        <v>243</v>
      </c>
      <c r="K347" s="5" t="s">
        <v>244</v>
      </c>
    </row>
    <row r="348" spans="1:11" x14ac:dyDescent="0.25">
      <c r="A348" s="5" t="s">
        <v>873</v>
      </c>
      <c r="B348" s="5" t="s">
        <v>874</v>
      </c>
      <c r="C348" s="5" t="s">
        <v>247</v>
      </c>
      <c r="D348" s="5" t="s">
        <v>819</v>
      </c>
      <c r="E348" s="5" t="s">
        <v>134</v>
      </c>
      <c r="F348" s="5" t="s">
        <v>131</v>
      </c>
      <c r="G348" s="5" t="s">
        <v>131</v>
      </c>
      <c r="H348" s="5" t="s">
        <v>131</v>
      </c>
      <c r="I348" s="5" t="s">
        <v>131</v>
      </c>
      <c r="J348" s="5" t="s">
        <v>243</v>
      </c>
      <c r="K348" s="5" t="s">
        <v>138</v>
      </c>
    </row>
    <row r="349" spans="1:11" x14ac:dyDescent="0.25">
      <c r="A349" s="5" t="s">
        <v>875</v>
      </c>
      <c r="B349" s="5" t="s">
        <v>876</v>
      </c>
      <c r="C349" s="5" t="s">
        <v>247</v>
      </c>
      <c r="D349" s="5" t="s">
        <v>819</v>
      </c>
      <c r="E349" s="5" t="s">
        <v>134</v>
      </c>
      <c r="F349" s="5" t="s">
        <v>131</v>
      </c>
      <c r="G349" s="5" t="s">
        <v>131</v>
      </c>
      <c r="H349" s="5" t="s">
        <v>131</v>
      </c>
      <c r="I349" s="5" t="s">
        <v>131</v>
      </c>
      <c r="J349" s="5" t="s">
        <v>243</v>
      </c>
      <c r="K349" s="5" t="s">
        <v>138</v>
      </c>
    </row>
    <row r="350" spans="1:11" x14ac:dyDescent="0.25">
      <c r="A350" s="5" t="s">
        <v>877</v>
      </c>
      <c r="B350" s="5" t="s">
        <v>878</v>
      </c>
      <c r="C350" s="5" t="s">
        <v>247</v>
      </c>
      <c r="D350" s="5" t="s">
        <v>819</v>
      </c>
      <c r="E350" s="5" t="s">
        <v>134</v>
      </c>
      <c r="F350" s="5" t="s">
        <v>131</v>
      </c>
      <c r="G350" s="5" t="s">
        <v>131</v>
      </c>
      <c r="H350" s="5" t="s">
        <v>131</v>
      </c>
      <c r="I350" s="5" t="s">
        <v>131</v>
      </c>
      <c r="J350" s="5" t="s">
        <v>243</v>
      </c>
      <c r="K350" s="5" t="s">
        <v>138</v>
      </c>
    </row>
    <row r="351" spans="1:11" x14ac:dyDescent="0.25">
      <c r="A351" s="5" t="s">
        <v>879</v>
      </c>
      <c r="B351" s="5" t="s">
        <v>880</v>
      </c>
      <c r="C351" s="5" t="s">
        <v>247</v>
      </c>
      <c r="D351" s="5" t="s">
        <v>819</v>
      </c>
      <c r="E351" s="5" t="s">
        <v>134</v>
      </c>
      <c r="F351" s="5" t="s">
        <v>131</v>
      </c>
      <c r="G351" s="5" t="s">
        <v>131</v>
      </c>
      <c r="H351" s="5" t="s">
        <v>131</v>
      </c>
      <c r="I351" s="5" t="s">
        <v>131</v>
      </c>
      <c r="J351" s="5" t="s">
        <v>243</v>
      </c>
      <c r="K351" s="5" t="s">
        <v>244</v>
      </c>
    </row>
    <row r="352" spans="1:11" x14ac:dyDescent="0.25">
      <c r="A352" s="5" t="s">
        <v>881</v>
      </c>
      <c r="B352" s="5" t="s">
        <v>882</v>
      </c>
      <c r="C352" s="5" t="s">
        <v>247</v>
      </c>
      <c r="D352" s="5" t="s">
        <v>819</v>
      </c>
      <c r="E352" s="5" t="s">
        <v>134</v>
      </c>
      <c r="F352" s="5" t="s">
        <v>131</v>
      </c>
      <c r="G352" s="5" t="s">
        <v>131</v>
      </c>
      <c r="H352" s="5" t="s">
        <v>131</v>
      </c>
      <c r="I352" s="5" t="s">
        <v>131</v>
      </c>
      <c r="J352" s="5" t="s">
        <v>243</v>
      </c>
      <c r="K352" s="5" t="s">
        <v>244</v>
      </c>
    </row>
    <row r="353" spans="1:11" x14ac:dyDescent="0.25">
      <c r="A353" s="5" t="s">
        <v>883</v>
      </c>
      <c r="B353" s="5" t="s">
        <v>884</v>
      </c>
      <c r="C353" s="5" t="s">
        <v>247</v>
      </c>
      <c r="D353" s="5" t="s">
        <v>819</v>
      </c>
      <c r="E353" s="5" t="s">
        <v>134</v>
      </c>
      <c r="F353" s="5" t="s">
        <v>131</v>
      </c>
      <c r="G353" s="5" t="s">
        <v>131</v>
      </c>
      <c r="H353" s="5" t="s">
        <v>131</v>
      </c>
      <c r="I353" s="5" t="s">
        <v>131</v>
      </c>
      <c r="J353" s="5" t="s">
        <v>243</v>
      </c>
      <c r="K353" s="5" t="s">
        <v>244</v>
      </c>
    </row>
    <row r="354" spans="1:11" x14ac:dyDescent="0.25">
      <c r="A354" s="5" t="s">
        <v>885</v>
      </c>
      <c r="B354" s="5" t="s">
        <v>886</v>
      </c>
      <c r="C354" s="5" t="s">
        <v>247</v>
      </c>
      <c r="D354" s="5" t="s">
        <v>819</v>
      </c>
      <c r="E354" s="5" t="s">
        <v>134</v>
      </c>
      <c r="F354" s="5" t="s">
        <v>131</v>
      </c>
      <c r="G354" s="5" t="s">
        <v>131</v>
      </c>
      <c r="H354" s="5" t="s">
        <v>131</v>
      </c>
      <c r="I354" s="5" t="s">
        <v>131</v>
      </c>
      <c r="J354" s="5" t="s">
        <v>243</v>
      </c>
      <c r="K354" s="5" t="s">
        <v>244</v>
      </c>
    </row>
    <row r="355" spans="1:11" x14ac:dyDescent="0.25">
      <c r="A355" s="5" t="s">
        <v>887</v>
      </c>
      <c r="B355" s="5" t="s">
        <v>888</v>
      </c>
      <c r="C355" s="5" t="s">
        <v>247</v>
      </c>
      <c r="D355" s="5" t="s">
        <v>819</v>
      </c>
      <c r="E355" s="5" t="s">
        <v>134</v>
      </c>
      <c r="F355" s="5" t="s">
        <v>131</v>
      </c>
      <c r="G355" s="5" t="s">
        <v>131</v>
      </c>
      <c r="H355" s="5" t="s">
        <v>131</v>
      </c>
      <c r="I355" s="5" t="s">
        <v>131</v>
      </c>
      <c r="J355" s="5" t="s">
        <v>243</v>
      </c>
      <c r="K355" s="5" t="s">
        <v>138</v>
      </c>
    </row>
    <row r="356" spans="1:11" x14ac:dyDescent="0.25">
      <c r="A356" s="5" t="s">
        <v>889</v>
      </c>
      <c r="B356" s="5" t="s">
        <v>890</v>
      </c>
      <c r="C356" s="5" t="s">
        <v>247</v>
      </c>
      <c r="D356" s="5" t="s">
        <v>819</v>
      </c>
      <c r="E356" s="5" t="s">
        <v>134</v>
      </c>
      <c r="F356" s="5" t="s">
        <v>131</v>
      </c>
      <c r="G356" s="5" t="s">
        <v>131</v>
      </c>
      <c r="H356" s="5" t="s">
        <v>131</v>
      </c>
      <c r="I356" s="5" t="s">
        <v>131</v>
      </c>
      <c r="J356" s="5" t="s">
        <v>243</v>
      </c>
      <c r="K356" s="5" t="s">
        <v>244</v>
      </c>
    </row>
    <row r="357" spans="1:11" x14ac:dyDescent="0.25">
      <c r="A357" s="5" t="s">
        <v>891</v>
      </c>
      <c r="B357" s="5" t="s">
        <v>892</v>
      </c>
      <c r="C357" s="5" t="s">
        <v>247</v>
      </c>
      <c r="D357" s="5" t="s">
        <v>819</v>
      </c>
      <c r="E357" s="5" t="s">
        <v>134</v>
      </c>
      <c r="F357" s="5" t="s">
        <v>131</v>
      </c>
      <c r="G357" s="5" t="s">
        <v>131</v>
      </c>
      <c r="H357" s="5" t="s">
        <v>131</v>
      </c>
      <c r="I357" s="5" t="s">
        <v>131</v>
      </c>
      <c r="J357" s="5" t="s">
        <v>243</v>
      </c>
      <c r="K357" s="5" t="s">
        <v>138</v>
      </c>
    </row>
    <row r="358" spans="1:11" x14ac:dyDescent="0.25">
      <c r="A358" s="5" t="s">
        <v>893</v>
      </c>
      <c r="B358" s="5" t="s">
        <v>894</v>
      </c>
      <c r="C358" s="5" t="s">
        <v>247</v>
      </c>
      <c r="D358" s="5" t="s">
        <v>819</v>
      </c>
      <c r="E358" s="5" t="s">
        <v>134</v>
      </c>
      <c r="F358" s="5" t="s">
        <v>131</v>
      </c>
      <c r="G358" s="5" t="s">
        <v>131</v>
      </c>
      <c r="H358" s="5" t="s">
        <v>131</v>
      </c>
      <c r="I358" s="5" t="s">
        <v>131</v>
      </c>
      <c r="J358" s="5" t="s">
        <v>243</v>
      </c>
      <c r="K358" s="5" t="s">
        <v>138</v>
      </c>
    </row>
    <row r="359" spans="1:11" x14ac:dyDescent="0.25">
      <c r="A359" s="5" t="s">
        <v>895</v>
      </c>
      <c r="B359" s="5" t="s">
        <v>896</v>
      </c>
      <c r="C359" s="5" t="s">
        <v>247</v>
      </c>
      <c r="D359" s="5" t="s">
        <v>819</v>
      </c>
      <c r="E359" s="5" t="s">
        <v>134</v>
      </c>
      <c r="F359" s="5" t="s">
        <v>131</v>
      </c>
      <c r="G359" s="5" t="s">
        <v>131</v>
      </c>
      <c r="H359" s="5" t="s">
        <v>131</v>
      </c>
      <c r="I359" s="5" t="s">
        <v>131</v>
      </c>
      <c r="J359" s="5" t="s">
        <v>243</v>
      </c>
      <c r="K359" s="5" t="s">
        <v>138</v>
      </c>
    </row>
    <row r="360" spans="1:11" x14ac:dyDescent="0.25">
      <c r="A360" s="5" t="s">
        <v>897</v>
      </c>
      <c r="B360" s="5" t="s">
        <v>898</v>
      </c>
      <c r="C360" s="5" t="s">
        <v>247</v>
      </c>
      <c r="D360" s="5" t="s">
        <v>819</v>
      </c>
      <c r="E360" s="5" t="s">
        <v>134</v>
      </c>
      <c r="F360" s="5" t="s">
        <v>131</v>
      </c>
      <c r="G360" s="5" t="s">
        <v>131</v>
      </c>
      <c r="H360" s="5" t="s">
        <v>131</v>
      </c>
      <c r="I360" s="5" t="s">
        <v>131</v>
      </c>
      <c r="J360" s="5" t="s">
        <v>243</v>
      </c>
      <c r="K360" s="5" t="s">
        <v>138</v>
      </c>
    </row>
    <row r="361" spans="1:11" x14ac:dyDescent="0.25">
      <c r="A361" s="5" t="s">
        <v>899</v>
      </c>
      <c r="B361" s="5" t="s">
        <v>900</v>
      </c>
      <c r="C361" s="5" t="s">
        <v>247</v>
      </c>
      <c r="D361" s="5" t="s">
        <v>819</v>
      </c>
      <c r="E361" s="5" t="s">
        <v>134</v>
      </c>
      <c r="F361" s="5" t="s">
        <v>131</v>
      </c>
      <c r="G361" s="5" t="s">
        <v>131</v>
      </c>
      <c r="H361" s="5" t="s">
        <v>131</v>
      </c>
      <c r="I361" s="5" t="s">
        <v>131</v>
      </c>
      <c r="J361" s="5" t="s">
        <v>243</v>
      </c>
      <c r="K361" s="5" t="s">
        <v>138</v>
      </c>
    </row>
    <row r="362" spans="1:11" x14ac:dyDescent="0.25">
      <c r="A362" s="5" t="s">
        <v>901</v>
      </c>
      <c r="B362" s="5" t="s">
        <v>902</v>
      </c>
      <c r="C362" s="5" t="s">
        <v>247</v>
      </c>
      <c r="D362" s="5" t="s">
        <v>819</v>
      </c>
      <c r="E362" s="5" t="s">
        <v>134</v>
      </c>
      <c r="F362" s="5" t="s">
        <v>131</v>
      </c>
      <c r="G362" s="5" t="s">
        <v>131</v>
      </c>
      <c r="H362" s="5" t="s">
        <v>131</v>
      </c>
      <c r="I362" s="5" t="s">
        <v>131</v>
      </c>
      <c r="J362" s="5" t="s">
        <v>243</v>
      </c>
      <c r="K362" s="5" t="s">
        <v>244</v>
      </c>
    </row>
    <row r="363" spans="1:11" x14ac:dyDescent="0.25">
      <c r="A363" s="5" t="s">
        <v>903</v>
      </c>
      <c r="B363" s="5" t="s">
        <v>904</v>
      </c>
      <c r="C363" s="5" t="s">
        <v>247</v>
      </c>
      <c r="D363" s="5" t="s">
        <v>819</v>
      </c>
      <c r="E363" s="5" t="s">
        <v>134</v>
      </c>
      <c r="F363" s="5" t="s">
        <v>131</v>
      </c>
      <c r="G363" s="5" t="s">
        <v>131</v>
      </c>
      <c r="H363" s="5" t="s">
        <v>131</v>
      </c>
      <c r="I363" s="5" t="s">
        <v>131</v>
      </c>
      <c r="J363" s="5" t="s">
        <v>600</v>
      </c>
      <c r="K363" s="5" t="s">
        <v>244</v>
      </c>
    </row>
    <row r="364" spans="1:11" x14ac:dyDescent="0.25">
      <c r="A364" s="5" t="s">
        <v>905</v>
      </c>
      <c r="B364" s="5" t="s">
        <v>906</v>
      </c>
      <c r="C364" s="5" t="s">
        <v>247</v>
      </c>
      <c r="D364" s="5" t="s">
        <v>819</v>
      </c>
      <c r="E364" s="5" t="s">
        <v>134</v>
      </c>
      <c r="F364" s="5" t="s">
        <v>131</v>
      </c>
      <c r="G364" s="5" t="s">
        <v>131</v>
      </c>
      <c r="H364" s="5" t="s">
        <v>131</v>
      </c>
      <c r="I364" s="5" t="s">
        <v>131</v>
      </c>
      <c r="J364" s="5" t="s">
        <v>600</v>
      </c>
      <c r="K364" s="5" t="s">
        <v>244</v>
      </c>
    </row>
    <row r="365" spans="1:11" x14ac:dyDescent="0.25">
      <c r="A365" s="5" t="s">
        <v>907</v>
      </c>
      <c r="B365" s="5" t="s">
        <v>908</v>
      </c>
      <c r="C365" s="5" t="s">
        <v>247</v>
      </c>
      <c r="D365" s="5" t="s">
        <v>819</v>
      </c>
      <c r="E365" s="5" t="s">
        <v>134</v>
      </c>
      <c r="F365" s="5" t="s">
        <v>131</v>
      </c>
      <c r="G365" s="5" t="s">
        <v>131</v>
      </c>
      <c r="H365" s="5" t="s">
        <v>131</v>
      </c>
      <c r="I365" s="5" t="s">
        <v>131</v>
      </c>
      <c r="J365" s="5" t="s">
        <v>243</v>
      </c>
      <c r="K365" s="5" t="s">
        <v>138</v>
      </c>
    </row>
    <row r="366" spans="1:11" x14ac:dyDescent="0.25">
      <c r="A366" s="5" t="s">
        <v>909</v>
      </c>
      <c r="B366" s="5" t="s">
        <v>910</v>
      </c>
      <c r="C366" s="5" t="s">
        <v>247</v>
      </c>
      <c r="D366" s="5" t="s">
        <v>819</v>
      </c>
      <c r="E366" s="5" t="s">
        <v>134</v>
      </c>
      <c r="F366" s="5" t="s">
        <v>131</v>
      </c>
      <c r="G366" s="5" t="s">
        <v>131</v>
      </c>
      <c r="H366" s="5" t="s">
        <v>131</v>
      </c>
      <c r="I366" s="5" t="s">
        <v>131</v>
      </c>
      <c r="J366" s="5" t="s">
        <v>600</v>
      </c>
      <c r="K366" s="5" t="s">
        <v>244</v>
      </c>
    </row>
    <row r="367" spans="1:11" x14ac:dyDescent="0.25">
      <c r="A367" s="5" t="s">
        <v>911</v>
      </c>
      <c r="B367" s="5" t="s">
        <v>912</v>
      </c>
      <c r="C367" s="5" t="s">
        <v>247</v>
      </c>
      <c r="D367" s="5" t="s">
        <v>819</v>
      </c>
      <c r="E367" s="5" t="s">
        <v>134</v>
      </c>
      <c r="F367" s="5" t="s">
        <v>131</v>
      </c>
      <c r="G367" s="5" t="s">
        <v>131</v>
      </c>
      <c r="H367" s="5" t="s">
        <v>131</v>
      </c>
      <c r="I367" s="5" t="s">
        <v>131</v>
      </c>
      <c r="J367" s="5" t="s">
        <v>600</v>
      </c>
      <c r="K367" s="5" t="s">
        <v>138</v>
      </c>
    </row>
    <row r="368" spans="1:11" x14ac:dyDescent="0.25">
      <c r="A368" s="5" t="s">
        <v>913</v>
      </c>
      <c r="B368" s="5" t="s">
        <v>914</v>
      </c>
      <c r="C368" s="5" t="s">
        <v>247</v>
      </c>
      <c r="D368" s="5" t="s">
        <v>819</v>
      </c>
      <c r="E368" s="5" t="s">
        <v>134</v>
      </c>
      <c r="F368" s="5" t="s">
        <v>131</v>
      </c>
      <c r="G368" s="5" t="s">
        <v>131</v>
      </c>
      <c r="H368" s="5" t="s">
        <v>131</v>
      </c>
      <c r="I368" s="5" t="s">
        <v>131</v>
      </c>
      <c r="J368" s="5" t="s">
        <v>243</v>
      </c>
      <c r="K368" s="5" t="s">
        <v>138</v>
      </c>
    </row>
    <row r="369" spans="1:11" x14ac:dyDescent="0.25">
      <c r="A369" s="5" t="s">
        <v>915</v>
      </c>
      <c r="B369" s="5" t="s">
        <v>916</v>
      </c>
      <c r="C369" s="5" t="s">
        <v>247</v>
      </c>
      <c r="D369" s="5" t="s">
        <v>819</v>
      </c>
      <c r="E369" s="5" t="s">
        <v>134</v>
      </c>
      <c r="F369" s="5" t="s">
        <v>131</v>
      </c>
      <c r="G369" s="5" t="s">
        <v>131</v>
      </c>
      <c r="H369" s="5" t="s">
        <v>131</v>
      </c>
      <c r="I369" s="5" t="s">
        <v>131</v>
      </c>
      <c r="J369" s="5" t="s">
        <v>600</v>
      </c>
      <c r="K369" s="5" t="s">
        <v>244</v>
      </c>
    </row>
    <row r="370" spans="1:11" x14ac:dyDescent="0.25">
      <c r="A370" s="5" t="s">
        <v>917</v>
      </c>
      <c r="B370" s="5" t="s">
        <v>918</v>
      </c>
      <c r="C370" s="5" t="s">
        <v>247</v>
      </c>
      <c r="D370" s="5" t="s">
        <v>819</v>
      </c>
      <c r="E370" s="5" t="s">
        <v>134</v>
      </c>
      <c r="F370" s="5" t="s">
        <v>131</v>
      </c>
      <c r="G370" s="5" t="s">
        <v>131</v>
      </c>
      <c r="H370" s="5" t="s">
        <v>131</v>
      </c>
      <c r="I370" s="5" t="s">
        <v>131</v>
      </c>
      <c r="J370" s="5" t="s">
        <v>243</v>
      </c>
      <c r="K370" s="5" t="s">
        <v>244</v>
      </c>
    </row>
    <row r="371" spans="1:11" x14ac:dyDescent="0.25">
      <c r="A371" s="5" t="s">
        <v>919</v>
      </c>
      <c r="B371" s="5" t="s">
        <v>920</v>
      </c>
      <c r="C371" s="5" t="s">
        <v>247</v>
      </c>
      <c r="D371" s="5" t="s">
        <v>819</v>
      </c>
      <c r="E371" s="5" t="s">
        <v>134</v>
      </c>
      <c r="F371" s="5" t="s">
        <v>131</v>
      </c>
      <c r="G371" s="5" t="s">
        <v>131</v>
      </c>
      <c r="H371" s="5" t="s">
        <v>131</v>
      </c>
      <c r="I371" s="5" t="s">
        <v>131</v>
      </c>
      <c r="J371" s="5" t="s">
        <v>600</v>
      </c>
      <c r="K371" s="5" t="s">
        <v>244</v>
      </c>
    </row>
    <row r="372" spans="1:11" x14ac:dyDescent="0.25">
      <c r="A372" s="5" t="s">
        <v>921</v>
      </c>
      <c r="B372" s="5" t="s">
        <v>922</v>
      </c>
      <c r="C372" s="5" t="s">
        <v>247</v>
      </c>
      <c r="D372" s="5" t="s">
        <v>819</v>
      </c>
      <c r="E372" s="5" t="s">
        <v>134</v>
      </c>
      <c r="F372" s="5" t="s">
        <v>131</v>
      </c>
      <c r="G372" s="5" t="s">
        <v>131</v>
      </c>
      <c r="H372" s="5" t="s">
        <v>131</v>
      </c>
      <c r="I372" s="5" t="s">
        <v>131</v>
      </c>
      <c r="J372" s="5" t="s">
        <v>600</v>
      </c>
      <c r="K372" s="5" t="s">
        <v>138</v>
      </c>
    </row>
    <row r="373" spans="1:11" x14ac:dyDescent="0.25">
      <c r="A373" s="5" t="s">
        <v>923</v>
      </c>
      <c r="B373" s="5" t="s">
        <v>924</v>
      </c>
      <c r="C373" s="5" t="s">
        <v>247</v>
      </c>
      <c r="D373" s="5" t="s">
        <v>819</v>
      </c>
      <c r="E373" s="5" t="s">
        <v>134</v>
      </c>
      <c r="F373" s="5" t="s">
        <v>131</v>
      </c>
      <c r="G373" s="5" t="s">
        <v>131</v>
      </c>
      <c r="H373" s="5" t="s">
        <v>131</v>
      </c>
      <c r="I373" s="5" t="s">
        <v>131</v>
      </c>
      <c r="J373" s="5" t="s">
        <v>600</v>
      </c>
      <c r="K373" s="5" t="s">
        <v>138</v>
      </c>
    </row>
    <row r="374" spans="1:11" x14ac:dyDescent="0.25">
      <c r="A374" s="5" t="s">
        <v>925</v>
      </c>
      <c r="B374" s="5" t="s">
        <v>926</v>
      </c>
      <c r="C374" s="5" t="s">
        <v>247</v>
      </c>
      <c r="D374" s="5" t="s">
        <v>819</v>
      </c>
      <c r="E374" s="5" t="s">
        <v>134</v>
      </c>
      <c r="F374" s="5" t="s">
        <v>131</v>
      </c>
      <c r="G374" s="5" t="s">
        <v>131</v>
      </c>
      <c r="H374" s="5" t="s">
        <v>131</v>
      </c>
      <c r="I374" s="5" t="s">
        <v>131</v>
      </c>
      <c r="J374" s="5" t="s">
        <v>600</v>
      </c>
      <c r="K374" s="5" t="s">
        <v>138</v>
      </c>
    </row>
    <row r="375" spans="1:11" x14ac:dyDescent="0.25">
      <c r="A375" s="5" t="s">
        <v>927</v>
      </c>
      <c r="B375" s="5" t="s">
        <v>928</v>
      </c>
      <c r="C375" s="5" t="s">
        <v>247</v>
      </c>
      <c r="D375" s="5" t="s">
        <v>819</v>
      </c>
      <c r="E375" s="5" t="s">
        <v>134</v>
      </c>
      <c r="F375" s="5" t="s">
        <v>131</v>
      </c>
      <c r="G375" s="5" t="s">
        <v>131</v>
      </c>
      <c r="H375" s="5" t="s">
        <v>131</v>
      </c>
      <c r="I375" s="5" t="s">
        <v>131</v>
      </c>
      <c r="J375" s="5" t="s">
        <v>600</v>
      </c>
      <c r="K375" s="5" t="s">
        <v>138</v>
      </c>
    </row>
    <row r="376" spans="1:11" x14ac:dyDescent="0.25">
      <c r="A376" s="5" t="s">
        <v>929</v>
      </c>
      <c r="B376" s="5" t="s">
        <v>930</v>
      </c>
      <c r="C376" s="5" t="s">
        <v>247</v>
      </c>
      <c r="D376" s="5" t="s">
        <v>819</v>
      </c>
      <c r="E376" s="5" t="s">
        <v>134</v>
      </c>
      <c r="F376" s="5" t="s">
        <v>131</v>
      </c>
      <c r="G376" s="5" t="s">
        <v>131</v>
      </c>
      <c r="H376" s="5" t="s">
        <v>131</v>
      </c>
      <c r="I376" s="5" t="s">
        <v>131</v>
      </c>
      <c r="J376" s="5" t="s">
        <v>600</v>
      </c>
      <c r="K376" s="5" t="s">
        <v>138</v>
      </c>
    </row>
    <row r="377" spans="1:11" x14ac:dyDescent="0.25">
      <c r="A377" s="5" t="s">
        <v>931</v>
      </c>
      <c r="B377" s="5" t="s">
        <v>932</v>
      </c>
      <c r="C377" s="5" t="s">
        <v>247</v>
      </c>
      <c r="D377" s="5" t="s">
        <v>819</v>
      </c>
      <c r="E377" s="5" t="s">
        <v>134</v>
      </c>
      <c r="F377" s="5" t="s">
        <v>131</v>
      </c>
      <c r="G377" s="5" t="s">
        <v>131</v>
      </c>
      <c r="H377" s="5" t="s">
        <v>131</v>
      </c>
      <c r="I377" s="5" t="s">
        <v>131</v>
      </c>
      <c r="J377" s="5" t="s">
        <v>243</v>
      </c>
      <c r="K377" s="5" t="s">
        <v>244</v>
      </c>
    </row>
    <row r="378" spans="1:11" x14ac:dyDescent="0.25">
      <c r="A378" s="5" t="s">
        <v>933</v>
      </c>
      <c r="B378" s="5" t="s">
        <v>934</v>
      </c>
      <c r="C378" s="5" t="s">
        <v>247</v>
      </c>
      <c r="D378" s="5" t="s">
        <v>819</v>
      </c>
      <c r="E378" s="5" t="s">
        <v>134</v>
      </c>
      <c r="F378" s="5" t="s">
        <v>131</v>
      </c>
      <c r="G378" s="5" t="s">
        <v>131</v>
      </c>
      <c r="H378" s="5" t="s">
        <v>131</v>
      </c>
      <c r="I378" s="5" t="s">
        <v>131</v>
      </c>
      <c r="J378" s="5" t="s">
        <v>243</v>
      </c>
      <c r="K378" s="5" t="s">
        <v>244</v>
      </c>
    </row>
    <row r="379" spans="1:11" x14ac:dyDescent="0.25">
      <c r="A379" s="5" t="s">
        <v>935</v>
      </c>
      <c r="B379" s="5" t="s">
        <v>936</v>
      </c>
      <c r="C379" s="5" t="s">
        <v>247</v>
      </c>
      <c r="D379" s="5" t="s">
        <v>819</v>
      </c>
      <c r="E379" s="5" t="s">
        <v>134</v>
      </c>
      <c r="F379" s="5" t="s">
        <v>131</v>
      </c>
      <c r="G379" s="5" t="s">
        <v>131</v>
      </c>
      <c r="H379" s="5" t="s">
        <v>131</v>
      </c>
      <c r="I379" s="5" t="s">
        <v>131</v>
      </c>
      <c r="J379" s="5" t="s">
        <v>243</v>
      </c>
      <c r="K379" s="5" t="s">
        <v>244</v>
      </c>
    </row>
    <row r="380" spans="1:11" x14ac:dyDescent="0.25">
      <c r="A380" s="5" t="s">
        <v>937</v>
      </c>
      <c r="B380" s="5" t="s">
        <v>938</v>
      </c>
      <c r="C380" s="5" t="s">
        <v>247</v>
      </c>
      <c r="D380" s="5" t="s">
        <v>819</v>
      </c>
      <c r="E380" s="5" t="s">
        <v>134</v>
      </c>
      <c r="F380" s="5" t="s">
        <v>131</v>
      </c>
      <c r="G380" s="5" t="s">
        <v>131</v>
      </c>
      <c r="H380" s="5" t="s">
        <v>131</v>
      </c>
      <c r="I380" s="5" t="s">
        <v>131</v>
      </c>
      <c r="J380" s="5" t="s">
        <v>243</v>
      </c>
      <c r="K380" s="5" t="s">
        <v>244</v>
      </c>
    </row>
    <row r="381" spans="1:11" x14ac:dyDescent="0.25">
      <c r="A381" s="5" t="s">
        <v>939</v>
      </c>
      <c r="B381" s="5" t="s">
        <v>940</v>
      </c>
      <c r="C381" s="5" t="s">
        <v>247</v>
      </c>
      <c r="D381" s="5" t="s">
        <v>819</v>
      </c>
      <c r="E381" s="5" t="s">
        <v>134</v>
      </c>
      <c r="F381" s="5" t="s">
        <v>131</v>
      </c>
      <c r="G381" s="5" t="s">
        <v>131</v>
      </c>
      <c r="H381" s="5" t="s">
        <v>131</v>
      </c>
      <c r="I381" s="5" t="s">
        <v>131</v>
      </c>
      <c r="J381" s="5" t="s">
        <v>243</v>
      </c>
      <c r="K381" s="5" t="s">
        <v>244</v>
      </c>
    </row>
    <row r="382" spans="1:11" x14ac:dyDescent="0.25">
      <c r="A382" s="5" t="s">
        <v>941</v>
      </c>
      <c r="B382" s="5" t="s">
        <v>942</v>
      </c>
      <c r="C382" s="5" t="s">
        <v>247</v>
      </c>
      <c r="D382" s="5" t="s">
        <v>819</v>
      </c>
      <c r="E382" s="5" t="s">
        <v>134</v>
      </c>
      <c r="F382" s="5" t="s">
        <v>131</v>
      </c>
      <c r="G382" s="5" t="s">
        <v>131</v>
      </c>
      <c r="H382" s="5" t="s">
        <v>131</v>
      </c>
      <c r="I382" s="5" t="s">
        <v>131</v>
      </c>
      <c r="J382" s="5" t="s">
        <v>243</v>
      </c>
      <c r="K382" s="5" t="s">
        <v>244</v>
      </c>
    </row>
    <row r="383" spans="1:11" x14ac:dyDescent="0.25">
      <c r="A383" s="5" t="s">
        <v>943</v>
      </c>
      <c r="B383" s="5" t="s">
        <v>944</v>
      </c>
      <c r="C383" s="5" t="s">
        <v>247</v>
      </c>
      <c r="D383" s="5" t="s">
        <v>819</v>
      </c>
      <c r="E383" s="5" t="s">
        <v>134</v>
      </c>
      <c r="F383" s="5" t="s">
        <v>131</v>
      </c>
      <c r="G383" s="5" t="s">
        <v>131</v>
      </c>
      <c r="H383" s="5" t="s">
        <v>131</v>
      </c>
      <c r="I383" s="5" t="s">
        <v>131</v>
      </c>
      <c r="J383" s="5" t="s">
        <v>243</v>
      </c>
      <c r="K383" s="5" t="s">
        <v>138</v>
      </c>
    </row>
    <row r="384" spans="1:11" x14ac:dyDescent="0.25">
      <c r="A384" s="5" t="s">
        <v>945</v>
      </c>
      <c r="B384" s="5" t="s">
        <v>946</v>
      </c>
      <c r="C384" s="5" t="s">
        <v>247</v>
      </c>
      <c r="D384" s="5" t="s">
        <v>819</v>
      </c>
      <c r="E384" s="5" t="s">
        <v>134</v>
      </c>
      <c r="F384" s="5" t="s">
        <v>131</v>
      </c>
      <c r="G384" s="5" t="s">
        <v>131</v>
      </c>
      <c r="H384" s="5" t="s">
        <v>131</v>
      </c>
      <c r="I384" s="5" t="s">
        <v>131</v>
      </c>
      <c r="J384" s="5" t="s">
        <v>243</v>
      </c>
      <c r="K384" s="5" t="s">
        <v>244</v>
      </c>
    </row>
    <row r="385" spans="1:11" x14ac:dyDescent="0.25">
      <c r="A385" s="5" t="s">
        <v>947</v>
      </c>
      <c r="B385" s="5" t="s">
        <v>948</v>
      </c>
      <c r="C385" s="5" t="s">
        <v>247</v>
      </c>
      <c r="D385" s="5" t="s">
        <v>819</v>
      </c>
      <c r="E385" s="5" t="s">
        <v>134</v>
      </c>
      <c r="F385" s="5" t="s">
        <v>131</v>
      </c>
      <c r="G385" s="5" t="s">
        <v>131</v>
      </c>
      <c r="H385" s="5" t="s">
        <v>131</v>
      </c>
      <c r="I385" s="5" t="s">
        <v>131</v>
      </c>
      <c r="J385" s="5" t="s">
        <v>243</v>
      </c>
      <c r="K385" s="5" t="s">
        <v>244</v>
      </c>
    </row>
    <row r="386" spans="1:11" x14ac:dyDescent="0.25">
      <c r="A386" s="5" t="s">
        <v>949</v>
      </c>
      <c r="B386" s="5" t="s">
        <v>950</v>
      </c>
      <c r="C386" s="5" t="s">
        <v>247</v>
      </c>
      <c r="D386" s="5" t="s">
        <v>819</v>
      </c>
      <c r="E386" s="5" t="s">
        <v>134</v>
      </c>
      <c r="F386" s="5" t="s">
        <v>131</v>
      </c>
      <c r="G386" s="5" t="s">
        <v>131</v>
      </c>
      <c r="H386" s="5" t="s">
        <v>131</v>
      </c>
      <c r="I386" s="5" t="s">
        <v>131</v>
      </c>
      <c r="J386" s="5" t="s">
        <v>243</v>
      </c>
      <c r="K386" s="5" t="s">
        <v>244</v>
      </c>
    </row>
    <row r="387" spans="1:11" x14ac:dyDescent="0.25">
      <c r="A387" s="5" t="s">
        <v>951</v>
      </c>
      <c r="B387" s="5" t="s">
        <v>952</v>
      </c>
      <c r="C387" s="5" t="s">
        <v>247</v>
      </c>
      <c r="D387" s="5" t="s">
        <v>819</v>
      </c>
      <c r="E387" s="5" t="s">
        <v>134</v>
      </c>
      <c r="F387" s="5" t="s">
        <v>131</v>
      </c>
      <c r="G387" s="5" t="s">
        <v>131</v>
      </c>
      <c r="H387" s="5" t="s">
        <v>131</v>
      </c>
      <c r="I387" s="5" t="s">
        <v>131</v>
      </c>
      <c r="J387" s="5" t="s">
        <v>243</v>
      </c>
      <c r="K387" s="5" t="s">
        <v>138</v>
      </c>
    </row>
    <row r="388" spans="1:11" x14ac:dyDescent="0.25">
      <c r="A388" s="5" t="s">
        <v>953</v>
      </c>
      <c r="B388" s="5" t="s">
        <v>954</v>
      </c>
      <c r="C388" s="5" t="s">
        <v>247</v>
      </c>
      <c r="D388" s="5" t="s">
        <v>819</v>
      </c>
      <c r="E388" s="5" t="s">
        <v>134</v>
      </c>
      <c r="F388" s="5" t="s">
        <v>131</v>
      </c>
      <c r="G388" s="5" t="s">
        <v>131</v>
      </c>
      <c r="H388" s="5" t="s">
        <v>131</v>
      </c>
      <c r="I388" s="5" t="s">
        <v>131</v>
      </c>
      <c r="J388" s="5" t="s">
        <v>243</v>
      </c>
      <c r="K388" s="5" t="s">
        <v>138</v>
      </c>
    </row>
    <row r="389" spans="1:11" x14ac:dyDescent="0.25">
      <c r="A389" s="5" t="s">
        <v>955</v>
      </c>
      <c r="B389" s="5" t="s">
        <v>956</v>
      </c>
      <c r="C389" s="5" t="s">
        <v>247</v>
      </c>
      <c r="D389" s="5" t="s">
        <v>819</v>
      </c>
      <c r="E389" s="5" t="s">
        <v>134</v>
      </c>
      <c r="F389" s="5" t="s">
        <v>131</v>
      </c>
      <c r="G389" s="5" t="s">
        <v>131</v>
      </c>
      <c r="H389" s="5" t="s">
        <v>131</v>
      </c>
      <c r="I389" s="5" t="s">
        <v>131</v>
      </c>
      <c r="J389" s="5" t="s">
        <v>243</v>
      </c>
      <c r="K389" s="5" t="s">
        <v>138</v>
      </c>
    </row>
    <row r="390" spans="1:11" x14ac:dyDescent="0.25">
      <c r="A390" s="5" t="s">
        <v>957</v>
      </c>
      <c r="B390" s="5" t="s">
        <v>958</v>
      </c>
      <c r="C390" s="5" t="s">
        <v>247</v>
      </c>
      <c r="D390" s="5" t="s">
        <v>819</v>
      </c>
      <c r="E390" s="5" t="s">
        <v>134</v>
      </c>
      <c r="F390" s="5" t="s">
        <v>131</v>
      </c>
      <c r="G390" s="5" t="s">
        <v>131</v>
      </c>
      <c r="H390" s="5" t="s">
        <v>131</v>
      </c>
      <c r="I390" s="5" t="s">
        <v>131</v>
      </c>
      <c r="J390" s="5" t="s">
        <v>243</v>
      </c>
      <c r="K390" s="5" t="s">
        <v>244</v>
      </c>
    </row>
    <row r="391" spans="1:11" x14ac:dyDescent="0.25">
      <c r="A391" s="5" t="s">
        <v>959</v>
      </c>
      <c r="B391" s="5" t="s">
        <v>960</v>
      </c>
      <c r="C391" s="5" t="s">
        <v>247</v>
      </c>
      <c r="D391" s="5" t="s">
        <v>819</v>
      </c>
      <c r="E391" s="5" t="s">
        <v>134</v>
      </c>
      <c r="F391" s="5" t="s">
        <v>131</v>
      </c>
      <c r="G391" s="5" t="s">
        <v>131</v>
      </c>
      <c r="H391" s="5" t="s">
        <v>131</v>
      </c>
      <c r="I391" s="5" t="s">
        <v>131</v>
      </c>
      <c r="J391" s="5" t="s">
        <v>243</v>
      </c>
      <c r="K391" s="5" t="s">
        <v>244</v>
      </c>
    </row>
    <row r="392" spans="1:11" x14ac:dyDescent="0.25">
      <c r="A392" s="5" t="s">
        <v>961</v>
      </c>
      <c r="B392" s="5" t="s">
        <v>962</v>
      </c>
      <c r="C392" s="5" t="s">
        <v>247</v>
      </c>
      <c r="D392" s="5" t="s">
        <v>819</v>
      </c>
      <c r="E392" s="5" t="s">
        <v>134</v>
      </c>
      <c r="F392" s="5" t="s">
        <v>131</v>
      </c>
      <c r="G392" s="5" t="s">
        <v>131</v>
      </c>
      <c r="H392" s="5" t="s">
        <v>131</v>
      </c>
      <c r="I392" s="5" t="s">
        <v>131</v>
      </c>
      <c r="J392" s="5" t="s">
        <v>243</v>
      </c>
      <c r="K392" s="5" t="s">
        <v>244</v>
      </c>
    </row>
    <row r="393" spans="1:11" x14ac:dyDescent="0.25">
      <c r="A393" s="5" t="s">
        <v>963</v>
      </c>
      <c r="B393" s="5" t="s">
        <v>964</v>
      </c>
      <c r="C393" s="5" t="s">
        <v>247</v>
      </c>
      <c r="D393" s="5" t="s">
        <v>819</v>
      </c>
      <c r="E393" s="5" t="s">
        <v>134</v>
      </c>
      <c r="F393" s="5" t="s">
        <v>131</v>
      </c>
      <c r="G393" s="5" t="s">
        <v>131</v>
      </c>
      <c r="H393" s="5" t="s">
        <v>131</v>
      </c>
      <c r="I393" s="5" t="s">
        <v>131</v>
      </c>
      <c r="J393" s="5" t="s">
        <v>243</v>
      </c>
      <c r="K393" s="5" t="s">
        <v>138</v>
      </c>
    </row>
    <row r="394" spans="1:11" x14ac:dyDescent="0.25">
      <c r="A394" s="5" t="s">
        <v>965</v>
      </c>
      <c r="B394" s="5" t="s">
        <v>966</v>
      </c>
      <c r="C394" s="5" t="s">
        <v>247</v>
      </c>
      <c r="D394" s="5" t="s">
        <v>819</v>
      </c>
      <c r="E394" s="5" t="s">
        <v>134</v>
      </c>
      <c r="F394" s="5" t="s">
        <v>131</v>
      </c>
      <c r="G394" s="5" t="s">
        <v>131</v>
      </c>
      <c r="H394" s="5" t="s">
        <v>131</v>
      </c>
      <c r="I394" s="5" t="s">
        <v>131</v>
      </c>
      <c r="J394" s="5" t="s">
        <v>243</v>
      </c>
      <c r="K394" s="5" t="s">
        <v>138</v>
      </c>
    </row>
    <row r="395" spans="1:11" x14ac:dyDescent="0.25">
      <c r="A395" s="5" t="s">
        <v>967</v>
      </c>
      <c r="B395" s="5" t="s">
        <v>968</v>
      </c>
      <c r="C395" s="5" t="s">
        <v>247</v>
      </c>
      <c r="D395" s="5" t="s">
        <v>819</v>
      </c>
      <c r="E395" s="5" t="s">
        <v>134</v>
      </c>
      <c r="F395" s="5" t="s">
        <v>131</v>
      </c>
      <c r="G395" s="5" t="s">
        <v>131</v>
      </c>
      <c r="H395" s="5" t="s">
        <v>131</v>
      </c>
      <c r="I395" s="5" t="s">
        <v>131</v>
      </c>
      <c r="J395" s="5" t="s">
        <v>243</v>
      </c>
      <c r="K395" s="5" t="s">
        <v>138</v>
      </c>
    </row>
    <row r="396" spans="1:11" x14ac:dyDescent="0.25">
      <c r="A396" s="5" t="s">
        <v>969</v>
      </c>
      <c r="B396" s="5" t="s">
        <v>970</v>
      </c>
      <c r="C396" s="5" t="s">
        <v>247</v>
      </c>
      <c r="D396" s="5" t="s">
        <v>819</v>
      </c>
      <c r="E396" s="5" t="s">
        <v>134</v>
      </c>
      <c r="F396" s="5" t="s">
        <v>131</v>
      </c>
      <c r="G396" s="5" t="s">
        <v>131</v>
      </c>
      <c r="H396" s="5" t="s">
        <v>131</v>
      </c>
      <c r="I396" s="5" t="s">
        <v>131</v>
      </c>
      <c r="J396" s="5" t="s">
        <v>243</v>
      </c>
      <c r="K396" s="5" t="s">
        <v>138</v>
      </c>
    </row>
    <row r="397" spans="1:11" x14ac:dyDescent="0.25">
      <c r="A397" s="5" t="s">
        <v>971</v>
      </c>
      <c r="B397" s="5" t="s">
        <v>972</v>
      </c>
      <c r="C397" s="5" t="s">
        <v>247</v>
      </c>
      <c r="D397" s="5" t="s">
        <v>819</v>
      </c>
      <c r="E397" s="5" t="s">
        <v>134</v>
      </c>
      <c r="F397" s="5" t="s">
        <v>131</v>
      </c>
      <c r="G397" s="5" t="s">
        <v>131</v>
      </c>
      <c r="H397" s="5" t="s">
        <v>131</v>
      </c>
      <c r="I397" s="5" t="s">
        <v>131</v>
      </c>
      <c r="J397" s="5" t="s">
        <v>243</v>
      </c>
      <c r="K397" s="5" t="s">
        <v>244</v>
      </c>
    </row>
    <row r="398" spans="1:11" x14ac:dyDescent="0.25">
      <c r="A398" s="5" t="s">
        <v>973</v>
      </c>
      <c r="B398" s="5" t="s">
        <v>974</v>
      </c>
      <c r="C398" s="5" t="s">
        <v>247</v>
      </c>
      <c r="D398" s="5" t="s">
        <v>819</v>
      </c>
      <c r="E398" s="5" t="s">
        <v>134</v>
      </c>
      <c r="F398" s="5" t="s">
        <v>131</v>
      </c>
      <c r="G398" s="5" t="s">
        <v>131</v>
      </c>
      <c r="H398" s="5" t="s">
        <v>131</v>
      </c>
      <c r="I398" s="5" t="s">
        <v>131</v>
      </c>
      <c r="J398" s="5" t="s">
        <v>243</v>
      </c>
      <c r="K398" s="5" t="s">
        <v>244</v>
      </c>
    </row>
    <row r="399" spans="1:11" x14ac:dyDescent="0.25">
      <c r="A399" s="5" t="s">
        <v>975</v>
      </c>
      <c r="B399" s="5" t="s">
        <v>976</v>
      </c>
      <c r="C399" s="5" t="s">
        <v>247</v>
      </c>
      <c r="D399" s="5" t="s">
        <v>819</v>
      </c>
      <c r="E399" s="5" t="s">
        <v>134</v>
      </c>
      <c r="F399" s="5" t="s">
        <v>131</v>
      </c>
      <c r="G399" s="5" t="s">
        <v>131</v>
      </c>
      <c r="H399" s="5" t="s">
        <v>131</v>
      </c>
      <c r="I399" s="5" t="s">
        <v>131</v>
      </c>
      <c r="J399" s="5" t="s">
        <v>243</v>
      </c>
      <c r="K399" s="5" t="s">
        <v>244</v>
      </c>
    </row>
    <row r="400" spans="1:11" x14ac:dyDescent="0.25">
      <c r="A400" s="5" t="s">
        <v>977</v>
      </c>
      <c r="B400" s="5" t="s">
        <v>978</v>
      </c>
      <c r="C400" s="5" t="s">
        <v>247</v>
      </c>
      <c r="D400" s="5" t="s">
        <v>819</v>
      </c>
      <c r="E400" s="5" t="s">
        <v>134</v>
      </c>
      <c r="F400" s="5" t="s">
        <v>131</v>
      </c>
      <c r="G400" s="5" t="s">
        <v>131</v>
      </c>
      <c r="H400" s="5" t="s">
        <v>131</v>
      </c>
      <c r="I400" s="5" t="s">
        <v>131</v>
      </c>
      <c r="J400" s="5" t="s">
        <v>243</v>
      </c>
      <c r="K400" s="5" t="s">
        <v>244</v>
      </c>
    </row>
    <row r="401" spans="1:11" x14ac:dyDescent="0.25">
      <c r="A401" s="5" t="s">
        <v>979</v>
      </c>
      <c r="B401" s="5" t="s">
        <v>980</v>
      </c>
      <c r="C401" s="5" t="s">
        <v>247</v>
      </c>
      <c r="D401" s="5" t="s">
        <v>819</v>
      </c>
      <c r="E401" s="5" t="s">
        <v>134</v>
      </c>
      <c r="F401" s="5" t="s">
        <v>131</v>
      </c>
      <c r="G401" s="5" t="s">
        <v>131</v>
      </c>
      <c r="H401" s="5" t="s">
        <v>131</v>
      </c>
      <c r="I401" s="5" t="s">
        <v>131</v>
      </c>
      <c r="J401" s="5" t="s">
        <v>243</v>
      </c>
      <c r="K401" s="5" t="s">
        <v>244</v>
      </c>
    </row>
    <row r="402" spans="1:11" x14ac:dyDescent="0.25">
      <c r="A402" s="5" t="s">
        <v>981</v>
      </c>
      <c r="B402" s="5" t="s">
        <v>982</v>
      </c>
      <c r="C402" s="5" t="s">
        <v>247</v>
      </c>
      <c r="D402" s="5" t="s">
        <v>819</v>
      </c>
      <c r="E402" s="5" t="s">
        <v>134</v>
      </c>
      <c r="F402" s="5" t="s">
        <v>131</v>
      </c>
      <c r="G402" s="5" t="s">
        <v>131</v>
      </c>
      <c r="H402" s="5" t="s">
        <v>131</v>
      </c>
      <c r="I402" s="5" t="s">
        <v>131</v>
      </c>
      <c r="J402" s="5" t="s">
        <v>243</v>
      </c>
      <c r="K402" s="5" t="s">
        <v>244</v>
      </c>
    </row>
    <row r="403" spans="1:11" x14ac:dyDescent="0.25">
      <c r="A403" s="5" t="s">
        <v>983</v>
      </c>
      <c r="B403" s="5" t="s">
        <v>984</v>
      </c>
      <c r="C403" s="5" t="s">
        <v>247</v>
      </c>
      <c r="D403" s="5" t="s">
        <v>819</v>
      </c>
      <c r="E403" s="5" t="s">
        <v>134</v>
      </c>
      <c r="F403" s="5" t="s">
        <v>131</v>
      </c>
      <c r="G403" s="5" t="s">
        <v>131</v>
      </c>
      <c r="H403" s="5" t="s">
        <v>131</v>
      </c>
      <c r="I403" s="5" t="s">
        <v>131</v>
      </c>
      <c r="J403" s="5" t="s">
        <v>243</v>
      </c>
      <c r="K403" s="5" t="s">
        <v>138</v>
      </c>
    </row>
    <row r="404" spans="1:11" x14ac:dyDescent="0.25">
      <c r="A404" s="5" t="s">
        <v>985</v>
      </c>
      <c r="B404" s="5" t="s">
        <v>986</v>
      </c>
      <c r="C404" s="5" t="s">
        <v>247</v>
      </c>
      <c r="D404" s="5" t="s">
        <v>819</v>
      </c>
      <c r="E404" s="5" t="s">
        <v>134</v>
      </c>
      <c r="F404" s="5" t="s">
        <v>131</v>
      </c>
      <c r="G404" s="5" t="s">
        <v>131</v>
      </c>
      <c r="H404" s="5" t="s">
        <v>131</v>
      </c>
      <c r="I404" s="5" t="s">
        <v>131</v>
      </c>
      <c r="J404" s="5" t="s">
        <v>243</v>
      </c>
      <c r="K404" s="5" t="s">
        <v>138</v>
      </c>
    </row>
    <row r="405" spans="1:11" x14ac:dyDescent="0.25">
      <c r="A405" s="5" t="s">
        <v>987</v>
      </c>
      <c r="B405" s="5" t="s">
        <v>988</v>
      </c>
      <c r="C405" s="5" t="s">
        <v>247</v>
      </c>
      <c r="D405" s="5" t="s">
        <v>819</v>
      </c>
      <c r="E405" s="5" t="s">
        <v>134</v>
      </c>
      <c r="F405" s="5" t="s">
        <v>131</v>
      </c>
      <c r="G405" s="5" t="s">
        <v>131</v>
      </c>
      <c r="H405" s="5" t="s">
        <v>131</v>
      </c>
      <c r="I405" s="5" t="s">
        <v>131</v>
      </c>
      <c r="J405" s="5" t="s">
        <v>243</v>
      </c>
      <c r="K405" s="5" t="s">
        <v>138</v>
      </c>
    </row>
    <row r="406" spans="1:11" x14ac:dyDescent="0.25">
      <c r="A406" s="5" t="s">
        <v>989</v>
      </c>
      <c r="B406" s="5" t="s">
        <v>333</v>
      </c>
      <c r="C406" s="5" t="s">
        <v>258</v>
      </c>
      <c r="D406" s="5" t="s">
        <v>333</v>
      </c>
      <c r="E406" s="5" t="s">
        <v>134</v>
      </c>
      <c r="F406" s="5" t="s">
        <v>131</v>
      </c>
      <c r="G406" s="5" t="s">
        <v>131</v>
      </c>
      <c r="H406" s="5" t="s">
        <v>131</v>
      </c>
      <c r="I406" s="5" t="s">
        <v>131</v>
      </c>
      <c r="J406" s="5" t="s">
        <v>146</v>
      </c>
      <c r="K406" s="5" t="s">
        <v>138</v>
      </c>
    </row>
    <row r="407" spans="1:11" x14ac:dyDescent="0.25">
      <c r="A407" s="5" t="s">
        <v>990</v>
      </c>
      <c r="B407" s="5" t="s">
        <v>991</v>
      </c>
      <c r="C407" s="5" t="s">
        <v>258</v>
      </c>
      <c r="D407" s="5" t="s">
        <v>333</v>
      </c>
      <c r="E407" s="5" t="s">
        <v>134</v>
      </c>
      <c r="F407" s="5" t="s">
        <v>131</v>
      </c>
      <c r="G407" s="5" t="s">
        <v>131</v>
      </c>
      <c r="H407" s="5" t="s">
        <v>131</v>
      </c>
      <c r="I407" s="5" t="s">
        <v>131</v>
      </c>
      <c r="J407" s="5" t="s">
        <v>146</v>
      </c>
      <c r="K407" s="5" t="s">
        <v>138</v>
      </c>
    </row>
    <row r="408" spans="1:11" x14ac:dyDescent="0.25">
      <c r="A408" s="5" t="s">
        <v>992</v>
      </c>
      <c r="B408" s="5" t="s">
        <v>993</v>
      </c>
      <c r="C408" s="5" t="s">
        <v>258</v>
      </c>
      <c r="D408" s="5" t="s">
        <v>333</v>
      </c>
      <c r="E408" s="5" t="s">
        <v>134</v>
      </c>
      <c r="F408" s="5" t="s">
        <v>131</v>
      </c>
      <c r="G408" s="5" t="s">
        <v>131</v>
      </c>
      <c r="H408" s="5" t="s">
        <v>131</v>
      </c>
      <c r="I408" s="5" t="s">
        <v>131</v>
      </c>
      <c r="J408" s="5" t="s">
        <v>146</v>
      </c>
      <c r="K408" s="5" t="s">
        <v>138</v>
      </c>
    </row>
    <row r="409" spans="1:11" x14ac:dyDescent="0.25">
      <c r="A409" s="5" t="s">
        <v>994</v>
      </c>
      <c r="B409" s="5" t="s">
        <v>995</v>
      </c>
      <c r="C409" s="5" t="s">
        <v>258</v>
      </c>
      <c r="D409" s="5" t="s">
        <v>333</v>
      </c>
      <c r="E409" s="5" t="s">
        <v>134</v>
      </c>
      <c r="F409" s="5" t="s">
        <v>131</v>
      </c>
      <c r="G409" s="5" t="s">
        <v>131</v>
      </c>
      <c r="H409" s="5" t="s">
        <v>131</v>
      </c>
      <c r="I409" s="5" t="s">
        <v>131</v>
      </c>
      <c r="J409" s="5" t="s">
        <v>996</v>
      </c>
      <c r="K409" s="5" t="s">
        <v>138</v>
      </c>
    </row>
    <row r="410" spans="1:11" x14ac:dyDescent="0.25">
      <c r="A410" s="5" t="s">
        <v>997</v>
      </c>
      <c r="B410" s="5" t="s">
        <v>995</v>
      </c>
      <c r="C410" s="5" t="s">
        <v>258</v>
      </c>
      <c r="D410" s="5" t="s">
        <v>333</v>
      </c>
      <c r="E410" s="5" t="s">
        <v>134</v>
      </c>
      <c r="F410" s="5" t="s">
        <v>131</v>
      </c>
      <c r="G410" s="5" t="s">
        <v>131</v>
      </c>
      <c r="H410" s="5" t="s">
        <v>131</v>
      </c>
      <c r="I410" s="5" t="s">
        <v>131</v>
      </c>
      <c r="J410" s="5" t="s">
        <v>143</v>
      </c>
      <c r="K410" s="5" t="s">
        <v>244</v>
      </c>
    </row>
    <row r="411" spans="1:11" x14ac:dyDescent="0.25">
      <c r="A411" s="5" t="s">
        <v>998</v>
      </c>
      <c r="B411" s="5" t="s">
        <v>999</v>
      </c>
      <c r="C411" s="5" t="s">
        <v>258</v>
      </c>
      <c r="D411" s="5" t="s">
        <v>333</v>
      </c>
      <c r="E411" s="5" t="s">
        <v>134</v>
      </c>
      <c r="F411" s="5" t="s">
        <v>131</v>
      </c>
      <c r="G411" s="5" t="s">
        <v>131</v>
      </c>
      <c r="H411" s="5" t="s">
        <v>131</v>
      </c>
      <c r="I411" s="5" t="s">
        <v>131</v>
      </c>
      <c r="J411" s="5" t="s">
        <v>243</v>
      </c>
      <c r="K411" s="5" t="s">
        <v>138</v>
      </c>
    </row>
    <row r="412" spans="1:11" x14ac:dyDescent="0.25">
      <c r="A412" s="5" t="s">
        <v>1000</v>
      </c>
      <c r="B412" s="5" t="s">
        <v>1001</v>
      </c>
      <c r="C412" s="5" t="s">
        <v>258</v>
      </c>
      <c r="D412" s="5" t="s">
        <v>333</v>
      </c>
      <c r="E412" s="5" t="s">
        <v>134</v>
      </c>
      <c r="F412" s="5" t="s">
        <v>131</v>
      </c>
      <c r="G412" s="5" t="s">
        <v>131</v>
      </c>
      <c r="H412" s="5" t="s">
        <v>131</v>
      </c>
      <c r="I412" s="5" t="s">
        <v>131</v>
      </c>
      <c r="J412" s="5" t="s">
        <v>243</v>
      </c>
      <c r="K412" s="5" t="s">
        <v>138</v>
      </c>
    </row>
    <row r="413" spans="1:11" x14ac:dyDescent="0.25">
      <c r="A413" s="5" t="s">
        <v>1002</v>
      </c>
      <c r="B413" s="5" t="s">
        <v>1003</v>
      </c>
      <c r="C413" s="5" t="s">
        <v>258</v>
      </c>
      <c r="D413" s="5" t="s">
        <v>333</v>
      </c>
      <c r="E413" s="5" t="s">
        <v>134</v>
      </c>
      <c r="F413" s="5" t="s">
        <v>131</v>
      </c>
      <c r="G413" s="5" t="s">
        <v>131</v>
      </c>
      <c r="H413" s="5" t="s">
        <v>131</v>
      </c>
      <c r="I413" s="5" t="s">
        <v>131</v>
      </c>
      <c r="J413" s="5" t="s">
        <v>1004</v>
      </c>
      <c r="K413" s="5" t="s">
        <v>138</v>
      </c>
    </row>
    <row r="414" spans="1:11" x14ac:dyDescent="0.25">
      <c r="A414" s="5" t="s">
        <v>1005</v>
      </c>
      <c r="B414" s="5" t="s">
        <v>1006</v>
      </c>
      <c r="C414" s="5" t="s">
        <v>258</v>
      </c>
      <c r="D414" s="5" t="s">
        <v>333</v>
      </c>
      <c r="E414" s="5" t="s">
        <v>134</v>
      </c>
      <c r="F414" s="5" t="s">
        <v>131</v>
      </c>
      <c r="G414" s="5" t="s">
        <v>131</v>
      </c>
      <c r="H414" s="5" t="s">
        <v>131</v>
      </c>
      <c r="I414" s="5" t="s">
        <v>131</v>
      </c>
      <c r="J414" s="5" t="s">
        <v>146</v>
      </c>
      <c r="K414" s="5" t="s">
        <v>138</v>
      </c>
    </row>
    <row r="415" spans="1:11" x14ac:dyDescent="0.25">
      <c r="A415" s="5" t="s">
        <v>1007</v>
      </c>
      <c r="B415" s="5" t="s">
        <v>1008</v>
      </c>
      <c r="C415" s="5" t="s">
        <v>258</v>
      </c>
      <c r="D415" s="5" t="s">
        <v>333</v>
      </c>
      <c r="E415" s="5" t="s">
        <v>134</v>
      </c>
      <c r="F415" s="5" t="s">
        <v>131</v>
      </c>
      <c r="G415" s="5" t="s">
        <v>131</v>
      </c>
      <c r="H415" s="5" t="s">
        <v>131</v>
      </c>
      <c r="I415" s="5" t="s">
        <v>131</v>
      </c>
      <c r="J415" s="5" t="s">
        <v>143</v>
      </c>
      <c r="K415" s="5" t="s">
        <v>138</v>
      </c>
    </row>
    <row r="416" spans="1:11" x14ac:dyDescent="0.25">
      <c r="A416" s="5" t="s">
        <v>1009</v>
      </c>
      <c r="B416" s="5" t="s">
        <v>1010</v>
      </c>
      <c r="C416" s="5" t="s">
        <v>258</v>
      </c>
      <c r="D416" s="5" t="s">
        <v>333</v>
      </c>
      <c r="E416" s="5" t="s">
        <v>134</v>
      </c>
      <c r="F416" s="5" t="s">
        <v>131</v>
      </c>
      <c r="G416" s="5" t="s">
        <v>131</v>
      </c>
      <c r="H416" s="5" t="s">
        <v>131</v>
      </c>
      <c r="I416" s="5" t="s">
        <v>131</v>
      </c>
      <c r="J416" s="5" t="s">
        <v>143</v>
      </c>
      <c r="K416" s="5" t="s">
        <v>138</v>
      </c>
    </row>
    <row r="417" spans="1:11" x14ac:dyDescent="0.25">
      <c r="A417" s="5" t="s">
        <v>1011</v>
      </c>
      <c r="B417" s="5" t="s">
        <v>1012</v>
      </c>
      <c r="C417" s="5" t="s">
        <v>258</v>
      </c>
      <c r="D417" s="5" t="s">
        <v>333</v>
      </c>
      <c r="E417" s="5" t="s">
        <v>134</v>
      </c>
      <c r="F417" s="5" t="s">
        <v>131</v>
      </c>
      <c r="G417" s="5" t="s">
        <v>131</v>
      </c>
      <c r="H417" s="5" t="s">
        <v>131</v>
      </c>
      <c r="I417" s="5" t="s">
        <v>131</v>
      </c>
      <c r="J417" s="5" t="s">
        <v>143</v>
      </c>
      <c r="K417" s="5" t="s">
        <v>138</v>
      </c>
    </row>
    <row r="418" spans="1:11" x14ac:dyDescent="0.25">
      <c r="A418" s="5" t="s">
        <v>1013</v>
      </c>
      <c r="B418" s="5" t="s">
        <v>1014</v>
      </c>
      <c r="C418" s="5" t="s">
        <v>258</v>
      </c>
      <c r="D418" s="5" t="s">
        <v>333</v>
      </c>
      <c r="E418" s="5" t="s">
        <v>134</v>
      </c>
      <c r="F418" s="5" t="s">
        <v>131</v>
      </c>
      <c r="G418" s="5" t="s">
        <v>131</v>
      </c>
      <c r="H418" s="5" t="s">
        <v>131</v>
      </c>
      <c r="I418" s="5" t="s">
        <v>131</v>
      </c>
      <c r="J418" s="5" t="s">
        <v>143</v>
      </c>
      <c r="K418" s="5" t="s">
        <v>138</v>
      </c>
    </row>
    <row r="419" spans="1:11" x14ac:dyDescent="0.25">
      <c r="A419" s="5" t="s">
        <v>1015</v>
      </c>
      <c r="B419" s="5" t="s">
        <v>1016</v>
      </c>
      <c r="C419" s="5" t="s">
        <v>258</v>
      </c>
      <c r="D419" s="5" t="s">
        <v>333</v>
      </c>
      <c r="E419" s="5" t="s">
        <v>134</v>
      </c>
      <c r="F419" s="5" t="s">
        <v>131</v>
      </c>
      <c r="G419" s="5" t="s">
        <v>131</v>
      </c>
      <c r="H419" s="5" t="s">
        <v>131</v>
      </c>
      <c r="I419" s="5" t="s">
        <v>131</v>
      </c>
      <c r="J419" s="5" t="s">
        <v>143</v>
      </c>
      <c r="K419" s="5" t="s">
        <v>244</v>
      </c>
    </row>
    <row r="420" spans="1:11" x14ac:dyDescent="0.25">
      <c r="A420" s="5" t="s">
        <v>1017</v>
      </c>
      <c r="B420" s="5" t="s">
        <v>1018</v>
      </c>
      <c r="C420" s="5" t="s">
        <v>258</v>
      </c>
      <c r="D420" s="5" t="s">
        <v>333</v>
      </c>
      <c r="E420" s="5" t="s">
        <v>134</v>
      </c>
      <c r="F420" s="5" t="s">
        <v>131</v>
      </c>
      <c r="G420" s="5" t="s">
        <v>131</v>
      </c>
      <c r="H420" s="5" t="s">
        <v>131</v>
      </c>
      <c r="I420" s="5" t="s">
        <v>131</v>
      </c>
      <c r="J420" s="5" t="s">
        <v>143</v>
      </c>
      <c r="K420" s="5" t="s">
        <v>244</v>
      </c>
    </row>
    <row r="421" spans="1:11" x14ac:dyDescent="0.25">
      <c r="A421" s="5" t="s">
        <v>1019</v>
      </c>
      <c r="B421" s="5" t="s">
        <v>1020</v>
      </c>
      <c r="C421" s="5" t="s">
        <v>258</v>
      </c>
      <c r="D421" s="5" t="s">
        <v>333</v>
      </c>
      <c r="E421" s="5" t="s">
        <v>134</v>
      </c>
      <c r="F421" s="5" t="s">
        <v>131</v>
      </c>
      <c r="G421" s="5" t="s">
        <v>131</v>
      </c>
      <c r="H421" s="5" t="s">
        <v>131</v>
      </c>
      <c r="I421" s="5" t="s">
        <v>131</v>
      </c>
      <c r="J421" s="5" t="s">
        <v>143</v>
      </c>
      <c r="K421" s="5" t="s">
        <v>138</v>
      </c>
    </row>
    <row r="422" spans="1:11" x14ac:dyDescent="0.25">
      <c r="A422" s="5" t="s">
        <v>1021</v>
      </c>
      <c r="B422" s="5" t="s">
        <v>1022</v>
      </c>
      <c r="C422" s="5" t="s">
        <v>258</v>
      </c>
      <c r="D422" s="5" t="s">
        <v>333</v>
      </c>
      <c r="E422" s="5" t="s">
        <v>134</v>
      </c>
      <c r="F422" s="5" t="s">
        <v>131</v>
      </c>
      <c r="G422" s="5" t="s">
        <v>131</v>
      </c>
      <c r="H422" s="5" t="s">
        <v>131</v>
      </c>
      <c r="I422" s="5" t="s">
        <v>131</v>
      </c>
      <c r="J422" s="5" t="s">
        <v>1023</v>
      </c>
      <c r="K422" s="5" t="s">
        <v>138</v>
      </c>
    </row>
    <row r="423" spans="1:11" x14ac:dyDescent="0.25">
      <c r="A423" s="5" t="s">
        <v>1024</v>
      </c>
      <c r="B423" s="5" t="s">
        <v>1025</v>
      </c>
      <c r="C423" s="5" t="s">
        <v>258</v>
      </c>
      <c r="D423" s="5" t="s">
        <v>333</v>
      </c>
      <c r="E423" s="5" t="s">
        <v>134</v>
      </c>
      <c r="F423" s="5" t="s">
        <v>131</v>
      </c>
      <c r="G423" s="5" t="s">
        <v>131</v>
      </c>
      <c r="H423" s="5" t="s">
        <v>131</v>
      </c>
      <c r="I423" s="5" t="s">
        <v>131</v>
      </c>
      <c r="J423" s="5" t="s">
        <v>243</v>
      </c>
      <c r="K423" s="5" t="s">
        <v>138</v>
      </c>
    </row>
    <row r="424" spans="1:11" x14ac:dyDescent="0.25">
      <c r="A424" s="5" t="s">
        <v>1026</v>
      </c>
      <c r="B424" s="5" t="s">
        <v>1027</v>
      </c>
      <c r="C424" s="5" t="s">
        <v>258</v>
      </c>
      <c r="D424" s="5" t="s">
        <v>333</v>
      </c>
      <c r="E424" s="5" t="s">
        <v>134</v>
      </c>
      <c r="F424" s="5" t="s">
        <v>131</v>
      </c>
      <c r="G424" s="5" t="s">
        <v>131</v>
      </c>
      <c r="H424" s="5" t="s">
        <v>131</v>
      </c>
      <c r="I424" s="5" t="s">
        <v>131</v>
      </c>
      <c r="J424" s="5" t="s">
        <v>143</v>
      </c>
      <c r="K424" s="5" t="s">
        <v>244</v>
      </c>
    </row>
    <row r="425" spans="1:11" x14ac:dyDescent="0.25">
      <c r="A425" s="5" t="s">
        <v>1028</v>
      </c>
      <c r="B425" s="5" t="s">
        <v>1029</v>
      </c>
      <c r="C425" s="5" t="s">
        <v>258</v>
      </c>
      <c r="D425" s="5" t="s">
        <v>333</v>
      </c>
      <c r="E425" s="5" t="s">
        <v>134</v>
      </c>
      <c r="F425" s="5" t="s">
        <v>131</v>
      </c>
      <c r="G425" s="5" t="s">
        <v>131</v>
      </c>
      <c r="H425" s="5" t="s">
        <v>131</v>
      </c>
      <c r="I425" s="5" t="s">
        <v>131</v>
      </c>
      <c r="J425" s="5" t="s">
        <v>143</v>
      </c>
      <c r="K425" s="5" t="s">
        <v>138</v>
      </c>
    </row>
    <row r="426" spans="1:11" x14ac:dyDescent="0.25">
      <c r="A426" s="5" t="s">
        <v>1030</v>
      </c>
      <c r="B426" s="5" t="s">
        <v>1031</v>
      </c>
      <c r="C426" s="5" t="s">
        <v>258</v>
      </c>
      <c r="D426" s="5" t="s">
        <v>333</v>
      </c>
      <c r="E426" s="5" t="s">
        <v>134</v>
      </c>
      <c r="F426" s="5" t="s">
        <v>131</v>
      </c>
      <c r="G426" s="5" t="s">
        <v>131</v>
      </c>
      <c r="H426" s="5" t="s">
        <v>131</v>
      </c>
      <c r="I426" s="5" t="s">
        <v>131</v>
      </c>
      <c r="J426" s="5" t="s">
        <v>137</v>
      </c>
      <c r="K426" s="5" t="s">
        <v>138</v>
      </c>
    </row>
    <row r="427" spans="1:11" x14ac:dyDescent="0.25">
      <c r="A427" s="5" t="s">
        <v>1032</v>
      </c>
      <c r="B427" s="5" t="s">
        <v>1033</v>
      </c>
      <c r="C427" s="5" t="s">
        <v>258</v>
      </c>
      <c r="D427" s="5" t="s">
        <v>333</v>
      </c>
      <c r="E427" s="5" t="s">
        <v>134</v>
      </c>
      <c r="F427" s="5" t="s">
        <v>131</v>
      </c>
      <c r="G427" s="5" t="s">
        <v>131</v>
      </c>
      <c r="H427" s="5" t="s">
        <v>131</v>
      </c>
      <c r="I427" s="5" t="s">
        <v>131</v>
      </c>
      <c r="J427" s="5" t="s">
        <v>143</v>
      </c>
      <c r="K427" s="5" t="s">
        <v>244</v>
      </c>
    </row>
    <row r="428" spans="1:11" x14ac:dyDescent="0.25">
      <c r="A428" s="5" t="s">
        <v>1034</v>
      </c>
      <c r="B428" s="5" t="s">
        <v>1035</v>
      </c>
      <c r="C428" s="5" t="s">
        <v>258</v>
      </c>
      <c r="D428" s="5" t="s">
        <v>333</v>
      </c>
      <c r="E428" s="5" t="s">
        <v>134</v>
      </c>
      <c r="F428" s="5" t="s">
        <v>131</v>
      </c>
      <c r="G428" s="5" t="s">
        <v>131</v>
      </c>
      <c r="H428" s="5" t="s">
        <v>131</v>
      </c>
      <c r="I428" s="5" t="s">
        <v>131</v>
      </c>
      <c r="J428" s="5" t="s">
        <v>143</v>
      </c>
      <c r="K428" s="5" t="s">
        <v>138</v>
      </c>
    </row>
    <row r="429" spans="1:11" x14ac:dyDescent="0.25">
      <c r="A429" s="5" t="s">
        <v>1036</v>
      </c>
      <c r="B429" s="5" t="s">
        <v>1037</v>
      </c>
      <c r="C429" s="5" t="s">
        <v>258</v>
      </c>
      <c r="D429" s="5" t="s">
        <v>333</v>
      </c>
      <c r="E429" s="5" t="s">
        <v>134</v>
      </c>
      <c r="F429" s="5" t="s">
        <v>131</v>
      </c>
      <c r="G429" s="5" t="s">
        <v>131</v>
      </c>
      <c r="H429" s="5" t="s">
        <v>131</v>
      </c>
      <c r="I429" s="5" t="s">
        <v>131</v>
      </c>
      <c r="J429" s="5" t="s">
        <v>143</v>
      </c>
      <c r="K429" s="5" t="s">
        <v>138</v>
      </c>
    </row>
    <row r="430" spans="1:11" x14ac:dyDescent="0.25">
      <c r="A430" s="5" t="s">
        <v>1038</v>
      </c>
      <c r="B430" s="5" t="s">
        <v>1039</v>
      </c>
      <c r="C430" s="5" t="s">
        <v>258</v>
      </c>
      <c r="D430" s="5" t="s">
        <v>333</v>
      </c>
      <c r="E430" s="5" t="s">
        <v>134</v>
      </c>
      <c r="F430" s="5" t="s">
        <v>131</v>
      </c>
      <c r="G430" s="5" t="s">
        <v>131</v>
      </c>
      <c r="H430" s="5" t="s">
        <v>131</v>
      </c>
      <c r="I430" s="5" t="s">
        <v>131</v>
      </c>
      <c r="J430" s="5" t="s">
        <v>143</v>
      </c>
      <c r="K430" s="5" t="s">
        <v>138</v>
      </c>
    </row>
    <row r="431" spans="1:11" x14ac:dyDescent="0.25">
      <c r="A431" s="5" t="s">
        <v>1040</v>
      </c>
      <c r="B431" s="5" t="s">
        <v>1041</v>
      </c>
      <c r="C431" s="5" t="s">
        <v>258</v>
      </c>
      <c r="D431" s="5" t="s">
        <v>333</v>
      </c>
      <c r="E431" s="5" t="s">
        <v>134</v>
      </c>
      <c r="F431" s="5" t="s">
        <v>131</v>
      </c>
      <c r="G431" s="5" t="s">
        <v>131</v>
      </c>
      <c r="H431" s="5" t="s">
        <v>131</v>
      </c>
      <c r="I431" s="5" t="s">
        <v>131</v>
      </c>
      <c r="J431" s="5" t="s">
        <v>137</v>
      </c>
      <c r="K431" s="5" t="s">
        <v>138</v>
      </c>
    </row>
    <row r="432" spans="1:11" x14ac:dyDescent="0.25">
      <c r="A432" s="5" t="s">
        <v>1042</v>
      </c>
      <c r="B432" s="5" t="s">
        <v>1043</v>
      </c>
      <c r="C432" s="5" t="s">
        <v>258</v>
      </c>
      <c r="D432" s="5" t="s">
        <v>333</v>
      </c>
      <c r="E432" s="5" t="s">
        <v>134</v>
      </c>
      <c r="F432" s="5" t="s">
        <v>131</v>
      </c>
      <c r="G432" s="5" t="s">
        <v>131</v>
      </c>
      <c r="H432" s="5" t="s">
        <v>131</v>
      </c>
      <c r="I432" s="5" t="s">
        <v>131</v>
      </c>
      <c r="J432" s="5" t="s">
        <v>1044</v>
      </c>
      <c r="K432" s="5" t="s">
        <v>138</v>
      </c>
    </row>
    <row r="433" spans="1:11" x14ac:dyDescent="0.25">
      <c r="A433" s="5" t="s">
        <v>1045</v>
      </c>
      <c r="B433" s="5" t="s">
        <v>1046</v>
      </c>
      <c r="C433" s="5" t="s">
        <v>258</v>
      </c>
      <c r="D433" s="5" t="s">
        <v>333</v>
      </c>
      <c r="E433" s="5" t="s">
        <v>134</v>
      </c>
      <c r="F433" s="5" t="s">
        <v>131</v>
      </c>
      <c r="G433" s="5" t="s">
        <v>131</v>
      </c>
      <c r="H433" s="5" t="s">
        <v>131</v>
      </c>
      <c r="I433" s="5" t="s">
        <v>131</v>
      </c>
      <c r="J433" s="5" t="s">
        <v>153</v>
      </c>
      <c r="K433" s="5" t="s">
        <v>138</v>
      </c>
    </row>
    <row r="434" spans="1:11" x14ac:dyDescent="0.25">
      <c r="A434" s="5" t="s">
        <v>1047</v>
      </c>
      <c r="B434" s="5" t="s">
        <v>1048</v>
      </c>
      <c r="C434" s="5" t="s">
        <v>258</v>
      </c>
      <c r="D434" s="5" t="s">
        <v>333</v>
      </c>
      <c r="E434" s="5" t="s">
        <v>134</v>
      </c>
      <c r="F434" s="5" t="s">
        <v>131</v>
      </c>
      <c r="G434" s="5" t="s">
        <v>131</v>
      </c>
      <c r="H434" s="5" t="s">
        <v>131</v>
      </c>
      <c r="I434" s="5" t="s">
        <v>131</v>
      </c>
      <c r="J434" s="5" t="s">
        <v>143</v>
      </c>
      <c r="K434" s="5" t="s">
        <v>138</v>
      </c>
    </row>
    <row r="435" spans="1:11" x14ac:dyDescent="0.25">
      <c r="A435" s="5" t="s">
        <v>1049</v>
      </c>
      <c r="B435" s="5" t="s">
        <v>1050</v>
      </c>
      <c r="C435" s="5" t="s">
        <v>258</v>
      </c>
      <c r="D435" s="5" t="s">
        <v>333</v>
      </c>
      <c r="E435" s="5" t="s">
        <v>134</v>
      </c>
      <c r="F435" s="5" t="s">
        <v>131</v>
      </c>
      <c r="G435" s="5" t="s">
        <v>131</v>
      </c>
      <c r="H435" s="5" t="s">
        <v>131</v>
      </c>
      <c r="I435" s="5" t="s">
        <v>131</v>
      </c>
      <c r="J435" s="5" t="s">
        <v>243</v>
      </c>
      <c r="K435" s="5" t="s">
        <v>138</v>
      </c>
    </row>
    <row r="436" spans="1:11" x14ac:dyDescent="0.25">
      <c r="A436" s="5" t="s">
        <v>1051</v>
      </c>
      <c r="B436" s="5" t="s">
        <v>1052</v>
      </c>
      <c r="C436" s="5" t="s">
        <v>258</v>
      </c>
      <c r="D436" s="5" t="s">
        <v>333</v>
      </c>
      <c r="E436" s="5" t="s">
        <v>134</v>
      </c>
      <c r="F436" s="5" t="s">
        <v>131</v>
      </c>
      <c r="G436" s="5" t="s">
        <v>131</v>
      </c>
      <c r="H436" s="5" t="s">
        <v>131</v>
      </c>
      <c r="I436" s="5" t="s">
        <v>131</v>
      </c>
      <c r="J436" s="5" t="s">
        <v>243</v>
      </c>
      <c r="K436" s="5" t="s">
        <v>138</v>
      </c>
    </row>
    <row r="437" spans="1:11" x14ac:dyDescent="0.25">
      <c r="A437" s="5" t="s">
        <v>1053</v>
      </c>
      <c r="B437" s="5" t="s">
        <v>1054</v>
      </c>
      <c r="C437" s="5" t="s">
        <v>258</v>
      </c>
      <c r="D437" s="5" t="s">
        <v>333</v>
      </c>
      <c r="E437" s="5" t="s">
        <v>134</v>
      </c>
      <c r="F437" s="5" t="s">
        <v>131</v>
      </c>
      <c r="G437" s="5" t="s">
        <v>131</v>
      </c>
      <c r="H437" s="5" t="s">
        <v>131</v>
      </c>
      <c r="I437" s="5" t="s">
        <v>131</v>
      </c>
      <c r="J437" s="5" t="s">
        <v>243</v>
      </c>
      <c r="K437" s="5" t="s">
        <v>138</v>
      </c>
    </row>
    <row r="438" spans="1:11" x14ac:dyDescent="0.25">
      <c r="A438" s="5" t="s">
        <v>1055</v>
      </c>
      <c r="B438" s="5" t="s">
        <v>1056</v>
      </c>
      <c r="C438" s="5" t="s">
        <v>258</v>
      </c>
      <c r="D438" s="5" t="s">
        <v>333</v>
      </c>
      <c r="E438" s="5" t="s">
        <v>134</v>
      </c>
      <c r="F438" s="5" t="s">
        <v>131</v>
      </c>
      <c r="G438" s="5" t="s">
        <v>131</v>
      </c>
      <c r="H438" s="5" t="s">
        <v>131</v>
      </c>
      <c r="I438" s="5" t="s">
        <v>131</v>
      </c>
      <c r="J438" s="5" t="s">
        <v>220</v>
      </c>
      <c r="K438" s="5" t="s">
        <v>138</v>
      </c>
    </row>
    <row r="439" spans="1:11" x14ac:dyDescent="0.25">
      <c r="A439" s="5" t="s">
        <v>1057</v>
      </c>
      <c r="B439" s="5" t="s">
        <v>1058</v>
      </c>
      <c r="C439" s="5" t="s">
        <v>258</v>
      </c>
      <c r="D439" s="5" t="s">
        <v>333</v>
      </c>
      <c r="E439" s="5" t="s">
        <v>134</v>
      </c>
      <c r="F439" s="5" t="s">
        <v>131</v>
      </c>
      <c r="G439" s="5" t="s">
        <v>131</v>
      </c>
      <c r="H439" s="5" t="s">
        <v>131</v>
      </c>
      <c r="I439" s="5" t="s">
        <v>131</v>
      </c>
      <c r="J439" s="5" t="s">
        <v>143</v>
      </c>
      <c r="K439" s="5" t="s">
        <v>138</v>
      </c>
    </row>
    <row r="440" spans="1:11" x14ac:dyDescent="0.25">
      <c r="A440" s="5" t="s">
        <v>1059</v>
      </c>
      <c r="B440" s="5" t="s">
        <v>1060</v>
      </c>
      <c r="C440" s="5" t="s">
        <v>258</v>
      </c>
      <c r="D440" s="5" t="s">
        <v>333</v>
      </c>
      <c r="E440" s="5" t="s">
        <v>134</v>
      </c>
      <c r="F440" s="5" t="s">
        <v>131</v>
      </c>
      <c r="G440" s="5" t="s">
        <v>131</v>
      </c>
      <c r="H440" s="5" t="s">
        <v>131</v>
      </c>
      <c r="I440" s="5" t="s">
        <v>131</v>
      </c>
      <c r="J440" s="5" t="s">
        <v>143</v>
      </c>
      <c r="K440" s="5" t="s">
        <v>138</v>
      </c>
    </row>
    <row r="441" spans="1:11" x14ac:dyDescent="0.25">
      <c r="A441" s="5" t="s">
        <v>1061</v>
      </c>
      <c r="B441" s="5" t="s">
        <v>1062</v>
      </c>
      <c r="C441" s="5" t="s">
        <v>258</v>
      </c>
      <c r="D441" s="5" t="s">
        <v>333</v>
      </c>
      <c r="E441" s="5" t="s">
        <v>134</v>
      </c>
      <c r="F441" s="5" t="s">
        <v>131</v>
      </c>
      <c r="G441" s="5" t="s">
        <v>131</v>
      </c>
      <c r="H441" s="5" t="s">
        <v>131</v>
      </c>
      <c r="I441" s="5" t="s">
        <v>131</v>
      </c>
      <c r="J441" s="5" t="s">
        <v>143</v>
      </c>
      <c r="K441" s="5" t="s">
        <v>138</v>
      </c>
    </row>
    <row r="442" spans="1:11" x14ac:dyDescent="0.25">
      <c r="A442" s="5" t="s">
        <v>1063</v>
      </c>
      <c r="B442" s="5" t="s">
        <v>1064</v>
      </c>
      <c r="C442" s="5" t="s">
        <v>258</v>
      </c>
      <c r="D442" s="5" t="s">
        <v>333</v>
      </c>
      <c r="E442" s="5" t="s">
        <v>134</v>
      </c>
      <c r="F442" s="5" t="s">
        <v>131</v>
      </c>
      <c r="G442" s="5" t="s">
        <v>131</v>
      </c>
      <c r="H442" s="5" t="s">
        <v>131</v>
      </c>
      <c r="I442" s="5" t="s">
        <v>131</v>
      </c>
      <c r="J442" s="5" t="s">
        <v>143</v>
      </c>
      <c r="K442" s="5" t="s">
        <v>138</v>
      </c>
    </row>
    <row r="443" spans="1:11" x14ac:dyDescent="0.25">
      <c r="A443" s="5" t="s">
        <v>1065</v>
      </c>
      <c r="B443" s="5" t="s">
        <v>1066</v>
      </c>
      <c r="C443" s="5" t="s">
        <v>258</v>
      </c>
      <c r="D443" s="5" t="s">
        <v>333</v>
      </c>
      <c r="E443" s="5" t="s">
        <v>134</v>
      </c>
      <c r="F443" s="5" t="s">
        <v>131</v>
      </c>
      <c r="G443" s="5" t="s">
        <v>131</v>
      </c>
      <c r="H443" s="5" t="s">
        <v>131</v>
      </c>
      <c r="I443" s="5" t="s">
        <v>131</v>
      </c>
      <c r="J443" s="5" t="s">
        <v>143</v>
      </c>
      <c r="K443" s="5" t="s">
        <v>138</v>
      </c>
    </row>
    <row r="444" spans="1:11" x14ac:dyDescent="0.25">
      <c r="A444" s="5" t="s">
        <v>1067</v>
      </c>
      <c r="B444" s="5" t="s">
        <v>1068</v>
      </c>
      <c r="C444" s="5" t="s">
        <v>258</v>
      </c>
      <c r="D444" s="5" t="s">
        <v>333</v>
      </c>
      <c r="E444" s="5" t="s">
        <v>134</v>
      </c>
      <c r="F444" s="5" t="s">
        <v>131</v>
      </c>
      <c r="G444" s="5" t="s">
        <v>131</v>
      </c>
      <c r="H444" s="5" t="s">
        <v>131</v>
      </c>
      <c r="I444" s="5" t="s">
        <v>131</v>
      </c>
      <c r="J444" s="5" t="s">
        <v>143</v>
      </c>
      <c r="K444" s="5" t="s">
        <v>138</v>
      </c>
    </row>
    <row r="445" spans="1:11" x14ac:dyDescent="0.25">
      <c r="A445" s="5" t="s">
        <v>1069</v>
      </c>
      <c r="B445" s="5" t="s">
        <v>1070</v>
      </c>
      <c r="C445" s="5" t="s">
        <v>258</v>
      </c>
      <c r="D445" s="5" t="s">
        <v>333</v>
      </c>
      <c r="E445" s="5" t="s">
        <v>134</v>
      </c>
      <c r="F445" s="5" t="s">
        <v>131</v>
      </c>
      <c r="G445" s="5" t="s">
        <v>131</v>
      </c>
      <c r="H445" s="5" t="s">
        <v>131</v>
      </c>
      <c r="I445" s="5" t="s">
        <v>131</v>
      </c>
      <c r="J445" s="5" t="s">
        <v>143</v>
      </c>
      <c r="K445" s="5" t="s">
        <v>138</v>
      </c>
    </row>
    <row r="446" spans="1:11" x14ac:dyDescent="0.25">
      <c r="A446" s="5" t="s">
        <v>1071</v>
      </c>
      <c r="B446" s="5" t="s">
        <v>1072</v>
      </c>
      <c r="C446" s="5" t="s">
        <v>258</v>
      </c>
      <c r="D446" s="5" t="s">
        <v>333</v>
      </c>
      <c r="E446" s="5" t="s">
        <v>134</v>
      </c>
      <c r="F446" s="5" t="s">
        <v>131</v>
      </c>
      <c r="G446" s="5" t="s">
        <v>131</v>
      </c>
      <c r="H446" s="5" t="s">
        <v>131</v>
      </c>
      <c r="I446" s="5" t="s">
        <v>131</v>
      </c>
      <c r="J446" s="5" t="s">
        <v>243</v>
      </c>
      <c r="K446" s="5" t="s">
        <v>138</v>
      </c>
    </row>
    <row r="447" spans="1:11" x14ac:dyDescent="0.25">
      <c r="A447" s="5" t="s">
        <v>1073</v>
      </c>
      <c r="B447" s="5" t="s">
        <v>1074</v>
      </c>
      <c r="C447" s="5" t="s">
        <v>258</v>
      </c>
      <c r="D447" s="5" t="s">
        <v>333</v>
      </c>
      <c r="E447" s="5" t="s">
        <v>134</v>
      </c>
      <c r="F447" s="5" t="s">
        <v>131</v>
      </c>
      <c r="G447" s="5" t="s">
        <v>131</v>
      </c>
      <c r="H447" s="5" t="s">
        <v>131</v>
      </c>
      <c r="I447" s="5" t="s">
        <v>131</v>
      </c>
      <c r="J447" s="5" t="s">
        <v>153</v>
      </c>
      <c r="K447" s="5" t="s">
        <v>138</v>
      </c>
    </row>
    <row r="448" spans="1:11" x14ac:dyDescent="0.25">
      <c r="A448" s="5" t="s">
        <v>1075</v>
      </c>
      <c r="B448" s="5" t="s">
        <v>1076</v>
      </c>
      <c r="C448" s="5" t="s">
        <v>258</v>
      </c>
      <c r="D448" s="5" t="s">
        <v>333</v>
      </c>
      <c r="E448" s="5" t="s">
        <v>134</v>
      </c>
      <c r="F448" s="5" t="s">
        <v>131</v>
      </c>
      <c r="G448" s="5" t="s">
        <v>131</v>
      </c>
      <c r="H448" s="5" t="s">
        <v>131</v>
      </c>
      <c r="I448" s="5" t="s">
        <v>131</v>
      </c>
      <c r="J448" s="5" t="s">
        <v>143</v>
      </c>
      <c r="K448" s="5" t="s">
        <v>138</v>
      </c>
    </row>
    <row r="449" spans="1:11" x14ac:dyDescent="0.25">
      <c r="A449" s="5" t="s">
        <v>1077</v>
      </c>
      <c r="B449" s="5" t="s">
        <v>1078</v>
      </c>
      <c r="C449" s="5" t="s">
        <v>258</v>
      </c>
      <c r="D449" s="5" t="s">
        <v>333</v>
      </c>
      <c r="E449" s="5" t="s">
        <v>134</v>
      </c>
      <c r="F449" s="5" t="s">
        <v>131</v>
      </c>
      <c r="G449" s="5" t="s">
        <v>131</v>
      </c>
      <c r="H449" s="5" t="s">
        <v>131</v>
      </c>
      <c r="I449" s="5" t="s">
        <v>131</v>
      </c>
      <c r="J449" s="5" t="s">
        <v>143</v>
      </c>
      <c r="K449" s="5" t="s">
        <v>138</v>
      </c>
    </row>
    <row r="450" spans="1:11" x14ac:dyDescent="0.25">
      <c r="A450" s="5" t="s">
        <v>1079</v>
      </c>
      <c r="B450" s="5" t="s">
        <v>1080</v>
      </c>
      <c r="C450" s="5" t="s">
        <v>258</v>
      </c>
      <c r="D450" s="5" t="s">
        <v>333</v>
      </c>
      <c r="E450" s="5" t="s">
        <v>134</v>
      </c>
      <c r="F450" s="5" t="s">
        <v>131</v>
      </c>
      <c r="G450" s="5" t="s">
        <v>131</v>
      </c>
      <c r="H450" s="5" t="s">
        <v>131</v>
      </c>
      <c r="I450" s="5" t="s">
        <v>131</v>
      </c>
      <c r="J450" s="5" t="s">
        <v>143</v>
      </c>
      <c r="K450" s="5" t="s">
        <v>138</v>
      </c>
    </row>
    <row r="451" spans="1:11" x14ac:dyDescent="0.25">
      <c r="A451" s="5" t="s">
        <v>1081</v>
      </c>
      <c r="B451" s="5" t="s">
        <v>1082</v>
      </c>
      <c r="C451" s="5" t="s">
        <v>258</v>
      </c>
      <c r="D451" s="5" t="s">
        <v>333</v>
      </c>
      <c r="E451" s="5" t="s">
        <v>134</v>
      </c>
      <c r="F451" s="5" t="s">
        <v>131</v>
      </c>
      <c r="G451" s="5" t="s">
        <v>131</v>
      </c>
      <c r="H451" s="5" t="s">
        <v>131</v>
      </c>
      <c r="I451" s="5" t="s">
        <v>131</v>
      </c>
      <c r="J451" s="5" t="s">
        <v>143</v>
      </c>
      <c r="K451" s="5" t="s">
        <v>138</v>
      </c>
    </row>
    <row r="452" spans="1:11" x14ac:dyDescent="0.25">
      <c r="A452" s="5" t="s">
        <v>1083</v>
      </c>
      <c r="B452" s="5" t="s">
        <v>1084</v>
      </c>
      <c r="C452" s="5" t="s">
        <v>258</v>
      </c>
      <c r="D452" s="5" t="s">
        <v>333</v>
      </c>
      <c r="E452" s="5" t="s">
        <v>134</v>
      </c>
      <c r="F452" s="5" t="s">
        <v>131</v>
      </c>
      <c r="G452" s="5" t="s">
        <v>131</v>
      </c>
      <c r="H452" s="5" t="s">
        <v>131</v>
      </c>
      <c r="I452" s="5" t="s">
        <v>131</v>
      </c>
      <c r="J452" s="5" t="s">
        <v>143</v>
      </c>
      <c r="K452" s="5" t="s">
        <v>138</v>
      </c>
    </row>
    <row r="453" spans="1:11" x14ac:dyDescent="0.25">
      <c r="A453" s="5" t="s">
        <v>1085</v>
      </c>
      <c r="B453" s="5" t="s">
        <v>1086</v>
      </c>
      <c r="C453" s="5" t="s">
        <v>258</v>
      </c>
      <c r="D453" s="5" t="s">
        <v>333</v>
      </c>
      <c r="E453" s="5" t="s">
        <v>134</v>
      </c>
      <c r="F453" s="5" t="s">
        <v>131</v>
      </c>
      <c r="G453" s="5" t="s">
        <v>131</v>
      </c>
      <c r="H453" s="5" t="s">
        <v>131</v>
      </c>
      <c r="I453" s="5" t="s">
        <v>131</v>
      </c>
      <c r="J453" s="5" t="s">
        <v>143</v>
      </c>
      <c r="K453" s="5" t="s">
        <v>138</v>
      </c>
    </row>
    <row r="454" spans="1:11" x14ac:dyDescent="0.25">
      <c r="A454" s="5" t="s">
        <v>1087</v>
      </c>
      <c r="B454" s="5" t="s">
        <v>1088</v>
      </c>
      <c r="C454" s="5" t="s">
        <v>258</v>
      </c>
      <c r="D454" s="5" t="s">
        <v>333</v>
      </c>
      <c r="E454" s="5" t="s">
        <v>134</v>
      </c>
      <c r="F454" s="5" t="s">
        <v>131</v>
      </c>
      <c r="G454" s="5" t="s">
        <v>131</v>
      </c>
      <c r="H454" s="5" t="s">
        <v>131</v>
      </c>
      <c r="I454" s="5" t="s">
        <v>131</v>
      </c>
      <c r="J454" s="5" t="s">
        <v>143</v>
      </c>
      <c r="K454" s="5" t="s">
        <v>138</v>
      </c>
    </row>
    <row r="455" spans="1:11" x14ac:dyDescent="0.25">
      <c r="A455" s="5" t="s">
        <v>1089</v>
      </c>
      <c r="B455" s="5" t="s">
        <v>1090</v>
      </c>
      <c r="C455" s="5" t="s">
        <v>258</v>
      </c>
      <c r="D455" s="5" t="s">
        <v>333</v>
      </c>
      <c r="E455" s="5" t="s">
        <v>134</v>
      </c>
      <c r="F455" s="5" t="s">
        <v>131</v>
      </c>
      <c r="G455" s="5" t="s">
        <v>131</v>
      </c>
      <c r="H455" s="5" t="s">
        <v>131</v>
      </c>
      <c r="I455" s="5" t="s">
        <v>131</v>
      </c>
      <c r="J455" s="5" t="s">
        <v>153</v>
      </c>
      <c r="K455" s="5" t="s">
        <v>138</v>
      </c>
    </row>
    <row r="456" spans="1:11" x14ac:dyDescent="0.25">
      <c r="A456" s="5" t="s">
        <v>1091</v>
      </c>
      <c r="B456" s="5" t="s">
        <v>1092</v>
      </c>
      <c r="C456" s="5" t="s">
        <v>258</v>
      </c>
      <c r="D456" s="5" t="s">
        <v>333</v>
      </c>
      <c r="E456" s="5" t="s">
        <v>134</v>
      </c>
      <c r="F456" s="5" t="s">
        <v>131</v>
      </c>
      <c r="G456" s="5" t="s">
        <v>131</v>
      </c>
      <c r="H456" s="5" t="s">
        <v>131</v>
      </c>
      <c r="I456" s="5" t="s">
        <v>131</v>
      </c>
      <c r="J456" s="5" t="s">
        <v>153</v>
      </c>
      <c r="K456" s="5" t="s">
        <v>138</v>
      </c>
    </row>
    <row r="457" spans="1:11" x14ac:dyDescent="0.25">
      <c r="A457" s="5" t="s">
        <v>1093</v>
      </c>
      <c r="B457" s="5" t="s">
        <v>1094</v>
      </c>
      <c r="C457" s="5" t="s">
        <v>258</v>
      </c>
      <c r="D457" s="5" t="s">
        <v>333</v>
      </c>
      <c r="E457" s="5" t="s">
        <v>134</v>
      </c>
      <c r="F457" s="5" t="s">
        <v>131</v>
      </c>
      <c r="G457" s="5" t="s">
        <v>131</v>
      </c>
      <c r="H457" s="5" t="s">
        <v>131</v>
      </c>
      <c r="I457" s="5" t="s">
        <v>131</v>
      </c>
      <c r="J457" s="5" t="s">
        <v>153</v>
      </c>
      <c r="K457" s="5" t="s">
        <v>138</v>
      </c>
    </row>
    <row r="458" spans="1:11" x14ac:dyDescent="0.25">
      <c r="A458" s="5" t="s">
        <v>1095</v>
      </c>
      <c r="B458" s="5" t="s">
        <v>1096</v>
      </c>
      <c r="C458" s="5" t="s">
        <v>258</v>
      </c>
      <c r="D458" s="5" t="s">
        <v>333</v>
      </c>
      <c r="E458" s="5" t="s">
        <v>134</v>
      </c>
      <c r="F458" s="5" t="s">
        <v>131</v>
      </c>
      <c r="G458" s="5" t="s">
        <v>131</v>
      </c>
      <c r="H458" s="5" t="s">
        <v>131</v>
      </c>
      <c r="I458" s="5" t="s">
        <v>131</v>
      </c>
      <c r="J458" s="5" t="s">
        <v>143</v>
      </c>
      <c r="K458" s="5" t="s">
        <v>138</v>
      </c>
    </row>
    <row r="459" spans="1:11" x14ac:dyDescent="0.25">
      <c r="A459" s="5" t="s">
        <v>1097</v>
      </c>
      <c r="B459" s="5" t="s">
        <v>1098</v>
      </c>
      <c r="C459" s="5" t="s">
        <v>258</v>
      </c>
      <c r="D459" s="5" t="s">
        <v>333</v>
      </c>
      <c r="E459" s="5" t="s">
        <v>134</v>
      </c>
      <c r="F459" s="5" t="s">
        <v>131</v>
      </c>
      <c r="G459" s="5" t="s">
        <v>131</v>
      </c>
      <c r="H459" s="5" t="s">
        <v>131</v>
      </c>
      <c r="I459" s="5" t="s">
        <v>131</v>
      </c>
      <c r="J459" s="5" t="s">
        <v>153</v>
      </c>
      <c r="K459" s="5" t="s">
        <v>138</v>
      </c>
    </row>
    <row r="460" spans="1:11" x14ac:dyDescent="0.25">
      <c r="A460" s="5" t="s">
        <v>1099</v>
      </c>
      <c r="B460" s="5" t="s">
        <v>1100</v>
      </c>
      <c r="C460" s="5" t="s">
        <v>258</v>
      </c>
      <c r="D460" s="5" t="s">
        <v>333</v>
      </c>
      <c r="E460" s="5" t="s">
        <v>134</v>
      </c>
      <c r="F460" s="5" t="s">
        <v>131</v>
      </c>
      <c r="G460" s="5" t="s">
        <v>131</v>
      </c>
      <c r="H460" s="5" t="s">
        <v>131</v>
      </c>
      <c r="I460" s="5" t="s">
        <v>131</v>
      </c>
      <c r="J460" s="5" t="s">
        <v>143</v>
      </c>
      <c r="K460" s="5" t="s">
        <v>138</v>
      </c>
    </row>
    <row r="461" spans="1:11" x14ac:dyDescent="0.25">
      <c r="A461" s="5" t="s">
        <v>1101</v>
      </c>
      <c r="B461" s="5" t="s">
        <v>1102</v>
      </c>
      <c r="C461" s="5" t="s">
        <v>258</v>
      </c>
      <c r="D461" s="5" t="s">
        <v>333</v>
      </c>
      <c r="E461" s="5" t="s">
        <v>134</v>
      </c>
      <c r="F461" s="5" t="s">
        <v>131</v>
      </c>
      <c r="G461" s="5" t="s">
        <v>131</v>
      </c>
      <c r="H461" s="5" t="s">
        <v>131</v>
      </c>
      <c r="I461" s="5" t="s">
        <v>131</v>
      </c>
      <c r="J461" s="5" t="s">
        <v>243</v>
      </c>
      <c r="K461" s="5" t="s">
        <v>138</v>
      </c>
    </row>
    <row r="462" spans="1:11" x14ac:dyDescent="0.25">
      <c r="A462" s="5" t="s">
        <v>1103</v>
      </c>
      <c r="B462" s="5" t="s">
        <v>1104</v>
      </c>
      <c r="C462" s="5" t="s">
        <v>258</v>
      </c>
      <c r="D462" s="5" t="s">
        <v>333</v>
      </c>
      <c r="E462" s="5" t="s">
        <v>134</v>
      </c>
      <c r="F462" s="5" t="s">
        <v>131</v>
      </c>
      <c r="G462" s="5" t="s">
        <v>131</v>
      </c>
      <c r="H462" s="5" t="s">
        <v>131</v>
      </c>
      <c r="I462" s="5" t="s">
        <v>131</v>
      </c>
      <c r="J462" s="5" t="s">
        <v>328</v>
      </c>
      <c r="K462" s="5" t="s">
        <v>244</v>
      </c>
    </row>
    <row r="463" spans="1:11" x14ac:dyDescent="0.25">
      <c r="A463" s="5" t="s">
        <v>1105</v>
      </c>
      <c r="B463" s="5" t="s">
        <v>1106</v>
      </c>
      <c r="C463" s="5" t="s">
        <v>258</v>
      </c>
      <c r="D463" s="5" t="s">
        <v>333</v>
      </c>
      <c r="E463" s="5" t="s">
        <v>134</v>
      </c>
      <c r="F463" s="5" t="s">
        <v>131</v>
      </c>
      <c r="G463" s="5" t="s">
        <v>131</v>
      </c>
      <c r="H463" s="5" t="s">
        <v>131</v>
      </c>
      <c r="I463" s="5" t="s">
        <v>131</v>
      </c>
      <c r="J463" s="5" t="s">
        <v>143</v>
      </c>
      <c r="K463" s="5" t="s">
        <v>244</v>
      </c>
    </row>
    <row r="464" spans="1:11" x14ac:dyDescent="0.25">
      <c r="A464" s="5" t="s">
        <v>1107</v>
      </c>
      <c r="B464" s="5" t="s">
        <v>1108</v>
      </c>
      <c r="C464" s="5" t="s">
        <v>258</v>
      </c>
      <c r="D464" s="5" t="s">
        <v>333</v>
      </c>
      <c r="E464" s="5" t="s">
        <v>134</v>
      </c>
      <c r="F464" s="5" t="s">
        <v>131</v>
      </c>
      <c r="G464" s="5" t="s">
        <v>131</v>
      </c>
      <c r="H464" s="5" t="s">
        <v>131</v>
      </c>
      <c r="I464" s="5" t="s">
        <v>131</v>
      </c>
      <c r="J464" s="5" t="s">
        <v>143</v>
      </c>
      <c r="K464" s="5" t="s">
        <v>138</v>
      </c>
    </row>
    <row r="465" spans="1:11" x14ac:dyDescent="0.25">
      <c r="A465" s="5" t="s">
        <v>1109</v>
      </c>
      <c r="B465" s="5" t="s">
        <v>1110</v>
      </c>
      <c r="C465" s="5" t="s">
        <v>258</v>
      </c>
      <c r="D465" s="5" t="s">
        <v>333</v>
      </c>
      <c r="E465" s="5" t="s">
        <v>134</v>
      </c>
      <c r="F465" s="5" t="s">
        <v>131</v>
      </c>
      <c r="G465" s="5" t="s">
        <v>131</v>
      </c>
      <c r="H465" s="5" t="s">
        <v>131</v>
      </c>
      <c r="I465" s="5" t="s">
        <v>131</v>
      </c>
      <c r="J465" s="5" t="s">
        <v>243</v>
      </c>
      <c r="K465" s="5" t="s">
        <v>138</v>
      </c>
    </row>
    <row r="466" spans="1:11" x14ac:dyDescent="0.25">
      <c r="A466" s="5" t="s">
        <v>1111</v>
      </c>
      <c r="B466" s="5" t="s">
        <v>1112</v>
      </c>
      <c r="C466" s="5" t="s">
        <v>258</v>
      </c>
      <c r="D466" s="5" t="s">
        <v>333</v>
      </c>
      <c r="E466" s="5" t="s">
        <v>134</v>
      </c>
      <c r="F466" s="5" t="s">
        <v>131</v>
      </c>
      <c r="G466" s="5" t="s">
        <v>131</v>
      </c>
      <c r="H466" s="5" t="s">
        <v>131</v>
      </c>
      <c r="I466" s="5" t="s">
        <v>131</v>
      </c>
      <c r="J466" s="5" t="s">
        <v>243</v>
      </c>
      <c r="K466" s="5" t="s">
        <v>138</v>
      </c>
    </row>
    <row r="467" spans="1:11" x14ac:dyDescent="0.25">
      <c r="A467" s="5" t="s">
        <v>1113</v>
      </c>
      <c r="B467" s="5" t="s">
        <v>1114</v>
      </c>
      <c r="C467" s="5" t="s">
        <v>235</v>
      </c>
      <c r="D467" s="5" t="s">
        <v>236</v>
      </c>
      <c r="E467" s="5" t="s">
        <v>134</v>
      </c>
      <c r="F467" s="5" t="s">
        <v>131</v>
      </c>
      <c r="G467" s="5" t="s">
        <v>131</v>
      </c>
      <c r="H467" s="5" t="s">
        <v>131</v>
      </c>
      <c r="I467" s="5" t="s">
        <v>131</v>
      </c>
      <c r="J467" s="5" t="s">
        <v>423</v>
      </c>
      <c r="K467" s="5" t="s">
        <v>138</v>
      </c>
    </row>
    <row r="468" spans="1:11" x14ac:dyDescent="0.25">
      <c r="A468" s="5" t="s">
        <v>1115</v>
      </c>
      <c r="B468" s="5" t="s">
        <v>1116</v>
      </c>
      <c r="C468" s="5" t="s">
        <v>235</v>
      </c>
      <c r="D468" s="5" t="s">
        <v>236</v>
      </c>
      <c r="E468" s="5" t="s">
        <v>134</v>
      </c>
      <c r="F468" s="5" t="s">
        <v>131</v>
      </c>
      <c r="G468" s="5" t="s">
        <v>131</v>
      </c>
      <c r="H468" s="5" t="s">
        <v>131</v>
      </c>
      <c r="I468" s="5" t="s">
        <v>131</v>
      </c>
      <c r="J468" s="5" t="s">
        <v>423</v>
      </c>
      <c r="K468" s="5" t="s">
        <v>138</v>
      </c>
    </row>
    <row r="469" spans="1:11" x14ac:dyDescent="0.25">
      <c r="A469" s="5" t="s">
        <v>1117</v>
      </c>
      <c r="B469" s="5" t="s">
        <v>1118</v>
      </c>
      <c r="C469" s="5" t="s">
        <v>235</v>
      </c>
      <c r="D469" s="5" t="s">
        <v>236</v>
      </c>
      <c r="E469" s="5" t="s">
        <v>134</v>
      </c>
      <c r="F469" s="5" t="s">
        <v>131</v>
      </c>
      <c r="G469" s="5" t="s">
        <v>131</v>
      </c>
      <c r="H469" s="5" t="s">
        <v>131</v>
      </c>
      <c r="I469" s="5" t="s">
        <v>131</v>
      </c>
      <c r="J469" s="5" t="s">
        <v>423</v>
      </c>
      <c r="K469" s="5" t="s">
        <v>138</v>
      </c>
    </row>
    <row r="470" spans="1:11" x14ac:dyDescent="0.25">
      <c r="A470" s="5" t="s">
        <v>1119</v>
      </c>
      <c r="B470" s="5" t="s">
        <v>1120</v>
      </c>
      <c r="C470" s="5" t="s">
        <v>235</v>
      </c>
      <c r="D470" s="5" t="s">
        <v>236</v>
      </c>
      <c r="E470" s="5" t="s">
        <v>134</v>
      </c>
      <c r="F470" s="5" t="s">
        <v>131</v>
      </c>
      <c r="G470" s="5" t="s">
        <v>131</v>
      </c>
      <c r="H470" s="5" t="s">
        <v>131</v>
      </c>
      <c r="I470" s="5" t="s">
        <v>131</v>
      </c>
      <c r="J470" s="5" t="s">
        <v>423</v>
      </c>
      <c r="K470" s="5" t="s">
        <v>138</v>
      </c>
    </row>
    <row r="471" spans="1:11" x14ac:dyDescent="0.25">
      <c r="A471" s="5" t="s">
        <v>1121</v>
      </c>
      <c r="B471" s="5" t="s">
        <v>1122</v>
      </c>
      <c r="C471" s="5" t="s">
        <v>235</v>
      </c>
      <c r="D471" s="5" t="s">
        <v>236</v>
      </c>
      <c r="E471" s="5" t="s">
        <v>134</v>
      </c>
      <c r="F471" s="5" t="s">
        <v>131</v>
      </c>
      <c r="G471" s="5" t="s">
        <v>131</v>
      </c>
      <c r="H471" s="5" t="s">
        <v>131</v>
      </c>
      <c r="I471" s="5" t="s">
        <v>131</v>
      </c>
      <c r="J471" s="5" t="s">
        <v>423</v>
      </c>
      <c r="K471" s="5" t="s">
        <v>138</v>
      </c>
    </row>
    <row r="472" spans="1:11" x14ac:dyDescent="0.25">
      <c r="A472" s="5" t="s">
        <v>1123</v>
      </c>
      <c r="B472" s="5" t="s">
        <v>1124</v>
      </c>
      <c r="C472" s="5" t="s">
        <v>235</v>
      </c>
      <c r="D472" s="5" t="s">
        <v>236</v>
      </c>
      <c r="E472" s="5" t="s">
        <v>134</v>
      </c>
      <c r="F472" s="5" t="s">
        <v>131</v>
      </c>
      <c r="G472" s="5" t="s">
        <v>131</v>
      </c>
      <c r="H472" s="5" t="s">
        <v>131</v>
      </c>
      <c r="I472" s="5" t="s">
        <v>131</v>
      </c>
      <c r="J472" s="5" t="s">
        <v>423</v>
      </c>
      <c r="K472" s="5" t="s">
        <v>138</v>
      </c>
    </row>
    <row r="473" spans="1:11" x14ac:dyDescent="0.25">
      <c r="A473" s="5" t="s">
        <v>1125</v>
      </c>
      <c r="B473" s="5" t="s">
        <v>1126</v>
      </c>
      <c r="C473" s="5" t="s">
        <v>235</v>
      </c>
      <c r="D473" s="5" t="s">
        <v>236</v>
      </c>
      <c r="E473" s="5" t="s">
        <v>134</v>
      </c>
      <c r="F473" s="5" t="s">
        <v>131</v>
      </c>
      <c r="G473" s="5" t="s">
        <v>131</v>
      </c>
      <c r="H473" s="5" t="s">
        <v>131</v>
      </c>
      <c r="I473" s="5" t="s">
        <v>131</v>
      </c>
      <c r="J473" s="5" t="s">
        <v>423</v>
      </c>
      <c r="K473" s="5" t="s">
        <v>138</v>
      </c>
    </row>
    <row r="474" spans="1:11" x14ac:dyDescent="0.25">
      <c r="A474" s="5" t="s">
        <v>1127</v>
      </c>
      <c r="B474" s="5" t="s">
        <v>1128</v>
      </c>
      <c r="C474" s="5" t="s">
        <v>141</v>
      </c>
      <c r="D474" s="5" t="s">
        <v>142</v>
      </c>
      <c r="E474" s="5" t="s">
        <v>134</v>
      </c>
      <c r="F474" s="5" t="s">
        <v>131</v>
      </c>
      <c r="G474" s="5" t="s">
        <v>131</v>
      </c>
      <c r="H474" s="5" t="s">
        <v>131</v>
      </c>
      <c r="I474" s="5" t="s">
        <v>131</v>
      </c>
      <c r="J474" s="5" t="s">
        <v>223</v>
      </c>
      <c r="K474" s="5" t="s">
        <v>138</v>
      </c>
    </row>
    <row r="475" spans="1:11" x14ac:dyDescent="0.25">
      <c r="A475" s="5" t="s">
        <v>1129</v>
      </c>
      <c r="B475" s="5" t="s">
        <v>1130</v>
      </c>
      <c r="C475" s="5" t="s">
        <v>141</v>
      </c>
      <c r="D475" s="5" t="s">
        <v>142</v>
      </c>
      <c r="E475" s="5" t="s">
        <v>134</v>
      </c>
      <c r="F475" s="5" t="s">
        <v>131</v>
      </c>
      <c r="G475" s="5" t="s">
        <v>131</v>
      </c>
      <c r="H475" s="5" t="s">
        <v>131</v>
      </c>
      <c r="I475" s="5" t="s">
        <v>131</v>
      </c>
      <c r="J475" s="5" t="s">
        <v>223</v>
      </c>
      <c r="K475" s="5" t="s">
        <v>138</v>
      </c>
    </row>
    <row r="476" spans="1:11" x14ac:dyDescent="0.25">
      <c r="A476" s="5" t="s">
        <v>1131</v>
      </c>
      <c r="B476" s="5" t="s">
        <v>527</v>
      </c>
      <c r="C476" s="5" t="s">
        <v>141</v>
      </c>
      <c r="D476" s="5" t="s">
        <v>142</v>
      </c>
      <c r="E476" s="5" t="s">
        <v>134</v>
      </c>
      <c r="F476" s="5" t="s">
        <v>131</v>
      </c>
      <c r="G476" s="5" t="s">
        <v>131</v>
      </c>
      <c r="H476" s="5" t="s">
        <v>131</v>
      </c>
      <c r="I476" s="5" t="s">
        <v>131</v>
      </c>
      <c r="J476" s="5" t="s">
        <v>223</v>
      </c>
      <c r="K476" s="5" t="s">
        <v>138</v>
      </c>
    </row>
    <row r="477" spans="1:11" x14ac:dyDescent="0.25">
      <c r="A477" s="5" t="s">
        <v>119</v>
      </c>
      <c r="B477" s="5" t="s">
        <v>1132</v>
      </c>
      <c r="C477" s="5" t="s">
        <v>141</v>
      </c>
      <c r="D477" s="5" t="s">
        <v>142</v>
      </c>
      <c r="E477" s="5" t="s">
        <v>134</v>
      </c>
      <c r="F477" s="5" t="s">
        <v>131</v>
      </c>
      <c r="G477" s="5" t="s">
        <v>131</v>
      </c>
      <c r="H477" s="5" t="s">
        <v>131</v>
      </c>
      <c r="I477" s="5" t="s">
        <v>131</v>
      </c>
      <c r="J477" s="5" t="s">
        <v>320</v>
      </c>
      <c r="K477" s="5" t="s">
        <v>138</v>
      </c>
    </row>
    <row r="478" spans="1:11" x14ac:dyDescent="0.25">
      <c r="A478" s="5" t="s">
        <v>1133</v>
      </c>
      <c r="B478" s="5" t="s">
        <v>1134</v>
      </c>
      <c r="C478" s="5" t="s">
        <v>141</v>
      </c>
      <c r="D478" s="5" t="s">
        <v>142</v>
      </c>
      <c r="E478" s="5" t="s">
        <v>134</v>
      </c>
      <c r="F478" s="5" t="s">
        <v>131</v>
      </c>
      <c r="G478" s="5" t="s">
        <v>131</v>
      </c>
      <c r="H478" s="5" t="s">
        <v>131</v>
      </c>
      <c r="I478" s="5" t="s">
        <v>131</v>
      </c>
      <c r="J478" s="5" t="s">
        <v>223</v>
      </c>
      <c r="K478" s="5" t="s">
        <v>138</v>
      </c>
    </row>
    <row r="479" spans="1:11" x14ac:dyDescent="0.25">
      <c r="A479" s="5" t="s">
        <v>1135</v>
      </c>
      <c r="B479" s="5" t="s">
        <v>1136</v>
      </c>
      <c r="C479" s="5" t="s">
        <v>141</v>
      </c>
      <c r="D479" s="5" t="s">
        <v>142</v>
      </c>
      <c r="E479" s="5" t="s">
        <v>134</v>
      </c>
      <c r="F479" s="5" t="s">
        <v>131</v>
      </c>
      <c r="G479" s="5" t="s">
        <v>131</v>
      </c>
      <c r="H479" s="5" t="s">
        <v>131</v>
      </c>
      <c r="I479" s="5" t="s">
        <v>131</v>
      </c>
      <c r="J479" s="5" t="s">
        <v>223</v>
      </c>
      <c r="K479" s="5" t="s">
        <v>138</v>
      </c>
    </row>
    <row r="480" spans="1:11" x14ac:dyDescent="0.25">
      <c r="A480" s="5" t="s">
        <v>1137</v>
      </c>
      <c r="B480" s="5" t="s">
        <v>1138</v>
      </c>
      <c r="C480" s="5" t="s">
        <v>141</v>
      </c>
      <c r="D480" s="5" t="s">
        <v>142</v>
      </c>
      <c r="E480" s="5" t="s">
        <v>134</v>
      </c>
      <c r="F480" s="5" t="s">
        <v>131</v>
      </c>
      <c r="G480" s="5" t="s">
        <v>131</v>
      </c>
      <c r="H480" s="5" t="s">
        <v>131</v>
      </c>
      <c r="I480" s="5" t="s">
        <v>131</v>
      </c>
      <c r="J480" s="5" t="s">
        <v>223</v>
      </c>
      <c r="K480" s="5" t="s">
        <v>138</v>
      </c>
    </row>
    <row r="481" spans="1:11" x14ac:dyDescent="0.25">
      <c r="A481" s="5" t="s">
        <v>1139</v>
      </c>
      <c r="B481" s="5" t="s">
        <v>1140</v>
      </c>
      <c r="C481" s="5" t="s">
        <v>141</v>
      </c>
      <c r="D481" s="5" t="s">
        <v>142</v>
      </c>
      <c r="E481" s="5" t="s">
        <v>134</v>
      </c>
      <c r="F481" s="5" t="s">
        <v>131</v>
      </c>
      <c r="G481" s="5" t="s">
        <v>131</v>
      </c>
      <c r="H481" s="5" t="s">
        <v>131</v>
      </c>
      <c r="I481" s="5" t="s">
        <v>131</v>
      </c>
      <c r="J481" s="5" t="s">
        <v>223</v>
      </c>
      <c r="K481" s="5" t="s">
        <v>138</v>
      </c>
    </row>
    <row r="482" spans="1:11" x14ac:dyDescent="0.25">
      <c r="A482" s="5" t="s">
        <v>1141</v>
      </c>
      <c r="B482" s="5" t="s">
        <v>1142</v>
      </c>
      <c r="C482" s="5" t="s">
        <v>141</v>
      </c>
      <c r="D482" s="5" t="s">
        <v>142</v>
      </c>
      <c r="E482" s="5" t="s">
        <v>134</v>
      </c>
      <c r="F482" s="5" t="s">
        <v>131</v>
      </c>
      <c r="G482" s="5" t="s">
        <v>131</v>
      </c>
      <c r="H482" s="5" t="s">
        <v>131</v>
      </c>
      <c r="I482" s="5" t="s">
        <v>131</v>
      </c>
      <c r="J482" s="5" t="s">
        <v>223</v>
      </c>
      <c r="K482" s="5" t="s">
        <v>138</v>
      </c>
    </row>
    <row r="483" spans="1:11" x14ac:dyDescent="0.25">
      <c r="A483" s="5" t="s">
        <v>1143</v>
      </c>
      <c r="B483" s="5" t="s">
        <v>1144</v>
      </c>
      <c r="C483" s="5" t="s">
        <v>141</v>
      </c>
      <c r="D483" s="5" t="s">
        <v>142</v>
      </c>
      <c r="E483" s="5" t="s">
        <v>134</v>
      </c>
      <c r="F483" s="5" t="s">
        <v>131</v>
      </c>
      <c r="G483" s="5" t="s">
        <v>131</v>
      </c>
      <c r="H483" s="5" t="s">
        <v>131</v>
      </c>
      <c r="I483" s="5" t="s">
        <v>131</v>
      </c>
      <c r="J483" s="5" t="s">
        <v>223</v>
      </c>
      <c r="K483" s="5" t="s">
        <v>138</v>
      </c>
    </row>
    <row r="484" spans="1:11" x14ac:dyDescent="0.25">
      <c r="A484" s="5" t="s">
        <v>1145</v>
      </c>
      <c r="B484" s="5" t="s">
        <v>1146</v>
      </c>
      <c r="C484" s="5" t="s">
        <v>141</v>
      </c>
      <c r="D484" s="5" t="s">
        <v>142</v>
      </c>
      <c r="E484" s="5" t="s">
        <v>134</v>
      </c>
      <c r="F484" s="5" t="s">
        <v>131</v>
      </c>
      <c r="G484" s="5" t="s">
        <v>131</v>
      </c>
      <c r="H484" s="5" t="s">
        <v>131</v>
      </c>
      <c r="I484" s="5" t="s">
        <v>131</v>
      </c>
      <c r="J484" s="5" t="s">
        <v>146</v>
      </c>
      <c r="K484" s="5" t="s">
        <v>138</v>
      </c>
    </row>
    <row r="485" spans="1:11" x14ac:dyDescent="0.25">
      <c r="A485" s="5" t="s">
        <v>1147</v>
      </c>
      <c r="B485" s="5" t="s">
        <v>1148</v>
      </c>
      <c r="C485" s="5" t="s">
        <v>141</v>
      </c>
      <c r="D485" s="5" t="s">
        <v>142</v>
      </c>
      <c r="E485" s="5" t="s">
        <v>134</v>
      </c>
      <c r="F485" s="5" t="s">
        <v>131</v>
      </c>
      <c r="G485" s="5" t="s">
        <v>131</v>
      </c>
      <c r="H485" s="5" t="s">
        <v>131</v>
      </c>
      <c r="I485" s="5" t="s">
        <v>131</v>
      </c>
      <c r="J485" s="5" t="s">
        <v>146</v>
      </c>
      <c r="K485" s="5" t="s">
        <v>138</v>
      </c>
    </row>
    <row r="486" spans="1:11" x14ac:dyDescent="0.25">
      <c r="A486" s="5" t="s">
        <v>1149</v>
      </c>
      <c r="B486" s="5" t="s">
        <v>1150</v>
      </c>
      <c r="C486" s="5" t="s">
        <v>141</v>
      </c>
      <c r="D486" s="5" t="s">
        <v>142</v>
      </c>
      <c r="E486" s="5" t="s">
        <v>134</v>
      </c>
      <c r="F486" s="5" t="s">
        <v>131</v>
      </c>
      <c r="G486" s="5" t="s">
        <v>131</v>
      </c>
      <c r="H486" s="5" t="s">
        <v>131</v>
      </c>
      <c r="I486" s="5" t="s">
        <v>131</v>
      </c>
      <c r="J486" s="5" t="s">
        <v>143</v>
      </c>
      <c r="K486" s="5" t="s">
        <v>244</v>
      </c>
    </row>
    <row r="487" spans="1:11" x14ac:dyDescent="0.25">
      <c r="A487" s="5" t="s">
        <v>1151</v>
      </c>
      <c r="B487" s="5" t="s">
        <v>1152</v>
      </c>
      <c r="C487" s="5" t="s">
        <v>141</v>
      </c>
      <c r="D487" s="5" t="s">
        <v>142</v>
      </c>
      <c r="E487" s="5" t="s">
        <v>134</v>
      </c>
      <c r="F487" s="5" t="s">
        <v>131</v>
      </c>
      <c r="G487" s="5" t="s">
        <v>131</v>
      </c>
      <c r="H487" s="5" t="s">
        <v>131</v>
      </c>
      <c r="I487" s="5" t="s">
        <v>131</v>
      </c>
      <c r="J487" s="5" t="s">
        <v>311</v>
      </c>
      <c r="K487" s="5" t="s">
        <v>138</v>
      </c>
    </row>
    <row r="488" spans="1:11" x14ac:dyDescent="0.25">
      <c r="A488" s="5" t="s">
        <v>1153</v>
      </c>
      <c r="B488" s="5" t="s">
        <v>1154</v>
      </c>
      <c r="C488" s="5" t="s">
        <v>141</v>
      </c>
      <c r="D488" s="5" t="s">
        <v>142</v>
      </c>
      <c r="E488" s="5" t="s">
        <v>134</v>
      </c>
      <c r="F488" s="5" t="s">
        <v>131</v>
      </c>
      <c r="G488" s="5" t="s">
        <v>131</v>
      </c>
      <c r="H488" s="5" t="s">
        <v>131</v>
      </c>
      <c r="I488" s="5" t="s">
        <v>131</v>
      </c>
      <c r="J488" s="5" t="s">
        <v>1155</v>
      </c>
      <c r="K488" s="5" t="s">
        <v>138</v>
      </c>
    </row>
    <row r="489" spans="1:11" x14ac:dyDescent="0.25">
      <c r="A489" s="5" t="s">
        <v>1156</v>
      </c>
      <c r="B489" s="5" t="s">
        <v>1157</v>
      </c>
      <c r="C489" s="5" t="s">
        <v>141</v>
      </c>
      <c r="D489" s="5" t="s">
        <v>142</v>
      </c>
      <c r="E489" s="5" t="s">
        <v>134</v>
      </c>
      <c r="F489" s="5" t="s">
        <v>131</v>
      </c>
      <c r="G489" s="5" t="s">
        <v>131</v>
      </c>
      <c r="H489" s="5" t="s">
        <v>131</v>
      </c>
      <c r="I489" s="5" t="s">
        <v>131</v>
      </c>
      <c r="J489" s="5" t="s">
        <v>143</v>
      </c>
      <c r="K489" s="5" t="s">
        <v>244</v>
      </c>
    </row>
    <row r="490" spans="1:11" x14ac:dyDescent="0.25">
      <c r="A490" s="5" t="s">
        <v>1158</v>
      </c>
      <c r="B490" s="5" t="s">
        <v>1159</v>
      </c>
      <c r="C490" s="5" t="s">
        <v>141</v>
      </c>
      <c r="D490" s="5" t="s">
        <v>142</v>
      </c>
      <c r="E490" s="5" t="s">
        <v>134</v>
      </c>
      <c r="F490" s="5" t="s">
        <v>131</v>
      </c>
      <c r="G490" s="5" t="s">
        <v>131</v>
      </c>
      <c r="H490" s="5" t="s">
        <v>131</v>
      </c>
      <c r="I490" s="5" t="s">
        <v>131</v>
      </c>
      <c r="J490" s="5" t="s">
        <v>328</v>
      </c>
      <c r="K490" s="5" t="s">
        <v>244</v>
      </c>
    </row>
    <row r="491" spans="1:11" x14ac:dyDescent="0.25">
      <c r="A491" s="5" t="s">
        <v>1160</v>
      </c>
      <c r="B491" s="5" t="s">
        <v>1161</v>
      </c>
      <c r="C491" s="5" t="s">
        <v>141</v>
      </c>
      <c r="D491" s="5" t="s">
        <v>142</v>
      </c>
      <c r="E491" s="5" t="s">
        <v>134</v>
      </c>
      <c r="F491" s="5" t="s">
        <v>131</v>
      </c>
      <c r="G491" s="5" t="s">
        <v>131</v>
      </c>
      <c r="H491" s="5" t="s">
        <v>131</v>
      </c>
      <c r="I491" s="5" t="s">
        <v>131</v>
      </c>
      <c r="J491" s="5" t="s">
        <v>143</v>
      </c>
      <c r="K491" s="5" t="s">
        <v>138</v>
      </c>
    </row>
    <row r="492" spans="1:11" x14ac:dyDescent="0.25">
      <c r="A492" s="5" t="s">
        <v>1162</v>
      </c>
      <c r="B492" s="5" t="s">
        <v>1163</v>
      </c>
      <c r="C492" s="5" t="s">
        <v>141</v>
      </c>
      <c r="D492" s="5" t="s">
        <v>142</v>
      </c>
      <c r="E492" s="5" t="s">
        <v>134</v>
      </c>
      <c r="F492" s="5" t="s">
        <v>131</v>
      </c>
      <c r="G492" s="5" t="s">
        <v>131</v>
      </c>
      <c r="H492" s="5" t="s">
        <v>131</v>
      </c>
      <c r="I492" s="5" t="s">
        <v>131</v>
      </c>
      <c r="J492" s="5" t="s">
        <v>143</v>
      </c>
      <c r="K492" s="5" t="s">
        <v>138</v>
      </c>
    </row>
    <row r="493" spans="1:11" x14ac:dyDescent="0.25">
      <c r="A493" s="5" t="s">
        <v>1164</v>
      </c>
      <c r="B493" s="5" t="s">
        <v>1165</v>
      </c>
      <c r="C493" s="5" t="s">
        <v>141</v>
      </c>
      <c r="D493" s="5" t="s">
        <v>142</v>
      </c>
      <c r="E493" s="5" t="s">
        <v>134</v>
      </c>
      <c r="F493" s="5" t="s">
        <v>131</v>
      </c>
      <c r="G493" s="5" t="s">
        <v>131</v>
      </c>
      <c r="H493" s="5" t="s">
        <v>131</v>
      </c>
      <c r="I493" s="5" t="s">
        <v>131</v>
      </c>
      <c r="J493" s="5" t="s">
        <v>143</v>
      </c>
      <c r="K493" s="5" t="s">
        <v>138</v>
      </c>
    </row>
    <row r="494" spans="1:11" x14ac:dyDescent="0.25">
      <c r="A494" s="5" t="s">
        <v>1166</v>
      </c>
      <c r="B494" s="5" t="s">
        <v>1167</v>
      </c>
      <c r="C494" s="5" t="s">
        <v>141</v>
      </c>
      <c r="D494" s="5" t="s">
        <v>142</v>
      </c>
      <c r="E494" s="5" t="s">
        <v>134</v>
      </c>
      <c r="F494" s="5" t="s">
        <v>131</v>
      </c>
      <c r="G494" s="5" t="s">
        <v>131</v>
      </c>
      <c r="H494" s="5" t="s">
        <v>131</v>
      </c>
      <c r="I494" s="5" t="s">
        <v>131</v>
      </c>
      <c r="J494" s="5" t="s">
        <v>146</v>
      </c>
      <c r="K494" s="5" t="s">
        <v>138</v>
      </c>
    </row>
    <row r="495" spans="1:11" x14ac:dyDescent="0.25">
      <c r="A495" s="5" t="s">
        <v>1168</v>
      </c>
      <c r="B495" s="5" t="s">
        <v>1169</v>
      </c>
      <c r="C495" s="5" t="s">
        <v>141</v>
      </c>
      <c r="D495" s="5" t="s">
        <v>142</v>
      </c>
      <c r="E495" s="5" t="s">
        <v>134</v>
      </c>
      <c r="F495" s="5" t="s">
        <v>131</v>
      </c>
      <c r="G495" s="5" t="s">
        <v>131</v>
      </c>
      <c r="H495" s="5" t="s">
        <v>131</v>
      </c>
      <c r="I495" s="5" t="s">
        <v>131</v>
      </c>
      <c r="J495" s="5" t="s">
        <v>146</v>
      </c>
      <c r="K495" s="5" t="s">
        <v>244</v>
      </c>
    </row>
    <row r="496" spans="1:11" x14ac:dyDescent="0.25">
      <c r="A496" s="5" t="s">
        <v>1170</v>
      </c>
      <c r="B496" s="5" t="s">
        <v>1171</v>
      </c>
      <c r="C496" s="5" t="s">
        <v>141</v>
      </c>
      <c r="D496" s="5" t="s">
        <v>142</v>
      </c>
      <c r="E496" s="5" t="s">
        <v>134</v>
      </c>
      <c r="F496" s="5" t="s">
        <v>131</v>
      </c>
      <c r="G496" s="5" t="s">
        <v>131</v>
      </c>
      <c r="H496" s="5" t="s">
        <v>131</v>
      </c>
      <c r="I496" s="5" t="s">
        <v>131</v>
      </c>
      <c r="J496" s="5" t="s">
        <v>143</v>
      </c>
      <c r="K496" s="5" t="s">
        <v>138</v>
      </c>
    </row>
    <row r="497" spans="1:11" x14ac:dyDescent="0.25">
      <c r="A497" s="5" t="s">
        <v>1172</v>
      </c>
      <c r="B497" s="5" t="s">
        <v>1173</v>
      </c>
      <c r="C497" s="5" t="s">
        <v>141</v>
      </c>
      <c r="D497" s="5" t="s">
        <v>142</v>
      </c>
      <c r="E497" s="5" t="s">
        <v>134</v>
      </c>
      <c r="F497" s="5" t="s">
        <v>131</v>
      </c>
      <c r="G497" s="5" t="s">
        <v>131</v>
      </c>
      <c r="H497" s="5" t="s">
        <v>131</v>
      </c>
      <c r="I497" s="5" t="s">
        <v>131</v>
      </c>
      <c r="J497" s="5" t="s">
        <v>143</v>
      </c>
      <c r="K497" s="5" t="s">
        <v>244</v>
      </c>
    </row>
    <row r="498" spans="1:11" x14ac:dyDescent="0.25">
      <c r="A498" s="5" t="s">
        <v>1174</v>
      </c>
      <c r="B498" s="5" t="s">
        <v>1175</v>
      </c>
      <c r="C498" s="5" t="s">
        <v>141</v>
      </c>
      <c r="D498" s="5" t="s">
        <v>142</v>
      </c>
      <c r="E498" s="5" t="s">
        <v>134</v>
      </c>
      <c r="F498" s="5" t="s">
        <v>131</v>
      </c>
      <c r="G498" s="5" t="s">
        <v>131</v>
      </c>
      <c r="H498" s="5" t="s">
        <v>131</v>
      </c>
      <c r="I498" s="5" t="s">
        <v>131</v>
      </c>
      <c r="J498" s="5" t="s">
        <v>328</v>
      </c>
      <c r="K498" s="5" t="s">
        <v>244</v>
      </c>
    </row>
    <row r="499" spans="1:11" x14ac:dyDescent="0.25">
      <c r="A499" s="5" t="s">
        <v>1176</v>
      </c>
      <c r="B499" s="5" t="s">
        <v>671</v>
      </c>
      <c r="C499" s="5" t="s">
        <v>141</v>
      </c>
      <c r="D499" s="5" t="s">
        <v>142</v>
      </c>
      <c r="E499" s="5" t="s">
        <v>134</v>
      </c>
      <c r="F499" s="5" t="s">
        <v>131</v>
      </c>
      <c r="G499" s="5" t="s">
        <v>131</v>
      </c>
      <c r="H499" s="5" t="s">
        <v>131</v>
      </c>
      <c r="I499" s="5" t="s">
        <v>131</v>
      </c>
      <c r="J499" s="5" t="s">
        <v>146</v>
      </c>
      <c r="K499" s="5" t="s">
        <v>244</v>
      </c>
    </row>
    <row r="500" spans="1:11" x14ac:dyDescent="0.25">
      <c r="A500" s="5" t="s">
        <v>1177</v>
      </c>
      <c r="B500" s="5" t="s">
        <v>1178</v>
      </c>
      <c r="C500" s="5" t="s">
        <v>141</v>
      </c>
      <c r="D500" s="5" t="s">
        <v>142</v>
      </c>
      <c r="E500" s="5" t="s">
        <v>134</v>
      </c>
      <c r="F500" s="5" t="s">
        <v>131</v>
      </c>
      <c r="G500" s="5" t="s">
        <v>131</v>
      </c>
      <c r="H500" s="5" t="s">
        <v>131</v>
      </c>
      <c r="I500" s="5" t="s">
        <v>131</v>
      </c>
      <c r="J500" s="5" t="s">
        <v>143</v>
      </c>
      <c r="K500" s="5" t="s">
        <v>138</v>
      </c>
    </row>
    <row r="501" spans="1:11" x14ac:dyDescent="0.25">
      <c r="A501" s="5" t="s">
        <v>1179</v>
      </c>
      <c r="B501" s="5" t="s">
        <v>1180</v>
      </c>
      <c r="C501" s="5" t="s">
        <v>141</v>
      </c>
      <c r="D501" s="5" t="s">
        <v>142</v>
      </c>
      <c r="E501" s="5" t="s">
        <v>134</v>
      </c>
      <c r="F501" s="5" t="s">
        <v>131</v>
      </c>
      <c r="G501" s="5" t="s">
        <v>131</v>
      </c>
      <c r="H501" s="5" t="s">
        <v>131</v>
      </c>
      <c r="I501" s="5" t="s">
        <v>131</v>
      </c>
      <c r="J501" s="5" t="s">
        <v>146</v>
      </c>
      <c r="K501" s="5" t="s">
        <v>244</v>
      </c>
    </row>
    <row r="502" spans="1:11" x14ac:dyDescent="0.25">
      <c r="A502" s="5" t="s">
        <v>1181</v>
      </c>
      <c r="B502" s="5" t="s">
        <v>1182</v>
      </c>
      <c r="C502" s="5" t="s">
        <v>141</v>
      </c>
      <c r="D502" s="5" t="s">
        <v>142</v>
      </c>
      <c r="E502" s="5" t="s">
        <v>134</v>
      </c>
      <c r="F502" s="5" t="s">
        <v>131</v>
      </c>
      <c r="G502" s="5" t="s">
        <v>131</v>
      </c>
      <c r="H502" s="5" t="s">
        <v>131</v>
      </c>
      <c r="I502" s="5" t="s">
        <v>131</v>
      </c>
      <c r="J502" s="5" t="s">
        <v>146</v>
      </c>
      <c r="K502" s="5" t="s">
        <v>244</v>
      </c>
    </row>
    <row r="503" spans="1:11" x14ac:dyDescent="0.25">
      <c r="A503" s="5" t="s">
        <v>1183</v>
      </c>
      <c r="B503" s="5" t="s">
        <v>1184</v>
      </c>
      <c r="C503" s="5" t="s">
        <v>141</v>
      </c>
      <c r="D503" s="5" t="s">
        <v>142</v>
      </c>
      <c r="E503" s="5" t="s">
        <v>134</v>
      </c>
      <c r="F503" s="5" t="s">
        <v>131</v>
      </c>
      <c r="G503" s="5" t="s">
        <v>131</v>
      </c>
      <c r="H503" s="5" t="s">
        <v>131</v>
      </c>
      <c r="I503" s="5" t="s">
        <v>131</v>
      </c>
      <c r="J503" s="5" t="s">
        <v>146</v>
      </c>
      <c r="K503" s="5" t="s">
        <v>138</v>
      </c>
    </row>
    <row r="504" spans="1:11" x14ac:dyDescent="0.25">
      <c r="A504" s="5" t="s">
        <v>1185</v>
      </c>
      <c r="B504" s="5" t="s">
        <v>1186</v>
      </c>
      <c r="C504" s="5" t="s">
        <v>141</v>
      </c>
      <c r="D504" s="5" t="s">
        <v>142</v>
      </c>
      <c r="E504" s="5" t="s">
        <v>134</v>
      </c>
      <c r="F504" s="5" t="s">
        <v>131</v>
      </c>
      <c r="G504" s="5" t="s">
        <v>131</v>
      </c>
      <c r="H504" s="5" t="s">
        <v>131</v>
      </c>
      <c r="I504" s="5" t="s">
        <v>131</v>
      </c>
      <c r="J504" s="5" t="s">
        <v>146</v>
      </c>
      <c r="K504" s="5" t="s">
        <v>138</v>
      </c>
    </row>
    <row r="505" spans="1:11" x14ac:dyDescent="0.25">
      <c r="A505" s="5" t="s">
        <v>1187</v>
      </c>
      <c r="B505" s="5" t="s">
        <v>1188</v>
      </c>
      <c r="C505" s="5" t="s">
        <v>141</v>
      </c>
      <c r="D505" s="5" t="s">
        <v>142</v>
      </c>
      <c r="E505" s="5" t="s">
        <v>134</v>
      </c>
      <c r="F505" s="5" t="s">
        <v>131</v>
      </c>
      <c r="G505" s="5" t="s">
        <v>131</v>
      </c>
      <c r="H505" s="5" t="s">
        <v>131</v>
      </c>
      <c r="I505" s="5" t="s">
        <v>131</v>
      </c>
      <c r="J505" s="5" t="s">
        <v>143</v>
      </c>
      <c r="K505" s="5" t="s">
        <v>138</v>
      </c>
    </row>
    <row r="506" spans="1:11" x14ac:dyDescent="0.25">
      <c r="A506" s="5" t="s">
        <v>1189</v>
      </c>
      <c r="B506" s="5" t="s">
        <v>1190</v>
      </c>
      <c r="C506" s="5" t="s">
        <v>141</v>
      </c>
      <c r="D506" s="5" t="s">
        <v>142</v>
      </c>
      <c r="E506" s="5" t="s">
        <v>134</v>
      </c>
      <c r="F506" s="5" t="s">
        <v>131</v>
      </c>
      <c r="G506" s="5" t="s">
        <v>131</v>
      </c>
      <c r="H506" s="5" t="s">
        <v>131</v>
      </c>
      <c r="I506" s="5" t="s">
        <v>131</v>
      </c>
      <c r="J506" s="5" t="s">
        <v>146</v>
      </c>
      <c r="K506" s="5" t="s">
        <v>138</v>
      </c>
    </row>
    <row r="507" spans="1:11" x14ac:dyDescent="0.25">
      <c r="A507" s="5" t="s">
        <v>1191</v>
      </c>
      <c r="B507" s="5" t="s">
        <v>1192</v>
      </c>
      <c r="C507" s="5" t="s">
        <v>141</v>
      </c>
      <c r="D507" s="5" t="s">
        <v>142</v>
      </c>
      <c r="E507" s="5" t="s">
        <v>134</v>
      </c>
      <c r="F507" s="5" t="s">
        <v>131</v>
      </c>
      <c r="G507" s="5" t="s">
        <v>131</v>
      </c>
      <c r="H507" s="5" t="s">
        <v>131</v>
      </c>
      <c r="I507" s="5" t="s">
        <v>131</v>
      </c>
      <c r="J507" s="5" t="s">
        <v>143</v>
      </c>
      <c r="K507" s="5" t="s">
        <v>138</v>
      </c>
    </row>
    <row r="508" spans="1:11" x14ac:dyDescent="0.25">
      <c r="A508" s="5" t="s">
        <v>1193</v>
      </c>
      <c r="B508" s="5" t="s">
        <v>1194</v>
      </c>
      <c r="C508" s="5" t="s">
        <v>141</v>
      </c>
      <c r="D508" s="5" t="s">
        <v>142</v>
      </c>
      <c r="E508" s="5" t="s">
        <v>134</v>
      </c>
      <c r="F508" s="5" t="s">
        <v>131</v>
      </c>
      <c r="G508" s="5" t="s">
        <v>131</v>
      </c>
      <c r="H508" s="5" t="s">
        <v>131</v>
      </c>
      <c r="I508" s="5" t="s">
        <v>131</v>
      </c>
      <c r="J508" s="5" t="s">
        <v>143</v>
      </c>
      <c r="K508" s="5" t="s">
        <v>138</v>
      </c>
    </row>
    <row r="509" spans="1:11" x14ac:dyDescent="0.25">
      <c r="A509" s="5" t="s">
        <v>1195</v>
      </c>
      <c r="B509" s="5" t="s">
        <v>1196</v>
      </c>
      <c r="C509" s="5" t="s">
        <v>141</v>
      </c>
      <c r="D509" s="5" t="s">
        <v>142</v>
      </c>
      <c r="E509" s="5" t="s">
        <v>134</v>
      </c>
      <c r="F509" s="5" t="s">
        <v>131</v>
      </c>
      <c r="G509" s="5" t="s">
        <v>131</v>
      </c>
      <c r="H509" s="5" t="s">
        <v>131</v>
      </c>
      <c r="I509" s="5" t="s">
        <v>131</v>
      </c>
      <c r="J509" s="5" t="s">
        <v>137</v>
      </c>
      <c r="K509" s="5" t="s">
        <v>138</v>
      </c>
    </row>
    <row r="510" spans="1:11" x14ac:dyDescent="0.25">
      <c r="A510" s="5" t="s">
        <v>1197</v>
      </c>
      <c r="B510" s="5" t="s">
        <v>1198</v>
      </c>
      <c r="C510" s="5" t="s">
        <v>141</v>
      </c>
      <c r="D510" s="5" t="s">
        <v>142</v>
      </c>
      <c r="E510" s="5" t="s">
        <v>134</v>
      </c>
      <c r="F510" s="5" t="s">
        <v>131</v>
      </c>
      <c r="G510" s="5" t="s">
        <v>131</v>
      </c>
      <c r="H510" s="5" t="s">
        <v>131</v>
      </c>
      <c r="I510" s="5" t="s">
        <v>131</v>
      </c>
      <c r="J510" s="5" t="s">
        <v>146</v>
      </c>
      <c r="K510" s="5" t="s">
        <v>244</v>
      </c>
    </row>
    <row r="511" spans="1:11" x14ac:dyDescent="0.25">
      <c r="A511" s="5" t="s">
        <v>1199</v>
      </c>
      <c r="B511" s="5" t="s">
        <v>599</v>
      </c>
      <c r="C511" s="5" t="s">
        <v>141</v>
      </c>
      <c r="D511" s="5" t="s">
        <v>142</v>
      </c>
      <c r="E511" s="5" t="s">
        <v>134</v>
      </c>
      <c r="F511" s="5" t="s">
        <v>131</v>
      </c>
      <c r="G511" s="5" t="s">
        <v>131</v>
      </c>
      <c r="H511" s="5" t="s">
        <v>131</v>
      </c>
      <c r="I511" s="5" t="s">
        <v>131</v>
      </c>
      <c r="J511" s="5" t="s">
        <v>1155</v>
      </c>
      <c r="K511" s="5" t="s">
        <v>244</v>
      </c>
    </row>
    <row r="512" spans="1:11" x14ac:dyDescent="0.25">
      <c r="A512" s="5" t="s">
        <v>1200</v>
      </c>
      <c r="B512" s="5" t="s">
        <v>1201</v>
      </c>
      <c r="C512" s="5" t="s">
        <v>141</v>
      </c>
      <c r="D512" s="5" t="s">
        <v>142</v>
      </c>
      <c r="E512" s="5" t="s">
        <v>134</v>
      </c>
      <c r="F512" s="5" t="s">
        <v>131</v>
      </c>
      <c r="G512" s="5" t="s">
        <v>131</v>
      </c>
      <c r="H512" s="5" t="s">
        <v>131</v>
      </c>
      <c r="I512" s="5" t="s">
        <v>131</v>
      </c>
      <c r="J512" s="5" t="s">
        <v>143</v>
      </c>
      <c r="K512" s="5" t="s">
        <v>244</v>
      </c>
    </row>
    <row r="513" spans="1:11" x14ac:dyDescent="0.25">
      <c r="A513" s="5" t="s">
        <v>1202</v>
      </c>
      <c r="B513" s="5" t="s">
        <v>1203</v>
      </c>
      <c r="C513" s="5" t="s">
        <v>141</v>
      </c>
      <c r="D513" s="5" t="s">
        <v>142</v>
      </c>
      <c r="E513" s="5" t="s">
        <v>134</v>
      </c>
      <c r="F513" s="5" t="s">
        <v>131</v>
      </c>
      <c r="G513" s="5" t="s">
        <v>131</v>
      </c>
      <c r="H513" s="5" t="s">
        <v>131</v>
      </c>
      <c r="I513" s="5" t="s">
        <v>131</v>
      </c>
      <c r="J513" s="5" t="s">
        <v>143</v>
      </c>
      <c r="K513" s="5" t="s">
        <v>138</v>
      </c>
    </row>
    <row r="514" spans="1:11" x14ac:dyDescent="0.25">
      <c r="A514" s="5" t="s">
        <v>1204</v>
      </c>
      <c r="B514" s="5" t="s">
        <v>1205</v>
      </c>
      <c r="C514" s="5" t="s">
        <v>141</v>
      </c>
      <c r="D514" s="5" t="s">
        <v>142</v>
      </c>
      <c r="E514" s="5" t="s">
        <v>134</v>
      </c>
      <c r="F514" s="5" t="s">
        <v>131</v>
      </c>
      <c r="G514" s="5" t="s">
        <v>131</v>
      </c>
      <c r="H514" s="5" t="s">
        <v>131</v>
      </c>
      <c r="I514" s="5" t="s">
        <v>131</v>
      </c>
      <c r="J514" s="5" t="s">
        <v>143</v>
      </c>
      <c r="K514" s="5" t="s">
        <v>138</v>
      </c>
    </row>
    <row r="515" spans="1:11" x14ac:dyDescent="0.25">
      <c r="A515" s="5" t="s">
        <v>1206</v>
      </c>
      <c r="B515" s="5" t="s">
        <v>1207</v>
      </c>
      <c r="C515" s="5" t="s">
        <v>141</v>
      </c>
      <c r="D515" s="5" t="s">
        <v>142</v>
      </c>
      <c r="E515" s="5" t="s">
        <v>134</v>
      </c>
      <c r="F515" s="5" t="s">
        <v>131</v>
      </c>
      <c r="G515" s="5" t="s">
        <v>131</v>
      </c>
      <c r="H515" s="5" t="s">
        <v>131</v>
      </c>
      <c r="I515" s="5" t="s">
        <v>131</v>
      </c>
      <c r="J515" s="5" t="s">
        <v>146</v>
      </c>
      <c r="K515" s="5" t="s">
        <v>138</v>
      </c>
    </row>
    <row r="516" spans="1:11" x14ac:dyDescent="0.25">
      <c r="A516" s="5" t="s">
        <v>1208</v>
      </c>
      <c r="B516" s="5" t="s">
        <v>1209</v>
      </c>
      <c r="C516" s="5" t="s">
        <v>141</v>
      </c>
      <c r="D516" s="5" t="s">
        <v>142</v>
      </c>
      <c r="E516" s="5" t="s">
        <v>134</v>
      </c>
      <c r="F516" s="5" t="s">
        <v>131</v>
      </c>
      <c r="G516" s="5" t="s">
        <v>131</v>
      </c>
      <c r="H516" s="5" t="s">
        <v>131</v>
      </c>
      <c r="I516" s="5" t="s">
        <v>131</v>
      </c>
      <c r="J516" s="5" t="s">
        <v>146</v>
      </c>
      <c r="K516" s="5" t="s">
        <v>138</v>
      </c>
    </row>
    <row r="517" spans="1:11" x14ac:dyDescent="0.25">
      <c r="A517" s="5" t="s">
        <v>1210</v>
      </c>
      <c r="B517" s="5" t="s">
        <v>1211</v>
      </c>
      <c r="C517" s="5" t="s">
        <v>141</v>
      </c>
      <c r="D517" s="5" t="s">
        <v>142</v>
      </c>
      <c r="E517" s="5" t="s">
        <v>134</v>
      </c>
      <c r="F517" s="5" t="s">
        <v>131</v>
      </c>
      <c r="G517" s="5" t="s">
        <v>131</v>
      </c>
      <c r="H517" s="5" t="s">
        <v>131</v>
      </c>
      <c r="I517" s="5" t="s">
        <v>131</v>
      </c>
      <c r="J517" s="5" t="s">
        <v>146</v>
      </c>
      <c r="K517" s="5" t="s">
        <v>138</v>
      </c>
    </row>
    <row r="518" spans="1:11" x14ac:dyDescent="0.25">
      <c r="A518" s="5" t="s">
        <v>1212</v>
      </c>
      <c r="B518" s="5" t="s">
        <v>1213</v>
      </c>
      <c r="C518" s="5" t="s">
        <v>141</v>
      </c>
      <c r="D518" s="5" t="s">
        <v>142</v>
      </c>
      <c r="E518" s="5" t="s">
        <v>134</v>
      </c>
      <c r="F518" s="5" t="s">
        <v>131</v>
      </c>
      <c r="G518" s="5" t="s">
        <v>131</v>
      </c>
      <c r="H518" s="5" t="s">
        <v>131</v>
      </c>
      <c r="I518" s="5" t="s">
        <v>131</v>
      </c>
      <c r="J518" s="5" t="s">
        <v>143</v>
      </c>
      <c r="K518" s="5" t="s">
        <v>244</v>
      </c>
    </row>
    <row r="519" spans="1:11" x14ac:dyDescent="0.25">
      <c r="A519" s="5" t="s">
        <v>1214</v>
      </c>
      <c r="B519" s="5" t="s">
        <v>1215</v>
      </c>
      <c r="C519" s="5" t="s">
        <v>141</v>
      </c>
      <c r="D519" s="5" t="s">
        <v>142</v>
      </c>
      <c r="E519" s="5" t="s">
        <v>134</v>
      </c>
      <c r="F519" s="5" t="s">
        <v>131</v>
      </c>
      <c r="G519" s="5" t="s">
        <v>131</v>
      </c>
      <c r="H519" s="5" t="s">
        <v>131</v>
      </c>
      <c r="I519" s="5" t="s">
        <v>131</v>
      </c>
      <c r="J519" s="5" t="s">
        <v>137</v>
      </c>
      <c r="K519" s="5" t="s">
        <v>138</v>
      </c>
    </row>
    <row r="520" spans="1:11" x14ac:dyDescent="0.25">
      <c r="A520" s="5" t="s">
        <v>1216</v>
      </c>
      <c r="B520" s="5" t="s">
        <v>1217</v>
      </c>
      <c r="C520" s="5" t="s">
        <v>141</v>
      </c>
      <c r="D520" s="5" t="s">
        <v>142</v>
      </c>
      <c r="E520" s="5" t="s">
        <v>134</v>
      </c>
      <c r="F520" s="5" t="s">
        <v>131</v>
      </c>
      <c r="G520" s="5" t="s">
        <v>131</v>
      </c>
      <c r="H520" s="5" t="s">
        <v>131</v>
      </c>
      <c r="I520" s="5" t="s">
        <v>131</v>
      </c>
      <c r="J520" s="5" t="s">
        <v>1218</v>
      </c>
      <c r="K520" s="5" t="s">
        <v>138</v>
      </c>
    </row>
    <row r="521" spans="1:11" x14ac:dyDescent="0.25">
      <c r="A521" s="5" t="s">
        <v>1219</v>
      </c>
      <c r="B521" s="5" t="s">
        <v>1220</v>
      </c>
      <c r="C521" s="5" t="s">
        <v>141</v>
      </c>
      <c r="D521" s="5" t="s">
        <v>142</v>
      </c>
      <c r="E521" s="5" t="s">
        <v>134</v>
      </c>
      <c r="F521" s="5" t="s">
        <v>131</v>
      </c>
      <c r="G521" s="5" t="s">
        <v>131</v>
      </c>
      <c r="H521" s="5" t="s">
        <v>131</v>
      </c>
      <c r="I521" s="5" t="s">
        <v>131</v>
      </c>
      <c r="J521" s="5" t="s">
        <v>137</v>
      </c>
      <c r="K521" s="5" t="s">
        <v>138</v>
      </c>
    </row>
    <row r="522" spans="1:11" x14ac:dyDescent="0.25">
      <c r="A522" s="5" t="s">
        <v>1221</v>
      </c>
      <c r="B522" s="5" t="s">
        <v>1222</v>
      </c>
      <c r="C522" s="5" t="s">
        <v>141</v>
      </c>
      <c r="D522" s="5" t="s">
        <v>142</v>
      </c>
      <c r="E522" s="5" t="s">
        <v>134</v>
      </c>
      <c r="F522" s="5" t="s">
        <v>131</v>
      </c>
      <c r="G522" s="5" t="s">
        <v>131</v>
      </c>
      <c r="H522" s="5" t="s">
        <v>131</v>
      </c>
      <c r="I522" s="5" t="s">
        <v>131</v>
      </c>
      <c r="J522" s="5" t="s">
        <v>1223</v>
      </c>
      <c r="K522" s="5" t="s">
        <v>138</v>
      </c>
    </row>
    <row r="523" spans="1:11" x14ac:dyDescent="0.25">
      <c r="A523" s="5" t="s">
        <v>1224</v>
      </c>
      <c r="B523" s="5" t="s">
        <v>1225</v>
      </c>
      <c r="C523" s="5" t="s">
        <v>141</v>
      </c>
      <c r="D523" s="5" t="s">
        <v>142</v>
      </c>
      <c r="E523" s="5" t="s">
        <v>134</v>
      </c>
      <c r="F523" s="5" t="s">
        <v>131</v>
      </c>
      <c r="G523" s="5" t="s">
        <v>131</v>
      </c>
      <c r="H523" s="5" t="s">
        <v>131</v>
      </c>
      <c r="I523" s="5" t="s">
        <v>131</v>
      </c>
      <c r="J523" s="5" t="s">
        <v>137</v>
      </c>
      <c r="K523" s="5" t="s">
        <v>138</v>
      </c>
    </row>
    <row r="524" spans="1:11" x14ac:dyDescent="0.25">
      <c r="A524" s="5" t="s">
        <v>1226</v>
      </c>
      <c r="B524" s="5" t="s">
        <v>1227</v>
      </c>
      <c r="C524" s="5" t="s">
        <v>141</v>
      </c>
      <c r="D524" s="5" t="s">
        <v>142</v>
      </c>
      <c r="E524" s="5" t="s">
        <v>134</v>
      </c>
      <c r="F524" s="5" t="s">
        <v>131</v>
      </c>
      <c r="G524" s="5" t="s">
        <v>131</v>
      </c>
      <c r="H524" s="5" t="s">
        <v>131</v>
      </c>
      <c r="I524" s="5" t="s">
        <v>131</v>
      </c>
      <c r="J524" s="5" t="s">
        <v>173</v>
      </c>
      <c r="K524" s="5" t="s">
        <v>138</v>
      </c>
    </row>
    <row r="525" spans="1:11" x14ac:dyDescent="0.25">
      <c r="A525" s="5" t="s">
        <v>1228</v>
      </c>
      <c r="B525" s="5" t="s">
        <v>1229</v>
      </c>
      <c r="C525" s="5" t="s">
        <v>141</v>
      </c>
      <c r="D525" s="5" t="s">
        <v>142</v>
      </c>
      <c r="E525" s="5" t="s">
        <v>134</v>
      </c>
      <c r="F525" s="5" t="s">
        <v>131</v>
      </c>
      <c r="G525" s="5" t="s">
        <v>131</v>
      </c>
      <c r="H525" s="5" t="s">
        <v>131</v>
      </c>
      <c r="I525" s="5" t="s">
        <v>131</v>
      </c>
      <c r="J525" s="5" t="s">
        <v>146</v>
      </c>
      <c r="K525" s="5" t="s">
        <v>244</v>
      </c>
    </row>
    <row r="526" spans="1:11" x14ac:dyDescent="0.25">
      <c r="A526" s="5" t="s">
        <v>1230</v>
      </c>
      <c r="B526" s="5" t="s">
        <v>1231</v>
      </c>
      <c r="C526" s="5" t="s">
        <v>141</v>
      </c>
      <c r="D526" s="5" t="s">
        <v>142</v>
      </c>
      <c r="E526" s="5" t="s">
        <v>134</v>
      </c>
      <c r="F526" s="5" t="s">
        <v>131</v>
      </c>
      <c r="G526" s="5" t="s">
        <v>131</v>
      </c>
      <c r="H526" s="5" t="s">
        <v>131</v>
      </c>
      <c r="I526" s="5" t="s">
        <v>131</v>
      </c>
      <c r="J526" s="5" t="s">
        <v>146</v>
      </c>
      <c r="K526" s="5" t="s">
        <v>138</v>
      </c>
    </row>
    <row r="527" spans="1:11" x14ac:dyDescent="0.25">
      <c r="A527" s="5" t="s">
        <v>1232</v>
      </c>
      <c r="B527" s="5" t="s">
        <v>1233</v>
      </c>
      <c r="C527" s="5" t="s">
        <v>141</v>
      </c>
      <c r="D527" s="5" t="s">
        <v>142</v>
      </c>
      <c r="E527" s="5" t="s">
        <v>134</v>
      </c>
      <c r="F527" s="5" t="s">
        <v>131</v>
      </c>
      <c r="G527" s="5" t="s">
        <v>131</v>
      </c>
      <c r="H527" s="5" t="s">
        <v>131</v>
      </c>
      <c r="I527" s="5" t="s">
        <v>131</v>
      </c>
      <c r="J527" s="5" t="s">
        <v>328</v>
      </c>
      <c r="K527" s="5" t="s">
        <v>244</v>
      </c>
    </row>
    <row r="528" spans="1:11" x14ac:dyDescent="0.25">
      <c r="A528" s="5" t="s">
        <v>1234</v>
      </c>
      <c r="B528" s="5" t="s">
        <v>1235</v>
      </c>
      <c r="C528" s="5" t="s">
        <v>141</v>
      </c>
      <c r="D528" s="5" t="s">
        <v>142</v>
      </c>
      <c r="E528" s="5" t="s">
        <v>134</v>
      </c>
      <c r="F528" s="5" t="s">
        <v>131</v>
      </c>
      <c r="G528" s="5" t="s">
        <v>131</v>
      </c>
      <c r="H528" s="5" t="s">
        <v>131</v>
      </c>
      <c r="I528" s="5" t="s">
        <v>131</v>
      </c>
      <c r="J528" s="5" t="s">
        <v>143</v>
      </c>
      <c r="K528" s="5" t="s">
        <v>138</v>
      </c>
    </row>
    <row r="529" spans="1:11" x14ac:dyDescent="0.25">
      <c r="A529" s="5" t="s">
        <v>1236</v>
      </c>
      <c r="B529" s="5" t="s">
        <v>1237</v>
      </c>
      <c r="C529" s="5" t="s">
        <v>141</v>
      </c>
      <c r="D529" s="5" t="s">
        <v>142</v>
      </c>
      <c r="E529" s="5" t="s">
        <v>134</v>
      </c>
      <c r="F529" s="5" t="s">
        <v>131</v>
      </c>
      <c r="G529" s="5" t="s">
        <v>131</v>
      </c>
      <c r="H529" s="5" t="s">
        <v>131</v>
      </c>
      <c r="I529" s="5" t="s">
        <v>131</v>
      </c>
      <c r="J529" s="5" t="s">
        <v>1238</v>
      </c>
      <c r="K529" s="5" t="s">
        <v>138</v>
      </c>
    </row>
    <row r="530" spans="1:11" x14ac:dyDescent="0.25">
      <c r="A530" s="5" t="s">
        <v>1239</v>
      </c>
      <c r="B530" s="5" t="s">
        <v>1240</v>
      </c>
      <c r="C530" s="5" t="s">
        <v>141</v>
      </c>
      <c r="D530" s="5" t="s">
        <v>142</v>
      </c>
      <c r="E530" s="5" t="s">
        <v>134</v>
      </c>
      <c r="F530" s="5" t="s">
        <v>131</v>
      </c>
      <c r="G530" s="5" t="s">
        <v>131</v>
      </c>
      <c r="H530" s="5" t="s">
        <v>131</v>
      </c>
      <c r="I530" s="5" t="s">
        <v>131</v>
      </c>
      <c r="J530" s="5" t="s">
        <v>146</v>
      </c>
      <c r="K530" s="5" t="s">
        <v>274</v>
      </c>
    </row>
    <row r="531" spans="1:11" x14ac:dyDescent="0.25">
      <c r="A531" s="5" t="s">
        <v>1241</v>
      </c>
      <c r="B531" s="5" t="s">
        <v>1242</v>
      </c>
      <c r="C531" s="5" t="s">
        <v>141</v>
      </c>
      <c r="D531" s="5" t="s">
        <v>142</v>
      </c>
      <c r="E531" s="5" t="s">
        <v>134</v>
      </c>
      <c r="F531" s="5" t="s">
        <v>131</v>
      </c>
      <c r="G531" s="5" t="s">
        <v>131</v>
      </c>
      <c r="H531" s="5" t="s">
        <v>131</v>
      </c>
      <c r="I531" s="5" t="s">
        <v>131</v>
      </c>
      <c r="J531" s="5" t="s">
        <v>1023</v>
      </c>
      <c r="K531" s="5" t="s">
        <v>138</v>
      </c>
    </row>
    <row r="532" spans="1:11" x14ac:dyDescent="0.25">
      <c r="A532" s="5" t="s">
        <v>1243</v>
      </c>
      <c r="B532" s="5" t="s">
        <v>1244</v>
      </c>
      <c r="C532" s="5" t="s">
        <v>141</v>
      </c>
      <c r="D532" s="5" t="s">
        <v>142</v>
      </c>
      <c r="E532" s="5" t="s">
        <v>134</v>
      </c>
      <c r="F532" s="5" t="s">
        <v>131</v>
      </c>
      <c r="G532" s="5" t="s">
        <v>131</v>
      </c>
      <c r="H532" s="5" t="s">
        <v>131</v>
      </c>
      <c r="I532" s="5" t="s">
        <v>131</v>
      </c>
      <c r="J532" s="5" t="s">
        <v>143</v>
      </c>
      <c r="K532" s="5" t="s">
        <v>244</v>
      </c>
    </row>
    <row r="533" spans="1:11" x14ac:dyDescent="0.25">
      <c r="A533" s="5" t="s">
        <v>1245</v>
      </c>
      <c r="B533" s="5" t="s">
        <v>1246</v>
      </c>
      <c r="C533" s="5" t="s">
        <v>141</v>
      </c>
      <c r="D533" s="5" t="s">
        <v>142</v>
      </c>
      <c r="E533" s="5" t="s">
        <v>134</v>
      </c>
      <c r="F533" s="5" t="s">
        <v>131</v>
      </c>
      <c r="G533" s="5" t="s">
        <v>131</v>
      </c>
      <c r="H533" s="5" t="s">
        <v>131</v>
      </c>
      <c r="I533" s="5" t="s">
        <v>131</v>
      </c>
      <c r="J533" s="5" t="s">
        <v>325</v>
      </c>
      <c r="K533" s="5" t="s">
        <v>138</v>
      </c>
    </row>
    <row r="534" spans="1:11" x14ac:dyDescent="0.25">
      <c r="A534" s="5" t="s">
        <v>1247</v>
      </c>
      <c r="B534" s="5" t="s">
        <v>1248</v>
      </c>
      <c r="C534" s="5" t="s">
        <v>141</v>
      </c>
      <c r="D534" s="5" t="s">
        <v>142</v>
      </c>
      <c r="E534" s="5" t="s">
        <v>134</v>
      </c>
      <c r="F534" s="5" t="s">
        <v>131</v>
      </c>
      <c r="G534" s="5" t="s">
        <v>131</v>
      </c>
      <c r="H534" s="5" t="s">
        <v>131</v>
      </c>
      <c r="I534" s="5" t="s">
        <v>131</v>
      </c>
      <c r="J534" s="5" t="s">
        <v>143</v>
      </c>
      <c r="K534" s="5" t="s">
        <v>138</v>
      </c>
    </row>
    <row r="535" spans="1:11" x14ac:dyDescent="0.25">
      <c r="A535" s="5" t="s">
        <v>1249</v>
      </c>
      <c r="B535" s="5" t="s">
        <v>1250</v>
      </c>
      <c r="C535" s="5" t="s">
        <v>141</v>
      </c>
      <c r="D535" s="5" t="s">
        <v>142</v>
      </c>
      <c r="E535" s="5" t="s">
        <v>134</v>
      </c>
      <c r="F535" s="5" t="s">
        <v>131</v>
      </c>
      <c r="G535" s="5" t="s">
        <v>131</v>
      </c>
      <c r="H535" s="5" t="s">
        <v>131</v>
      </c>
      <c r="I535" s="5" t="s">
        <v>131</v>
      </c>
      <c r="J535" s="5" t="s">
        <v>143</v>
      </c>
      <c r="K535" s="5" t="s">
        <v>138</v>
      </c>
    </row>
    <row r="536" spans="1:11" x14ac:dyDescent="0.25">
      <c r="A536" s="5" t="s">
        <v>1251</v>
      </c>
      <c r="B536" s="5" t="s">
        <v>1252</v>
      </c>
      <c r="C536" s="5" t="s">
        <v>141</v>
      </c>
      <c r="D536" s="5" t="s">
        <v>142</v>
      </c>
      <c r="E536" s="5" t="s">
        <v>134</v>
      </c>
      <c r="F536" s="5" t="s">
        <v>131</v>
      </c>
      <c r="G536" s="5" t="s">
        <v>131</v>
      </c>
      <c r="H536" s="5" t="s">
        <v>131</v>
      </c>
      <c r="I536" s="5" t="s">
        <v>131</v>
      </c>
      <c r="J536" s="5" t="s">
        <v>143</v>
      </c>
      <c r="K536" s="5" t="s">
        <v>244</v>
      </c>
    </row>
    <row r="537" spans="1:11" x14ac:dyDescent="0.25">
      <c r="A537" s="5" t="s">
        <v>1253</v>
      </c>
      <c r="B537" s="5" t="s">
        <v>1254</v>
      </c>
      <c r="C537" s="5" t="s">
        <v>141</v>
      </c>
      <c r="D537" s="5" t="s">
        <v>142</v>
      </c>
      <c r="E537" s="5" t="s">
        <v>134</v>
      </c>
      <c r="F537" s="5" t="s">
        <v>131</v>
      </c>
      <c r="G537" s="5" t="s">
        <v>131</v>
      </c>
      <c r="H537" s="5" t="s">
        <v>131</v>
      </c>
      <c r="I537" s="5" t="s">
        <v>131</v>
      </c>
      <c r="J537" s="5" t="s">
        <v>143</v>
      </c>
      <c r="K537" s="5" t="s">
        <v>138</v>
      </c>
    </row>
    <row r="538" spans="1:11" x14ac:dyDescent="0.25">
      <c r="A538" s="5" t="s">
        <v>1255</v>
      </c>
      <c r="B538" s="5" t="s">
        <v>1256</v>
      </c>
      <c r="C538" s="5" t="s">
        <v>141</v>
      </c>
      <c r="D538" s="5" t="s">
        <v>142</v>
      </c>
      <c r="E538" s="5" t="s">
        <v>134</v>
      </c>
      <c r="F538" s="5" t="s">
        <v>131</v>
      </c>
      <c r="G538" s="5" t="s">
        <v>131</v>
      </c>
      <c r="H538" s="5" t="s">
        <v>131</v>
      </c>
      <c r="I538" s="5" t="s">
        <v>131</v>
      </c>
      <c r="J538" s="5" t="s">
        <v>143</v>
      </c>
      <c r="K538" s="5" t="s">
        <v>244</v>
      </c>
    </row>
    <row r="539" spans="1:11" x14ac:dyDescent="0.25">
      <c r="A539" s="5" t="s">
        <v>1257</v>
      </c>
      <c r="B539" s="5" t="s">
        <v>1258</v>
      </c>
      <c r="C539" s="5" t="s">
        <v>141</v>
      </c>
      <c r="D539" s="5" t="s">
        <v>142</v>
      </c>
      <c r="E539" s="5" t="s">
        <v>134</v>
      </c>
      <c r="F539" s="5" t="s">
        <v>131</v>
      </c>
      <c r="G539" s="5" t="s">
        <v>131</v>
      </c>
      <c r="H539" s="5" t="s">
        <v>131</v>
      </c>
      <c r="I539" s="5" t="s">
        <v>131</v>
      </c>
      <c r="J539" s="5" t="s">
        <v>289</v>
      </c>
      <c r="K539" s="5" t="s">
        <v>138</v>
      </c>
    </row>
    <row r="540" spans="1:11" x14ac:dyDescent="0.25">
      <c r="A540" s="5" t="s">
        <v>1259</v>
      </c>
      <c r="B540" s="5" t="s">
        <v>1260</v>
      </c>
      <c r="C540" s="5" t="s">
        <v>141</v>
      </c>
      <c r="D540" s="5" t="s">
        <v>142</v>
      </c>
      <c r="E540" s="5" t="s">
        <v>134</v>
      </c>
      <c r="F540" s="5" t="s">
        <v>131</v>
      </c>
      <c r="G540" s="5" t="s">
        <v>131</v>
      </c>
      <c r="H540" s="5" t="s">
        <v>131</v>
      </c>
      <c r="I540" s="5" t="s">
        <v>131</v>
      </c>
      <c r="J540" s="5" t="s">
        <v>687</v>
      </c>
      <c r="K540" s="5" t="s">
        <v>138</v>
      </c>
    </row>
    <row r="541" spans="1:11" x14ac:dyDescent="0.25">
      <c r="A541" s="5" t="s">
        <v>1261</v>
      </c>
      <c r="B541" s="5" t="s">
        <v>1262</v>
      </c>
      <c r="C541" s="5" t="s">
        <v>141</v>
      </c>
      <c r="D541" s="5" t="s">
        <v>142</v>
      </c>
      <c r="E541" s="5" t="s">
        <v>134</v>
      </c>
      <c r="F541" s="5" t="s">
        <v>131</v>
      </c>
      <c r="G541" s="5" t="s">
        <v>131</v>
      </c>
      <c r="H541" s="5" t="s">
        <v>131</v>
      </c>
      <c r="I541" s="5" t="s">
        <v>131</v>
      </c>
      <c r="J541" s="5" t="s">
        <v>328</v>
      </c>
      <c r="K541" s="5" t="s">
        <v>244</v>
      </c>
    </row>
    <row r="542" spans="1:11" x14ac:dyDescent="0.25">
      <c r="A542" s="5" t="s">
        <v>1263</v>
      </c>
      <c r="B542" s="5" t="s">
        <v>1264</v>
      </c>
      <c r="C542" s="5" t="s">
        <v>141</v>
      </c>
      <c r="D542" s="5" t="s">
        <v>142</v>
      </c>
      <c r="E542" s="5" t="s">
        <v>134</v>
      </c>
      <c r="F542" s="5" t="s">
        <v>131</v>
      </c>
      <c r="G542" s="5" t="s">
        <v>131</v>
      </c>
      <c r="H542" s="5" t="s">
        <v>131</v>
      </c>
      <c r="I542" s="5" t="s">
        <v>131</v>
      </c>
      <c r="J542" s="5" t="s">
        <v>146</v>
      </c>
      <c r="K542" s="5" t="s">
        <v>138</v>
      </c>
    </row>
    <row r="543" spans="1:11" x14ac:dyDescent="0.25">
      <c r="A543" s="5" t="s">
        <v>1265</v>
      </c>
      <c r="B543" s="5" t="s">
        <v>1266</v>
      </c>
      <c r="C543" s="5" t="s">
        <v>141</v>
      </c>
      <c r="D543" s="5" t="s">
        <v>142</v>
      </c>
      <c r="E543" s="5" t="s">
        <v>134</v>
      </c>
      <c r="F543" s="5" t="s">
        <v>131</v>
      </c>
      <c r="G543" s="5" t="s">
        <v>131</v>
      </c>
      <c r="H543" s="5" t="s">
        <v>131</v>
      </c>
      <c r="I543" s="5" t="s">
        <v>131</v>
      </c>
      <c r="J543" s="5" t="s">
        <v>286</v>
      </c>
      <c r="K543" s="5" t="s">
        <v>138</v>
      </c>
    </row>
    <row r="544" spans="1:11" x14ac:dyDescent="0.25">
      <c r="A544" s="5" t="s">
        <v>1267</v>
      </c>
      <c r="B544" s="5" t="s">
        <v>1268</v>
      </c>
      <c r="C544" s="5" t="s">
        <v>141</v>
      </c>
      <c r="D544" s="5" t="s">
        <v>142</v>
      </c>
      <c r="E544" s="5" t="s">
        <v>134</v>
      </c>
      <c r="F544" s="5" t="s">
        <v>131</v>
      </c>
      <c r="G544" s="5" t="s">
        <v>131</v>
      </c>
      <c r="H544" s="5" t="s">
        <v>131</v>
      </c>
      <c r="I544" s="5" t="s">
        <v>131</v>
      </c>
      <c r="J544" s="5" t="s">
        <v>1269</v>
      </c>
      <c r="K544" s="5" t="s">
        <v>138</v>
      </c>
    </row>
    <row r="545" spans="1:11" x14ac:dyDescent="0.25">
      <c r="A545" s="5" t="s">
        <v>1270</v>
      </c>
      <c r="B545" s="5" t="s">
        <v>1271</v>
      </c>
      <c r="C545" s="5" t="s">
        <v>141</v>
      </c>
      <c r="D545" s="5" t="s">
        <v>142</v>
      </c>
      <c r="E545" s="5" t="s">
        <v>134</v>
      </c>
      <c r="F545" s="5" t="s">
        <v>131</v>
      </c>
      <c r="G545" s="5" t="s">
        <v>131</v>
      </c>
      <c r="H545" s="5" t="s">
        <v>131</v>
      </c>
      <c r="I545" s="5" t="s">
        <v>131</v>
      </c>
      <c r="J545" s="5" t="s">
        <v>328</v>
      </c>
      <c r="K545" s="5" t="s">
        <v>244</v>
      </c>
    </row>
    <row r="546" spans="1:11" x14ac:dyDescent="0.25">
      <c r="A546" s="5" t="s">
        <v>1272</v>
      </c>
      <c r="B546" s="5" t="s">
        <v>280</v>
      </c>
      <c r="C546" s="5" t="s">
        <v>141</v>
      </c>
      <c r="D546" s="5" t="s">
        <v>142</v>
      </c>
      <c r="E546" s="5" t="s">
        <v>134</v>
      </c>
      <c r="F546" s="5" t="s">
        <v>131</v>
      </c>
      <c r="G546" s="5" t="s">
        <v>131</v>
      </c>
      <c r="H546" s="5" t="s">
        <v>131</v>
      </c>
      <c r="I546" s="5" t="s">
        <v>131</v>
      </c>
      <c r="J546" s="5" t="s">
        <v>146</v>
      </c>
      <c r="K546" s="5" t="s">
        <v>244</v>
      </c>
    </row>
    <row r="547" spans="1:11" x14ac:dyDescent="0.25">
      <c r="A547" s="5" t="s">
        <v>1273</v>
      </c>
      <c r="B547" s="5" t="s">
        <v>1274</v>
      </c>
      <c r="C547" s="5" t="s">
        <v>141</v>
      </c>
      <c r="D547" s="5" t="s">
        <v>142</v>
      </c>
      <c r="E547" s="5" t="s">
        <v>134</v>
      </c>
      <c r="F547" s="5" t="s">
        <v>131</v>
      </c>
      <c r="G547" s="5" t="s">
        <v>131</v>
      </c>
      <c r="H547" s="5" t="s">
        <v>131</v>
      </c>
      <c r="I547" s="5" t="s">
        <v>131</v>
      </c>
      <c r="J547" s="5" t="s">
        <v>328</v>
      </c>
      <c r="K547" s="5" t="s">
        <v>244</v>
      </c>
    </row>
    <row r="548" spans="1:11" x14ac:dyDescent="0.25">
      <c r="A548" s="5" t="s">
        <v>1275</v>
      </c>
      <c r="B548" s="5" t="s">
        <v>1276</v>
      </c>
      <c r="C548" s="5" t="s">
        <v>141</v>
      </c>
      <c r="D548" s="5" t="s">
        <v>142</v>
      </c>
      <c r="E548" s="5" t="s">
        <v>134</v>
      </c>
      <c r="F548" s="5" t="s">
        <v>131</v>
      </c>
      <c r="G548" s="5" t="s">
        <v>131</v>
      </c>
      <c r="H548" s="5" t="s">
        <v>131</v>
      </c>
      <c r="I548" s="5" t="s">
        <v>131</v>
      </c>
      <c r="J548" s="5" t="s">
        <v>311</v>
      </c>
      <c r="K548" s="5" t="s">
        <v>138</v>
      </c>
    </row>
    <row r="549" spans="1:11" x14ac:dyDescent="0.25">
      <c r="A549" s="5" t="s">
        <v>1277</v>
      </c>
      <c r="B549" s="5" t="s">
        <v>1276</v>
      </c>
      <c r="C549" s="5" t="s">
        <v>141</v>
      </c>
      <c r="D549" s="5" t="s">
        <v>142</v>
      </c>
      <c r="E549" s="5" t="s">
        <v>134</v>
      </c>
      <c r="F549" s="5" t="s">
        <v>131</v>
      </c>
      <c r="G549" s="5" t="s">
        <v>131</v>
      </c>
      <c r="H549" s="5" t="s">
        <v>131</v>
      </c>
      <c r="I549" s="5" t="s">
        <v>131</v>
      </c>
      <c r="J549" s="5" t="s">
        <v>311</v>
      </c>
      <c r="K549" s="5" t="s">
        <v>138</v>
      </c>
    </row>
    <row r="550" spans="1:11" x14ac:dyDescent="0.25">
      <c r="A550" s="5" t="s">
        <v>1278</v>
      </c>
      <c r="B550" s="5" t="s">
        <v>1279</v>
      </c>
      <c r="C550" s="5" t="s">
        <v>141</v>
      </c>
      <c r="D550" s="5" t="s">
        <v>142</v>
      </c>
      <c r="E550" s="5" t="s">
        <v>134</v>
      </c>
      <c r="F550" s="5" t="s">
        <v>131</v>
      </c>
      <c r="G550" s="5" t="s">
        <v>131</v>
      </c>
      <c r="H550" s="5" t="s">
        <v>131</v>
      </c>
      <c r="I550" s="5" t="s">
        <v>131</v>
      </c>
      <c r="J550" s="5" t="s">
        <v>311</v>
      </c>
      <c r="K550" s="5" t="s">
        <v>138</v>
      </c>
    </row>
    <row r="551" spans="1:11" x14ac:dyDescent="0.25">
      <c r="A551" s="5" t="s">
        <v>1280</v>
      </c>
      <c r="B551" s="5" t="s">
        <v>1281</v>
      </c>
      <c r="C551" s="5" t="s">
        <v>141</v>
      </c>
      <c r="D551" s="5" t="s">
        <v>142</v>
      </c>
      <c r="E551" s="5" t="s">
        <v>134</v>
      </c>
      <c r="F551" s="5" t="s">
        <v>131</v>
      </c>
      <c r="G551" s="5" t="s">
        <v>131</v>
      </c>
      <c r="H551" s="5" t="s">
        <v>131</v>
      </c>
      <c r="I551" s="5" t="s">
        <v>131</v>
      </c>
      <c r="J551" s="5" t="s">
        <v>311</v>
      </c>
      <c r="K551" s="5" t="s">
        <v>138</v>
      </c>
    </row>
    <row r="552" spans="1:11" x14ac:dyDescent="0.25">
      <c r="A552" s="5" t="s">
        <v>1282</v>
      </c>
      <c r="B552" s="5" t="s">
        <v>1283</v>
      </c>
      <c r="C552" s="5" t="s">
        <v>141</v>
      </c>
      <c r="D552" s="5" t="s">
        <v>142</v>
      </c>
      <c r="E552" s="5" t="s">
        <v>134</v>
      </c>
      <c r="F552" s="5" t="s">
        <v>131</v>
      </c>
      <c r="G552" s="5" t="s">
        <v>131</v>
      </c>
      <c r="H552" s="5" t="s">
        <v>131</v>
      </c>
      <c r="I552" s="5" t="s">
        <v>131</v>
      </c>
      <c r="J552" s="5" t="s">
        <v>173</v>
      </c>
      <c r="K552" s="5" t="s">
        <v>138</v>
      </c>
    </row>
    <row r="553" spans="1:11" x14ac:dyDescent="0.25">
      <c r="A553" s="5" t="s">
        <v>1284</v>
      </c>
      <c r="B553" s="5" t="s">
        <v>1285</v>
      </c>
      <c r="C553" s="5" t="s">
        <v>141</v>
      </c>
      <c r="D553" s="5" t="s">
        <v>142</v>
      </c>
      <c r="E553" s="5" t="s">
        <v>134</v>
      </c>
      <c r="F553" s="5" t="s">
        <v>131</v>
      </c>
      <c r="G553" s="5" t="s">
        <v>131</v>
      </c>
      <c r="H553" s="5" t="s">
        <v>131</v>
      </c>
      <c r="I553" s="5" t="s">
        <v>131</v>
      </c>
      <c r="J553" s="5" t="s">
        <v>146</v>
      </c>
      <c r="K553" s="5" t="s">
        <v>138</v>
      </c>
    </row>
    <row r="554" spans="1:11" x14ac:dyDescent="0.25">
      <c r="A554" s="5" t="s">
        <v>1286</v>
      </c>
      <c r="B554" s="5" t="s">
        <v>1287</v>
      </c>
      <c r="C554" s="5" t="s">
        <v>141</v>
      </c>
      <c r="D554" s="5" t="s">
        <v>142</v>
      </c>
      <c r="E554" s="5" t="s">
        <v>134</v>
      </c>
      <c r="F554" s="5" t="s">
        <v>131</v>
      </c>
      <c r="G554" s="5" t="s">
        <v>131</v>
      </c>
      <c r="H554" s="5" t="s">
        <v>131</v>
      </c>
      <c r="I554" s="5" t="s">
        <v>131</v>
      </c>
      <c r="J554" s="5" t="s">
        <v>311</v>
      </c>
      <c r="K554" s="5" t="s">
        <v>138</v>
      </c>
    </row>
    <row r="555" spans="1:11" x14ac:dyDescent="0.25">
      <c r="A555" s="5" t="s">
        <v>1288</v>
      </c>
      <c r="B555" s="5" t="s">
        <v>1289</v>
      </c>
      <c r="C555" s="5" t="s">
        <v>141</v>
      </c>
      <c r="D555" s="5" t="s">
        <v>142</v>
      </c>
      <c r="E555" s="5" t="s">
        <v>134</v>
      </c>
      <c r="F555" s="5" t="s">
        <v>131</v>
      </c>
      <c r="G555" s="5" t="s">
        <v>131</v>
      </c>
      <c r="H555" s="5" t="s">
        <v>131</v>
      </c>
      <c r="I555" s="5" t="s">
        <v>131</v>
      </c>
      <c r="J555" s="5" t="s">
        <v>311</v>
      </c>
      <c r="K555" s="5" t="s">
        <v>138</v>
      </c>
    </row>
    <row r="556" spans="1:11" x14ac:dyDescent="0.25">
      <c r="A556" s="5" t="s">
        <v>1290</v>
      </c>
      <c r="B556" s="5" t="s">
        <v>1291</v>
      </c>
      <c r="C556" s="5" t="s">
        <v>141</v>
      </c>
      <c r="D556" s="5" t="s">
        <v>142</v>
      </c>
      <c r="E556" s="5" t="s">
        <v>134</v>
      </c>
      <c r="F556" s="5" t="s">
        <v>131</v>
      </c>
      <c r="G556" s="5" t="s">
        <v>131</v>
      </c>
      <c r="H556" s="5" t="s">
        <v>131</v>
      </c>
      <c r="I556" s="5" t="s">
        <v>131</v>
      </c>
      <c r="J556" s="5" t="s">
        <v>146</v>
      </c>
      <c r="K556" s="5" t="s">
        <v>138</v>
      </c>
    </row>
    <row r="557" spans="1:11" x14ac:dyDescent="0.25">
      <c r="A557" s="5" t="s">
        <v>1292</v>
      </c>
      <c r="B557" s="5" t="s">
        <v>1293</v>
      </c>
      <c r="C557" s="5" t="s">
        <v>141</v>
      </c>
      <c r="D557" s="5" t="s">
        <v>142</v>
      </c>
      <c r="E557" s="5" t="s">
        <v>134</v>
      </c>
      <c r="F557" s="5" t="s">
        <v>131</v>
      </c>
      <c r="G557" s="5" t="s">
        <v>131</v>
      </c>
      <c r="H557" s="5" t="s">
        <v>131</v>
      </c>
      <c r="I557" s="5" t="s">
        <v>131</v>
      </c>
      <c r="J557" s="5" t="s">
        <v>146</v>
      </c>
      <c r="K557" s="5" t="s">
        <v>138</v>
      </c>
    </row>
    <row r="558" spans="1:11" x14ac:dyDescent="0.25">
      <c r="A558" s="5" t="s">
        <v>135</v>
      </c>
      <c r="B558" s="5" t="s">
        <v>1294</v>
      </c>
      <c r="C558" s="5" t="s">
        <v>141</v>
      </c>
      <c r="D558" s="5" t="s">
        <v>142</v>
      </c>
      <c r="E558" s="5" t="s">
        <v>134</v>
      </c>
      <c r="F558" s="5" t="s">
        <v>131</v>
      </c>
      <c r="G558" s="5" t="s">
        <v>131</v>
      </c>
      <c r="H558" s="5" t="s">
        <v>131</v>
      </c>
      <c r="I558" s="5" t="s">
        <v>131</v>
      </c>
      <c r="J558" s="5" t="s">
        <v>137</v>
      </c>
      <c r="K558" s="5" t="s">
        <v>138</v>
      </c>
    </row>
    <row r="559" spans="1:11" x14ac:dyDescent="0.25">
      <c r="A559" s="5" t="s">
        <v>1295</v>
      </c>
      <c r="B559" s="5" t="s">
        <v>1296</v>
      </c>
      <c r="C559" s="5" t="s">
        <v>141</v>
      </c>
      <c r="D559" s="5" t="s">
        <v>142</v>
      </c>
      <c r="E559" s="5" t="s">
        <v>134</v>
      </c>
      <c r="F559" s="5" t="s">
        <v>131</v>
      </c>
      <c r="G559" s="5" t="s">
        <v>131</v>
      </c>
      <c r="H559" s="5" t="s">
        <v>131</v>
      </c>
      <c r="I559" s="5" t="s">
        <v>131</v>
      </c>
      <c r="J559" s="5" t="s">
        <v>1297</v>
      </c>
      <c r="K559" s="5" t="s">
        <v>138</v>
      </c>
    </row>
    <row r="560" spans="1:11" x14ac:dyDescent="0.25">
      <c r="A560" s="5" t="s">
        <v>1298</v>
      </c>
      <c r="B560" s="5" t="s">
        <v>1299</v>
      </c>
      <c r="C560" s="5" t="s">
        <v>141</v>
      </c>
      <c r="D560" s="5" t="s">
        <v>142</v>
      </c>
      <c r="E560" s="5" t="s">
        <v>134</v>
      </c>
      <c r="F560" s="5" t="s">
        <v>131</v>
      </c>
      <c r="G560" s="5" t="s">
        <v>131</v>
      </c>
      <c r="H560" s="5" t="s">
        <v>131</v>
      </c>
      <c r="I560" s="5" t="s">
        <v>131</v>
      </c>
      <c r="J560" s="5" t="s">
        <v>146</v>
      </c>
      <c r="K560" s="5" t="s">
        <v>138</v>
      </c>
    </row>
    <row r="561" spans="1:11" x14ac:dyDescent="0.25">
      <c r="A561" s="5" t="s">
        <v>1300</v>
      </c>
      <c r="B561" s="5" t="s">
        <v>1301</v>
      </c>
      <c r="C561" s="5" t="s">
        <v>141</v>
      </c>
      <c r="D561" s="5" t="s">
        <v>142</v>
      </c>
      <c r="E561" s="5" t="s">
        <v>134</v>
      </c>
      <c r="F561" s="5" t="s">
        <v>131</v>
      </c>
      <c r="G561" s="5" t="s">
        <v>131</v>
      </c>
      <c r="H561" s="5" t="s">
        <v>131</v>
      </c>
      <c r="I561" s="5" t="s">
        <v>131</v>
      </c>
      <c r="J561" s="5" t="s">
        <v>146</v>
      </c>
      <c r="K561" s="5" t="s">
        <v>138</v>
      </c>
    </row>
    <row r="562" spans="1:11" x14ac:dyDescent="0.25">
      <c r="A562" s="5" t="s">
        <v>1302</v>
      </c>
      <c r="B562" s="5" t="s">
        <v>1303</v>
      </c>
      <c r="C562" s="5" t="s">
        <v>141</v>
      </c>
      <c r="D562" s="5" t="s">
        <v>142</v>
      </c>
      <c r="E562" s="5" t="s">
        <v>134</v>
      </c>
      <c r="F562" s="5" t="s">
        <v>131</v>
      </c>
      <c r="G562" s="5" t="s">
        <v>131</v>
      </c>
      <c r="H562" s="5" t="s">
        <v>131</v>
      </c>
      <c r="I562" s="5" t="s">
        <v>131</v>
      </c>
      <c r="J562" s="5" t="s">
        <v>146</v>
      </c>
      <c r="K562" s="5" t="s">
        <v>138</v>
      </c>
    </row>
    <row r="563" spans="1:11" x14ac:dyDescent="0.25">
      <c r="A563" s="5" t="s">
        <v>1304</v>
      </c>
      <c r="B563" s="5" t="s">
        <v>1305</v>
      </c>
      <c r="C563" s="5" t="s">
        <v>141</v>
      </c>
      <c r="D563" s="5" t="s">
        <v>142</v>
      </c>
      <c r="E563" s="5" t="s">
        <v>134</v>
      </c>
      <c r="F563" s="5" t="s">
        <v>131</v>
      </c>
      <c r="G563" s="5" t="s">
        <v>131</v>
      </c>
      <c r="H563" s="5" t="s">
        <v>131</v>
      </c>
      <c r="I563" s="5" t="s">
        <v>131</v>
      </c>
      <c r="J563" s="5" t="s">
        <v>1306</v>
      </c>
      <c r="K563" s="5" t="s">
        <v>138</v>
      </c>
    </row>
    <row r="564" spans="1:11" x14ac:dyDescent="0.25">
      <c r="A564" s="5" t="s">
        <v>1307</v>
      </c>
      <c r="B564" s="5" t="s">
        <v>1308</v>
      </c>
      <c r="C564" s="5" t="s">
        <v>141</v>
      </c>
      <c r="D564" s="5" t="s">
        <v>142</v>
      </c>
      <c r="E564" s="5" t="s">
        <v>134</v>
      </c>
      <c r="F564" s="5" t="s">
        <v>131</v>
      </c>
      <c r="G564" s="5" t="s">
        <v>131</v>
      </c>
      <c r="H564" s="5" t="s">
        <v>131</v>
      </c>
      <c r="I564" s="5" t="s">
        <v>131</v>
      </c>
      <c r="J564" s="5" t="s">
        <v>1306</v>
      </c>
      <c r="K564" s="5" t="s">
        <v>138</v>
      </c>
    </row>
    <row r="565" spans="1:11" x14ac:dyDescent="0.25">
      <c r="A565" s="5" t="s">
        <v>1309</v>
      </c>
      <c r="B565" s="5" t="s">
        <v>1310</v>
      </c>
      <c r="C565" s="5" t="s">
        <v>141</v>
      </c>
      <c r="D565" s="5" t="s">
        <v>142</v>
      </c>
      <c r="E565" s="5" t="s">
        <v>134</v>
      </c>
      <c r="F565" s="5" t="s">
        <v>131</v>
      </c>
      <c r="G565" s="5" t="s">
        <v>131</v>
      </c>
      <c r="H565" s="5" t="s">
        <v>131</v>
      </c>
      <c r="I565" s="5" t="s">
        <v>131</v>
      </c>
      <c r="J565" s="5" t="s">
        <v>1306</v>
      </c>
      <c r="K565" s="5" t="s">
        <v>138</v>
      </c>
    </row>
    <row r="566" spans="1:11" x14ac:dyDescent="0.25">
      <c r="A566" s="5" t="s">
        <v>1311</v>
      </c>
      <c r="B566" s="5" t="s">
        <v>1312</v>
      </c>
      <c r="C566" s="5" t="s">
        <v>141</v>
      </c>
      <c r="D566" s="5" t="s">
        <v>142</v>
      </c>
      <c r="E566" s="5" t="s">
        <v>134</v>
      </c>
      <c r="F566" s="5" t="s">
        <v>131</v>
      </c>
      <c r="G566" s="5" t="s">
        <v>131</v>
      </c>
      <c r="H566" s="5" t="s">
        <v>131</v>
      </c>
      <c r="I566" s="5" t="s">
        <v>131</v>
      </c>
      <c r="J566" s="5" t="s">
        <v>1306</v>
      </c>
      <c r="K566" s="5" t="s">
        <v>138</v>
      </c>
    </row>
    <row r="567" spans="1:11" x14ac:dyDescent="0.25">
      <c r="A567" s="5" t="s">
        <v>1313</v>
      </c>
      <c r="B567" s="5" t="s">
        <v>1314</v>
      </c>
      <c r="C567" s="5" t="s">
        <v>141</v>
      </c>
      <c r="D567" s="5" t="s">
        <v>142</v>
      </c>
      <c r="E567" s="5" t="s">
        <v>134</v>
      </c>
      <c r="F567" s="5" t="s">
        <v>131</v>
      </c>
      <c r="G567" s="5" t="s">
        <v>131</v>
      </c>
      <c r="H567" s="5" t="s">
        <v>131</v>
      </c>
      <c r="I567" s="5" t="s">
        <v>131</v>
      </c>
      <c r="J567" s="5" t="s">
        <v>1306</v>
      </c>
      <c r="K567" s="5" t="s">
        <v>138</v>
      </c>
    </row>
    <row r="568" spans="1:11" x14ac:dyDescent="0.25">
      <c r="A568" s="5" t="s">
        <v>1315</v>
      </c>
      <c r="B568" s="5" t="s">
        <v>1316</v>
      </c>
      <c r="C568" s="5" t="s">
        <v>141</v>
      </c>
      <c r="D568" s="5" t="s">
        <v>142</v>
      </c>
      <c r="E568" s="5" t="s">
        <v>134</v>
      </c>
      <c r="F568" s="5" t="s">
        <v>131</v>
      </c>
      <c r="G568" s="5" t="s">
        <v>131</v>
      </c>
      <c r="H568" s="5" t="s">
        <v>131</v>
      </c>
      <c r="I568" s="5" t="s">
        <v>131</v>
      </c>
      <c r="J568" s="5" t="s">
        <v>1306</v>
      </c>
      <c r="K568" s="5" t="s">
        <v>138</v>
      </c>
    </row>
    <row r="569" spans="1:11" x14ac:dyDescent="0.25">
      <c r="A569" s="5" t="s">
        <v>1317</v>
      </c>
      <c r="B569" s="5" t="s">
        <v>1318</v>
      </c>
      <c r="C569" s="5" t="s">
        <v>141</v>
      </c>
      <c r="D569" s="5" t="s">
        <v>142</v>
      </c>
      <c r="E569" s="5" t="s">
        <v>134</v>
      </c>
      <c r="F569" s="5" t="s">
        <v>131</v>
      </c>
      <c r="G569" s="5" t="s">
        <v>131</v>
      </c>
      <c r="H569" s="5" t="s">
        <v>131</v>
      </c>
      <c r="I569" s="5" t="s">
        <v>131</v>
      </c>
      <c r="J569" s="5" t="s">
        <v>1306</v>
      </c>
      <c r="K569" s="5" t="s">
        <v>138</v>
      </c>
    </row>
    <row r="570" spans="1:11" x14ac:dyDescent="0.25">
      <c r="A570" s="5" t="s">
        <v>1319</v>
      </c>
      <c r="B570" s="5" t="s">
        <v>1320</v>
      </c>
      <c r="C570" s="5" t="s">
        <v>141</v>
      </c>
      <c r="D570" s="5" t="s">
        <v>142</v>
      </c>
      <c r="E570" s="5" t="s">
        <v>134</v>
      </c>
      <c r="F570" s="5" t="s">
        <v>131</v>
      </c>
      <c r="G570" s="5" t="s">
        <v>131</v>
      </c>
      <c r="H570" s="5" t="s">
        <v>131</v>
      </c>
      <c r="I570" s="5" t="s">
        <v>131</v>
      </c>
      <c r="J570" s="5" t="s">
        <v>1306</v>
      </c>
      <c r="K570" s="5" t="s">
        <v>138</v>
      </c>
    </row>
    <row r="571" spans="1:11" x14ac:dyDescent="0.25">
      <c r="A571" s="5" t="s">
        <v>1321</v>
      </c>
      <c r="B571" s="5" t="s">
        <v>1322</v>
      </c>
      <c r="C571" s="5" t="s">
        <v>141</v>
      </c>
      <c r="D571" s="5" t="s">
        <v>142</v>
      </c>
      <c r="E571" s="5" t="s">
        <v>134</v>
      </c>
      <c r="F571" s="5" t="s">
        <v>131</v>
      </c>
      <c r="G571" s="5" t="s">
        <v>131</v>
      </c>
      <c r="H571" s="5" t="s">
        <v>131</v>
      </c>
      <c r="I571" s="5" t="s">
        <v>131</v>
      </c>
      <c r="J571" s="5" t="s">
        <v>1306</v>
      </c>
      <c r="K571" s="5" t="s">
        <v>138</v>
      </c>
    </row>
    <row r="572" spans="1:11" x14ac:dyDescent="0.25">
      <c r="A572" s="5" t="s">
        <v>1323</v>
      </c>
      <c r="B572" s="5" t="s">
        <v>1324</v>
      </c>
      <c r="C572" s="5" t="s">
        <v>141</v>
      </c>
      <c r="D572" s="5" t="s">
        <v>142</v>
      </c>
      <c r="E572" s="5" t="s">
        <v>134</v>
      </c>
      <c r="F572" s="5" t="s">
        <v>131</v>
      </c>
      <c r="G572" s="5" t="s">
        <v>131</v>
      </c>
      <c r="H572" s="5" t="s">
        <v>131</v>
      </c>
      <c r="I572" s="5" t="s">
        <v>131</v>
      </c>
      <c r="J572" s="5" t="s">
        <v>1306</v>
      </c>
      <c r="K572" s="5" t="s">
        <v>138</v>
      </c>
    </row>
    <row r="573" spans="1:11" x14ac:dyDescent="0.25">
      <c r="A573" s="5" t="s">
        <v>1325</v>
      </c>
      <c r="B573" s="5" t="s">
        <v>1326</v>
      </c>
      <c r="C573" s="5" t="s">
        <v>141</v>
      </c>
      <c r="D573" s="5" t="s">
        <v>142</v>
      </c>
      <c r="E573" s="5" t="s">
        <v>134</v>
      </c>
      <c r="F573" s="5" t="s">
        <v>131</v>
      </c>
      <c r="G573" s="5" t="s">
        <v>131</v>
      </c>
      <c r="H573" s="5" t="s">
        <v>131</v>
      </c>
      <c r="I573" s="5" t="s">
        <v>131</v>
      </c>
      <c r="J573" s="5" t="s">
        <v>1306</v>
      </c>
      <c r="K573" s="5" t="s">
        <v>138</v>
      </c>
    </row>
    <row r="574" spans="1:11" x14ac:dyDescent="0.25">
      <c r="A574" s="5" t="s">
        <v>1327</v>
      </c>
      <c r="B574" s="5" t="s">
        <v>1328</v>
      </c>
      <c r="C574" s="5" t="s">
        <v>141</v>
      </c>
      <c r="D574" s="5" t="s">
        <v>142</v>
      </c>
      <c r="E574" s="5" t="s">
        <v>134</v>
      </c>
      <c r="F574" s="5" t="s">
        <v>131</v>
      </c>
      <c r="G574" s="5" t="s">
        <v>131</v>
      </c>
      <c r="H574" s="5" t="s">
        <v>131</v>
      </c>
      <c r="I574" s="5" t="s">
        <v>131</v>
      </c>
      <c r="J574" s="5" t="s">
        <v>1306</v>
      </c>
      <c r="K574" s="5" t="s">
        <v>138</v>
      </c>
    </row>
    <row r="575" spans="1:11" x14ac:dyDescent="0.25">
      <c r="A575" s="5" t="s">
        <v>1329</v>
      </c>
      <c r="B575" s="5" t="s">
        <v>1330</v>
      </c>
      <c r="C575" s="5" t="s">
        <v>141</v>
      </c>
      <c r="D575" s="5" t="s">
        <v>142</v>
      </c>
      <c r="E575" s="5" t="s">
        <v>134</v>
      </c>
      <c r="F575" s="5" t="s">
        <v>131</v>
      </c>
      <c r="G575" s="5" t="s">
        <v>131</v>
      </c>
      <c r="H575" s="5" t="s">
        <v>131</v>
      </c>
      <c r="I575" s="5" t="s">
        <v>131</v>
      </c>
      <c r="J575" s="5" t="s">
        <v>1331</v>
      </c>
      <c r="K575" s="5" t="s">
        <v>138</v>
      </c>
    </row>
    <row r="576" spans="1:11" x14ac:dyDescent="0.25">
      <c r="A576" s="5" t="s">
        <v>1332</v>
      </c>
      <c r="B576" s="5" t="s">
        <v>1333</v>
      </c>
      <c r="C576" s="5" t="s">
        <v>141</v>
      </c>
      <c r="D576" s="5" t="s">
        <v>142</v>
      </c>
      <c r="E576" s="5" t="s">
        <v>134</v>
      </c>
      <c r="F576" s="5" t="s">
        <v>131</v>
      </c>
      <c r="G576" s="5" t="s">
        <v>131</v>
      </c>
      <c r="H576" s="5" t="s">
        <v>131</v>
      </c>
      <c r="I576" s="5" t="s">
        <v>131</v>
      </c>
      <c r="J576" s="5" t="s">
        <v>766</v>
      </c>
      <c r="K576" s="5" t="s">
        <v>138</v>
      </c>
    </row>
    <row r="577" spans="1:11" x14ac:dyDescent="0.25">
      <c r="A577" s="5" t="s">
        <v>1334</v>
      </c>
      <c r="B577" s="5" t="s">
        <v>1335</v>
      </c>
      <c r="C577" s="5" t="s">
        <v>141</v>
      </c>
      <c r="D577" s="5" t="s">
        <v>142</v>
      </c>
      <c r="E577" s="5" t="s">
        <v>134</v>
      </c>
      <c r="F577" s="5" t="s">
        <v>131</v>
      </c>
      <c r="G577" s="5" t="s">
        <v>131</v>
      </c>
      <c r="H577" s="5" t="s">
        <v>131</v>
      </c>
      <c r="I577" s="5" t="s">
        <v>131</v>
      </c>
      <c r="J577" s="5" t="s">
        <v>325</v>
      </c>
      <c r="K577" s="5" t="s">
        <v>138</v>
      </c>
    </row>
    <row r="578" spans="1:11" x14ac:dyDescent="0.25">
      <c r="A578" s="5" t="s">
        <v>1336</v>
      </c>
      <c r="B578" s="5" t="s">
        <v>1337</v>
      </c>
      <c r="C578" s="5" t="s">
        <v>231</v>
      </c>
      <c r="D578" s="5" t="s">
        <v>232</v>
      </c>
      <c r="E578" s="5" t="s">
        <v>134</v>
      </c>
      <c r="F578" s="5" t="s">
        <v>131</v>
      </c>
      <c r="G578" s="5" t="s">
        <v>131</v>
      </c>
      <c r="H578" s="5" t="s">
        <v>131</v>
      </c>
      <c r="I578" s="5" t="s">
        <v>131</v>
      </c>
      <c r="J578" s="5" t="s">
        <v>423</v>
      </c>
      <c r="K578" s="5" t="s">
        <v>138</v>
      </c>
    </row>
    <row r="579" spans="1:11" x14ac:dyDescent="0.25">
      <c r="A579" s="5" t="s">
        <v>1338</v>
      </c>
      <c r="B579" s="5" t="s">
        <v>1339</v>
      </c>
      <c r="C579" s="5" t="s">
        <v>241</v>
      </c>
      <c r="D579" s="5" t="s">
        <v>242</v>
      </c>
      <c r="E579" s="5" t="s">
        <v>134</v>
      </c>
      <c r="F579" s="5" t="s">
        <v>131</v>
      </c>
      <c r="G579" s="5" t="s">
        <v>131</v>
      </c>
      <c r="H579" s="5" t="s">
        <v>131</v>
      </c>
      <c r="I579" s="5" t="s">
        <v>131</v>
      </c>
      <c r="J579" s="5" t="s">
        <v>1340</v>
      </c>
      <c r="K579" s="5" t="s">
        <v>138</v>
      </c>
    </row>
    <row r="580" spans="1:11" x14ac:dyDescent="0.25">
      <c r="A580" s="5" t="s">
        <v>1341</v>
      </c>
      <c r="B580" s="5" t="s">
        <v>1342</v>
      </c>
      <c r="C580" s="5" t="s">
        <v>141</v>
      </c>
      <c r="D580" s="5" t="s">
        <v>142</v>
      </c>
      <c r="E580" s="5" t="s">
        <v>134</v>
      </c>
      <c r="F580" s="5" t="s">
        <v>131</v>
      </c>
      <c r="G580" s="5" t="s">
        <v>131</v>
      </c>
      <c r="H580" s="5" t="s">
        <v>131</v>
      </c>
      <c r="I580" s="5" t="s">
        <v>131</v>
      </c>
      <c r="J580" s="5" t="s">
        <v>143</v>
      </c>
      <c r="K580" s="5" t="s">
        <v>138</v>
      </c>
    </row>
    <row r="581" spans="1:11" x14ac:dyDescent="0.25">
      <c r="A581" s="5" t="s">
        <v>1343</v>
      </c>
      <c r="B581" s="5" t="s">
        <v>1344</v>
      </c>
      <c r="C581" s="5" t="s">
        <v>141</v>
      </c>
      <c r="D581" s="5" t="s">
        <v>142</v>
      </c>
      <c r="E581" s="5" t="s">
        <v>134</v>
      </c>
      <c r="F581" s="5" t="s">
        <v>131</v>
      </c>
      <c r="G581" s="5" t="s">
        <v>131</v>
      </c>
      <c r="H581" s="5" t="s">
        <v>131</v>
      </c>
      <c r="I581" s="5" t="s">
        <v>131</v>
      </c>
      <c r="J581" s="5" t="s">
        <v>143</v>
      </c>
      <c r="K581" s="5" t="s">
        <v>138</v>
      </c>
    </row>
    <row r="582" spans="1:11" x14ac:dyDescent="0.25">
      <c r="A582" s="5" t="s">
        <v>1345</v>
      </c>
      <c r="B582" s="5" t="s">
        <v>1346</v>
      </c>
      <c r="C582" s="5" t="s">
        <v>141</v>
      </c>
      <c r="D582" s="5" t="s">
        <v>142</v>
      </c>
      <c r="E582" s="5" t="s">
        <v>134</v>
      </c>
      <c r="F582" s="5" t="s">
        <v>131</v>
      </c>
      <c r="G582" s="5" t="s">
        <v>131</v>
      </c>
      <c r="H582" s="5" t="s">
        <v>131</v>
      </c>
      <c r="I582" s="5" t="s">
        <v>131</v>
      </c>
      <c r="J582" s="5" t="s">
        <v>143</v>
      </c>
      <c r="K582" s="5" t="s">
        <v>138</v>
      </c>
    </row>
    <row r="583" spans="1:11" x14ac:dyDescent="0.25">
      <c r="A583" s="5" t="s">
        <v>1347</v>
      </c>
      <c r="B583" s="5" t="s">
        <v>1348</v>
      </c>
      <c r="C583" s="5" t="s">
        <v>141</v>
      </c>
      <c r="D583" s="5" t="s">
        <v>142</v>
      </c>
      <c r="E583" s="5" t="s">
        <v>134</v>
      </c>
      <c r="F583" s="5" t="s">
        <v>131</v>
      </c>
      <c r="G583" s="5" t="s">
        <v>131</v>
      </c>
      <c r="H583" s="5" t="s">
        <v>131</v>
      </c>
      <c r="I583" s="5" t="s">
        <v>131</v>
      </c>
      <c r="J583" s="5" t="s">
        <v>143</v>
      </c>
      <c r="K583" s="5" t="s">
        <v>138</v>
      </c>
    </row>
    <row r="584" spans="1:11" x14ac:dyDescent="0.25">
      <c r="A584" s="5" t="s">
        <v>1349</v>
      </c>
      <c r="B584" s="5" t="s">
        <v>1350</v>
      </c>
      <c r="C584" s="5" t="s">
        <v>141</v>
      </c>
      <c r="D584" s="5" t="s">
        <v>142</v>
      </c>
      <c r="E584" s="5" t="s">
        <v>134</v>
      </c>
      <c r="F584" s="5" t="s">
        <v>131</v>
      </c>
      <c r="G584" s="5" t="s">
        <v>131</v>
      </c>
      <c r="H584" s="5" t="s">
        <v>131</v>
      </c>
      <c r="I584" s="5" t="s">
        <v>131</v>
      </c>
      <c r="J584" s="5" t="s">
        <v>143</v>
      </c>
      <c r="K584" s="5" t="s">
        <v>138</v>
      </c>
    </row>
    <row r="585" spans="1:11" x14ac:dyDescent="0.25">
      <c r="A585" s="5" t="s">
        <v>1351</v>
      </c>
      <c r="B585" s="5" t="s">
        <v>1352</v>
      </c>
      <c r="C585" s="5" t="s">
        <v>141</v>
      </c>
      <c r="D585" s="5" t="s">
        <v>142</v>
      </c>
      <c r="E585" s="5" t="s">
        <v>134</v>
      </c>
      <c r="F585" s="5" t="s">
        <v>131</v>
      </c>
      <c r="G585" s="5" t="s">
        <v>131</v>
      </c>
      <c r="H585" s="5" t="s">
        <v>131</v>
      </c>
      <c r="I585" s="5" t="s">
        <v>131</v>
      </c>
      <c r="J585" s="5" t="s">
        <v>137</v>
      </c>
      <c r="K585" s="5" t="s">
        <v>138</v>
      </c>
    </row>
    <row r="586" spans="1:11" x14ac:dyDescent="0.25">
      <c r="A586" s="5" t="s">
        <v>1353</v>
      </c>
      <c r="B586" s="5" t="s">
        <v>1354</v>
      </c>
      <c r="C586" s="5" t="s">
        <v>141</v>
      </c>
      <c r="D586" s="5" t="s">
        <v>142</v>
      </c>
      <c r="E586" s="5" t="s">
        <v>134</v>
      </c>
      <c r="F586" s="5" t="s">
        <v>131</v>
      </c>
      <c r="G586" s="5" t="s">
        <v>131</v>
      </c>
      <c r="H586" s="5" t="s">
        <v>131</v>
      </c>
      <c r="I586" s="5" t="s">
        <v>131</v>
      </c>
      <c r="J586" s="5" t="s">
        <v>143</v>
      </c>
      <c r="K586" s="5" t="s">
        <v>138</v>
      </c>
    </row>
    <row r="587" spans="1:11" x14ac:dyDescent="0.25">
      <c r="A587" s="5" t="s">
        <v>1355</v>
      </c>
      <c r="B587" s="5" t="s">
        <v>1356</v>
      </c>
      <c r="C587" s="5" t="s">
        <v>141</v>
      </c>
      <c r="D587" s="5" t="s">
        <v>142</v>
      </c>
      <c r="E587" s="5" t="s">
        <v>134</v>
      </c>
      <c r="F587" s="5" t="s">
        <v>131</v>
      </c>
      <c r="G587" s="5" t="s">
        <v>131</v>
      </c>
      <c r="H587" s="5" t="s">
        <v>131</v>
      </c>
      <c r="I587" s="5" t="s">
        <v>131</v>
      </c>
      <c r="J587" s="5" t="s">
        <v>137</v>
      </c>
      <c r="K587" s="5" t="s">
        <v>138</v>
      </c>
    </row>
    <row r="588" spans="1:11" x14ac:dyDescent="0.25">
      <c r="A588" s="5" t="s">
        <v>1357</v>
      </c>
      <c r="B588" s="5" t="s">
        <v>1358</v>
      </c>
      <c r="C588" s="5" t="s">
        <v>141</v>
      </c>
      <c r="D588" s="5" t="s">
        <v>142</v>
      </c>
      <c r="E588" s="5" t="s">
        <v>134</v>
      </c>
      <c r="F588" s="5" t="s">
        <v>131</v>
      </c>
      <c r="G588" s="5" t="s">
        <v>131</v>
      </c>
      <c r="H588" s="5" t="s">
        <v>131</v>
      </c>
      <c r="I588" s="5" t="s">
        <v>131</v>
      </c>
      <c r="J588" s="5" t="s">
        <v>137</v>
      </c>
      <c r="K588" s="5" t="s">
        <v>138</v>
      </c>
    </row>
    <row r="589" spans="1:11" x14ac:dyDescent="0.25">
      <c r="A589" s="5" t="s">
        <v>1359</v>
      </c>
      <c r="B589" s="5" t="s">
        <v>1360</v>
      </c>
      <c r="C589" s="5" t="s">
        <v>231</v>
      </c>
      <c r="D589" s="5" t="s">
        <v>232</v>
      </c>
      <c r="E589" s="5" t="s">
        <v>134</v>
      </c>
      <c r="F589" s="5" t="s">
        <v>131</v>
      </c>
      <c r="G589" s="5" t="s">
        <v>131</v>
      </c>
      <c r="H589" s="5" t="s">
        <v>131</v>
      </c>
      <c r="I589" s="5" t="s">
        <v>131</v>
      </c>
      <c r="J589" s="5" t="s">
        <v>423</v>
      </c>
      <c r="K589" s="5" t="s">
        <v>138</v>
      </c>
    </row>
    <row r="590" spans="1:11" x14ac:dyDescent="0.25">
      <c r="A590" s="5" t="s">
        <v>1361</v>
      </c>
      <c r="B590" s="5" t="s">
        <v>1362</v>
      </c>
      <c r="C590" s="5" t="s">
        <v>141</v>
      </c>
      <c r="D590" s="5" t="s">
        <v>142</v>
      </c>
      <c r="E590" s="5" t="s">
        <v>134</v>
      </c>
      <c r="F590" s="5" t="s">
        <v>131</v>
      </c>
      <c r="G590" s="5" t="s">
        <v>131</v>
      </c>
      <c r="H590" s="5" t="s">
        <v>131</v>
      </c>
      <c r="I590" s="5" t="s">
        <v>131</v>
      </c>
      <c r="J590" s="5" t="s">
        <v>143</v>
      </c>
      <c r="K590" s="5" t="s">
        <v>138</v>
      </c>
    </row>
    <row r="591" spans="1:11" x14ac:dyDescent="0.25">
      <c r="A591" s="5" t="s">
        <v>1363</v>
      </c>
      <c r="B591" s="5" t="s">
        <v>1364</v>
      </c>
      <c r="C591" s="5" t="s">
        <v>141</v>
      </c>
      <c r="D591" s="5" t="s">
        <v>142</v>
      </c>
      <c r="E591" s="5" t="s">
        <v>134</v>
      </c>
      <c r="F591" s="5" t="s">
        <v>131</v>
      </c>
      <c r="G591" s="5" t="s">
        <v>131</v>
      </c>
      <c r="H591" s="5" t="s">
        <v>131</v>
      </c>
      <c r="I591" s="5" t="s">
        <v>131</v>
      </c>
      <c r="J591" s="5" t="s">
        <v>143</v>
      </c>
      <c r="K591" s="5" t="s">
        <v>138</v>
      </c>
    </row>
    <row r="592" spans="1:11" x14ac:dyDescent="0.25">
      <c r="A592" s="5" t="s">
        <v>1365</v>
      </c>
      <c r="B592" s="5" t="s">
        <v>1366</v>
      </c>
      <c r="C592" s="5" t="s">
        <v>141</v>
      </c>
      <c r="D592" s="5" t="s">
        <v>142</v>
      </c>
      <c r="E592" s="5" t="s">
        <v>134</v>
      </c>
      <c r="F592" s="5" t="s">
        <v>131</v>
      </c>
      <c r="G592" s="5" t="s">
        <v>131</v>
      </c>
      <c r="H592" s="5" t="s">
        <v>131</v>
      </c>
      <c r="I592" s="5" t="s">
        <v>131</v>
      </c>
      <c r="J592" s="5" t="s">
        <v>143</v>
      </c>
      <c r="K592" s="5" t="s">
        <v>138</v>
      </c>
    </row>
    <row r="593" spans="1:11" x14ac:dyDescent="0.25">
      <c r="A593" s="5" t="s">
        <v>1367</v>
      </c>
      <c r="B593" s="5" t="s">
        <v>1368</v>
      </c>
      <c r="C593" s="5" t="s">
        <v>231</v>
      </c>
      <c r="D593" s="5" t="s">
        <v>232</v>
      </c>
      <c r="E593" s="5" t="s">
        <v>134</v>
      </c>
      <c r="F593" s="5" t="s">
        <v>131</v>
      </c>
      <c r="G593" s="5" t="s">
        <v>131</v>
      </c>
      <c r="H593" s="5" t="s">
        <v>131</v>
      </c>
      <c r="I593" s="5" t="s">
        <v>131</v>
      </c>
      <c r="J593" s="5" t="s">
        <v>423</v>
      </c>
      <c r="K593" s="5" t="s">
        <v>138</v>
      </c>
    </row>
    <row r="594" spans="1:11" x14ac:dyDescent="0.25">
      <c r="A594" s="5" t="s">
        <v>1369</v>
      </c>
      <c r="B594" s="5" t="s">
        <v>1370</v>
      </c>
      <c r="C594" s="5" t="s">
        <v>141</v>
      </c>
      <c r="D594" s="5" t="s">
        <v>142</v>
      </c>
      <c r="E594" s="5" t="s">
        <v>134</v>
      </c>
      <c r="F594" s="5" t="s">
        <v>131</v>
      </c>
      <c r="G594" s="5" t="s">
        <v>131</v>
      </c>
      <c r="H594" s="5" t="s">
        <v>131</v>
      </c>
      <c r="I594" s="5" t="s">
        <v>131</v>
      </c>
      <c r="J594" s="5" t="s">
        <v>137</v>
      </c>
      <c r="K594" s="5" t="s">
        <v>138</v>
      </c>
    </row>
    <row r="595" spans="1:11" x14ac:dyDescent="0.25">
      <c r="A595" s="5" t="s">
        <v>1371</v>
      </c>
      <c r="B595" s="5" t="s">
        <v>1372</v>
      </c>
      <c r="C595" s="5" t="s">
        <v>312</v>
      </c>
      <c r="D595" s="5" t="s">
        <v>1373</v>
      </c>
      <c r="E595" s="5" t="s">
        <v>134</v>
      </c>
      <c r="F595" s="5" t="s">
        <v>131</v>
      </c>
      <c r="G595" s="5" t="s">
        <v>131</v>
      </c>
      <c r="H595" s="5" t="s">
        <v>131</v>
      </c>
      <c r="I595" s="5" t="s">
        <v>131</v>
      </c>
      <c r="J595" s="5" t="s">
        <v>1374</v>
      </c>
      <c r="K595" s="5" t="s">
        <v>138</v>
      </c>
    </row>
    <row r="596" spans="1:11" x14ac:dyDescent="0.25">
      <c r="A596" s="5" t="s">
        <v>136</v>
      </c>
      <c r="B596" s="5" t="s">
        <v>1375</v>
      </c>
      <c r="C596" s="5" t="s">
        <v>1376</v>
      </c>
      <c r="D596" s="5" t="s">
        <v>132</v>
      </c>
      <c r="E596" s="5" t="s">
        <v>134</v>
      </c>
      <c r="F596" s="5" t="s">
        <v>131</v>
      </c>
      <c r="G596" s="5" t="s">
        <v>131</v>
      </c>
      <c r="H596" s="5" t="s">
        <v>131</v>
      </c>
      <c r="I596" s="5" t="s">
        <v>131</v>
      </c>
      <c r="J596" s="5" t="s">
        <v>228</v>
      </c>
      <c r="K596" s="5" t="s">
        <v>138</v>
      </c>
    </row>
    <row r="597" spans="1:11" x14ac:dyDescent="0.25">
      <c r="A597" s="5" t="s">
        <v>1377</v>
      </c>
      <c r="B597" s="5" t="s">
        <v>1378</v>
      </c>
      <c r="C597" s="5" t="s">
        <v>133</v>
      </c>
      <c r="D597" s="5" t="s">
        <v>1373</v>
      </c>
      <c r="E597" s="5" t="s">
        <v>134</v>
      </c>
      <c r="F597" s="5" t="s">
        <v>135</v>
      </c>
      <c r="G597" s="5" t="s">
        <v>1377</v>
      </c>
      <c r="H597" s="5" t="s">
        <v>131</v>
      </c>
      <c r="I597" s="5" t="s">
        <v>131</v>
      </c>
      <c r="J597" s="5" t="s">
        <v>228</v>
      </c>
      <c r="K597" s="5" t="s">
        <v>138</v>
      </c>
    </row>
    <row r="598" spans="1:11" x14ac:dyDescent="0.25">
      <c r="A598" s="5" t="s">
        <v>1379</v>
      </c>
      <c r="B598" s="5" t="s">
        <v>1380</v>
      </c>
      <c r="C598" s="5" t="s">
        <v>1376</v>
      </c>
      <c r="D598" s="5" t="s">
        <v>132</v>
      </c>
      <c r="E598" s="5" t="s">
        <v>1381</v>
      </c>
      <c r="F598" s="5" t="s">
        <v>131</v>
      </c>
      <c r="G598" s="5" t="s">
        <v>131</v>
      </c>
      <c r="H598" s="5" t="s">
        <v>131</v>
      </c>
      <c r="I598" s="5" t="s">
        <v>131</v>
      </c>
      <c r="J598" s="5" t="s">
        <v>228</v>
      </c>
      <c r="K598" s="5" t="s">
        <v>138</v>
      </c>
    </row>
    <row r="599" spans="1:11" x14ac:dyDescent="0.25">
      <c r="A599" s="5" t="s">
        <v>1382</v>
      </c>
      <c r="B599" s="5" t="s">
        <v>1383</v>
      </c>
      <c r="C599" s="5" t="s">
        <v>141</v>
      </c>
      <c r="D599" s="5" t="s">
        <v>142</v>
      </c>
      <c r="E599" s="5" t="s">
        <v>134</v>
      </c>
      <c r="F599" s="5" t="s">
        <v>131</v>
      </c>
      <c r="G599" s="5" t="s">
        <v>131</v>
      </c>
      <c r="H599" s="5" t="s">
        <v>131</v>
      </c>
      <c r="I599" s="5" t="s">
        <v>131</v>
      </c>
      <c r="J599" s="5" t="s">
        <v>1384</v>
      </c>
      <c r="K599" s="5" t="s">
        <v>138</v>
      </c>
    </row>
    <row r="600" spans="1:11" x14ac:dyDescent="0.25">
      <c r="A600" s="5" t="s">
        <v>1385</v>
      </c>
      <c r="B600" s="5" t="s">
        <v>1386</v>
      </c>
      <c r="C600" s="5" t="s">
        <v>141</v>
      </c>
      <c r="D600" s="5" t="s">
        <v>142</v>
      </c>
      <c r="E600" s="5" t="s">
        <v>134</v>
      </c>
      <c r="F600" s="5" t="s">
        <v>131</v>
      </c>
      <c r="G600" s="5" t="s">
        <v>131</v>
      </c>
      <c r="H600" s="5" t="s">
        <v>131</v>
      </c>
      <c r="I600" s="5" t="s">
        <v>131</v>
      </c>
      <c r="J600" s="5" t="s">
        <v>1044</v>
      </c>
      <c r="K600" s="5" t="s">
        <v>138</v>
      </c>
    </row>
    <row r="601" spans="1:11" x14ac:dyDescent="0.25">
      <c r="A601" s="5" t="s">
        <v>1387</v>
      </c>
      <c r="B601" s="5" t="s">
        <v>1388</v>
      </c>
      <c r="C601" s="5" t="s">
        <v>312</v>
      </c>
      <c r="D601" s="5" t="s">
        <v>1373</v>
      </c>
      <c r="E601" s="5" t="s">
        <v>134</v>
      </c>
      <c r="F601" s="5" t="s">
        <v>131</v>
      </c>
      <c r="G601" s="5" t="s">
        <v>131</v>
      </c>
      <c r="H601" s="5" t="s">
        <v>131</v>
      </c>
      <c r="I601" s="5" t="s">
        <v>131</v>
      </c>
      <c r="J601" s="5" t="s">
        <v>228</v>
      </c>
      <c r="K601" s="5" t="s">
        <v>138</v>
      </c>
    </row>
    <row r="602" spans="1:11" x14ac:dyDescent="0.25">
      <c r="A602" s="5" t="s">
        <v>1389</v>
      </c>
      <c r="B602" s="5" t="s">
        <v>1390</v>
      </c>
      <c r="C602" s="5" t="s">
        <v>1391</v>
      </c>
      <c r="D602" s="5" t="s">
        <v>1373</v>
      </c>
      <c r="E602" s="5" t="s">
        <v>134</v>
      </c>
      <c r="F602" s="5" t="s">
        <v>131</v>
      </c>
      <c r="G602" s="5" t="s">
        <v>131</v>
      </c>
      <c r="H602" s="5" t="s">
        <v>131</v>
      </c>
      <c r="I602" s="5" t="s">
        <v>131</v>
      </c>
      <c r="J602" s="5" t="s">
        <v>228</v>
      </c>
      <c r="K602" s="5" t="s">
        <v>138</v>
      </c>
    </row>
    <row r="603" spans="1:11" x14ac:dyDescent="0.25">
      <c r="A603" s="5" t="s">
        <v>1392</v>
      </c>
      <c r="B603" s="5" t="s">
        <v>718</v>
      </c>
      <c r="C603" s="5" t="s">
        <v>141</v>
      </c>
      <c r="D603" s="5" t="s">
        <v>142</v>
      </c>
      <c r="E603" s="5" t="s">
        <v>134</v>
      </c>
      <c r="F603" s="5" t="s">
        <v>131</v>
      </c>
      <c r="G603" s="5" t="s">
        <v>131</v>
      </c>
      <c r="H603" s="5" t="s">
        <v>131</v>
      </c>
      <c r="I603" s="5" t="s">
        <v>131</v>
      </c>
      <c r="J603" s="5" t="s">
        <v>146</v>
      </c>
      <c r="K603" s="5" t="s">
        <v>138</v>
      </c>
    </row>
    <row r="604" spans="1:11" x14ac:dyDescent="0.25">
      <c r="A604" s="5" t="s">
        <v>1393</v>
      </c>
      <c r="B604" s="5" t="s">
        <v>716</v>
      </c>
      <c r="C604" s="5" t="s">
        <v>133</v>
      </c>
      <c r="D604" s="5" t="s">
        <v>716</v>
      </c>
      <c r="E604" s="5" t="s">
        <v>134</v>
      </c>
      <c r="F604" s="5" t="s">
        <v>135</v>
      </c>
      <c r="G604" s="5" t="s">
        <v>1393</v>
      </c>
      <c r="H604" s="5" t="s">
        <v>131</v>
      </c>
      <c r="I604" s="5" t="s">
        <v>131</v>
      </c>
      <c r="J604" s="5" t="s">
        <v>1297</v>
      </c>
      <c r="K604" s="5" t="s">
        <v>138</v>
      </c>
    </row>
    <row r="605" spans="1:11" x14ac:dyDescent="0.25">
      <c r="A605" s="5" t="s">
        <v>1394</v>
      </c>
      <c r="B605" s="5" t="s">
        <v>1395</v>
      </c>
      <c r="C605" s="5" t="s">
        <v>133</v>
      </c>
      <c r="D605" s="5" t="s">
        <v>1395</v>
      </c>
      <c r="E605" s="5" t="s">
        <v>134</v>
      </c>
      <c r="F605" s="5" t="s">
        <v>135</v>
      </c>
      <c r="G605" s="5" t="s">
        <v>1394</v>
      </c>
      <c r="H605" s="5" t="s">
        <v>131</v>
      </c>
      <c r="I605" s="5" t="s">
        <v>131</v>
      </c>
      <c r="J605" s="5" t="s">
        <v>1297</v>
      </c>
      <c r="K605" s="5" t="s">
        <v>138</v>
      </c>
    </row>
    <row r="606" spans="1:11" x14ac:dyDescent="0.25">
      <c r="A606" s="5" t="s">
        <v>1396</v>
      </c>
      <c r="B606" s="5" t="s">
        <v>1397</v>
      </c>
      <c r="C606" s="5" t="s">
        <v>141</v>
      </c>
      <c r="D606" s="5" t="s">
        <v>142</v>
      </c>
      <c r="E606" s="5" t="s">
        <v>134</v>
      </c>
      <c r="F606" s="5" t="s">
        <v>131</v>
      </c>
      <c r="G606" s="5" t="s">
        <v>131</v>
      </c>
      <c r="H606" s="5" t="s">
        <v>131</v>
      </c>
      <c r="I606" s="5" t="s">
        <v>131</v>
      </c>
      <c r="J606" s="5" t="s">
        <v>137</v>
      </c>
      <c r="K606" s="5" t="s">
        <v>138</v>
      </c>
    </row>
    <row r="607" spans="1:11" x14ac:dyDescent="0.25">
      <c r="A607" s="5" t="s">
        <v>1398</v>
      </c>
      <c r="B607" s="5" t="s">
        <v>1399</v>
      </c>
      <c r="C607" s="5" t="s">
        <v>141</v>
      </c>
      <c r="D607" s="5" t="s">
        <v>142</v>
      </c>
      <c r="E607" s="5" t="s">
        <v>134</v>
      </c>
      <c r="F607" s="5" t="s">
        <v>131</v>
      </c>
      <c r="G607" s="5" t="s">
        <v>131</v>
      </c>
      <c r="H607" s="5" t="s">
        <v>131</v>
      </c>
      <c r="I607" s="5" t="s">
        <v>131</v>
      </c>
      <c r="J607" s="5" t="s">
        <v>325</v>
      </c>
      <c r="K607" s="5" t="s">
        <v>138</v>
      </c>
    </row>
    <row r="608" spans="1:11" x14ac:dyDescent="0.25">
      <c r="A608" s="5" t="s">
        <v>1400</v>
      </c>
      <c r="B608" s="5" t="s">
        <v>1401</v>
      </c>
      <c r="C608" s="5" t="s">
        <v>141</v>
      </c>
      <c r="D608" s="5" t="s">
        <v>142</v>
      </c>
      <c r="E608" s="5" t="s">
        <v>134</v>
      </c>
      <c r="F608" s="5" t="s">
        <v>131</v>
      </c>
      <c r="G608" s="5" t="s">
        <v>131</v>
      </c>
      <c r="H608" s="5" t="s">
        <v>131</v>
      </c>
      <c r="I608" s="5" t="s">
        <v>131</v>
      </c>
      <c r="J608" s="5" t="s">
        <v>143</v>
      </c>
      <c r="K608" s="5" t="s">
        <v>138</v>
      </c>
    </row>
    <row r="609" spans="1:11" x14ac:dyDescent="0.25">
      <c r="A609" s="5" t="s">
        <v>1402</v>
      </c>
      <c r="B609" s="5" t="s">
        <v>1403</v>
      </c>
      <c r="C609" s="5" t="s">
        <v>141</v>
      </c>
      <c r="D609" s="5" t="s">
        <v>142</v>
      </c>
      <c r="E609" s="5" t="s">
        <v>134</v>
      </c>
      <c r="F609" s="5" t="s">
        <v>131</v>
      </c>
      <c r="G609" s="5" t="s">
        <v>131</v>
      </c>
      <c r="H609" s="5" t="s">
        <v>131</v>
      </c>
      <c r="I609" s="5" t="s">
        <v>131</v>
      </c>
      <c r="J609" s="5" t="s">
        <v>137</v>
      </c>
      <c r="K609" s="5" t="s">
        <v>138</v>
      </c>
    </row>
    <row r="610" spans="1:11" x14ac:dyDescent="0.25">
      <c r="A610" s="5" t="s">
        <v>1404</v>
      </c>
      <c r="B610" s="5" t="s">
        <v>1405</v>
      </c>
      <c r="C610" s="5" t="s">
        <v>141</v>
      </c>
      <c r="D610" s="5" t="s">
        <v>142</v>
      </c>
      <c r="E610" s="5" t="s">
        <v>134</v>
      </c>
      <c r="F610" s="5" t="s">
        <v>131</v>
      </c>
      <c r="G610" s="5" t="s">
        <v>131</v>
      </c>
      <c r="H610" s="5" t="s">
        <v>131</v>
      </c>
      <c r="I610" s="5" t="s">
        <v>131</v>
      </c>
      <c r="J610" s="5" t="s">
        <v>1406</v>
      </c>
      <c r="K610" s="5" t="s">
        <v>138</v>
      </c>
    </row>
    <row r="611" spans="1:11" x14ac:dyDescent="0.25">
      <c r="A611" s="5" t="s">
        <v>1407</v>
      </c>
      <c r="B611" s="5" t="s">
        <v>1408</v>
      </c>
      <c r="C611" s="5" t="s">
        <v>141</v>
      </c>
      <c r="D611" s="5" t="s">
        <v>142</v>
      </c>
      <c r="E611" s="5" t="s">
        <v>134</v>
      </c>
      <c r="F611" s="5" t="s">
        <v>131</v>
      </c>
      <c r="G611" s="5" t="s">
        <v>131</v>
      </c>
      <c r="H611" s="5" t="s">
        <v>131</v>
      </c>
      <c r="I611" s="5" t="s">
        <v>131</v>
      </c>
      <c r="J611" s="5" t="s">
        <v>687</v>
      </c>
      <c r="K611" s="5" t="s">
        <v>138</v>
      </c>
    </row>
    <row r="612" spans="1:11" x14ac:dyDescent="0.25">
      <c r="A612" s="5" t="s">
        <v>1409</v>
      </c>
      <c r="B612" s="5" t="s">
        <v>1410</v>
      </c>
      <c r="C612" s="5" t="s">
        <v>141</v>
      </c>
      <c r="D612" s="5" t="s">
        <v>142</v>
      </c>
      <c r="E612" s="5" t="s">
        <v>134</v>
      </c>
      <c r="F612" s="5" t="s">
        <v>131</v>
      </c>
      <c r="G612" s="5" t="s">
        <v>131</v>
      </c>
      <c r="H612" s="5" t="s">
        <v>131</v>
      </c>
      <c r="I612" s="5" t="s">
        <v>131</v>
      </c>
      <c r="J612" s="5" t="s">
        <v>143</v>
      </c>
      <c r="K612" s="5" t="s">
        <v>138</v>
      </c>
    </row>
    <row r="613" spans="1:11" x14ac:dyDescent="0.25">
      <c r="A613" s="5" t="s">
        <v>1411</v>
      </c>
      <c r="B613" s="5" t="s">
        <v>1412</v>
      </c>
      <c r="C613" s="5" t="s">
        <v>141</v>
      </c>
      <c r="D613" s="5" t="s">
        <v>142</v>
      </c>
      <c r="E613" s="5" t="s">
        <v>134</v>
      </c>
      <c r="F613" s="5" t="s">
        <v>131</v>
      </c>
      <c r="G613" s="5" t="s">
        <v>131</v>
      </c>
      <c r="H613" s="5" t="s">
        <v>131</v>
      </c>
      <c r="I613" s="5" t="s">
        <v>131</v>
      </c>
      <c r="J613" s="5" t="s">
        <v>143</v>
      </c>
      <c r="K613" s="5" t="s">
        <v>138</v>
      </c>
    </row>
    <row r="614" spans="1:11" x14ac:dyDescent="0.25">
      <c r="A614" s="5" t="s">
        <v>1413</v>
      </c>
      <c r="B614" s="5" t="s">
        <v>1414</v>
      </c>
      <c r="C614" s="5" t="s">
        <v>141</v>
      </c>
      <c r="D614" s="5" t="s">
        <v>142</v>
      </c>
      <c r="E614" s="5" t="s">
        <v>134</v>
      </c>
      <c r="F614" s="5" t="s">
        <v>131</v>
      </c>
      <c r="G614" s="5" t="s">
        <v>131</v>
      </c>
      <c r="H614" s="5" t="s">
        <v>131</v>
      </c>
      <c r="I614" s="5" t="s">
        <v>131</v>
      </c>
      <c r="J614" s="5" t="s">
        <v>146</v>
      </c>
      <c r="K614" s="5" t="s">
        <v>138</v>
      </c>
    </row>
    <row r="615" spans="1:11" x14ac:dyDescent="0.25">
      <c r="A615" s="5" t="s">
        <v>1415</v>
      </c>
      <c r="B615" s="5" t="s">
        <v>1416</v>
      </c>
      <c r="C615" s="5" t="s">
        <v>141</v>
      </c>
      <c r="D615" s="5" t="s">
        <v>142</v>
      </c>
      <c r="E615" s="5" t="s">
        <v>134</v>
      </c>
      <c r="F615" s="5" t="s">
        <v>131</v>
      </c>
      <c r="G615" s="5" t="s">
        <v>131</v>
      </c>
      <c r="H615" s="5" t="s">
        <v>131</v>
      </c>
      <c r="I615" s="5" t="s">
        <v>131</v>
      </c>
      <c r="J615" s="5" t="s">
        <v>143</v>
      </c>
      <c r="K615" s="5" t="s">
        <v>138</v>
      </c>
    </row>
    <row r="616" spans="1:11" x14ac:dyDescent="0.25">
      <c r="A616" s="5" t="s">
        <v>1417</v>
      </c>
      <c r="B616" s="5" t="s">
        <v>1418</v>
      </c>
      <c r="C616" s="5" t="s">
        <v>141</v>
      </c>
      <c r="D616" s="5" t="s">
        <v>142</v>
      </c>
      <c r="E616" s="5" t="s">
        <v>134</v>
      </c>
      <c r="F616" s="5" t="s">
        <v>131</v>
      </c>
      <c r="G616" s="5" t="s">
        <v>131</v>
      </c>
      <c r="H616" s="5" t="s">
        <v>131</v>
      </c>
      <c r="I616" s="5" t="s">
        <v>131</v>
      </c>
      <c r="J616" s="5" t="s">
        <v>1419</v>
      </c>
      <c r="K616" s="5" t="s">
        <v>1420</v>
      </c>
    </row>
    <row r="617" spans="1:11" x14ac:dyDescent="0.25">
      <c r="A617" s="5" t="s">
        <v>1421</v>
      </c>
      <c r="B617" s="5" t="s">
        <v>1422</v>
      </c>
      <c r="C617" s="5" t="s">
        <v>141</v>
      </c>
      <c r="D617" s="5" t="s">
        <v>142</v>
      </c>
      <c r="E617" s="5" t="s">
        <v>134</v>
      </c>
      <c r="F617" s="5" t="s">
        <v>131</v>
      </c>
      <c r="G617" s="5" t="s">
        <v>131</v>
      </c>
      <c r="H617" s="5" t="s">
        <v>131</v>
      </c>
      <c r="I617" s="5" t="s">
        <v>131</v>
      </c>
      <c r="J617" s="5" t="s">
        <v>146</v>
      </c>
      <c r="K617" s="5" t="s">
        <v>138</v>
      </c>
    </row>
    <row r="618" spans="1:11" x14ac:dyDescent="0.25">
      <c r="A618" s="5" t="s">
        <v>1423</v>
      </c>
      <c r="B618" s="5" t="s">
        <v>1424</v>
      </c>
      <c r="C618" s="5" t="s">
        <v>141</v>
      </c>
      <c r="D618" s="5" t="s">
        <v>142</v>
      </c>
      <c r="E618" s="5" t="s">
        <v>134</v>
      </c>
      <c r="F618" s="5" t="s">
        <v>131</v>
      </c>
      <c r="G618" s="5" t="s">
        <v>131</v>
      </c>
      <c r="H618" s="5" t="s">
        <v>131</v>
      </c>
      <c r="I618" s="5" t="s">
        <v>131</v>
      </c>
      <c r="J618" s="5" t="s">
        <v>143</v>
      </c>
      <c r="K618" s="5" t="s">
        <v>138</v>
      </c>
    </row>
    <row r="619" spans="1:11" x14ac:dyDescent="0.25">
      <c r="A619" s="5" t="s">
        <v>1425</v>
      </c>
      <c r="B619" s="5" t="s">
        <v>1426</v>
      </c>
      <c r="C619" s="5" t="s">
        <v>141</v>
      </c>
      <c r="D619" s="5" t="s">
        <v>142</v>
      </c>
      <c r="E619" s="5" t="s">
        <v>134</v>
      </c>
      <c r="F619" s="5" t="s">
        <v>131</v>
      </c>
      <c r="G619" s="5" t="s">
        <v>131</v>
      </c>
      <c r="H619" s="5" t="s">
        <v>131</v>
      </c>
      <c r="I619" s="5" t="s">
        <v>131</v>
      </c>
      <c r="J619" s="5" t="s">
        <v>143</v>
      </c>
      <c r="K619" s="5" t="s">
        <v>138</v>
      </c>
    </row>
    <row r="620" spans="1:11" x14ac:dyDescent="0.25">
      <c r="A620" s="5" t="s">
        <v>1427</v>
      </c>
      <c r="B620" s="5" t="s">
        <v>1428</v>
      </c>
      <c r="C620" s="5" t="s">
        <v>141</v>
      </c>
      <c r="D620" s="5" t="s">
        <v>142</v>
      </c>
      <c r="E620" s="5" t="s">
        <v>134</v>
      </c>
      <c r="F620" s="5" t="s">
        <v>131</v>
      </c>
      <c r="G620" s="5" t="s">
        <v>131</v>
      </c>
      <c r="H620" s="5" t="s">
        <v>131</v>
      </c>
      <c r="I620" s="5" t="s">
        <v>131</v>
      </c>
      <c r="J620" s="5" t="s">
        <v>143</v>
      </c>
      <c r="K620" s="5" t="s">
        <v>138</v>
      </c>
    </row>
    <row r="621" spans="1:11" x14ac:dyDescent="0.25">
      <c r="A621" s="5" t="s">
        <v>1429</v>
      </c>
      <c r="B621" s="5" t="s">
        <v>1430</v>
      </c>
      <c r="C621" s="5" t="s">
        <v>141</v>
      </c>
      <c r="D621" s="5" t="s">
        <v>142</v>
      </c>
      <c r="E621" s="5" t="s">
        <v>134</v>
      </c>
      <c r="F621" s="5" t="s">
        <v>131</v>
      </c>
      <c r="G621" s="5" t="s">
        <v>131</v>
      </c>
      <c r="H621" s="5" t="s">
        <v>131</v>
      </c>
      <c r="I621" s="5" t="s">
        <v>131</v>
      </c>
      <c r="J621" s="5" t="s">
        <v>143</v>
      </c>
      <c r="K621" s="5" t="s">
        <v>138</v>
      </c>
    </row>
    <row r="622" spans="1:11" x14ac:dyDescent="0.25">
      <c r="A622" s="5" t="s">
        <v>1431</v>
      </c>
      <c r="B622" s="5" t="s">
        <v>1432</v>
      </c>
      <c r="C622" s="5" t="s">
        <v>141</v>
      </c>
      <c r="D622" s="5" t="s">
        <v>142</v>
      </c>
      <c r="E622" s="5" t="s">
        <v>134</v>
      </c>
      <c r="F622" s="5" t="s">
        <v>131</v>
      </c>
      <c r="G622" s="5" t="s">
        <v>131</v>
      </c>
      <c r="H622" s="5" t="s">
        <v>131</v>
      </c>
      <c r="I622" s="5" t="s">
        <v>131</v>
      </c>
      <c r="J622" s="5" t="s">
        <v>143</v>
      </c>
      <c r="K622" s="5" t="s">
        <v>138</v>
      </c>
    </row>
    <row r="623" spans="1:11" x14ac:dyDescent="0.25">
      <c r="A623" s="5" t="s">
        <v>1433</v>
      </c>
      <c r="B623" s="5" t="s">
        <v>1434</v>
      </c>
      <c r="C623" s="5" t="s">
        <v>141</v>
      </c>
      <c r="D623" s="5" t="s">
        <v>142</v>
      </c>
      <c r="E623" s="5" t="s">
        <v>134</v>
      </c>
      <c r="F623" s="5" t="s">
        <v>131</v>
      </c>
      <c r="G623" s="5" t="s">
        <v>131</v>
      </c>
      <c r="H623" s="5" t="s">
        <v>131</v>
      </c>
      <c r="I623" s="5" t="s">
        <v>131</v>
      </c>
      <c r="J623" s="5" t="s">
        <v>325</v>
      </c>
      <c r="K623" s="5" t="s">
        <v>138</v>
      </c>
    </row>
    <row r="624" spans="1:11" x14ac:dyDescent="0.25">
      <c r="A624" s="5" t="s">
        <v>1435</v>
      </c>
      <c r="B624" s="5" t="s">
        <v>1436</v>
      </c>
      <c r="C624" s="5" t="s">
        <v>1437</v>
      </c>
      <c r="D624" s="5" t="s">
        <v>1438</v>
      </c>
      <c r="E624" s="5" t="s">
        <v>134</v>
      </c>
      <c r="F624" s="5" t="s">
        <v>131</v>
      </c>
      <c r="G624" s="5" t="s">
        <v>131</v>
      </c>
      <c r="H624" s="5" t="s">
        <v>131</v>
      </c>
      <c r="I624" s="5" t="s">
        <v>131</v>
      </c>
      <c r="J624" s="5" t="s">
        <v>228</v>
      </c>
      <c r="K624" s="5" t="s">
        <v>138</v>
      </c>
    </row>
    <row r="625" spans="1:11" x14ac:dyDescent="0.25">
      <c r="A625" s="5" t="s">
        <v>1439</v>
      </c>
      <c r="B625" s="5" t="s">
        <v>1440</v>
      </c>
      <c r="C625" s="5" t="s">
        <v>141</v>
      </c>
      <c r="D625" s="5" t="s">
        <v>142</v>
      </c>
      <c r="E625" s="5" t="s">
        <v>134</v>
      </c>
      <c r="F625" s="5" t="s">
        <v>131</v>
      </c>
      <c r="G625" s="5" t="s">
        <v>131</v>
      </c>
      <c r="H625" s="5" t="s">
        <v>131</v>
      </c>
      <c r="I625" s="5" t="s">
        <v>131</v>
      </c>
      <c r="J625" s="5" t="s">
        <v>143</v>
      </c>
      <c r="K625" s="5" t="s">
        <v>138</v>
      </c>
    </row>
    <row r="626" spans="1:11" x14ac:dyDescent="0.25">
      <c r="A626" s="5" t="s">
        <v>1441</v>
      </c>
      <c r="B626" s="5" t="s">
        <v>1442</v>
      </c>
      <c r="C626" s="5" t="s">
        <v>141</v>
      </c>
      <c r="D626" s="5" t="s">
        <v>142</v>
      </c>
      <c r="E626" s="5" t="s">
        <v>134</v>
      </c>
      <c r="F626" s="5" t="s">
        <v>131</v>
      </c>
      <c r="G626" s="5" t="s">
        <v>131</v>
      </c>
      <c r="H626" s="5" t="s">
        <v>131</v>
      </c>
      <c r="I626" s="5" t="s">
        <v>131</v>
      </c>
      <c r="J626" s="5" t="s">
        <v>1443</v>
      </c>
      <c r="K626" s="5" t="s">
        <v>138</v>
      </c>
    </row>
    <row r="627" spans="1:11" x14ac:dyDescent="0.25">
      <c r="A627" s="5" t="s">
        <v>1444</v>
      </c>
      <c r="B627" s="5" t="s">
        <v>1445</v>
      </c>
      <c r="C627" s="5" t="s">
        <v>141</v>
      </c>
      <c r="D627" s="5" t="s">
        <v>142</v>
      </c>
      <c r="E627" s="5" t="s">
        <v>134</v>
      </c>
      <c r="F627" s="5" t="s">
        <v>131</v>
      </c>
      <c r="G627" s="5" t="s">
        <v>131</v>
      </c>
      <c r="H627" s="5" t="s">
        <v>131</v>
      </c>
      <c r="I627" s="5" t="s">
        <v>131</v>
      </c>
      <c r="J627" s="5" t="s">
        <v>143</v>
      </c>
      <c r="K627" s="5" t="s">
        <v>138</v>
      </c>
    </row>
    <row r="628" spans="1:11" x14ac:dyDescent="0.25">
      <c r="A628" s="5" t="s">
        <v>1446</v>
      </c>
      <c r="B628" s="5" t="s">
        <v>1447</v>
      </c>
      <c r="C628" s="5" t="s">
        <v>141</v>
      </c>
      <c r="D628" s="5" t="s">
        <v>142</v>
      </c>
      <c r="E628" s="5" t="s">
        <v>134</v>
      </c>
      <c r="F628" s="5" t="s">
        <v>131</v>
      </c>
      <c r="G628" s="5" t="s">
        <v>131</v>
      </c>
      <c r="H628" s="5" t="s">
        <v>131</v>
      </c>
      <c r="I628" s="5" t="s">
        <v>131</v>
      </c>
      <c r="J628" s="5" t="s">
        <v>143</v>
      </c>
      <c r="K628" s="5" t="s">
        <v>138</v>
      </c>
    </row>
    <row r="629" spans="1:11" x14ac:dyDescent="0.25">
      <c r="A629" s="5" t="s">
        <v>1448</v>
      </c>
      <c r="B629" s="5" t="s">
        <v>1449</v>
      </c>
      <c r="C629" s="5" t="s">
        <v>141</v>
      </c>
      <c r="D629" s="5" t="s">
        <v>142</v>
      </c>
      <c r="E629" s="5" t="s">
        <v>134</v>
      </c>
      <c r="F629" s="5" t="s">
        <v>131</v>
      </c>
      <c r="G629" s="5" t="s">
        <v>131</v>
      </c>
      <c r="H629" s="5" t="s">
        <v>131</v>
      </c>
      <c r="I629" s="5" t="s">
        <v>131</v>
      </c>
      <c r="J629" s="5" t="s">
        <v>143</v>
      </c>
      <c r="K629" s="5" t="s">
        <v>138</v>
      </c>
    </row>
    <row r="630" spans="1:11" x14ac:dyDescent="0.25">
      <c r="A630" s="5" t="s">
        <v>1450</v>
      </c>
      <c r="B630" s="5" t="s">
        <v>1451</v>
      </c>
      <c r="C630" s="5" t="s">
        <v>141</v>
      </c>
      <c r="D630" s="5" t="s">
        <v>142</v>
      </c>
      <c r="E630" s="5" t="s">
        <v>134</v>
      </c>
      <c r="F630" s="5" t="s">
        <v>131</v>
      </c>
      <c r="G630" s="5" t="s">
        <v>131</v>
      </c>
      <c r="H630" s="5" t="s">
        <v>131</v>
      </c>
      <c r="I630" s="5" t="s">
        <v>131</v>
      </c>
      <c r="J630" s="5" t="s">
        <v>1452</v>
      </c>
      <c r="K630" s="5" t="s">
        <v>138</v>
      </c>
    </row>
    <row r="631" spans="1:11" x14ac:dyDescent="0.25">
      <c r="A631" s="5" t="s">
        <v>1453</v>
      </c>
      <c r="B631" s="5" t="s">
        <v>1454</v>
      </c>
      <c r="C631" s="5" t="s">
        <v>141</v>
      </c>
      <c r="D631" s="5" t="s">
        <v>142</v>
      </c>
      <c r="E631" s="5" t="s">
        <v>134</v>
      </c>
      <c r="F631" s="5" t="s">
        <v>131</v>
      </c>
      <c r="G631" s="5" t="s">
        <v>131</v>
      </c>
      <c r="H631" s="5" t="s">
        <v>131</v>
      </c>
      <c r="I631" s="5" t="s">
        <v>131</v>
      </c>
      <c r="J631" s="5" t="s">
        <v>137</v>
      </c>
      <c r="K631" s="5" t="s">
        <v>138</v>
      </c>
    </row>
    <row r="632" spans="1:11" x14ac:dyDescent="0.25">
      <c r="A632" s="5" t="s">
        <v>1455</v>
      </c>
      <c r="B632" s="5" t="s">
        <v>1456</v>
      </c>
      <c r="C632" s="5" t="s">
        <v>141</v>
      </c>
      <c r="D632" s="5" t="s">
        <v>142</v>
      </c>
      <c r="E632" s="5" t="s">
        <v>134</v>
      </c>
      <c r="F632" s="5" t="s">
        <v>131</v>
      </c>
      <c r="G632" s="5" t="s">
        <v>131</v>
      </c>
      <c r="H632" s="5" t="s">
        <v>131</v>
      </c>
      <c r="I632" s="5" t="s">
        <v>131</v>
      </c>
      <c r="J632" s="5" t="s">
        <v>143</v>
      </c>
      <c r="K632" s="5" t="s">
        <v>138</v>
      </c>
    </row>
    <row r="633" spans="1:11" x14ac:dyDescent="0.25">
      <c r="A633" s="5" t="s">
        <v>1457</v>
      </c>
      <c r="B633" s="5" t="s">
        <v>1458</v>
      </c>
      <c r="C633" s="5" t="s">
        <v>141</v>
      </c>
      <c r="D633" s="5" t="s">
        <v>142</v>
      </c>
      <c r="E633" s="5" t="s">
        <v>134</v>
      </c>
      <c r="F633" s="5" t="s">
        <v>131</v>
      </c>
      <c r="G633" s="5" t="s">
        <v>131</v>
      </c>
      <c r="H633" s="5" t="s">
        <v>131</v>
      </c>
      <c r="I633" s="5" t="s">
        <v>131</v>
      </c>
      <c r="J633" s="5" t="s">
        <v>1459</v>
      </c>
      <c r="K633" s="5" t="s">
        <v>138</v>
      </c>
    </row>
    <row r="634" spans="1:11" x14ac:dyDescent="0.25">
      <c r="A634" s="5" t="s">
        <v>1460</v>
      </c>
      <c r="B634" s="5" t="s">
        <v>1461</v>
      </c>
      <c r="C634" s="5" t="s">
        <v>141</v>
      </c>
      <c r="D634" s="5" t="s">
        <v>142</v>
      </c>
      <c r="E634" s="5" t="s">
        <v>134</v>
      </c>
      <c r="F634" s="5" t="s">
        <v>131</v>
      </c>
      <c r="G634" s="5" t="s">
        <v>131</v>
      </c>
      <c r="H634" s="5" t="s">
        <v>131</v>
      </c>
      <c r="I634" s="5" t="s">
        <v>131</v>
      </c>
      <c r="J634" s="5" t="s">
        <v>143</v>
      </c>
      <c r="K634" s="5" t="s">
        <v>138</v>
      </c>
    </row>
    <row r="635" spans="1:11" x14ac:dyDescent="0.25">
      <c r="A635" s="5" t="s">
        <v>1462</v>
      </c>
      <c r="B635" s="5" t="s">
        <v>1463</v>
      </c>
      <c r="C635" s="5" t="s">
        <v>141</v>
      </c>
      <c r="D635" s="5" t="s">
        <v>142</v>
      </c>
      <c r="E635" s="5" t="s">
        <v>134</v>
      </c>
      <c r="F635" s="5" t="s">
        <v>131</v>
      </c>
      <c r="G635" s="5" t="s">
        <v>131</v>
      </c>
      <c r="H635" s="5" t="s">
        <v>131</v>
      </c>
      <c r="I635" s="5" t="s">
        <v>131</v>
      </c>
      <c r="J635" s="5" t="s">
        <v>1464</v>
      </c>
      <c r="K635" s="5" t="s">
        <v>138</v>
      </c>
    </row>
    <row r="636" spans="1:11" x14ac:dyDescent="0.25">
      <c r="A636" s="5" t="s">
        <v>1465</v>
      </c>
      <c r="B636" s="5" t="s">
        <v>1466</v>
      </c>
      <c r="C636" s="5" t="s">
        <v>258</v>
      </c>
      <c r="D636" s="5" t="s">
        <v>1467</v>
      </c>
      <c r="E636" s="5" t="s">
        <v>1468</v>
      </c>
      <c r="F636" s="5" t="s">
        <v>131</v>
      </c>
      <c r="G636" s="5" t="s">
        <v>131</v>
      </c>
      <c r="H636" s="5" t="s">
        <v>131</v>
      </c>
      <c r="I636" s="5" t="s">
        <v>131</v>
      </c>
      <c r="J636" s="5" t="s">
        <v>1469</v>
      </c>
      <c r="K636" s="5" t="s">
        <v>138</v>
      </c>
    </row>
    <row r="637" spans="1:11" x14ac:dyDescent="0.25">
      <c r="A637" s="5" t="s">
        <v>1470</v>
      </c>
      <c r="B637" s="5" t="s">
        <v>1471</v>
      </c>
      <c r="C637" s="5" t="s">
        <v>141</v>
      </c>
      <c r="D637" s="5" t="s">
        <v>142</v>
      </c>
      <c r="E637" s="5" t="s">
        <v>134</v>
      </c>
      <c r="F637" s="5" t="s">
        <v>131</v>
      </c>
      <c r="G637" s="5" t="s">
        <v>131</v>
      </c>
      <c r="H637" s="5" t="s">
        <v>131</v>
      </c>
      <c r="I637" s="5" t="s">
        <v>131</v>
      </c>
      <c r="J637" s="5" t="s">
        <v>143</v>
      </c>
      <c r="K637" s="5" t="s">
        <v>138</v>
      </c>
    </row>
    <row r="638" spans="1:11" x14ac:dyDescent="0.25">
      <c r="A638" s="5" t="s">
        <v>1472</v>
      </c>
      <c r="B638" s="5" t="s">
        <v>1473</v>
      </c>
      <c r="C638" s="5" t="s">
        <v>235</v>
      </c>
      <c r="D638" s="5" t="s">
        <v>236</v>
      </c>
      <c r="E638" s="5" t="s">
        <v>134</v>
      </c>
      <c r="F638" s="5" t="s">
        <v>131</v>
      </c>
      <c r="G638" s="5" t="s">
        <v>131</v>
      </c>
      <c r="H638" s="5" t="s">
        <v>131</v>
      </c>
      <c r="I638" s="5" t="s">
        <v>131</v>
      </c>
      <c r="J638" s="5" t="s">
        <v>423</v>
      </c>
      <c r="K638" s="5" t="s">
        <v>138</v>
      </c>
    </row>
    <row r="639" spans="1:11" x14ac:dyDescent="0.25">
      <c r="A639" s="5" t="s">
        <v>1474</v>
      </c>
      <c r="B639" s="5" t="s">
        <v>1475</v>
      </c>
      <c r="C639" s="5" t="s">
        <v>1476</v>
      </c>
      <c r="D639" s="5" t="s">
        <v>1477</v>
      </c>
      <c r="E639" s="5" t="s">
        <v>134</v>
      </c>
      <c r="F639" s="5" t="s">
        <v>131</v>
      </c>
      <c r="G639" s="5" t="s">
        <v>131</v>
      </c>
      <c r="H639" s="5" t="s">
        <v>131</v>
      </c>
      <c r="I639" s="5" t="s">
        <v>131</v>
      </c>
      <c r="J639" s="5" t="s">
        <v>1478</v>
      </c>
      <c r="K639" s="5" t="s">
        <v>138</v>
      </c>
    </row>
    <row r="640" spans="1:11" x14ac:dyDescent="0.25">
      <c r="A640" s="5" t="s">
        <v>1479</v>
      </c>
      <c r="B640" s="5" t="s">
        <v>1480</v>
      </c>
      <c r="C640" s="5" t="s">
        <v>141</v>
      </c>
      <c r="D640" s="5" t="s">
        <v>142</v>
      </c>
      <c r="E640" s="5" t="s">
        <v>134</v>
      </c>
      <c r="F640" s="5" t="s">
        <v>131</v>
      </c>
      <c r="G640" s="5" t="s">
        <v>131</v>
      </c>
      <c r="H640" s="5" t="s">
        <v>131</v>
      </c>
      <c r="I640" s="5" t="s">
        <v>131</v>
      </c>
      <c r="J640" s="5" t="s">
        <v>143</v>
      </c>
      <c r="K640" s="5" t="s">
        <v>138</v>
      </c>
    </row>
    <row r="641" spans="1:11" x14ac:dyDescent="0.25">
      <c r="A641" s="5" t="s">
        <v>1481</v>
      </c>
      <c r="B641" s="5" t="s">
        <v>1482</v>
      </c>
      <c r="C641" s="5" t="s">
        <v>141</v>
      </c>
      <c r="D641" s="5" t="s">
        <v>142</v>
      </c>
      <c r="E641" s="5" t="s">
        <v>134</v>
      </c>
      <c r="F641" s="5" t="s">
        <v>131</v>
      </c>
      <c r="G641" s="5" t="s">
        <v>131</v>
      </c>
      <c r="H641" s="5" t="s">
        <v>131</v>
      </c>
      <c r="I641" s="5" t="s">
        <v>131</v>
      </c>
      <c r="J641" s="5" t="s">
        <v>143</v>
      </c>
      <c r="K641" s="5" t="s">
        <v>138</v>
      </c>
    </row>
    <row r="642" spans="1:11" x14ac:dyDescent="0.25">
      <c r="A642" s="5" t="s">
        <v>1483</v>
      </c>
      <c r="B642" s="5" t="s">
        <v>1484</v>
      </c>
      <c r="C642" s="5" t="s">
        <v>141</v>
      </c>
      <c r="D642" s="5" t="s">
        <v>142</v>
      </c>
      <c r="E642" s="5" t="s">
        <v>134</v>
      </c>
      <c r="F642" s="5" t="s">
        <v>131</v>
      </c>
      <c r="G642" s="5" t="s">
        <v>131</v>
      </c>
      <c r="H642" s="5" t="s">
        <v>131</v>
      </c>
      <c r="I642" s="5" t="s">
        <v>131</v>
      </c>
      <c r="J642" s="5" t="s">
        <v>1485</v>
      </c>
      <c r="K642" s="5" t="s">
        <v>138</v>
      </c>
    </row>
    <row r="643" spans="1:11" x14ac:dyDescent="0.25">
      <c r="A643" s="5" t="s">
        <v>1486</v>
      </c>
      <c r="B643" s="5" t="s">
        <v>1487</v>
      </c>
      <c r="C643" s="5" t="s">
        <v>141</v>
      </c>
      <c r="D643" s="5" t="s">
        <v>142</v>
      </c>
      <c r="E643" s="5" t="s">
        <v>134</v>
      </c>
      <c r="F643" s="5" t="s">
        <v>131</v>
      </c>
      <c r="G643" s="5" t="s">
        <v>131</v>
      </c>
      <c r="H643" s="5" t="s">
        <v>131</v>
      </c>
      <c r="I643" s="5" t="s">
        <v>131</v>
      </c>
      <c r="J643" s="5" t="s">
        <v>143</v>
      </c>
      <c r="K643" s="5" t="s">
        <v>138</v>
      </c>
    </row>
    <row r="644" spans="1:11" x14ac:dyDescent="0.25">
      <c r="A644" s="5" t="s">
        <v>1488</v>
      </c>
      <c r="B644" s="5" t="s">
        <v>1489</v>
      </c>
      <c r="C644" s="5" t="s">
        <v>141</v>
      </c>
      <c r="D644" s="5" t="s">
        <v>142</v>
      </c>
      <c r="E644" s="5" t="s">
        <v>134</v>
      </c>
      <c r="F644" s="5" t="s">
        <v>131</v>
      </c>
      <c r="G644" s="5" t="s">
        <v>131</v>
      </c>
      <c r="H644" s="5" t="s">
        <v>131</v>
      </c>
      <c r="I644" s="5" t="s">
        <v>131</v>
      </c>
      <c r="J644" s="5" t="s">
        <v>143</v>
      </c>
      <c r="K644" s="5" t="s">
        <v>138</v>
      </c>
    </row>
    <row r="645" spans="1:11" x14ac:dyDescent="0.25">
      <c r="A645" s="5" t="s">
        <v>1490</v>
      </c>
      <c r="B645" s="5" t="s">
        <v>1491</v>
      </c>
      <c r="C645" s="5" t="s">
        <v>235</v>
      </c>
      <c r="D645" s="5" t="s">
        <v>236</v>
      </c>
      <c r="E645" s="5" t="s">
        <v>134</v>
      </c>
      <c r="F645" s="5" t="s">
        <v>131</v>
      </c>
      <c r="G645" s="5" t="s">
        <v>131</v>
      </c>
      <c r="H645" s="5" t="s">
        <v>131</v>
      </c>
      <c r="I645" s="5" t="s">
        <v>131</v>
      </c>
      <c r="J645" s="5" t="s">
        <v>423</v>
      </c>
      <c r="K645" s="5" t="s">
        <v>138</v>
      </c>
    </row>
    <row r="646" spans="1:11" x14ac:dyDescent="0.25">
      <c r="A646" s="5" t="s">
        <v>1492</v>
      </c>
      <c r="B646" s="5" t="s">
        <v>1493</v>
      </c>
      <c r="C646" s="5" t="s">
        <v>141</v>
      </c>
      <c r="D646" s="5" t="s">
        <v>142</v>
      </c>
      <c r="E646" s="5" t="s">
        <v>134</v>
      </c>
      <c r="F646" s="5" t="s">
        <v>131</v>
      </c>
      <c r="G646" s="5" t="s">
        <v>131</v>
      </c>
      <c r="H646" s="5" t="s">
        <v>131</v>
      </c>
      <c r="I646" s="5" t="s">
        <v>131</v>
      </c>
      <c r="J646" s="5" t="s">
        <v>143</v>
      </c>
      <c r="K646" s="5" t="s">
        <v>138</v>
      </c>
    </row>
    <row r="647" spans="1:11" x14ac:dyDescent="0.25">
      <c r="A647" s="5" t="s">
        <v>1494</v>
      </c>
      <c r="B647" s="5" t="s">
        <v>1495</v>
      </c>
      <c r="C647" s="5" t="s">
        <v>141</v>
      </c>
      <c r="D647" s="5" t="s">
        <v>142</v>
      </c>
      <c r="E647" s="5" t="s">
        <v>134</v>
      </c>
      <c r="F647" s="5" t="s">
        <v>131</v>
      </c>
      <c r="G647" s="5" t="s">
        <v>131</v>
      </c>
      <c r="H647" s="5" t="s">
        <v>131</v>
      </c>
      <c r="I647" s="5" t="s">
        <v>131</v>
      </c>
      <c r="J647" s="5" t="s">
        <v>137</v>
      </c>
      <c r="K647" s="5" t="s">
        <v>138</v>
      </c>
    </row>
    <row r="648" spans="1:11" x14ac:dyDescent="0.25">
      <c r="A648" s="5" t="s">
        <v>1496</v>
      </c>
      <c r="B648" s="5" t="s">
        <v>1497</v>
      </c>
      <c r="C648" s="5" t="s">
        <v>141</v>
      </c>
      <c r="D648" s="5" t="s">
        <v>142</v>
      </c>
      <c r="E648" s="5" t="s">
        <v>134</v>
      </c>
      <c r="F648" s="5" t="s">
        <v>131</v>
      </c>
      <c r="G648" s="5" t="s">
        <v>131</v>
      </c>
      <c r="H648" s="5" t="s">
        <v>131</v>
      </c>
      <c r="I648" s="5" t="s">
        <v>131</v>
      </c>
      <c r="J648" s="5" t="s">
        <v>1297</v>
      </c>
      <c r="K648" s="5" t="s">
        <v>138</v>
      </c>
    </row>
    <row r="649" spans="1:11" x14ac:dyDescent="0.25">
      <c r="A649" s="5" t="s">
        <v>1498</v>
      </c>
      <c r="B649" s="5" t="s">
        <v>1499</v>
      </c>
      <c r="C649" s="5" t="s">
        <v>141</v>
      </c>
      <c r="D649" s="5" t="s">
        <v>142</v>
      </c>
      <c r="E649" s="5" t="s">
        <v>134</v>
      </c>
      <c r="F649" s="5" t="s">
        <v>131</v>
      </c>
      <c r="G649" s="5" t="s">
        <v>131</v>
      </c>
      <c r="H649" s="5" t="s">
        <v>131</v>
      </c>
      <c r="I649" s="5" t="s">
        <v>131</v>
      </c>
      <c r="J649" s="5" t="s">
        <v>143</v>
      </c>
      <c r="K649" s="5" t="s">
        <v>138</v>
      </c>
    </row>
    <row r="650" spans="1:11" x14ac:dyDescent="0.25">
      <c r="A650" s="5" t="s">
        <v>1500</v>
      </c>
      <c r="B650" s="5" t="s">
        <v>1501</v>
      </c>
      <c r="C650" s="5" t="s">
        <v>141</v>
      </c>
      <c r="D650" s="5" t="s">
        <v>142</v>
      </c>
      <c r="E650" s="5" t="s">
        <v>134</v>
      </c>
      <c r="F650" s="5" t="s">
        <v>131</v>
      </c>
      <c r="G650" s="5" t="s">
        <v>131</v>
      </c>
      <c r="H650" s="5" t="s">
        <v>131</v>
      </c>
      <c r="I650" s="5" t="s">
        <v>131</v>
      </c>
      <c r="J650" s="5" t="s">
        <v>311</v>
      </c>
      <c r="K650" s="5" t="s">
        <v>138</v>
      </c>
    </row>
    <row r="651" spans="1:11" x14ac:dyDescent="0.25">
      <c r="A651" s="5" t="s">
        <v>1502</v>
      </c>
      <c r="B651" s="5" t="s">
        <v>1503</v>
      </c>
      <c r="C651" s="5" t="s">
        <v>141</v>
      </c>
      <c r="D651" s="5" t="s">
        <v>142</v>
      </c>
      <c r="E651" s="5" t="s">
        <v>134</v>
      </c>
      <c r="F651" s="5" t="s">
        <v>131</v>
      </c>
      <c r="G651" s="5" t="s">
        <v>131</v>
      </c>
      <c r="H651" s="5" t="s">
        <v>131</v>
      </c>
      <c r="I651" s="5" t="s">
        <v>131</v>
      </c>
      <c r="J651" s="5" t="s">
        <v>1504</v>
      </c>
      <c r="K651" s="5" t="s">
        <v>138</v>
      </c>
    </row>
    <row r="652" spans="1:11" x14ac:dyDescent="0.25">
      <c r="A652" s="5" t="s">
        <v>1505</v>
      </c>
      <c r="B652" s="5" t="s">
        <v>1506</v>
      </c>
      <c r="C652" s="5" t="s">
        <v>141</v>
      </c>
      <c r="D652" s="5" t="s">
        <v>142</v>
      </c>
      <c r="E652" s="5" t="s">
        <v>134</v>
      </c>
      <c r="F652" s="5" t="s">
        <v>131</v>
      </c>
      <c r="G652" s="5" t="s">
        <v>131</v>
      </c>
      <c r="H652" s="5" t="s">
        <v>131</v>
      </c>
      <c r="I652" s="5" t="s">
        <v>131</v>
      </c>
      <c r="J652" s="5" t="s">
        <v>1443</v>
      </c>
      <c r="K652" s="5" t="s">
        <v>138</v>
      </c>
    </row>
    <row r="653" spans="1:11" x14ac:dyDescent="0.25">
      <c r="A653" s="5" t="s">
        <v>1507</v>
      </c>
      <c r="B653" s="5" t="s">
        <v>1508</v>
      </c>
      <c r="C653" s="5" t="s">
        <v>141</v>
      </c>
      <c r="D653" s="5" t="s">
        <v>142</v>
      </c>
      <c r="E653" s="5" t="s">
        <v>134</v>
      </c>
      <c r="F653" s="5" t="s">
        <v>131</v>
      </c>
      <c r="G653" s="5" t="s">
        <v>131</v>
      </c>
      <c r="H653" s="5" t="s">
        <v>131</v>
      </c>
      <c r="I653" s="5" t="s">
        <v>131</v>
      </c>
      <c r="J653" s="5" t="s">
        <v>143</v>
      </c>
      <c r="K653" s="5" t="s">
        <v>138</v>
      </c>
    </row>
    <row r="654" spans="1:11" x14ac:dyDescent="0.25">
      <c r="A654" s="5" t="s">
        <v>1509</v>
      </c>
      <c r="B654" s="5" t="s">
        <v>1510</v>
      </c>
      <c r="C654" s="5" t="s">
        <v>141</v>
      </c>
      <c r="D654" s="5" t="s">
        <v>142</v>
      </c>
      <c r="E654" s="5" t="s">
        <v>134</v>
      </c>
      <c r="F654" s="5" t="s">
        <v>131</v>
      </c>
      <c r="G654" s="5" t="s">
        <v>131</v>
      </c>
      <c r="H654" s="5" t="s">
        <v>131</v>
      </c>
      <c r="I654" s="5" t="s">
        <v>131</v>
      </c>
      <c r="J654" s="5" t="s">
        <v>1511</v>
      </c>
      <c r="K654" s="5" t="s">
        <v>138</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Fund 0001 Journal Entries</vt:lpstr>
      <vt:lpstr>Department Note Disclosure</vt:lpstr>
      <vt:lpstr>SBITA Liabilities</vt:lpstr>
      <vt:lpstr>Check Figures </vt:lpstr>
      <vt:lpstr>Drop Down Menus</vt:lpstr>
      <vt:lpstr>GAAP02Aindex</vt:lpstr>
      <vt:lpstr>'Department Note Disclosure'!Print_Area</vt:lpstr>
      <vt:lpstr>'Fund 0001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Lam, Samantha</cp:lastModifiedBy>
  <cp:lastPrinted>2024-09-06T16:58:18Z</cp:lastPrinted>
  <dcterms:created xsi:type="dcterms:W3CDTF">2023-03-08T17:19:33Z</dcterms:created>
  <dcterms:modified xsi:type="dcterms:W3CDTF">2025-02-26T21:51:46Z</dcterms:modified>
</cp:coreProperties>
</file>