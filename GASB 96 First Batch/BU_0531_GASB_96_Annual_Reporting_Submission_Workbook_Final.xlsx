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66F21D64-19A5-45F9-8C71-7B7F6FF6DD7B}" xr6:coauthVersionLast="47" xr6:coauthVersionMax="47" xr10:uidLastSave="{00000000-0000-0000-0000-000000000000}"/>
  <bookViews>
    <workbookView xWindow="39150" yWindow="-110" windowWidth="38620" windowHeight="21220" xr2:uid="{00000000-000D-0000-FFFF-FFFF00000000}"/>
  </bookViews>
  <sheets>
    <sheet name="Fund 9745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9745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2" l="1"/>
  <c r="K38" i="2" l="1"/>
  <c r="J51" i="2" l="1"/>
  <c r="N18" i="4" l="1"/>
  <c r="F10" i="4"/>
  <c r="K19" i="2"/>
  <c r="K18" i="2"/>
  <c r="J15" i="2"/>
  <c r="K94" i="2" s="1"/>
  <c r="S21" i="2"/>
  <c r="S19" i="2"/>
  <c r="S18" i="2"/>
  <c r="S17" i="2"/>
  <c r="S15" i="2"/>
  <c r="L57" i="2"/>
  <c r="L50" i="2" l="1"/>
  <c r="K96" i="2" l="1"/>
  <c r="J14" i="4"/>
  <c r="H18" i="4"/>
  <c r="H14" i="4"/>
  <c r="H10" i="4"/>
  <c r="L84" i="9" l="1"/>
  <c r="L74" i="9"/>
  <c r="L64" i="9"/>
  <c r="H34" i="9"/>
  <c r="H86" i="9" s="1"/>
  <c r="J34" i="9"/>
  <c r="H85" i="9" s="1"/>
  <c r="J25" i="9"/>
  <c r="H75" i="9" s="1"/>
  <c r="H25" i="9"/>
  <c r="H76" i="9" s="1"/>
  <c r="H17" i="9"/>
  <c r="H66" i="9" s="1"/>
  <c r="J17" i="9"/>
  <c r="H65" i="9" s="1"/>
  <c r="K97" i="2"/>
  <c r="K46" i="2"/>
  <c r="K95" i="2" s="1"/>
  <c r="J10" i="4" l="1"/>
  <c r="J18" i="4"/>
  <c r="Q20" i="2"/>
  <c r="P16" i="2"/>
  <c r="J16" i="2" l="1"/>
  <c r="S16" i="2"/>
  <c r="K20" i="2"/>
  <c r="S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<sst xmlns="http://schemas.openxmlformats.org/spreadsheetml/2006/main" count="7631" uniqueCount="1656">
  <si>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</si>
  <si>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</si>
  <si>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</si>
  <si>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</si>
  <si>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</si>
  <si>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</si>
  <si>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</si>
  <si>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</si>
  <si>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</si>
  <si>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</si>
  <si>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</si>
  <si>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</si>
  <si>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</si>
  <si>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</si>
  <si>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</si>
  <si>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</si>
  <si>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</si>
  <si>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</si>
  <si>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</si>
  <si>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</si>
  <si>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</si>
  <si>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</si>
  <si>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</si>
  <si>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</si>
  <si>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</si>
  <si>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</si>
  <si>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</si>
  <si>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</si>
  <si>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</si>
  <si>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</si>
  <si>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</si>
  <si>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</si>
  <si>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</si>
  <si>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</si>
  <si>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</si>
  <si>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</si>
  <si>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</si>
  <si>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</si>
  <si>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</si>
  <si>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</si>
  <si>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</si>
  <si>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</si>
  <si>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</si>
  <si>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</si>
  <si>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</si>
  <si>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</si>
  <si>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</si>
  <si>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</si>
  <si>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</si>
  <si>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</si>
  <si>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</si>
  <si>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</si>
  <si>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</si>
  <si>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</si>
  <si>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</si>
  <si>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</si>
  <si>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</si>
  <si>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</si>
  <si>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</si>
  <si>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</si>
  <si>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</si>
  <si>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</si>
  <si>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</si>
  <si>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</si>
  <si>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</si>
  <si>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</si>
  <si>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</si>
  <si>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</si>
  <si>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</si>
  <si>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</si>
  <si>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</si>
  <si>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</si>
  <si>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</si>
  <si>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</si>
  <si>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</si>
  <si>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</si>
  <si>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</si>
  <si>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</si>
  <si>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</si>
  <si>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</si>
  <si>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</si>
  <si>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</si>
  <si>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</si>
  <si>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</si>
  <si>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</si>
  <si>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</si>
  <si>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</si>
  <si>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</si>
  <si>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</si>
  <si>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</si>
  <si>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</si>
  <si>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</si>
  <si>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</si>
  <si>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</si>
  <si>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</si>
  <si>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</si>
  <si>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</si>
  <si>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</si>
  <si>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</si>
  <si>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</si>
  <si>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</si>
  <si>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</si>
  <si>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</si>
  <si>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</si>
  <si>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</si>
  <si>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</si>
  <si>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</si>
  <si>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</si>
  <si>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</si>
  <si>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</si>
  <si>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</si>
  <si>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</si>
  <si>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</si>
  <si>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</si>
  <si>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</si>
  <si>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</si>
  <si>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</si>
  <si>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</si>
  <si>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</si>
  <si>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</si>
  <si>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</si>
  <si>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</si>
  <si>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</si>
  <si>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</si>
  <si>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</si>
  <si>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</si>
  <si>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</si>
  <si>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</si>
  <si>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</si>
  <si>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</si>
  <si>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</si>
  <si>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</si>
  <si>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</si>
  <si>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</si>
  <si>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</si>
  <si>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</si>
  <si>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</si>
  <si>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</si>
  <si>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</si>
  <si>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</si>
  <si>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</si>
  <si>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</si>
  <si>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</si>
  <si>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</si>
  <si>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</si>
  <si>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</si>
  <si>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</si>
  <si>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</si>
  <si>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</si>
  <si>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</si>
  <si>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</si>
  <si>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</si>
  <si>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</si>
  <si>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</si>
  <si>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</si>
  <si>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</si>
  <si>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</si>
  <si>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</si>
  <si>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</si>
  <si>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</si>
  <si>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</si>
  <si>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</si>
  <si>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</si>
  <si>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</si>
  <si>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</si>
  <si>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</si>
  <si>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</si>
  <si>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</si>
  <si>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</si>
  <si>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</si>
  <si>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</si>
  <si>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</si>
  <si>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</si>
  <si>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</si>
  <si>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</si>
  <si>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</si>
  <si>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</si>
  <si>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</si>
  <si>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</si>
  <si>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</si>
  <si>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</si>
  <si>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</si>
  <si>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</si>
  <si>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</si>
  <si>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</si>
  <si>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</si>
  <si>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</si>
  <si>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</si>
  <si>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</si>
  <si>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</si>
  <si>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</si>
  <si>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</si>
  <si>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</si>
  <si>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</si>
  <si>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</si>
  <si>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</si>
  <si>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</si>
  <si>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</si>
  <si>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</si>
  <si>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</si>
  <si>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</si>
  <si>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</si>
  <si>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</si>
  <si>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</si>
  <si>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</si>
  <si>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</si>
  <si>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</si>
  <si>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</si>
  <si>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</si>
  <si>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</si>
  <si>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</si>
  <si>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</si>
  <si>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</si>
  <si>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</si>
  <si>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</si>
  <si>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</si>
  <si>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</si>
  <si>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</si>
  <si>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</si>
  <si>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</si>
  <si>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</si>
  <si>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</si>
  <si>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</si>
  <si>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</si>
  <si>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</si>
  <si>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</si>
  <si>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</si>
  <si>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</si>
  <si>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</si>
  <si>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</si>
  <si>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</si>
  <si>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</si>
  <si>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</si>
  <si>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</si>
  <si>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</si>
  <si>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</si>
  <si>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</si>
  <si>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</si>
  <si>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</si>
  <si>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</si>
  <si>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</si>
  <si>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</si>
  <si>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</si>
  <si>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</si>
  <si>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</si>
  <si>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</si>
  <si>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</si>
  <si>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</si>
  <si>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</si>
  <si>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</si>
  <si>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</si>
  <si>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</si>
  <si>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</si>
  <si>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</si>
  <si>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</si>
  <si>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</si>
  <si>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</si>
  <si>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</si>
  <si>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</si>
  <si>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</si>
  <si>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</si>
  <si>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</si>
  <si>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</si>
  <si>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</si>
  <si>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</si>
  <si>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</si>
  <si>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</si>
  <si>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</si>
  <si>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</si>
  <si>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</si>
  <si>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</si>
  <si>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</si>
  <si>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</si>
  <si>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</si>
  <si>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</si>
  <si>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</si>
  <si>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</si>
  <si>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</si>
  <si>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</si>
  <si>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</si>
  <si>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</si>
  <si>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</si>
  <si>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</si>
  <si>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</si>
  <si>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</si>
  <si>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</si>
  <si>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</si>
  <si>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</si>
  <si>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</si>
  <si>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</si>
  <si>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</si>
  <si>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</si>
  <si>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</si>
  <si>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</si>
  <si>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</si>
  <si>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</si>
  <si>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</si>
  <si>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</si>
  <si>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</si>
  <si>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</si>
  <si>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</si>
  <si>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</si>
  <si>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</si>
  <si>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</si>
  <si>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</si>
  <si>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</si>
  <si>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</si>
  <si>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</si>
  <si>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</si>
  <si>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</si>
  <si>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</si>
  <si>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</si>
  <si>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</si>
  <si>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</si>
  <si>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</si>
  <si>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</si>
  <si>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</si>
  <si>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</si>
  <si>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</si>
  <si>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</si>
  <si>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</si>
  <si>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</si>
  <si>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</si>
  <si>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</si>
  <si>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</si>
  <si>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</si>
  <si>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</si>
  <si>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</si>
  <si>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</si>
  <si>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</si>
  <si>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</si>
  <si>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</si>
  <si>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</si>
  <si>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</si>
  <si>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</si>
  <si>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</si>
  <si>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</si>
  <si>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</si>
  <si>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</si>
  <si>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</si>
  <si>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</si>
  <si>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</si>
  <si>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</si>
  <si>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</si>
  <si>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</si>
  <si>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</si>
  <si>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</si>
  <si>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</si>
  <si>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</si>
  <si>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</si>
  <si>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</si>
  <si>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</si>
  <si>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</si>
  <si>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</si>
  <si>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</si>
  <si>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</si>
  <si>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</si>
  <si>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</si>
  <si>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</si>
  <si>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</si>
  <si>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</si>
  <si>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</si>
  <si>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</si>
  <si>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</si>
  <si>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</si>
  <si>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</si>
  <si>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</si>
  <si>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</si>
  <si>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</si>
  <si>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</si>
  <si>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</si>
  <si>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</si>
  <si>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</si>
  <si>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</si>
  <si>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</si>
  <si>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</si>
  <si>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</si>
  <si>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</si>
  <si>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</si>
  <si>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</si>
  <si>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</si>
  <si>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</si>
  <si>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</si>
  <si>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</si>
  <si>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</si>
  <si>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</si>
  <si>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</si>
  <si>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</si>
  <si>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</si>
  <si>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</si>
  <si>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</si>
  <si>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</si>
  <si>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</si>
  <si>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</si>
  <si>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</si>
  <si>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</si>
  <si>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</si>
  <si>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</si>
  <si>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</si>
  <si>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</si>
  <si>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</si>
  <si>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</si>
  <si>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</si>
  <si>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</si>
  <si>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</si>
  <si>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</si>
  <si>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</si>
  <si>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</si>
  <si>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</si>
  <si>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</si>
  <si>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</si>
  <si>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</si>
  <si>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</si>
  <si>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</si>
  <si>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</si>
  <si>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</si>
  <si>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</si>
  <si>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</si>
  <si>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</si>
  <si>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</si>
  <si>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</si>
  <si>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</si>
  <si>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</si>
  <si>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</si>
  <si>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</si>
  <si>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</si>
  <si>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</si>
  <si>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</si>
  <si>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</si>
  <si>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</si>
  <si>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</si>
  <si>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</si>
  <si>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</si>
  <si>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</si>
  <si>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</si>
  <si>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</si>
  <si>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</si>
  <si>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</si>
  <si>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</si>
  <si>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</si>
  <si>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</si>
  <si>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</si>
  <si>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</si>
  <si>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</si>
  <si>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</si>
  <si>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</si>
  <si>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</si>
  <si>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</si>
  <si>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</si>
  <si>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</si>
  <si>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</si>
  <si>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</si>
  <si>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</si>
  <si>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</si>
  <si>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</si>
  <si>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</si>
  <si>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</si>
  <si>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</si>
  <si>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</si>
  <si>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</si>
  <si>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</si>
  <si>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</si>
  <si>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</si>
  <si>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</si>
  <si>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</si>
  <si>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</si>
  <si>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</si>
  <si>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</si>
  <si>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</si>
  <si>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</si>
  <si>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</si>
  <si>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</si>
  <si>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</si>
  <si>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</si>
  <si>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</si>
  <si>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</si>
  <si>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</si>
  <si>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</si>
  <si>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</si>
  <si>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</si>
  <si>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</si>
  <si>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</si>
  <si>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</si>
  <si>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</si>
  <si>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</si>
  <si>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</si>
  <si>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</si>
  <si>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</si>
  <si>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</si>
  <si>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</si>
  <si>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</si>
  <si>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</si>
  <si>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</si>
  <si>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</si>
  <si>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</si>
  <si>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</si>
  <si>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</si>
  <si>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</si>
  <si>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</si>
  <si>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</si>
  <si>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</si>
  <si>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</si>
  <si>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</si>
  <si>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</si>
  <si>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</si>
  <si>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</si>
  <si>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</si>
  <si>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</si>
  <si>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</si>
  <si>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</si>
  <si>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</si>
  <si>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</si>
  <si>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</si>
  <si>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</si>
  <si>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</si>
  <si>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</si>
  <si>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</si>
  <si>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</si>
  <si>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</si>
  <si>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</si>
  <si>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</si>
  <si>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</si>
  <si>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</si>
  <si>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</si>
  <si>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</si>
  <si>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</si>
  <si>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</si>
  <si>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</si>
  <si>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</si>
  <si>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</si>
  <si>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</si>
  <si>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</si>
  <si>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</si>
  <si>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</si>
  <si>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</si>
  <si>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</si>
  <si>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</si>
  <si>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</si>
  <si>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</si>
  <si>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</si>
  <si>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</si>
  <si>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</si>
  <si>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</si>
  <si>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</si>
  <si>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</si>
  <si>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</si>
  <si>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</si>
  <si>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</si>
  <si>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</si>
  <si>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</si>
  <si>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</si>
  <si>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</si>
  <si>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</si>
  <si>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</si>
  <si>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</si>
  <si>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</si>
  <si>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</si>
  <si>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</si>
  <si>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</si>
  <si>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</si>
  <si>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</si>
  <si>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</si>
  <si>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</si>
  <si>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</si>
  <si>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</si>
  <si>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</si>
  <si>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</si>
  <si>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</si>
  <si>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</si>
  <si>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</si>
  <si>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</si>
  <si>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</si>
  <si>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</si>
  <si>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</si>
  <si>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</si>
  <si>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</si>
  <si>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</si>
  <si>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</si>
  <si>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</si>
  <si>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</si>
  <si>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</si>
  <si>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</si>
  <si>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</si>
  <si>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</si>
  <si>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</si>
  <si>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</si>
  <si>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</si>
  <si>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</si>
  <si>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</si>
  <si>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</si>
  <si>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</si>
  <si>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</si>
  <si>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</si>
  <si>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</si>
  <si>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</si>
  <si>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</si>
  <si>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</si>
  <si>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</si>
  <si>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</si>
  <si>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</si>
  <si>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</si>
  <si>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</si>
  <si>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</si>
  <si>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</si>
  <si>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</si>
  <si>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</si>
  <si>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</si>
  <si>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</si>
  <si>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</si>
  <si>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</si>
  <si>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</si>
  <si>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</si>
  <si>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</si>
  <si>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</si>
  <si>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</si>
  <si>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</si>
  <si>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</si>
  <si>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</si>
  <si>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</si>
  <si>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</si>
  <si>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</si>
  <si>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</si>
  <si>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</si>
  <si>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</si>
  <si>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</si>
  <si>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</si>
  <si>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</si>
  <si>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</si>
  <si>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</si>
  <si>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</si>
  <si>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</si>
  <si>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</si>
  <si>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</si>
  <si>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</si>
  <si>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</si>
  <si>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</si>
  <si>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</si>
  <si>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</si>
  <si>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</si>
  <si>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</si>
  <si>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</si>
  <si>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</si>
  <si>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</si>
  <si>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</si>
  <si>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</si>
  <si>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</si>
  <si>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</si>
  <si>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</si>
  <si>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</si>
  <si>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</si>
  <si>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</si>
  <si>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</si>
  <si>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</si>
  <si>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</si>
  <si>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</si>
  <si>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</si>
  <si>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</si>
  <si>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</si>
  <si>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</si>
  <si>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</si>
  <si>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</si>
  <si>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</si>
  <si>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</si>
  <si>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</si>
  <si>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</si>
  <si>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</si>
  <si>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</si>
  <si>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</si>
  <si>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</si>
  <si>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</si>
  <si>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</si>
  <si>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</si>
  <si>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</si>
  <si>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</si>
  <si>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</si>
  <si>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</si>
  <si>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</si>
  <si>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</si>
  <si>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</si>
  <si>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</si>
  <si>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</si>
  <si>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</si>
  <si>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</si>
  <si>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</si>
  <si>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</si>
  <si>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</si>
  <si>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</si>
  <si>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</si>
  <si>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</si>
  <si>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</si>
  <si>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</si>
  <si>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</si>
  <si>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</si>
  <si>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</si>
  <si>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</si>
  <si>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</si>
  <si>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</si>
  <si>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</si>
  <si>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</si>
  <si>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</si>
  <si>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</si>
  <si>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</si>
  <si>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</si>
  <si>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</si>
  <si>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</si>
  <si>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</si>
  <si>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</si>
  <si>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</si>
  <si>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</si>
  <si>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</si>
  <si>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</si>
  <si>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</si>
  <si>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</si>
  <si>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</si>
  <si>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</si>
  <si>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</si>
  <si>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</si>
  <si>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</si>
  <si>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</si>
  <si>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</si>
  <si>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</si>
  <si>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</si>
  <si>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</si>
  <si>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</si>
  <si>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</si>
  <si>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</si>
  <si>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</si>
  <si>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</si>
  <si>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</si>
  <si>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</si>
  <si>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</si>
  <si>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</si>
  <si>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</si>
  <si>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</si>
  <si>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</si>
  <si>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</si>
  <si>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</si>
  <si>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</si>
  <si>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</si>
  <si>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</si>
  <si>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</si>
  <si>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</si>
  <si>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</si>
  <si>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</si>
  <si>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</si>
  <si>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</si>
  <si>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</si>
  <si>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</si>
  <si>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</si>
  <si>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</si>
  <si>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</si>
  <si>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</si>
  <si>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</si>
  <si>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</si>
  <si>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</si>
  <si>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</si>
  <si>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</si>
  <si>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</si>
  <si>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</si>
  <si>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</si>
  <si>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</si>
  <si>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</si>
  <si>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</si>
  <si>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</si>
  <si>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</si>
  <si>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</si>
  <si>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</si>
  <si>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</si>
  <si>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</si>
  <si>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</si>
  <si>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</si>
  <si>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</si>
  <si>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</si>
  <si>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</si>
  <si>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</si>
  <si>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</si>
  <si>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</si>
  <si>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</si>
  <si>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</si>
  <si>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</si>
  <si>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</si>
  <si>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</si>
  <si>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</si>
  <si>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</si>
  <si>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</si>
  <si>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</si>
  <si>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</si>
  <si>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</si>
  <si>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</si>
  <si>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</si>
  <si>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</si>
  <si>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</si>
  <si>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</si>
  <si>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</si>
  <si>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</si>
  <si>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</si>
  <si>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</si>
  <si>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</si>
  <si>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</si>
  <si>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</si>
  <si>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</si>
  <si>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</si>
  <si>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</si>
  <si>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</si>
  <si>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</si>
  <si>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</si>
  <si>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</si>
  <si>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</si>
  <si>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</si>
  <si>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</si>
  <si>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</si>
  <si>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</si>
  <si>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</si>
  <si>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</si>
  <si>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</si>
  <si>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</si>
  <si>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</si>
  <si>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</si>
  <si>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</si>
  <si>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</si>
  <si>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</si>
  <si>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</si>
  <si>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</si>
  <si>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</si>
  <si>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</si>
  <si>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</si>
  <si>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</si>
  <si>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</si>
  <si>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</si>
  <si>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</si>
  <si>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</si>
  <si>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</si>
  <si>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</si>
  <si>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</si>
  <si>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</si>
  <si>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</si>
  <si>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</si>
  <si>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</si>
  <si>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</si>
  <si>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</si>
  <si>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</si>
  <si>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</si>
  <si>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</si>
  <si>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</si>
  <si>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</si>
  <si>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</si>
  <si>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</si>
  <si>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</si>
  <si>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</si>
  <si>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</si>
  <si>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</si>
  <si>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</si>
  <si>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</si>
  <si>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</si>
  <si>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</si>
  <si>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</si>
  <si>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</si>
  <si>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</si>
  <si>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</si>
  <si>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</si>
  <si>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</si>
  <si>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</si>
  <si>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</si>
  <si>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</si>
  <si>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</si>
  <si>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</si>
  <si>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</si>
  <si>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</si>
  <si>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</si>
  <si>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</si>
  <si>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</si>
  <si>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</si>
  <si>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</si>
  <si>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</si>
  <si>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</si>
  <si>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</si>
  <si>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</si>
  <si>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</si>
  <si>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</si>
  <si>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</si>
  <si>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</si>
  <si>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</si>
  <si>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</si>
  <si>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</si>
  <si>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</si>
  <si>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</si>
  <si>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</si>
  <si>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</si>
  <si>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</si>
  <si>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</si>
  <si>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</si>
  <si>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</si>
  <si>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</si>
  <si>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</si>
  <si>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</si>
  <si>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</si>
  <si>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</si>
  <si>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</si>
  <si>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</si>
  <si>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</si>
  <si>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</si>
  <si>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</si>
  <si>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</si>
  <si>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</si>
  <si>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</si>
  <si>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</si>
  <si>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</si>
  <si>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</si>
  <si>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</si>
  <si>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</si>
  <si>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</si>
  <si>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</si>
  <si>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</si>
  <si>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</si>
  <si>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</si>
  <si>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</si>
  <si>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</si>
  <si>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</si>
  <si>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</si>
  <si>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</si>
  <si>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</si>
  <si>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</si>
  <si>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</si>
  <si>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</si>
  <si>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</si>
  <si>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</si>
  <si>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</si>
  <si>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</si>
  <si>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</si>
  <si>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</si>
  <si>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</si>
  <si>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</si>
  <si>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</si>
  <si>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</si>
  <si>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</si>
  <si>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</si>
  <si>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</si>
  <si>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</si>
  <si>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</si>
  <si>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</si>
  <si>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</si>
  <si>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</si>
  <si>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</si>
  <si>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</si>
  <si>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</si>
  <si>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</si>
  <si>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</si>
  <si>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</si>
  <si>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</si>
  <si>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</si>
  <si>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</si>
  <si>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</si>
  <si>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</si>
  <si>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</si>
  <si>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</si>
  <si>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</si>
  <si>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</si>
  <si>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</si>
  <si>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</si>
  <si>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</si>
  <si>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</si>
  <si>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</si>
  <si>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</si>
  <si>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</si>
  <si>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</si>
  <si>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</si>
  <si>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</si>
  <si>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</si>
  <si>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</si>
  <si>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</si>
  <si>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</si>
  <si>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</si>
  <si>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</si>
  <si>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</si>
  <si>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</si>
  <si>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</si>
  <si>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</si>
  <si>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</si>
  <si>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</si>
  <si>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</si>
  <si>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</si>
  <si>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</si>
  <si>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</si>
  <si>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</si>
  <si>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</si>
  <si>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</si>
  <si>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</si>
  <si>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</si>
  <si>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</si>
  <si>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</si>
  <si>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</si>
  <si>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</si>
  <si>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</si>
  <si>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</si>
  <si>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</si>
  <si>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</si>
  <si>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</si>
  <si>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</si>
  <si>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</si>
  <si>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</si>
  <si>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</si>
  <si>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</si>
  <si>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</si>
  <si>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</si>
  <si>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</si>
  <si>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</si>
  <si>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</si>
  <si>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</si>
  <si>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</si>
  <si>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</si>
  <si>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</si>
  <si>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</si>
  <si>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</si>
  <si>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</si>
  <si>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</si>
  <si>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</si>
  <si>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</si>
  <si>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</si>
  <si>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</si>
  <si>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</si>
  <si>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</si>
  <si>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</si>
  <si>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</si>
  <si>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</si>
  <si>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</si>
  <si>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</si>
  <si>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</si>
  <si>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</si>
  <si>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</si>
  <si>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</si>
  <si>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</si>
  <si>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</si>
  <si>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</si>
  <si>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</si>
  <si>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</si>
  <si>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</si>
  <si>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</si>
  <si>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</si>
  <si>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</si>
  <si>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</si>
  <si>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</si>
  <si>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</si>
  <si>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</si>
  <si>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</si>
  <si>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</si>
  <si>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</si>
  <si>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</si>
  <si>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</si>
  <si>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</si>
  <si>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</si>
  <si>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</si>
  <si>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</si>
  <si>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</si>
  <si>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</si>
  <si>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</si>
  <si>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</si>
  <si>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</si>
  <si>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</si>
  <si>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</si>
  <si>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</si>
  <si>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</si>
  <si>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</si>
  <si>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</si>
  <si>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</si>
  <si>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</si>
  <si>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</si>
  <si>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</si>
  <si>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</si>
  <si>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</si>
  <si>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</si>
  <si>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</si>
  <si>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</si>
  <si>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</si>
  <si>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</si>
  <si>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</si>
  <si>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</si>
  <si>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</si>
  <si>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</si>
  <si>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</si>
  <si>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</si>
  <si>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</si>
  <si>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</si>
  <si>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</si>
  <si>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</si>
  <si>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</si>
  <si>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</si>
  <si>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</si>
  <si>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</si>
  <si>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</si>
  <si>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</si>
  <si>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</si>
  <si>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</si>
  <si>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</si>
  <si>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</si>
  <si>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</si>
  <si>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</si>
  <si>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</si>
  <si>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</si>
  <si>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</si>
  <si>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</si>
  <si>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</si>
  <si>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</si>
  <si>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</si>
  <si>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</si>
  <si>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</si>
  <si>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</si>
  <si>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</si>
  <si>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</si>
  <si>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</si>
  <si>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</si>
  <si>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</si>
  <si>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</si>
  <si>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</si>
  <si>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</si>
  <si>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</si>
  <si>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</si>
  <si>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</si>
  <si>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</si>
  <si>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</si>
  <si>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</si>
  <si>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</si>
  <si>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</si>
  <si>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</si>
  <si>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</si>
  <si>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</si>
  <si>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</si>
  <si>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</si>
  <si>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</si>
  <si>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</si>
  <si>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</si>
  <si>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</si>
  <si>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</si>
  <si>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</si>
  <si>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</si>
  <si>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</si>
  <si>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</si>
  <si>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</si>
  <si>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</si>
  <si>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</si>
  <si>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</si>
  <si>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</si>
  <si>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</si>
  <si>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</si>
  <si>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</si>
  <si>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</si>
  <si>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</si>
  <si>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</si>
  <si>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</si>
  <si>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</si>
  <si>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</si>
  <si>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</si>
  <si>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</si>
  <si>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</si>
  <si>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</si>
  <si>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</si>
  <si>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</si>
  <si>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</si>
  <si>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</si>
  <si>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</si>
  <si>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</si>
  <si>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</si>
  <si>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</si>
  <si>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</si>
  <si>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</si>
  <si>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</si>
  <si>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</si>
  <si>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</si>
  <si>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</si>
  <si>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</si>
  <si>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</si>
  <si>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</si>
  <si>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</si>
  <si>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</si>
  <si>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</si>
  <si>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</si>
  <si>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</si>
  <si>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</si>
  <si>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</si>
  <si>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</si>
  <si>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</si>
  <si>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</si>
  <si>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</si>
  <si>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</si>
  <si>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</si>
  <si>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</si>
  <si>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</si>
  <si>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</si>
  <si>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</si>
  <si>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</si>
  <si>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</si>
  <si>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</si>
  <si>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</si>
  <si>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</si>
  <si>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</si>
  <si>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</si>
  <si>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</si>
  <si>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</si>
  <si>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</si>
  <si>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</si>
  <si>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</si>
  <si>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</si>
  <si>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</si>
  <si>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</si>
  <si>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</si>
  <si>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</si>
  <si>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</si>
  <si>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</si>
  <si>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</si>
  <si>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</si>
  <si>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</si>
  <si>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</si>
  <si>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</si>
  <si>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</si>
  <si>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</si>
  <si>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</si>
  <si>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</si>
  <si>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</si>
  <si>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</si>
  <si>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</si>
  <si>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</si>
  <si>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</si>
  <si>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</si>
  <si>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</si>
  <si>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</si>
  <si>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</si>
  <si>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</si>
  <si>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</si>
  <si>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</si>
  <si>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</si>
  <si>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</si>
  <si>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</si>
  <si>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</si>
  <si>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</si>
  <si>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</si>
  <si>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</si>
  <si>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</si>
  <si>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</si>
  <si>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</si>
  <si>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</si>
  <si>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</si>
  <si>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</si>
  <si>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</si>
  <si>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</si>
  <si>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</si>
  <si>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</si>
  <si>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</si>
  <si>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</si>
  <si>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</si>
  <si>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</si>
  <si>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</si>
  <si>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</si>
  <si>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</si>
  <si>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</si>
  <si>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</si>
  <si>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</si>
  <si>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</si>
  <si>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</si>
  <si>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</si>
  <si>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</si>
  <si>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</si>
  <si>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</si>
  <si>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</si>
  <si>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</si>
  <si>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</si>
  <si>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</si>
  <si>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</si>
  <si>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</si>
  <si>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</si>
  <si>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</si>
  <si>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</si>
  <si>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</si>
  <si>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</si>
  <si>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</si>
  <si>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</si>
  <si>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</si>
  <si>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</si>
  <si>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</si>
  <si>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</si>
  <si>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</si>
  <si>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</si>
  <si>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</si>
  <si>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</si>
  <si>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</si>
  <si>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</si>
  <si>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</si>
  <si>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</si>
  <si>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</si>
  <si>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</si>
  <si>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</si>
  <si>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</si>
  <si>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</si>
  <si>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</si>
  <si>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</si>
  <si>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</si>
  <si>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</si>
  <si>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</si>
  <si>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</si>
  <si>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</si>
  <si>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</si>
  <si>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</si>
  <si>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</si>
  <si>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</si>
  <si>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</si>
  <si>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</si>
  <si>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</si>
  <si>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</si>
  <si>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</si>
  <si>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</si>
  <si>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</si>
  <si>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</si>
  <si>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</si>
  <si>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</si>
  <si>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</si>
  <si>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</si>
  <si>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</si>
  <si>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</si>
  <si>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</si>
  <si>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</si>
  <si>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</si>
  <si>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</si>
  <si>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</si>
  <si>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</si>
  <si>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</si>
  <si>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</si>
  <si>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</si>
  <si>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</si>
  <si>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</si>
  <si>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</si>
  <si>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</si>
  <si>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</si>
  <si>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</si>
  <si>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</si>
  <si>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</si>
  <si>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</si>
  <si>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</si>
  <si>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</si>
  <si>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</si>
  <si>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</si>
  <si>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</si>
  <si>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</si>
  <si>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</si>
  <si>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</si>
  <si>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</si>
  <si>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</si>
  <si>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</si>
  <si>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</si>
  <si>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</si>
  <si>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</si>
  <si>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</si>
  <si>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</si>
  <si>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</si>
  <si>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</si>
  <si>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</si>
  <si>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</si>
  <si>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</si>
  <si>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</si>
  <si>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</si>
  <si>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</si>
  <si>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</si>
  <si>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</si>
  <si>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</si>
  <si>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</si>
  <si>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</si>
  <si>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</si>
  <si>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</si>
  <si>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</si>
  <si>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</si>
  <si>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</si>
  <si>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</si>
  <si>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</si>
  <si>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</si>
  <si>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</si>
  <si>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</si>
  <si>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</si>
  <si>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</si>
  <si>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</si>
  <si>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</si>
  <si>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</si>
  <si>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</si>
  <si>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</si>
  <si>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</si>
  <si>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</si>
  <si>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</si>
  <si>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</si>
  <si>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</si>
  <si>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</si>
  <si>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</si>
  <si>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</si>
  <si>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</si>
  <si>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</si>
  <si>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</si>
  <si>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</si>
  <si>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</si>
  <si>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</si>
  <si>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</si>
  <si>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</si>
  <si>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</si>
  <si>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</si>
  <si>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</si>
  <si>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</si>
  <si>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</si>
  <si>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</si>
  <si>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</si>
  <si>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</si>
  <si>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</si>
  <si>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</si>
  <si>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</si>
  <si>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</si>
  <si>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</si>
  <si>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</si>
  <si>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</si>
  <si>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</si>
  <si>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</si>
  <si>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</si>
  <si>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</si>
  <si>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</si>
  <si>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</si>
  <si>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</si>
  <si>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</si>
  <si>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</si>
  <si>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</si>
  <si>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</si>
  <si>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</si>
  <si>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</si>
  <si>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</si>
  <si>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</si>
  <si>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</si>
  <si>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</si>
  <si>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</si>
  <si>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</si>
  <si>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</si>
  <si>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</si>
  <si>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</si>
  <si>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</si>
  <si>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</si>
  <si>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</si>
  <si>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</si>
  <si>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</si>
  <si>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</si>
  <si>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</si>
  <si>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</si>
  <si>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</si>
  <si>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</si>
  <si>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</si>
  <si>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</si>
  <si>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</si>
  <si>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</si>
  <si>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</si>
  <si>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</si>
  <si>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</si>
  <si>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</si>
  <si>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</si>
  <si>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</si>
  <si>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</si>
  <si>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</si>
  <si>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</si>
  <si>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</si>
  <si>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</si>
  <si>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</si>
  <si>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</si>
  <si>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</si>
  <si>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</si>
  <si>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</si>
  <si>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</si>
  <si>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</si>
  <si>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</si>
  <si>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</si>
  <si>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</si>
  <si>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</si>
  <si>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</si>
  <si>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</si>
  <si>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</si>
  <si>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</si>
  <si>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</si>
  <si>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</si>
  <si>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</si>
  <si>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</si>
  <si>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</si>
  <si>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</si>
  <si>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</si>
  <si>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</si>
  <si>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</si>
  <si>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</si>
  <si>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</si>
  <si>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</si>
  <si>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</si>
  <si>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</si>
  <si>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</si>
  <si>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</si>
  <si>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</si>
  <si>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</si>
  <si>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</si>
  <si>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</si>
  <si>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</si>
  <si>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</si>
  <si>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</si>
  <si>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</si>
  <si>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</si>
  <si>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</si>
  <si>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</si>
  <si>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</si>
  <si>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</si>
  <si>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</si>
  <si>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</si>
  <si>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</si>
  <si>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</si>
  <si>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</si>
  <si>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</si>
  <si>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</si>
  <si>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</si>
  <si>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</si>
  <si>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</si>
  <si>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</si>
  <si>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</si>
  <si>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</si>
  <si>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</si>
  <si>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</si>
  <si>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</si>
  <si>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</si>
  <si>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</si>
  <si>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</si>
  <si>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</si>
  <si>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</si>
  <si>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</si>
  <si>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</si>
  <si>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</si>
  <si>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</si>
  <si>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</si>
  <si>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</si>
  <si>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</si>
  <si>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</si>
  <si>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</si>
  <si>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</si>
  <si>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</si>
  <si>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</si>
  <si>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</si>
  <si>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</si>
  <si>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</si>
  <si>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</si>
  <si>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</si>
  <si>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</si>
  <si>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</si>
  <si>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</si>
  <si>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</si>
  <si>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</si>
  <si>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</si>
  <si>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</si>
  <si>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</si>
  <si>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</si>
  <si>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</si>
  <si>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</si>
  <si>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</si>
  <si>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</si>
  <si>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</si>
  <si>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</si>
  <si>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</si>
  <si>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</si>
  <si>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</si>
  <si>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</si>
  <si>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</si>
  <si>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</si>
  <si>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</si>
  <si>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</si>
  <si>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</si>
  <si>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</si>
  <si>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</si>
  <si>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</si>
  <si>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</si>
  <si>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</si>
  <si>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</si>
  <si>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</si>
  <si>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</si>
  <si>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</si>
  <si>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</si>
  <si>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</si>
  <si>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</si>
  <si>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</si>
  <si>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</si>
  <si>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</si>
  <si>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</si>
  <si>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</si>
  <si>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</si>
  <si>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</si>
  <si>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</si>
  <si>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</si>
  <si>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</si>
  <si>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</si>
  <si>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</si>
  <si>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</si>
  <si>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</si>
  <si>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</si>
  <si>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</si>
  <si>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</si>
  <si>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</si>
  <si>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</si>
  <si>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</si>
  <si>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</si>
  <si>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</si>
  <si>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</si>
  <si>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</si>
  <si>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</si>
  <si>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</si>
  <si>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</si>
  <si>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</si>
  <si>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</si>
  <si>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</si>
  <si>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</si>
  <si>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</si>
  <si>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</si>
  <si>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</si>
  <si>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</si>
  <si>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</si>
  <si>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</si>
  <si>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</si>
  <si>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</si>
  <si>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</si>
  <si>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</si>
  <si>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</si>
  <si>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</si>
  <si>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</si>
  <si>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</si>
  <si>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</si>
  <si>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</si>
  <si>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</si>
  <si>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</si>
  <si>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</si>
  <si>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</si>
  <si>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</si>
  <si>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</si>
  <si>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</si>
  <si>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</si>
  <si>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</si>
  <si>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</si>
  <si>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</si>
  <si>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</si>
  <si>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</si>
  <si>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</si>
  <si>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</si>
  <si>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</si>
  <si>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</si>
  <si>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</si>
  <si>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</si>
  <si>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</si>
  <si>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</si>
  <si>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</si>
  <si>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</si>
  <si>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</si>
  <si>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</si>
  <si>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</si>
  <si>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</si>
  <si>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</si>
  <si>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</si>
  <si>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</si>
  <si>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</si>
  <si>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Office of Technology and Solutions Integration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</si>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</sst>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F4" sqref="F4:I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1601</v>
      </c>
      <c r="B1" s="189"/>
      <c r="C1" s="189"/>
      <c r="D1" s="189"/>
      <c r="E1" s="189"/>
      <c r="F1" s="189"/>
      <c r="G1" s="189"/>
      <c r="H1" s="189"/>
      <c r="I1" s="189"/>
      <c r="J1" s="189"/>
      <c r="K1" s="189"/>
      <c r="L1" s="26"/>
      <c r="M1" s="26"/>
      <c r="N1" s="26"/>
      <c r="O1" s="26"/>
      <c r="P1" s="26"/>
      <c r="Q1" s="26"/>
      <c r="R1" s="26"/>
      <c r="S1" s="26"/>
      <c r="T1" s="26"/>
    </row>
    <row r="2" spans="1:25" ht="18" x14ac:dyDescent="0.25">
      <c r="A2" s="190" t="s">
        <v>1563</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1579</v>
      </c>
      <c r="B4" s="184"/>
      <c r="C4" s="184"/>
      <c r="D4" s="184"/>
      <c r="E4" s="184"/>
      <c r="F4" s="188" t="s">
        <v>1654</v>
      </c>
      <c r="G4" s="188"/>
      <c r="H4" s="188"/>
      <c r="I4" s="188"/>
    </row>
    <row r="5" spans="1:25" ht="15.75" x14ac:dyDescent="0.2">
      <c r="A5" s="184" t="s">
        <v>1595</v>
      </c>
      <c r="B5" s="184"/>
      <c r="C5" s="184"/>
      <c r="D5" s="184"/>
      <c r="E5" s="184"/>
      <c r="F5" s="191" t="s">
        <v>237</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9745</v>
      </c>
      <c r="G6" s="186"/>
      <c r="H6" s="186"/>
      <c r="I6" s="186"/>
      <c r="L6" s="32"/>
      <c r="M6" s="32"/>
      <c r="N6" s="32"/>
      <c r="O6" s="32"/>
      <c r="P6" s="32"/>
      <c r="Q6" s="32"/>
      <c r="R6" s="32"/>
      <c r="S6" s="32"/>
      <c r="T6" s="32"/>
      <c r="U6" s="31"/>
      <c r="V6" s="31"/>
      <c r="X6" s="18"/>
    </row>
    <row r="7" spans="1:25" ht="15.75" x14ac:dyDescent="0.2">
      <c r="A7" s="184" t="s">
        <v>1567</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PROPRIETARY FUND</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1647</v>
      </c>
      <c r="N14" s="194"/>
      <c r="O14" s="37"/>
      <c r="P14" s="193" t="s">
        <v>1631</v>
      </c>
      <c r="Q14" s="194"/>
      <c r="R14" s="39"/>
      <c r="S14" s="40" t="s">
        <v>1632</v>
      </c>
    </row>
    <row r="15" spans="1:25" ht="16.5" customHeight="1" x14ac:dyDescent="0.2">
      <c r="B15" s="181" t="s">
        <v>1573</v>
      </c>
      <c r="C15" s="181"/>
      <c r="D15" s="181"/>
      <c r="E15" s="181"/>
      <c r="F15" s="181"/>
      <c r="G15" s="181"/>
      <c r="H15" s="181"/>
      <c r="I15" s="181"/>
      <c r="J15" s="41">
        <f>ROUND(M15,0)</f>
        <v>12366660</v>
      </c>
      <c r="K15" s="42"/>
      <c r="M15" s="105">
        <v>12366660</v>
      </c>
      <c r="P15" s="105">
        <v>12366660</v>
      </c>
      <c r="S15" s="43">
        <f>M15-P15</f>
        <v>0</v>
      </c>
      <c r="T15" s="44" t="s">
        <v>1633</v>
      </c>
    </row>
    <row r="16" spans="1:25" ht="16.5" customHeight="1" x14ac:dyDescent="0.2">
      <c r="A16" s="45"/>
      <c r="B16" s="181" t="s">
        <v>1581</v>
      </c>
      <c r="C16" s="181"/>
      <c r="D16" s="181"/>
      <c r="E16" s="181"/>
      <c r="F16" s="181"/>
      <c r="G16" s="181"/>
      <c r="H16" s="181"/>
      <c r="I16" s="181"/>
      <c r="J16" s="41">
        <f>ROUND(P16,0)</f>
        <v>0</v>
      </c>
      <c r="K16" s="42"/>
      <c r="M16" s="105"/>
      <c r="P16" s="46">
        <f>IF(SUM($Q$18:$Q$19)&gt;$P$15,SUM($Q$18:$Q$19)-$P$15,0)</f>
        <v>0</v>
      </c>
      <c r="S16" s="43">
        <f>M16-P16</f>
        <v>0</v>
      </c>
      <c r="T16" s="47" t="s">
        <v>1634</v>
      </c>
    </row>
    <row r="17" spans="1:25" ht="16.5" customHeight="1" x14ac:dyDescent="0.2">
      <c r="A17" s="45"/>
      <c r="B17" s="181" t="s">
        <v>1582</v>
      </c>
      <c r="C17" s="181"/>
      <c r="D17" s="181"/>
      <c r="E17" s="181"/>
      <c r="F17" s="181"/>
      <c r="G17" s="181"/>
      <c r="H17" s="181"/>
      <c r="I17" s="181"/>
      <c r="J17" s="41">
        <f>ROUND(IF(SUM($K$18:$K$20)&gt;SUM($J$15:$J$16),SUM($K$18:$K$20)-SUM($J$15:$J$16),0),0)</f>
        <v>0</v>
      </c>
      <c r="K17" s="42"/>
      <c r="M17" s="105"/>
      <c r="P17" s="48"/>
      <c r="S17" s="43">
        <f>M17-P17</f>
        <v>0</v>
      </c>
      <c r="T17" s="47" t="s">
        <v>1634</v>
      </c>
    </row>
    <row r="18" spans="1:25" ht="16.5" customHeight="1" x14ac:dyDescent="0.2">
      <c r="A18" s="45"/>
      <c r="B18" s="20"/>
      <c r="C18" s="181" t="s">
        <v>1580</v>
      </c>
      <c r="D18" s="181"/>
      <c r="E18" s="181"/>
      <c r="F18" s="181"/>
      <c r="G18" s="181"/>
      <c r="H18" s="181"/>
      <c r="I18" s="181"/>
      <c r="J18" s="42"/>
      <c r="K18" s="41">
        <f>ROUND(N18,0)</f>
        <v>7063604</v>
      </c>
      <c r="N18" s="105">
        <v>7063604</v>
      </c>
      <c r="Q18" s="105">
        <v>7063604</v>
      </c>
      <c r="S18" s="43">
        <f>N18-Q18</f>
        <v>0</v>
      </c>
      <c r="T18" s="47" t="s">
        <v>1634</v>
      </c>
    </row>
    <row r="19" spans="1:25" ht="16.5" customHeight="1" x14ac:dyDescent="0.25">
      <c r="A19" s="45"/>
      <c r="B19" s="49"/>
      <c r="C19" s="181" t="s">
        <v>1617</v>
      </c>
      <c r="D19" s="181"/>
      <c r="E19" s="181"/>
      <c r="F19" s="181"/>
      <c r="G19" s="181"/>
      <c r="H19" s="181"/>
      <c r="I19" s="181"/>
      <c r="J19" s="42"/>
      <c r="K19" s="41">
        <f>ROUND(N19,0)</f>
        <v>4632876</v>
      </c>
      <c r="N19" s="105">
        <v>4632876</v>
      </c>
      <c r="Q19" s="105">
        <v>4632876</v>
      </c>
      <c r="S19" s="43">
        <f>N19-Q19</f>
        <v>0</v>
      </c>
      <c r="T19" s="47" t="s">
        <v>1634</v>
      </c>
      <c r="X19" s="18"/>
    </row>
    <row r="20" spans="1:25" ht="16.5" customHeight="1" x14ac:dyDescent="0.25">
      <c r="A20" s="45"/>
      <c r="B20" s="49"/>
      <c r="C20" s="181" t="s">
        <v>1583</v>
      </c>
      <c r="D20" s="181"/>
      <c r="E20" s="181"/>
      <c r="F20" s="181"/>
      <c r="G20" s="181"/>
      <c r="H20" s="181"/>
      <c r="I20" s="181"/>
      <c r="K20" s="41">
        <f>ROUND(Q20,0)</f>
        <v>670180</v>
      </c>
      <c r="N20" s="105">
        <v>670180</v>
      </c>
      <c r="Q20" s="46">
        <f>IF(SUM($Q$18:$Q$19)&lt;$P$15,-SUM($Q$18:$Q$19)+$P$15,0)</f>
        <v>670180</v>
      </c>
      <c r="S20" s="43">
        <f>N20-Q20</f>
        <v>0</v>
      </c>
      <c r="T20" s="47" t="s">
        <v>1634</v>
      </c>
      <c r="Y20" s="19"/>
    </row>
    <row r="21" spans="1:25" ht="16.5" customHeight="1" x14ac:dyDescent="0.25">
      <c r="A21" s="45"/>
      <c r="B21" s="49"/>
      <c r="C21" s="181" t="s">
        <v>1584</v>
      </c>
      <c r="D21" s="181"/>
      <c r="E21" s="181"/>
      <c r="F21" s="181"/>
      <c r="G21" s="181"/>
      <c r="H21" s="181"/>
      <c r="I21" s="181"/>
      <c r="J21" s="42"/>
      <c r="K21" s="41">
        <f>ROUND(IF(SUM($K$18:$K$20)&lt;SUM($J$15:$J$16),-SUM($K$18:$K$20)+SUM($J$15:$J$16),0),0)</f>
        <v>0</v>
      </c>
      <c r="N21" s="105"/>
      <c r="S21" s="43">
        <f>N21-Q21</f>
        <v>0</v>
      </c>
      <c r="T21" s="47" t="s">
        <v>1634</v>
      </c>
      <c r="Y21" s="19"/>
    </row>
    <row r="22" spans="1:25" ht="16.5" customHeight="1" x14ac:dyDescent="0.2">
      <c r="A22" s="45"/>
      <c r="B22" s="50"/>
      <c r="C22" s="50"/>
      <c r="D22" s="50"/>
      <c r="E22" s="50"/>
      <c r="F22" s="50"/>
      <c r="G22" s="50"/>
      <c r="H22" s="50"/>
      <c r="I22" s="50"/>
      <c r="J22" s="51">
        <f>ROUND(SUM(J15:J17),0)</f>
        <v>12366660</v>
      </c>
      <c r="K22" s="51">
        <f>ROUND(SUM(K18:K21),0)</f>
        <v>12366660</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1598</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1599</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1570</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1571</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0870 - SERVICES &amp; CHARGES (MG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1600</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1573</v>
      </c>
      <c r="C34" s="181"/>
      <c r="D34" s="181"/>
      <c r="E34" s="181"/>
      <c r="F34" s="181"/>
      <c r="G34" s="181"/>
      <c r="H34" s="181"/>
      <c r="I34" s="181"/>
      <c r="J34" s="105">
        <v>29927526</v>
      </c>
      <c r="K34" s="67"/>
      <c r="L34" s="37"/>
      <c r="M34" s="37"/>
      <c r="N34" s="37"/>
      <c r="O34" s="37"/>
      <c r="P34" s="37"/>
      <c r="Q34" s="37"/>
      <c r="R34" s="37"/>
      <c r="S34" s="37"/>
      <c r="T34" s="37"/>
    </row>
    <row r="35" spans="1:20" ht="16.5" customHeight="1" x14ac:dyDescent="0.2">
      <c r="B35" s="181" t="s">
        <v>1572</v>
      </c>
      <c r="C35" s="181"/>
      <c r="D35" s="181"/>
      <c r="E35" s="181"/>
      <c r="F35" s="181"/>
      <c r="G35" s="181"/>
      <c r="H35" s="181"/>
      <c r="I35" s="181"/>
      <c r="J35" s="105"/>
      <c r="K35" s="68"/>
    </row>
    <row r="36" spans="1:20" ht="16.5" customHeight="1" x14ac:dyDescent="0.2">
      <c r="A36" s="45"/>
      <c r="B36" s="69"/>
      <c r="C36" s="181" t="s">
        <v>1574</v>
      </c>
      <c r="D36" s="181"/>
      <c r="E36" s="181"/>
      <c r="F36" s="181"/>
      <c r="G36" s="181"/>
      <c r="H36" s="181"/>
      <c r="I36" s="181"/>
      <c r="J36" s="68"/>
      <c r="K36" s="105"/>
    </row>
    <row r="37" spans="1:20" ht="16.5" customHeight="1" x14ac:dyDescent="0.2">
      <c r="A37" s="45"/>
      <c r="C37" s="181" t="s">
        <v>1617</v>
      </c>
      <c r="D37" s="181"/>
      <c r="E37" s="181"/>
      <c r="F37" s="181"/>
      <c r="G37" s="181"/>
      <c r="H37" s="181"/>
      <c r="I37" s="181"/>
      <c r="J37" s="68"/>
      <c r="K37" s="105">
        <v>20093926</v>
      </c>
    </row>
    <row r="38" spans="1:20" ht="16.5" customHeight="1" x14ac:dyDescent="0.25">
      <c r="A38" s="45"/>
      <c r="B38" s="49"/>
      <c r="C38" s="181" t="str">
        <f>VLOOKUP($F$8,'Drop Down Menus'!$D$2:$G$10,4,FALSE)</f>
        <v>Cr: Acct 0870 - SERVICES &amp; CHARGES (MG ADJ)</v>
      </c>
      <c r="D38" s="181"/>
      <c r="E38" s="181"/>
      <c r="F38" s="181"/>
      <c r="G38" s="181"/>
      <c r="H38" s="181"/>
      <c r="I38" s="181"/>
      <c r="J38" s="68"/>
      <c r="K38" s="105">
        <f>J34-K37</f>
        <v>9833600</v>
      </c>
    </row>
    <row r="39" spans="1:20" ht="16.5" customHeight="1" x14ac:dyDescent="0.2">
      <c r="A39" s="45"/>
      <c r="B39" s="70"/>
      <c r="C39" s="70"/>
      <c r="D39" s="70"/>
      <c r="E39" s="70"/>
      <c r="F39" s="70"/>
      <c r="G39" s="70"/>
      <c r="H39" s="70"/>
      <c r="I39" s="70"/>
      <c r="J39" s="51">
        <f>ROUND(SUM(J34:J35),2)</f>
        <v>29927526</v>
      </c>
      <c r="K39" s="51">
        <f>ROUND(SUM(K36:K38),2)</f>
        <v>29927526</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1602</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1585</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1620</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1575</v>
      </c>
      <c r="C45" s="181"/>
      <c r="D45" s="181"/>
      <c r="E45" s="181"/>
      <c r="F45" s="181"/>
      <c r="G45" s="181"/>
      <c r="H45" s="181"/>
      <c r="I45" s="181"/>
      <c r="J45" s="105">
        <v>15854337</v>
      </c>
      <c r="K45" s="78"/>
    </row>
    <row r="46" spans="1:20" ht="16.5" customHeight="1" x14ac:dyDescent="0.2">
      <c r="A46" s="45"/>
      <c r="B46" s="69"/>
      <c r="C46" s="181" t="s">
        <v>1580</v>
      </c>
      <c r="D46" s="181"/>
      <c r="E46" s="181"/>
      <c r="F46" s="181"/>
      <c r="G46" s="181"/>
      <c r="H46" s="181"/>
      <c r="I46" s="181"/>
      <c r="J46" s="68"/>
      <c r="K46" s="105">
        <f>J45</f>
        <v>15854337</v>
      </c>
    </row>
    <row r="47" spans="1:20" ht="16.5" customHeight="1" x14ac:dyDescent="0.2">
      <c r="A47" s="65"/>
      <c r="B47" s="50"/>
      <c r="C47" s="50"/>
      <c r="D47" s="50"/>
      <c r="E47" s="50"/>
      <c r="F47" s="50"/>
      <c r="G47" s="50"/>
      <c r="H47" s="50"/>
      <c r="I47" s="50"/>
      <c r="J47" s="79">
        <f>ROUND(SUM(J45:J45),2)</f>
        <v>15854337</v>
      </c>
      <c r="K47" s="79">
        <f>ROUND(SUM(K46),2)</f>
        <v>15854337</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1621</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1604</v>
      </c>
      <c r="C50" s="181"/>
      <c r="D50" s="181"/>
      <c r="E50" s="181"/>
      <c r="F50" s="181"/>
      <c r="G50" s="181"/>
      <c r="H50" s="181"/>
      <c r="I50" s="181"/>
      <c r="J50" s="106">
        <v>12511922</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0894 - INTEREST EXPENSE AND FISCAL CHARGES</v>
      </c>
      <c r="C51" s="181"/>
      <c r="D51" s="181"/>
      <c r="E51" s="181"/>
      <c r="F51" s="181"/>
      <c r="G51" s="181"/>
      <c r="H51" s="181"/>
      <c r="I51" s="181"/>
      <c r="J51" s="106">
        <f>K52-J50</f>
        <v>10586837</v>
      </c>
      <c r="K51" s="81"/>
    </row>
    <row r="52" spans="1:20" ht="16.5" customHeight="1" x14ac:dyDescent="0.25">
      <c r="A52" s="45"/>
      <c r="B52" s="49"/>
      <c r="C52" s="181" t="str">
        <f>VLOOKUP($F$8,'Drop Down Menus'!$D$2:$G$10,4,FALSE)</f>
        <v>Cr: Acct 0870 - SERVICES &amp; CHARGES (MG ADJ)</v>
      </c>
      <c r="D52" s="181"/>
      <c r="E52" s="181"/>
      <c r="F52" s="181"/>
      <c r="G52" s="181"/>
      <c r="H52" s="181"/>
      <c r="I52" s="181"/>
      <c r="J52" s="81"/>
      <c r="K52" s="107">
        <v>23098759</v>
      </c>
    </row>
    <row r="53" spans="1:20" ht="16.5" customHeight="1" x14ac:dyDescent="0.2">
      <c r="A53" s="65"/>
      <c r="B53" s="50"/>
      <c r="C53" s="50"/>
      <c r="D53" s="50"/>
      <c r="E53" s="50"/>
      <c r="F53" s="50"/>
      <c r="G53" s="50"/>
      <c r="H53" s="50"/>
      <c r="I53" s="50"/>
      <c r="J53" s="79">
        <f>ROUND(SUM(J50:J51),2)</f>
        <v>23098759</v>
      </c>
      <c r="K53" s="79">
        <f>ROUND(SUM(K52,),2)</f>
        <v>23098759</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1622</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1618</v>
      </c>
      <c r="C56" s="181"/>
      <c r="D56" s="181"/>
      <c r="E56" s="181"/>
      <c r="F56" s="181"/>
      <c r="G56" s="181"/>
      <c r="H56" s="181"/>
      <c r="I56" s="181"/>
      <c r="J56" s="105">
        <v>12511922</v>
      </c>
      <c r="K56" s="68"/>
    </row>
    <row r="57" spans="1:20" ht="16.5" customHeight="1" x14ac:dyDescent="0.25">
      <c r="A57" s="45"/>
      <c r="B57" s="49"/>
      <c r="C57" s="181" t="s">
        <v>1606</v>
      </c>
      <c r="D57" s="181"/>
      <c r="E57" s="181"/>
      <c r="F57" s="181"/>
      <c r="G57" s="181"/>
      <c r="H57" s="181"/>
      <c r="I57" s="181"/>
      <c r="J57" s="68"/>
      <c r="K57" s="105">
        <v>12511922</v>
      </c>
      <c r="L57" s="27" t="str">
        <f>IF($J$50=$K$57,"","&lt;- Accts 0848 must agree")</f>
        <v/>
      </c>
    </row>
    <row r="58" spans="1:20" ht="16.5" customHeight="1" x14ac:dyDescent="0.2">
      <c r="A58" s="65"/>
      <c r="B58" s="50"/>
      <c r="C58" s="50"/>
      <c r="D58" s="50"/>
      <c r="E58" s="50"/>
      <c r="F58" s="50"/>
      <c r="G58" s="50"/>
      <c r="H58" s="50"/>
      <c r="I58" s="50"/>
      <c r="J58" s="79">
        <f>ROUND(SUM(J56:J56),2)</f>
        <v>12511922</v>
      </c>
      <c r="K58" s="79">
        <f>ROUND(SUM(K57),2)</f>
        <v>12511922</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1623</v>
      </c>
      <c r="C60" s="82"/>
      <c r="D60" s="82"/>
      <c r="E60" s="82"/>
      <c r="F60" s="83"/>
      <c r="G60" s="83"/>
      <c r="H60" s="84"/>
      <c r="I60" s="84"/>
      <c r="J60" s="54"/>
      <c r="K60" s="54"/>
      <c r="L60" s="37"/>
      <c r="M60" s="37"/>
      <c r="N60" s="37"/>
      <c r="O60" s="37"/>
      <c r="P60" s="37"/>
      <c r="Q60" s="37"/>
      <c r="R60" s="37"/>
      <c r="S60" s="37"/>
      <c r="T60" s="37"/>
    </row>
    <row r="61" spans="1:20" ht="16.5" customHeight="1" x14ac:dyDescent="0.2">
      <c r="B61" s="181" t="s">
        <v>1618</v>
      </c>
      <c r="C61" s="181"/>
      <c r="D61" s="181"/>
      <c r="E61" s="181"/>
      <c r="F61" s="181"/>
      <c r="G61" s="181"/>
      <c r="H61" s="181"/>
      <c r="I61" s="181"/>
      <c r="J61" s="108">
        <v>11887353</v>
      </c>
      <c r="K61" s="78"/>
    </row>
    <row r="62" spans="1:20" ht="16.5" customHeight="1" x14ac:dyDescent="0.25">
      <c r="A62" s="45"/>
      <c r="B62" s="49"/>
      <c r="C62" s="181" t="s">
        <v>1615</v>
      </c>
      <c r="D62" s="181"/>
      <c r="E62" s="181"/>
      <c r="F62" s="181"/>
      <c r="G62" s="181"/>
      <c r="H62" s="181"/>
      <c r="I62" s="181"/>
      <c r="J62" s="78"/>
      <c r="K62" s="105">
        <v>11887353</v>
      </c>
    </row>
    <row r="63" spans="1:20" ht="16.5" customHeight="1" x14ac:dyDescent="0.2">
      <c r="A63" s="45"/>
      <c r="B63" s="176" t="s">
        <v>1614</v>
      </c>
      <c r="C63" s="176"/>
      <c r="D63" s="176"/>
      <c r="E63" s="176"/>
      <c r="F63" s="176"/>
      <c r="G63" s="176"/>
      <c r="H63" s="176"/>
      <c r="I63" s="176"/>
      <c r="J63" s="79">
        <f>ROUND(SUM(J61:J61),2)</f>
        <v>11887353</v>
      </c>
      <c r="K63" s="79">
        <f>ROUND(SUM(K62),2)</f>
        <v>11887353</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1586</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1589</v>
      </c>
    </row>
    <row r="68" spans="1:20" ht="16.5" customHeight="1" x14ac:dyDescent="0.2">
      <c r="B68" s="181" t="s">
        <v>1587</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1588</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1603</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1611</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1605</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1617</v>
      </c>
      <c r="C76" s="181"/>
      <c r="D76" s="181"/>
      <c r="E76" s="181"/>
      <c r="F76" s="181"/>
      <c r="G76" s="181"/>
      <c r="H76" s="181"/>
      <c r="I76" s="181"/>
      <c r="J76" s="108"/>
      <c r="K76" s="48"/>
    </row>
    <row r="77" spans="1:20" ht="16.5" customHeight="1" x14ac:dyDescent="0.2">
      <c r="B77" s="181" t="s">
        <v>1587</v>
      </c>
      <c r="C77" s="181"/>
      <c r="D77" s="181"/>
      <c r="E77" s="181"/>
      <c r="F77" s="181"/>
      <c r="G77" s="181"/>
      <c r="H77" s="181"/>
      <c r="I77" s="181"/>
      <c r="J77" s="108">
        <v>5762936</v>
      </c>
      <c r="K77" s="48"/>
    </row>
    <row r="78" spans="1:20" ht="16.5" customHeight="1" x14ac:dyDescent="0.2">
      <c r="B78" s="181" t="str">
        <f>VLOOKUP($F$8,'Drop Down Menus'!$D$2:$G$10,3,FALSE)</f>
        <v>Dr: Acct 0870 - SERVICES &amp; CHARGES (MG ADJ)</v>
      </c>
      <c r="C78" s="181"/>
      <c r="D78" s="181"/>
      <c r="E78" s="181"/>
      <c r="F78" s="181"/>
      <c r="G78" s="181"/>
      <c r="H78" s="181"/>
      <c r="I78" s="181"/>
      <c r="J78" s="108">
        <v>418188</v>
      </c>
      <c r="K78" s="48"/>
    </row>
    <row r="79" spans="1:20" ht="16.5" customHeight="1" x14ac:dyDescent="0.2">
      <c r="C79" s="181" t="s">
        <v>1588</v>
      </c>
      <c r="D79" s="181"/>
      <c r="E79" s="181"/>
      <c r="F79" s="181"/>
      <c r="G79" s="181"/>
      <c r="H79" s="181"/>
      <c r="I79" s="181"/>
      <c r="J79" s="48"/>
      <c r="K79" s="108">
        <v>6181124</v>
      </c>
    </row>
    <row r="80" spans="1:20" ht="16.5" customHeight="1" x14ac:dyDescent="0.2">
      <c r="C80" s="181" t="str">
        <f>VLOOKUP($F$8,'Drop Down Menus'!$D$2:$G$10,4,FALSE)</f>
        <v>Cr: Acct 0870 - SERVICES &amp; CHARGES (MG ADJ)</v>
      </c>
      <c r="D80" s="181"/>
      <c r="E80" s="181"/>
      <c r="F80" s="181"/>
      <c r="G80" s="181"/>
      <c r="H80" s="181"/>
      <c r="I80" s="181"/>
      <c r="J80" s="48"/>
      <c r="K80" s="108"/>
    </row>
    <row r="81" spans="1:20" ht="16.5" customHeight="1" x14ac:dyDescent="0.2">
      <c r="B81" s="53"/>
      <c r="H81" s="27"/>
      <c r="J81" s="51">
        <f>ROUND(SUM(J76:J78),2)</f>
        <v>6181124</v>
      </c>
      <c r="K81" s="51">
        <f>ROUND(SUM(K79:K80),2)</f>
        <v>6181124</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1607</v>
      </c>
      <c r="C83" s="178"/>
      <c r="D83" s="178"/>
      <c r="E83" s="178"/>
      <c r="F83" s="178"/>
      <c r="G83" s="178"/>
      <c r="H83" s="178"/>
      <c r="I83" s="178"/>
      <c r="J83" s="178"/>
      <c r="K83" s="178"/>
    </row>
    <row r="84" spans="1:20" ht="16.5" customHeight="1" x14ac:dyDescent="0.2">
      <c r="B84" s="181" t="s">
        <v>1573</v>
      </c>
      <c r="C84" s="181"/>
      <c r="D84" s="181"/>
      <c r="E84" s="181"/>
      <c r="F84" s="181"/>
      <c r="G84" s="181"/>
      <c r="H84" s="181"/>
      <c r="I84" s="181"/>
      <c r="J84" s="108"/>
      <c r="K84" s="48"/>
    </row>
    <row r="85" spans="1:20" ht="16.5" customHeight="1" x14ac:dyDescent="0.2">
      <c r="C85" s="181" t="s">
        <v>1617</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1612</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1625</v>
      </c>
      <c r="E92" s="96"/>
      <c r="F92" s="97"/>
      <c r="G92" s="97"/>
      <c r="H92" s="97"/>
      <c r="I92" s="98"/>
      <c r="J92" s="98"/>
      <c r="K92" s="99"/>
    </row>
    <row r="93" spans="1:20" ht="16.5" customHeight="1" x14ac:dyDescent="0.25">
      <c r="D93" s="100"/>
      <c r="E93" s="100"/>
      <c r="F93" s="100"/>
      <c r="G93" s="100"/>
      <c r="H93" s="27"/>
      <c r="I93" s="100"/>
      <c r="J93" s="100"/>
      <c r="K93" s="101" t="s">
        <v>1626</v>
      </c>
      <c r="N93" s="102"/>
    </row>
    <row r="94" spans="1:20" ht="16.5" customHeight="1" x14ac:dyDescent="0.25">
      <c r="D94" s="49" t="s">
        <v>1627</v>
      </c>
      <c r="E94" s="100"/>
      <c r="F94" s="100"/>
      <c r="G94" s="100"/>
      <c r="H94" s="27"/>
      <c r="I94" s="100"/>
      <c r="J94" s="100"/>
      <c r="K94" s="103">
        <f>+J15+J34-K69-K79+J84</f>
        <v>36113062</v>
      </c>
      <c r="N94" s="104"/>
    </row>
    <row r="95" spans="1:20" ht="16.5" customHeight="1" x14ac:dyDescent="0.25">
      <c r="D95" s="49" t="s">
        <v>1630</v>
      </c>
      <c r="E95" s="100"/>
      <c r="F95" s="100"/>
      <c r="G95" s="100"/>
      <c r="H95" s="27"/>
      <c r="I95" s="100"/>
      <c r="J95" s="100"/>
      <c r="K95" s="103">
        <f>-K18-K46+J68+J77</f>
        <v>-17155005</v>
      </c>
      <c r="N95" s="102"/>
    </row>
    <row r="96" spans="1:20" ht="16.5" customHeight="1" x14ac:dyDescent="0.25">
      <c r="D96" s="49" t="s">
        <v>1628</v>
      </c>
      <c r="E96" s="100"/>
      <c r="F96" s="100"/>
      <c r="G96" s="100"/>
      <c r="H96" s="27"/>
      <c r="I96" s="100"/>
      <c r="J96" s="100"/>
      <c r="K96" s="103">
        <f>-K19-K37+J56+J61+J76-K85</f>
        <v>-327527</v>
      </c>
    </row>
    <row r="97" spans="1:11" ht="16.5" customHeight="1" x14ac:dyDescent="0.25">
      <c r="D97" s="49" t="s">
        <v>1629</v>
      </c>
      <c r="E97" s="100"/>
      <c r="F97" s="100"/>
      <c r="G97" s="100"/>
      <c r="H97" s="27"/>
      <c r="I97" s="100"/>
      <c r="J97" s="100"/>
      <c r="K97" s="103">
        <f>-K62</f>
        <v>-11887353</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xZNPPTDmzpYsYf8lJJIIfN2FdAmGmpLKc8BvoInjSKw/ODd7eUdf8LQmwFRli+VXkpFJ8Ss8i981trm0pGcqmQ==" saltValue="tsdUfl1WArdz5cmOJUF+IA=="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28" sqref="C2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1610</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1608</v>
      </c>
      <c r="B3" s="204"/>
      <c r="C3" s="204"/>
      <c r="D3" s="204"/>
      <c r="E3" s="110"/>
      <c r="F3" s="110"/>
      <c r="G3" s="110"/>
      <c r="H3" s="110"/>
      <c r="I3" s="110"/>
      <c r="J3" s="110"/>
      <c r="K3" s="110"/>
    </row>
    <row r="4" spans="1:11" ht="15.75" customHeight="1" x14ac:dyDescent="0.25">
      <c r="A4" s="205" t="s">
        <v>1609</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1592</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1594</v>
      </c>
      <c r="B12" s="207">
        <v>531</v>
      </c>
      <c r="C12" s="207"/>
    </row>
    <row r="13" spans="1:11" ht="15.75" x14ac:dyDescent="0.25">
      <c r="A13" s="113" t="s">
        <v>1593</v>
      </c>
      <c r="B13" s="202" t="s">
        <v>1654</v>
      </c>
      <c r="C13" s="202"/>
      <c r="E13" s="114"/>
      <c r="F13" s="114"/>
      <c r="G13" s="114"/>
      <c r="H13" s="114"/>
      <c r="I13" s="114"/>
      <c r="J13" s="114"/>
      <c r="K13" s="114"/>
    </row>
    <row r="14" spans="1:11" ht="32.25" customHeight="1" x14ac:dyDescent="0.2">
      <c r="A14" s="195" t="s">
        <v>1646</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c r="C16" s="2"/>
      <c r="D16" s="199" t="s">
        <v>1535</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1624</v>
      </c>
    </row>
    <row r="42" spans="1:11" ht="15.75" x14ac:dyDescent="0.25">
      <c r="A42" s="113" t="s">
        <v>8</v>
      </c>
      <c r="B42" s="197" t="str">
        <f>B11</f>
        <v>2023–2024</v>
      </c>
      <c r="C42" s="197"/>
    </row>
    <row r="43" spans="1:11" ht="15.75" customHeight="1" x14ac:dyDescent="0.25">
      <c r="A43" s="113" t="s">
        <v>1594</v>
      </c>
      <c r="B43" s="198">
        <f>B12</f>
        <v>531</v>
      </c>
      <c r="C43" s="198"/>
    </row>
    <row r="44" spans="1:11" ht="15.75" x14ac:dyDescent="0.25">
      <c r="A44" s="113" t="s">
        <v>1593</v>
      </c>
      <c r="B44" s="197" t="str">
        <f>B13</f>
        <v>Office of Technology and Solutions Integration</v>
      </c>
      <c r="C44" s="197"/>
    </row>
    <row r="45" spans="1:11" ht="32.25" customHeight="1" x14ac:dyDescent="0.2">
      <c r="A45" s="195" t="s">
        <v>1646</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v>11887353</v>
      </c>
      <c r="C47" s="2">
        <v>8309</v>
      </c>
      <c r="D47" s="200" t="s">
        <v>1535</v>
      </c>
    </row>
    <row r="48" spans="1:11" ht="15" customHeight="1" x14ac:dyDescent="0.2">
      <c r="A48" s="115" t="str">
        <f>LEFT(A47,4)+1&amp;"–"&amp;RIGHT(A47,4)+1</f>
        <v>2025–2026</v>
      </c>
      <c r="B48" s="2">
        <v>327527</v>
      </c>
      <c r="C48" s="2">
        <v>0</v>
      </c>
      <c r="D48" s="200"/>
    </row>
    <row r="49" spans="1:4" x14ac:dyDescent="0.2">
      <c r="A49" s="115" t="str">
        <f>LEFT(A48,4)+1&amp;"–"&amp;RIGHT(A48,4)+1</f>
        <v>2026–2027</v>
      </c>
      <c r="B49" s="2"/>
      <c r="C49" s="2"/>
      <c r="D49" s="17" t="s">
        <v>115</v>
      </c>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t="s">
        <v>1655</v>
      </c>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t="s">
        <v>1655</v>
      </c>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t="s">
        <v>115</v>
      </c>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t="s">
        <v>115</v>
      </c>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t="s">
        <v>1655</v>
      </c>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1576</v>
      </c>
    </row>
    <row r="73" spans="1:4" ht="15.75" x14ac:dyDescent="0.25">
      <c r="A73" s="113" t="s">
        <v>8</v>
      </c>
      <c r="B73" s="197" t="str">
        <f>B11</f>
        <v>2023–2024</v>
      </c>
      <c r="C73" s="197"/>
    </row>
    <row r="74" spans="1:4" ht="15.75" customHeight="1" x14ac:dyDescent="0.25">
      <c r="A74" s="113" t="s">
        <v>1594</v>
      </c>
      <c r="B74" s="198">
        <f>B12</f>
        <v>531</v>
      </c>
      <c r="C74" s="198"/>
    </row>
    <row r="75" spans="1:4" ht="15.75" x14ac:dyDescent="0.25">
      <c r="A75" s="113" t="s">
        <v>1593</v>
      </c>
      <c r="B75" s="197" t="str">
        <f>B13</f>
        <v>Office of Technology and Solutions Integration</v>
      </c>
      <c r="C75" s="197"/>
    </row>
    <row r="76" spans="1:4" ht="32.25" customHeight="1" x14ac:dyDescent="0.2">
      <c r="A76" s="195" t="s">
        <v>1646</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1535</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N14" sqref="N14:P14"/>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9745 Journal Entries'!$F$5&amp;" "&amp;'Fund 9745 Journal Entries'!$F$4</f>
        <v>Business Unit 0531 Office of Technology and Solutions Integration</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9745 Journal Entries'!$F$3,4)</f>
        <v>Balance
July 1, 2023</v>
      </c>
      <c r="G7" s="131"/>
      <c r="H7" s="132" t="s">
        <v>9</v>
      </c>
      <c r="I7" s="131"/>
      <c r="J7" s="132" t="s">
        <v>10</v>
      </c>
      <c r="K7" s="131"/>
      <c r="L7" s="130" t="str">
        <f>"Balance
June 30, "&amp;RIGHT('Fund 9745 Journal Entries'!$F$3,4)</f>
        <v>Balance
June 30, 2024</v>
      </c>
      <c r="M7" s="131"/>
      <c r="N7" s="130" t="s">
        <v>11</v>
      </c>
      <c r="O7" s="131"/>
      <c r="P7" s="130" t="s">
        <v>12</v>
      </c>
      <c r="Q7" s="129"/>
    </row>
    <row r="8" spans="2:17" x14ac:dyDescent="0.25">
      <c r="B8" s="128"/>
      <c r="F8" s="172" t="s">
        <v>1648</v>
      </c>
      <c r="G8" s="131"/>
      <c r="H8" s="173" t="s">
        <v>1649</v>
      </c>
      <c r="I8" s="131"/>
      <c r="J8" s="173" t="s">
        <v>1650</v>
      </c>
      <c r="K8" s="131"/>
      <c r="L8" s="173"/>
      <c r="M8" s="131"/>
      <c r="N8" s="173" t="s">
        <v>1651</v>
      </c>
      <c r="O8" s="131"/>
      <c r="P8" s="171"/>
      <c r="Q8" s="129"/>
    </row>
    <row r="9" spans="2:17" x14ac:dyDescent="0.25">
      <c r="B9" s="128"/>
      <c r="C9" s="208" t="s">
        <v>13</v>
      </c>
      <c r="D9" s="208"/>
      <c r="Q9" s="129"/>
    </row>
    <row r="10" spans="2:17" ht="18.75" thickBot="1" x14ac:dyDescent="0.3">
      <c r="B10" s="128"/>
      <c r="D10" s="122" t="s">
        <v>117</v>
      </c>
      <c r="F10" s="3">
        <f>IF('Fund 9745 Journal Entries'!$F$7="Governmental Fund",'Fund 9745 Journal Entries'!$K$19,0)</f>
        <v>0</v>
      </c>
      <c r="H10" s="3">
        <f>IF('Fund 9745 Journal Entries'!$F$7="Governmental Fund",SUM('Fund 9745 Journal Entries'!$K$37,'Fund 9745 Journal Entries'!$K$85),0)</f>
        <v>0</v>
      </c>
      <c r="J10" s="3">
        <f>IF('Fund 9745 Journal Entries'!$F$7="Governmental Fund",SUM('Fund 9745 Journal Entries'!$J$56,'Fund 9745 Journal Entries'!$J$76),0)</f>
        <v>0</v>
      </c>
      <c r="L10" s="134">
        <f>SUM(F10+H10-J10)</f>
        <v>0</v>
      </c>
      <c r="N10" s="3">
        <f>IF('Fund 9745 Journal Entries'!$F$7="Governmental Fund",'Fund 9745 Journal Entries'!$J$61,0)</f>
        <v>0</v>
      </c>
      <c r="P10" s="134">
        <f>L10-N10</f>
        <v>0</v>
      </c>
      <c r="Q10" s="129"/>
    </row>
    <row r="11" spans="2:17" ht="19.5" thickTop="1" thickBot="1" x14ac:dyDescent="0.3">
      <c r="B11" s="128"/>
      <c r="C11" s="208" t="s">
        <v>14</v>
      </c>
      <c r="D11" s="208"/>
      <c r="F11" s="135">
        <f>SUM(F10:F10)</f>
        <v>0</v>
      </c>
      <c r="H11" s="135">
        <f>SUM(H10:H10)</f>
        <v>0</v>
      </c>
      <c r="J11" s="135">
        <f>SUM(J10:J10)</f>
        <v>0</v>
      </c>
      <c r="L11" s="135">
        <f>SUM(L10:L10)</f>
        <v>0</v>
      </c>
      <c r="N11" s="135">
        <f>SUM(N10:N10)</f>
        <v>0</v>
      </c>
      <c r="P11" s="135">
        <f>SUM(P10:P10)</f>
        <v>0</v>
      </c>
      <c r="Q11" s="129"/>
    </row>
    <row r="12" spans="2:17" ht="18.75" thickTop="1" x14ac:dyDescent="0.25">
      <c r="B12" s="128"/>
      <c r="G12" s="136"/>
      <c r="Q12" s="129"/>
    </row>
    <row r="13" spans="2:17" x14ac:dyDescent="0.25">
      <c r="B13" s="128"/>
      <c r="C13" s="208" t="s">
        <v>1568</v>
      </c>
      <c r="D13" s="208"/>
      <c r="Q13" s="129"/>
    </row>
    <row r="14" spans="2:17" ht="18.75" thickBot="1" x14ac:dyDescent="0.3">
      <c r="B14" s="128"/>
      <c r="D14" s="122" t="s">
        <v>117</v>
      </c>
      <c r="F14" s="3">
        <f>IF('Fund 9745 Journal Entries'!$F$7="Proprietary - Internal Service Fund",'Fund 9745 Journal Entries'!$K$19,0)</f>
        <v>4632876</v>
      </c>
      <c r="H14" s="3">
        <f>IF('Fund 9745 Journal Entries'!$F$7="Proprietary - Internal Service Fund",SUM('Fund 9745 Journal Entries'!$K$37,'Fund 9745 Journal Entries'!$K$85),0)</f>
        <v>20093926</v>
      </c>
      <c r="J14" s="3">
        <f>IF('Fund 9745 Journal Entries'!$F$7="Proprietary - Internal Service Fund",SUM('Fund 9745 Journal Entries'!$J$56,'Fund 9745 Journal Entries'!$J$76),0)</f>
        <v>12511922</v>
      </c>
      <c r="L14" s="134">
        <f>SUM(F14+H14-J14)</f>
        <v>12214880</v>
      </c>
      <c r="N14" s="3">
        <f>IF('Fund 9745 Journal Entries'!$F$7="Proprietary - Internal Service Fund",'Fund 9745 Journal Entries'!$J$61,0)</f>
        <v>11887353</v>
      </c>
      <c r="P14" s="134">
        <f>L14-N14</f>
        <v>327527</v>
      </c>
      <c r="Q14" s="129"/>
    </row>
    <row r="15" spans="2:17" ht="19.5" thickTop="1" thickBot="1" x14ac:dyDescent="0.3">
      <c r="B15" s="128"/>
      <c r="C15" s="208" t="s">
        <v>1577</v>
      </c>
      <c r="D15" s="208"/>
      <c r="F15" s="135">
        <f>SUM(F14:F14)</f>
        <v>4632876</v>
      </c>
      <c r="H15" s="135">
        <f>SUM(H14:H14)</f>
        <v>20093926</v>
      </c>
      <c r="J15" s="135">
        <f>SUM(J14:J14)</f>
        <v>12511922</v>
      </c>
      <c r="L15" s="135">
        <f>SUM(L14:L14)</f>
        <v>12214880</v>
      </c>
      <c r="N15" s="135">
        <f>SUM(N14:N14)</f>
        <v>11887353</v>
      </c>
      <c r="P15" s="135">
        <f>SUM(P14:P14)</f>
        <v>327527</v>
      </c>
      <c r="Q15" s="129"/>
    </row>
    <row r="16" spans="2:17" ht="18.75" thickTop="1" x14ac:dyDescent="0.25">
      <c r="B16" s="128"/>
      <c r="C16" s="133"/>
      <c r="D16" s="133"/>
      <c r="F16" s="134"/>
      <c r="H16" s="134"/>
      <c r="J16" s="134"/>
      <c r="L16" s="134"/>
      <c r="N16" s="134"/>
      <c r="P16" s="134"/>
      <c r="Q16" s="129"/>
    </row>
    <row r="17" spans="2:17" x14ac:dyDescent="0.25">
      <c r="B17" s="128"/>
      <c r="C17" s="208" t="s">
        <v>1569</v>
      </c>
      <c r="D17" s="208"/>
      <c r="Q17" s="129"/>
    </row>
    <row r="18" spans="2:17" ht="18.75" thickBot="1" x14ac:dyDescent="0.3">
      <c r="B18" s="128"/>
      <c r="D18" s="122" t="s">
        <v>117</v>
      </c>
      <c r="F18" s="3">
        <f>IF('Fund 9745 Journal Entries'!$F$7="Proprietary - Enterprise Fund",'Fund 9745 Journal Entries'!$K$19,0)</f>
        <v>0</v>
      </c>
      <c r="H18" s="3">
        <f>IF('Fund 9745 Journal Entries'!$F$7="Proprietary - Enterprise Fund",SUM('Fund 9745 Journal Entries'!$K$37,'Fund 9745 Journal Entries'!$K$85),0)</f>
        <v>0</v>
      </c>
      <c r="J18" s="3">
        <f>IF('Fund 9745 Journal Entries'!$F$7="Proprietary - Enterprise Fund",SUM('Fund 9745 Journal Entries'!$J$56,'Fund 9745 Journal Entries'!$J$76),0)</f>
        <v>0</v>
      </c>
      <c r="L18" s="134">
        <f>SUM(F18+H18-J18)</f>
        <v>0</v>
      </c>
      <c r="N18" s="3">
        <f>IF('Fund 9745 Journal Entries'!$F$7="Proprietary - Enterprise Fund",'Fund 9745 Journal Entries'!$J$61,0)</f>
        <v>0</v>
      </c>
      <c r="P18" s="134">
        <f>L18-N18</f>
        <v>0</v>
      </c>
      <c r="Q18" s="129"/>
    </row>
    <row r="19" spans="2:17" ht="19.5" thickTop="1" thickBot="1" x14ac:dyDescent="0.3">
      <c r="B19" s="128"/>
      <c r="C19" s="208" t="s">
        <v>1578</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1653</v>
      </c>
    </row>
    <row r="23" spans="2:17" x14ac:dyDescent="0.25">
      <c r="B23" s="174" t="s">
        <v>1652</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topLeftCell="A59" zoomScaleNormal="100" workbookViewId="0">
      <selection activeCell="N74" sqref="N74"/>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1547</v>
      </c>
      <c r="B1" s="212"/>
      <c r="C1" s="212"/>
      <c r="D1" s="212"/>
      <c r="E1" s="212"/>
      <c r="F1" s="212"/>
      <c r="G1" s="212"/>
      <c r="H1" s="212"/>
      <c r="I1" s="212"/>
      <c r="J1" s="212"/>
      <c r="K1" s="212"/>
      <c r="L1" s="212"/>
      <c r="M1" s="212"/>
      <c r="N1" s="212"/>
      <c r="O1" s="212"/>
      <c r="P1" s="212"/>
      <c r="Q1" s="212"/>
    </row>
    <row r="2" spans="1:17" s="141" customFormat="1" ht="15.75" x14ac:dyDescent="0.25">
      <c r="A2" s="212" t="s">
        <v>1549</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1548</v>
      </c>
      <c r="B4" s="213"/>
      <c r="C4" s="213"/>
      <c r="D4" s="213"/>
      <c r="E4" s="213"/>
      <c r="F4" s="213"/>
      <c r="G4" s="213"/>
      <c r="H4" s="213"/>
      <c r="I4" s="213"/>
      <c r="J4" s="213"/>
      <c r="K4" s="213"/>
      <c r="L4" s="213"/>
      <c r="M4" s="213"/>
      <c r="N4" s="213"/>
      <c r="O4" s="213"/>
      <c r="P4" s="213"/>
      <c r="Q4" s="213"/>
    </row>
    <row r="5" spans="1:17" ht="15" customHeight="1" x14ac:dyDescent="0.25">
      <c r="A5" s="218" t="s">
        <v>1561</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1613</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1558</v>
      </c>
      <c r="B11" s="213"/>
      <c r="C11" s="213"/>
      <c r="D11" s="213"/>
      <c r="E11" s="213"/>
      <c r="F11" s="213"/>
      <c r="G11" s="213"/>
      <c r="H11" s="213"/>
      <c r="I11" s="213"/>
      <c r="J11" s="213"/>
      <c r="K11" s="213"/>
      <c r="L11" s="213"/>
      <c r="M11" s="213"/>
      <c r="N11" s="213"/>
      <c r="O11" s="213"/>
      <c r="P11" s="213"/>
      <c r="Q11" s="213"/>
    </row>
    <row r="12" spans="1:17" x14ac:dyDescent="0.25">
      <c r="A12" s="211" t="s">
        <v>1641</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1616</v>
      </c>
      <c r="C14" s="216"/>
      <c r="D14" s="216"/>
      <c r="E14" s="216"/>
      <c r="F14" s="216"/>
      <c r="G14" s="216"/>
      <c r="H14" s="216"/>
      <c r="I14" s="216"/>
      <c r="J14" s="216"/>
      <c r="K14" s="216"/>
      <c r="L14" s="216"/>
      <c r="M14" s="145"/>
      <c r="N14" s="146" t="s">
        <v>1555</v>
      </c>
      <c r="O14" s="147"/>
      <c r="P14" s="148"/>
      <c r="Q14" s="144"/>
    </row>
    <row r="15" spans="1:17" ht="15" customHeight="1" x14ac:dyDescent="0.25">
      <c r="A15" s="144"/>
      <c r="B15" s="149" t="s">
        <v>1635</v>
      </c>
      <c r="C15" s="149"/>
      <c r="D15" s="149" t="s">
        <v>9</v>
      </c>
      <c r="E15" s="149"/>
      <c r="F15" s="149" t="s">
        <v>10</v>
      </c>
      <c r="G15" s="149"/>
      <c r="H15" s="149" t="s">
        <v>1636</v>
      </c>
      <c r="I15" s="149"/>
      <c r="J15" s="149" t="s">
        <v>1637</v>
      </c>
      <c r="K15" s="149"/>
      <c r="L15" s="149" t="s">
        <v>1639</v>
      </c>
      <c r="M15" s="145"/>
      <c r="N15" s="147"/>
      <c r="O15" s="147"/>
      <c r="P15" s="148"/>
      <c r="Q15" s="144"/>
    </row>
    <row r="16" spans="1:17" ht="15" customHeight="1" x14ac:dyDescent="0.25">
      <c r="A16" s="144"/>
      <c r="B16" s="150" t="s">
        <v>1551</v>
      </c>
      <c r="C16" s="151" t="s">
        <v>1550</v>
      </c>
      <c r="D16" s="150" t="s">
        <v>1619</v>
      </c>
      <c r="E16" s="150" t="s">
        <v>1552</v>
      </c>
      <c r="F16" s="150" t="s">
        <v>1553</v>
      </c>
      <c r="G16" s="150" t="s">
        <v>1552</v>
      </c>
      <c r="H16" s="150" t="s">
        <v>1644</v>
      </c>
      <c r="I16" s="151" t="s">
        <v>1550</v>
      </c>
      <c r="J16" s="150" t="s">
        <v>1645</v>
      </c>
      <c r="K16" s="152"/>
      <c r="L16" s="153"/>
      <c r="M16" s="152"/>
      <c r="N16" s="154" t="s">
        <v>1556</v>
      </c>
      <c r="O16" s="147"/>
      <c r="P16" s="147" t="s">
        <v>1562</v>
      </c>
      <c r="Q16" s="144"/>
    </row>
    <row r="17" spans="1:16383" ht="15" customHeight="1" x14ac:dyDescent="0.25">
      <c r="A17" s="155"/>
      <c r="B17" s="10">
        <f>IF('Fund 9745 Journal Entries'!$F$7="Governmental Fund",ROUND('Fund 9745 Journal Entries'!$K$19,0),0)</f>
        <v>0</v>
      </c>
      <c r="C17" s="21" t="s">
        <v>1550</v>
      </c>
      <c r="D17" s="10">
        <f>IF('Fund 9745 Journal Entries'!$F$7="Governmental Fund",ROUND('Fund 9745 Journal Entries'!$K$37,0),0)</f>
        <v>0</v>
      </c>
      <c r="E17" s="22" t="s">
        <v>1552</v>
      </c>
      <c r="F17" s="10">
        <f>IF('Fund 9745 Journal Entries'!$F$7="Governmental Fund",ROUND('Fund 9745 Journal Entries'!$J$56,0),0)</f>
        <v>0</v>
      </c>
      <c r="G17" s="22" t="s">
        <v>1552</v>
      </c>
      <c r="H17" s="10">
        <f>IF('Fund 9745 Journal Entries'!$F$7="Governmental Fund",ROUND('Fund 9745 Journal Entries'!$J$76,0),0)</f>
        <v>0</v>
      </c>
      <c r="I17" s="22" t="s">
        <v>1550</v>
      </c>
      <c r="J17" s="10">
        <f>IF('Fund 9745 Journal Entries'!$F$7="Governmental Fund",ROUND('Fund 9745 Journal Entries'!$K$85,0),0)</f>
        <v>0</v>
      </c>
      <c r="K17" s="22" t="s">
        <v>1554</v>
      </c>
      <c r="L17" s="11">
        <f>+B17+D17-F17</f>
        <v>0</v>
      </c>
      <c r="M17" s="22"/>
      <c r="N17" s="12">
        <f>ROUND(SUM('Department Note Disclosure'!$B$16:$B$39),0)</f>
        <v>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1642</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1616</v>
      </c>
      <c r="C22" s="217"/>
      <c r="D22" s="217"/>
      <c r="E22" s="217"/>
      <c r="F22" s="217"/>
      <c r="G22" s="217"/>
      <c r="H22" s="217"/>
      <c r="I22" s="217"/>
      <c r="J22" s="217"/>
      <c r="K22" s="217"/>
      <c r="L22" s="217"/>
      <c r="M22" s="145"/>
      <c r="N22" s="146" t="s">
        <v>1555</v>
      </c>
      <c r="O22" s="147"/>
      <c r="P22" s="148"/>
      <c r="Q22" s="144"/>
    </row>
    <row r="23" spans="1:16383" ht="15" customHeight="1" x14ac:dyDescent="0.25">
      <c r="A23" s="144"/>
      <c r="B23" s="149" t="s">
        <v>1635</v>
      </c>
      <c r="C23" s="149"/>
      <c r="D23" s="149" t="s">
        <v>9</v>
      </c>
      <c r="E23" s="149"/>
      <c r="F23" s="149" t="s">
        <v>10</v>
      </c>
      <c r="G23" s="149"/>
      <c r="H23" s="149" t="s">
        <v>1636</v>
      </c>
      <c r="I23" s="149"/>
      <c r="J23" s="149" t="s">
        <v>1637</v>
      </c>
      <c r="K23" s="149"/>
      <c r="L23" s="149" t="s">
        <v>1639</v>
      </c>
      <c r="M23" s="145"/>
      <c r="N23" s="147"/>
      <c r="O23" s="147"/>
      <c r="P23" s="148"/>
      <c r="Q23" s="144"/>
    </row>
    <row r="24" spans="1:16383" ht="15" customHeight="1" x14ac:dyDescent="0.25">
      <c r="A24" s="144"/>
      <c r="B24" s="150" t="s">
        <v>1551</v>
      </c>
      <c r="C24" s="151" t="s">
        <v>1550</v>
      </c>
      <c r="D24" s="150" t="s">
        <v>1619</v>
      </c>
      <c r="E24" s="150" t="s">
        <v>1552</v>
      </c>
      <c r="F24" s="150" t="s">
        <v>1553</v>
      </c>
      <c r="G24" s="150" t="s">
        <v>1552</v>
      </c>
      <c r="H24" s="150" t="s">
        <v>1644</v>
      </c>
      <c r="I24" s="151" t="s">
        <v>1550</v>
      </c>
      <c r="J24" s="150" t="s">
        <v>1645</v>
      </c>
      <c r="K24" s="152"/>
      <c r="L24" s="153"/>
      <c r="M24" s="152"/>
      <c r="N24" s="154" t="s">
        <v>1556</v>
      </c>
      <c r="O24" s="147"/>
      <c r="P24" s="147" t="s">
        <v>1562</v>
      </c>
      <c r="Q24" s="144"/>
    </row>
    <row r="25" spans="1:16383" ht="15" customHeight="1" x14ac:dyDescent="0.25">
      <c r="A25" s="155"/>
      <c r="B25" s="10">
        <f>IF('Fund 9745 Journal Entries'!$F$7="Proprietary - Internal Service Fund",ROUND('Fund 9745 Journal Entries'!$K$19,0),0)</f>
        <v>4632876</v>
      </c>
      <c r="C25" s="21" t="s">
        <v>1550</v>
      </c>
      <c r="D25" s="10">
        <f>IF('Fund 9745 Journal Entries'!$F$7="Proprietary - Internal Service Fund",ROUND('Fund 9745 Journal Entries'!$K$37,0),0)</f>
        <v>20093926</v>
      </c>
      <c r="E25" s="22" t="s">
        <v>1552</v>
      </c>
      <c r="F25" s="10">
        <f>IF('Fund 9745 Journal Entries'!$F$7="Proprietary - Internal Service Fund",ROUND('Fund 9745 Journal Entries'!$J$56,0),0)</f>
        <v>12511922</v>
      </c>
      <c r="G25" s="22" t="s">
        <v>1552</v>
      </c>
      <c r="H25" s="10">
        <f>IF('Fund 9745 Journal Entries'!$F$7="Proprietary - Internal Service Fund",ROUND('Fund 9745 Journal Entries'!$J$76,0),0)</f>
        <v>0</v>
      </c>
      <c r="I25" s="22" t="s">
        <v>1550</v>
      </c>
      <c r="J25" s="10">
        <f>IF('Fund 9745 Journal Entries'!$F$7="Proprietary - Internal Service Fund",ROUND('Fund 9745 Journal Entries'!$K$85,0),0)</f>
        <v>0</v>
      </c>
      <c r="K25" s="22" t="s">
        <v>1554</v>
      </c>
      <c r="L25" s="11">
        <f>+B25+D25-F25</f>
        <v>12214880</v>
      </c>
      <c r="M25" s="22"/>
      <c r="N25" s="12">
        <f>ROUND(SUM('Department Note Disclosure'!$B$47:$B$70),0)</f>
        <v>12214880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1643</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1616</v>
      </c>
      <c r="C31" s="217"/>
      <c r="D31" s="217"/>
      <c r="E31" s="217"/>
      <c r="F31" s="217"/>
      <c r="G31" s="217"/>
      <c r="H31" s="217"/>
      <c r="I31" s="217"/>
      <c r="J31" s="217"/>
      <c r="K31" s="217"/>
      <c r="L31" s="217"/>
      <c r="M31" s="145"/>
      <c r="N31" s="146" t="s">
        <v>1555</v>
      </c>
      <c r="O31" s="147"/>
      <c r="P31" s="148"/>
      <c r="Q31" s="144"/>
    </row>
    <row r="32" spans="1:16383" ht="15" customHeight="1" x14ac:dyDescent="0.25">
      <c r="A32" s="144"/>
      <c r="B32" s="149" t="s">
        <v>1635</v>
      </c>
      <c r="C32" s="149"/>
      <c r="D32" s="149" t="s">
        <v>9</v>
      </c>
      <c r="E32" s="149"/>
      <c r="F32" s="149" t="s">
        <v>10</v>
      </c>
      <c r="G32" s="149"/>
      <c r="H32" s="149" t="s">
        <v>1636</v>
      </c>
      <c r="I32" s="149"/>
      <c r="J32" s="149" t="s">
        <v>1637</v>
      </c>
      <c r="K32" s="149"/>
      <c r="L32" s="149" t="s">
        <v>1639</v>
      </c>
      <c r="M32" s="145"/>
      <c r="N32" s="147"/>
      <c r="O32" s="147"/>
      <c r="P32" s="148"/>
      <c r="Q32" s="144"/>
    </row>
    <row r="33" spans="1:17" ht="15" customHeight="1" x14ac:dyDescent="0.25">
      <c r="A33" s="144"/>
      <c r="B33" s="150" t="s">
        <v>1551</v>
      </c>
      <c r="C33" s="151" t="s">
        <v>1550</v>
      </c>
      <c r="D33" s="150" t="s">
        <v>1619</v>
      </c>
      <c r="E33" s="150" t="s">
        <v>1552</v>
      </c>
      <c r="F33" s="150" t="s">
        <v>1553</v>
      </c>
      <c r="G33" s="150" t="s">
        <v>1552</v>
      </c>
      <c r="H33" s="150" t="s">
        <v>1644</v>
      </c>
      <c r="I33" s="151" t="s">
        <v>1550</v>
      </c>
      <c r="J33" s="150" t="s">
        <v>1645</v>
      </c>
      <c r="K33" s="152"/>
      <c r="L33" s="153"/>
      <c r="M33" s="152"/>
      <c r="N33" s="154" t="s">
        <v>1556</v>
      </c>
      <c r="O33" s="147"/>
      <c r="P33" s="147" t="s">
        <v>1562</v>
      </c>
      <c r="Q33" s="144"/>
    </row>
    <row r="34" spans="1:17" ht="15" customHeight="1" x14ac:dyDescent="0.25">
      <c r="A34" s="155"/>
      <c r="B34" s="10">
        <f>IF('Fund 9745 Journal Entries'!$F$7="Proprietary - Enterprise Fund",ROUND('Fund 9745 Journal Entries'!$K$19,0),0)</f>
        <v>0</v>
      </c>
      <c r="C34" s="21" t="s">
        <v>1550</v>
      </c>
      <c r="D34" s="10">
        <f>IF('Fund 9745 Journal Entries'!$F$7="Proprietary - Enterprise Fund",ROUND('Fund 9745 Journal Entries'!$K$37,0),0)</f>
        <v>0</v>
      </c>
      <c r="E34" s="22" t="s">
        <v>1552</v>
      </c>
      <c r="F34" s="10">
        <f>IF('Fund 9745 Journal Entries'!$F$7="Proprietary - Enterprise Fund",ROUND('Fund 9745 Journal Entries'!$J$56,0),0)</f>
        <v>0</v>
      </c>
      <c r="G34" s="22" t="s">
        <v>1552</v>
      </c>
      <c r="H34" s="10">
        <f>IF('Fund 9745 Journal Entries'!$F$7="Proprietary - Enterprise Fund",ROUND('Fund 9745 Journal Entries'!$J$76,0),0)</f>
        <v>0</v>
      </c>
      <c r="I34" s="22" t="s">
        <v>1550</v>
      </c>
      <c r="J34" s="10">
        <f>IF('Fund 9745 Journal Entries'!$F$7="Proprietary - Enterprise Fund",ROUND('Fund 9745 Journal Entries'!$K$85,0),0)</f>
        <v>0</v>
      </c>
      <c r="K34" s="22" t="s">
        <v>1554</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1559</v>
      </c>
      <c r="B37" s="213"/>
      <c r="C37" s="213"/>
      <c r="D37" s="213"/>
      <c r="E37" s="213"/>
      <c r="F37" s="213"/>
      <c r="G37" s="213"/>
      <c r="H37" s="213"/>
      <c r="I37" s="213"/>
      <c r="J37" s="213"/>
      <c r="K37" s="213"/>
      <c r="L37" s="213"/>
      <c r="M37" s="213"/>
      <c r="N37" s="213"/>
      <c r="O37" s="213"/>
      <c r="P37" s="213"/>
      <c r="Q37" s="213"/>
    </row>
    <row r="38" spans="1:17" ht="15" customHeight="1" x14ac:dyDescent="0.25">
      <c r="A38" s="211" t="s">
        <v>1641</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1616</v>
      </c>
      <c r="C40" s="215"/>
      <c r="D40" s="215"/>
      <c r="E40" s="215"/>
      <c r="F40" s="215"/>
      <c r="G40" s="215"/>
      <c r="H40" s="144"/>
      <c r="I40" s="145"/>
      <c r="J40" s="144"/>
      <c r="K40" s="145"/>
      <c r="L40" s="144"/>
      <c r="M40" s="145"/>
      <c r="N40" s="146" t="s">
        <v>1555</v>
      </c>
      <c r="O40" s="147"/>
      <c r="P40" s="148"/>
      <c r="Q40" s="144"/>
    </row>
    <row r="41" spans="1:17" ht="15" customHeight="1" x14ac:dyDescent="0.25">
      <c r="A41" s="144"/>
      <c r="B41" s="150" t="s">
        <v>1557</v>
      </c>
      <c r="C41" s="219" t="s">
        <v>1638</v>
      </c>
      <c r="D41" s="219"/>
      <c r="E41" s="219"/>
      <c r="G41" s="145"/>
      <c r="H41" s="159"/>
      <c r="I41" s="149"/>
      <c r="J41" s="159"/>
      <c r="K41" s="145"/>
      <c r="L41" s="144"/>
      <c r="M41" s="152"/>
      <c r="N41" s="154" t="str">
        <f>'Department Note Disclosure'!$A$16&amp;" Principal Payments"</f>
        <v>2024–2025 Principal Payments</v>
      </c>
      <c r="O41" s="147"/>
      <c r="P41" s="147" t="s">
        <v>1562</v>
      </c>
      <c r="Q41" s="144"/>
    </row>
    <row r="42" spans="1:17" ht="15" customHeight="1" x14ac:dyDescent="0.25">
      <c r="A42" s="144"/>
      <c r="B42" s="10">
        <f>IF('Fund 9745 Journal Entries'!$F$7="Governmental Fund",ROUND('Fund 9745 Journal Entries'!$K$62,0),0)</f>
        <v>0</v>
      </c>
      <c r="C42" s="160"/>
      <c r="D42" s="159"/>
      <c r="E42" s="159"/>
      <c r="F42" s="159"/>
      <c r="G42" s="145"/>
      <c r="H42" s="159"/>
      <c r="I42" s="149"/>
      <c r="J42" s="159"/>
      <c r="K42" s="145"/>
      <c r="L42" s="158"/>
      <c r="M42" s="23"/>
      <c r="N42" s="12">
        <f>ROUND('Department Note Disclosure'!$B$16,0)</f>
        <v>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1642</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1616</v>
      </c>
      <c r="C47" s="215"/>
      <c r="D47" s="215"/>
      <c r="E47" s="215"/>
      <c r="F47" s="215"/>
      <c r="G47" s="215"/>
      <c r="H47" s="144"/>
      <c r="I47" s="145"/>
      <c r="J47" s="144"/>
      <c r="K47" s="145"/>
      <c r="L47" s="144"/>
      <c r="M47" s="145"/>
      <c r="N47" s="146" t="s">
        <v>1555</v>
      </c>
      <c r="O47" s="147"/>
      <c r="P47" s="148"/>
      <c r="Q47" s="144"/>
    </row>
    <row r="48" spans="1:17" ht="15" customHeight="1" x14ac:dyDescent="0.25">
      <c r="A48" s="144"/>
      <c r="B48" s="150" t="s">
        <v>1557</v>
      </c>
      <c r="C48" s="219" t="s">
        <v>1638</v>
      </c>
      <c r="D48" s="219"/>
      <c r="E48" s="219"/>
      <c r="G48" s="145"/>
      <c r="H48" s="159"/>
      <c r="I48" s="149"/>
      <c r="J48" s="159"/>
      <c r="K48" s="145"/>
      <c r="L48" s="144"/>
      <c r="M48" s="145"/>
      <c r="N48" s="147"/>
      <c r="O48" s="147"/>
      <c r="P48" s="148"/>
      <c r="Q48" s="144"/>
    </row>
    <row r="49" spans="1:16383" ht="15" customHeight="1" x14ac:dyDescent="0.25">
      <c r="A49" s="144"/>
      <c r="B49" s="10">
        <f>IF('Fund 9745 Journal Entries'!$F$7="Proprietary - Internal Service Fund",ROUND('Fund 9745 Journal Entries'!$K$62,0),0)</f>
        <v>11887353</v>
      </c>
      <c r="C49" s="145"/>
      <c r="E49" s="145"/>
      <c r="G49" s="145"/>
      <c r="H49" s="159"/>
      <c r="I49" s="149"/>
      <c r="J49" s="159"/>
      <c r="K49" s="145"/>
      <c r="L49" s="144"/>
      <c r="M49" s="152"/>
      <c r="N49" s="154" t="str">
        <f>'Department Note Disclosure'!$A$47&amp;" Principal Payments"</f>
        <v>2024–2025 Principal Payments</v>
      </c>
      <c r="O49" s="147"/>
      <c r="P49" s="147" t="s">
        <v>1562</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11887353</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1643</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1616</v>
      </c>
      <c r="C54" s="215"/>
      <c r="D54" s="215"/>
      <c r="E54" s="215"/>
      <c r="F54" s="215"/>
      <c r="G54" s="215"/>
      <c r="H54" s="159"/>
      <c r="I54" s="159"/>
      <c r="J54" s="159"/>
      <c r="K54" s="159"/>
      <c r="L54" s="159"/>
      <c r="M54" s="145"/>
      <c r="N54" s="146" t="s">
        <v>1555</v>
      </c>
      <c r="O54" s="147"/>
      <c r="P54" s="148"/>
      <c r="Q54" s="144"/>
    </row>
    <row r="55" spans="1:16383" x14ac:dyDescent="0.25">
      <c r="A55" s="144"/>
      <c r="B55" s="150" t="s">
        <v>1557</v>
      </c>
      <c r="C55" s="219" t="s">
        <v>1638</v>
      </c>
      <c r="D55" s="219"/>
      <c r="E55" s="219"/>
      <c r="F55" s="159"/>
      <c r="G55" s="149"/>
      <c r="H55" s="159"/>
      <c r="I55" s="159"/>
      <c r="J55" s="159"/>
      <c r="K55" s="159"/>
      <c r="L55" s="159"/>
      <c r="M55" s="145"/>
      <c r="N55" s="147"/>
      <c r="O55" s="147"/>
      <c r="P55" s="148"/>
      <c r="Q55" s="144"/>
    </row>
    <row r="56" spans="1:16383" ht="15" customHeight="1" x14ac:dyDescent="0.25">
      <c r="A56" s="144"/>
      <c r="B56" s="10">
        <f>IF('Fund 9745 Journal Entries'!$F$7="Proprietary - Enterprise Fund",ROUND('Fund 9745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1562</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1560</v>
      </c>
      <c r="B59" s="213"/>
      <c r="C59" s="213"/>
      <c r="D59" s="213"/>
      <c r="E59" s="213"/>
      <c r="F59" s="213"/>
      <c r="G59" s="213"/>
      <c r="H59" s="213"/>
      <c r="I59" s="213"/>
      <c r="J59" s="213"/>
      <c r="K59" s="213"/>
      <c r="L59" s="213"/>
      <c r="M59" s="213"/>
      <c r="N59" s="213"/>
      <c r="O59" s="213"/>
      <c r="P59" s="213"/>
      <c r="Q59" s="213"/>
    </row>
    <row r="60" spans="1:16383" ht="15" customHeight="1" x14ac:dyDescent="0.25">
      <c r="A60" s="211" t="s">
        <v>1641</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1616</v>
      </c>
      <c r="C62" s="216"/>
      <c r="D62" s="216"/>
      <c r="E62" s="216"/>
      <c r="F62" s="216"/>
      <c r="G62" s="216"/>
      <c r="H62" s="216"/>
      <c r="I62" s="147"/>
      <c r="J62" s="146" t="s">
        <v>1640</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1562</v>
      </c>
      <c r="Q63" s="144"/>
    </row>
    <row r="64" spans="1:16383" x14ac:dyDescent="0.25">
      <c r="B64" s="162" t="s">
        <v>1551</v>
      </c>
      <c r="D64" s="14">
        <f>$B$17</f>
        <v>0</v>
      </c>
      <c r="I64" s="25" t="s">
        <v>1554</v>
      </c>
      <c r="J64" s="14">
        <f>SUM(D64)</f>
        <v>0</v>
      </c>
      <c r="L64" s="164" t="str">
        <f>CONCATENATE("Balance July 1, ",LEFT('Department Note Disclosure'!$B$11,4))</f>
        <v>Balance July 1, 2023</v>
      </c>
      <c r="N64" s="14">
        <f>ROUND('SBITA Liabilities'!$F$10,0)</f>
        <v>0</v>
      </c>
      <c r="P64" s="13">
        <f>J64-N64</f>
        <v>0</v>
      </c>
    </row>
    <row r="65" spans="1:16383" x14ac:dyDescent="0.25">
      <c r="B65" s="162" t="s">
        <v>1619</v>
      </c>
      <c r="D65" s="14">
        <f>$D$17</f>
        <v>0</v>
      </c>
      <c r="E65" s="165" t="s">
        <v>1550</v>
      </c>
      <c r="F65" s="150" t="s">
        <v>1645</v>
      </c>
      <c r="H65" s="14">
        <f>J17</f>
        <v>0</v>
      </c>
      <c r="I65" s="25" t="s">
        <v>1554</v>
      </c>
      <c r="J65" s="14">
        <f>SUM(D65,H65)</f>
        <v>0</v>
      </c>
      <c r="L65" s="164" t="s">
        <v>9</v>
      </c>
      <c r="N65" s="14">
        <f>ROUND('SBITA Liabilities'!$H$10,0)</f>
        <v>0</v>
      </c>
      <c r="P65" s="13">
        <f>J65-N65</f>
        <v>0</v>
      </c>
    </row>
    <row r="66" spans="1:16383" x14ac:dyDescent="0.25">
      <c r="B66" s="162" t="s">
        <v>1553</v>
      </c>
      <c r="D66" s="14">
        <f>$F$17</f>
        <v>0</v>
      </c>
      <c r="E66" s="165" t="s">
        <v>1550</v>
      </c>
      <c r="F66" s="150" t="s">
        <v>1644</v>
      </c>
      <c r="H66" s="14">
        <f>H17</f>
        <v>0</v>
      </c>
      <c r="I66" s="25" t="s">
        <v>1554</v>
      </c>
      <c r="J66" s="14">
        <f>SUM(D66,H66)</f>
        <v>0</v>
      </c>
      <c r="L66" s="164" t="s">
        <v>10</v>
      </c>
      <c r="N66" s="14">
        <f>ROUND('SBITA Liabilities'!$J$10,0)</f>
        <v>0</v>
      </c>
      <c r="P66" s="13">
        <f>J66-N66</f>
        <v>0</v>
      </c>
    </row>
    <row r="67" spans="1:16383" x14ac:dyDescent="0.25">
      <c r="B67" s="162" t="s">
        <v>1557</v>
      </c>
      <c r="D67" s="14">
        <f>$B$42</f>
        <v>0</v>
      </c>
      <c r="I67" s="25" t="s">
        <v>1554</v>
      </c>
      <c r="J67" s="14">
        <f>SUM(D67)</f>
        <v>0</v>
      </c>
      <c r="L67" s="164" t="s">
        <v>11</v>
      </c>
      <c r="N67" s="14">
        <f>ROUND('SBITA Liabilities'!$N$10,0)</f>
        <v>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1642</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1616</v>
      </c>
      <c r="C72" s="216"/>
      <c r="D72" s="216"/>
      <c r="E72" s="216"/>
      <c r="F72" s="216"/>
      <c r="G72" s="216"/>
      <c r="H72" s="216"/>
      <c r="I72" s="147"/>
      <c r="J72" s="146" t="s">
        <v>1640</v>
      </c>
      <c r="K72" s="147"/>
      <c r="L72" s="216" t="s">
        <v>118</v>
      </c>
      <c r="M72" s="216"/>
      <c r="N72" s="216"/>
    </row>
    <row r="73" spans="1:16383" x14ac:dyDescent="0.25">
      <c r="I73" s="147"/>
      <c r="J73" s="144"/>
      <c r="L73" s="144"/>
      <c r="M73" s="145"/>
      <c r="N73" s="144"/>
      <c r="O73" s="145"/>
      <c r="P73" s="147" t="s">
        <v>1562</v>
      </c>
    </row>
    <row r="74" spans="1:16383" x14ac:dyDescent="0.25">
      <c r="B74" s="162" t="s">
        <v>1551</v>
      </c>
      <c r="D74" s="14">
        <f>$B$25</f>
        <v>4632876</v>
      </c>
      <c r="I74" s="25" t="s">
        <v>1554</v>
      </c>
      <c r="J74" s="14">
        <f>SUM(D74)</f>
        <v>4632876</v>
      </c>
      <c r="L74" s="164" t="str">
        <f>CONCATENATE("Balance July 1, ",LEFT('Department Note Disclosure'!$B$11,4))</f>
        <v>Balance July 1, 2023</v>
      </c>
      <c r="N74" s="14">
        <f>ROUND('SBITA Liabilities'!$F$14,0)</f>
        <v>4632876</v>
      </c>
      <c r="P74" s="13">
        <f>J74-N74</f>
        <v>0</v>
      </c>
    </row>
    <row r="75" spans="1:16383" x14ac:dyDescent="0.25">
      <c r="B75" s="162" t="s">
        <v>1619</v>
      </c>
      <c r="D75" s="14">
        <f>D25</f>
        <v>20093926</v>
      </c>
      <c r="E75" s="165" t="s">
        <v>1550</v>
      </c>
      <c r="F75" s="150" t="s">
        <v>1645</v>
      </c>
      <c r="H75" s="14">
        <f>J25</f>
        <v>0</v>
      </c>
      <c r="I75" s="25" t="s">
        <v>1554</v>
      </c>
      <c r="J75" s="14">
        <f>SUM(D75,H75)</f>
        <v>20093926</v>
      </c>
      <c r="L75" s="164" t="s">
        <v>9</v>
      </c>
      <c r="N75" s="14">
        <f>ROUND('SBITA Liabilities'!$H$14,0)</f>
        <v>20093926</v>
      </c>
      <c r="P75" s="13">
        <f>J75-N75</f>
        <v>0</v>
      </c>
    </row>
    <row r="76" spans="1:16383" x14ac:dyDescent="0.25">
      <c r="B76" s="162" t="s">
        <v>1553</v>
      </c>
      <c r="D76" s="14">
        <f>F25</f>
        <v>12511922</v>
      </c>
      <c r="E76" s="165" t="s">
        <v>1550</v>
      </c>
      <c r="F76" s="150" t="s">
        <v>1644</v>
      </c>
      <c r="H76" s="14">
        <f>H25</f>
        <v>0</v>
      </c>
      <c r="I76" s="25" t="s">
        <v>1554</v>
      </c>
      <c r="J76" s="14">
        <f>SUM(D76,H76)</f>
        <v>12511922</v>
      </c>
      <c r="L76" s="164" t="s">
        <v>10</v>
      </c>
      <c r="N76" s="14">
        <f>ROUND('SBITA Liabilities'!$J$14,0)</f>
        <v>12511922</v>
      </c>
      <c r="P76" s="13">
        <f>J76-N76</f>
        <v>0</v>
      </c>
    </row>
    <row r="77" spans="1:16383" x14ac:dyDescent="0.25">
      <c r="B77" s="162" t="s">
        <v>1557</v>
      </c>
      <c r="D77" s="14">
        <f>B49</f>
        <v>11887353</v>
      </c>
      <c r="I77" s="25" t="s">
        <v>1554</v>
      </c>
      <c r="J77" s="14">
        <f>SUM(D77)</f>
        <v>11887353</v>
      </c>
      <c r="L77" s="164" t="s">
        <v>11</v>
      </c>
      <c r="N77" s="14">
        <f>ROUND('SBITA Liabilities'!$N$14,0)</f>
        <v>11887353</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1643</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1616</v>
      </c>
      <c r="C82" s="216"/>
      <c r="D82" s="216"/>
      <c r="E82" s="216"/>
      <c r="F82" s="216"/>
      <c r="G82" s="216"/>
      <c r="H82" s="216"/>
      <c r="I82" s="147"/>
      <c r="J82" s="146" t="s">
        <v>1640</v>
      </c>
      <c r="K82" s="147"/>
      <c r="L82" s="217" t="s">
        <v>118</v>
      </c>
      <c r="M82" s="217"/>
      <c r="N82" s="217"/>
    </row>
    <row r="83" spans="1:17" x14ac:dyDescent="0.25">
      <c r="I83" s="147"/>
      <c r="J83" s="144"/>
      <c r="L83" s="144"/>
      <c r="M83" s="145"/>
      <c r="N83" s="144"/>
      <c r="O83" s="145"/>
      <c r="P83" s="147" t="s">
        <v>1562</v>
      </c>
    </row>
    <row r="84" spans="1:17" x14ac:dyDescent="0.25">
      <c r="B84" s="162" t="s">
        <v>1551</v>
      </c>
      <c r="D84" s="14">
        <f>$B$34</f>
        <v>0</v>
      </c>
      <c r="I84" s="25" t="s">
        <v>1554</v>
      </c>
      <c r="J84" s="14">
        <f>SUM(D84)</f>
        <v>0</v>
      </c>
      <c r="L84" s="164" t="str">
        <f>CONCATENATE("Balance July 1, ",LEFT('Department Note Disclosure'!$B$11,4))</f>
        <v>Balance July 1, 2023</v>
      </c>
      <c r="N84" s="14">
        <f>ROUND('SBITA Liabilities'!$F$18,0)</f>
        <v>0</v>
      </c>
      <c r="P84" s="13">
        <f>J84-N84</f>
        <v>0</v>
      </c>
    </row>
    <row r="85" spans="1:17" x14ac:dyDescent="0.25">
      <c r="B85" s="162" t="s">
        <v>1619</v>
      </c>
      <c r="D85" s="14">
        <f>D34</f>
        <v>0</v>
      </c>
      <c r="E85" s="165" t="s">
        <v>1550</v>
      </c>
      <c r="F85" s="150" t="s">
        <v>1645</v>
      </c>
      <c r="H85" s="14">
        <f>J34</f>
        <v>0</v>
      </c>
      <c r="I85" s="25" t="s">
        <v>1554</v>
      </c>
      <c r="J85" s="14">
        <f>SUM(D85,H85)</f>
        <v>0</v>
      </c>
      <c r="L85" s="164" t="s">
        <v>9</v>
      </c>
      <c r="N85" s="14">
        <f>ROUND('SBITA Liabilities'!$H$18,0)</f>
        <v>0</v>
      </c>
      <c r="P85" s="13">
        <f>J85-N85</f>
        <v>0</v>
      </c>
    </row>
    <row r="86" spans="1:17" x14ac:dyDescent="0.25">
      <c r="B86" s="162" t="s">
        <v>1553</v>
      </c>
      <c r="D86" s="14">
        <f>F34</f>
        <v>0</v>
      </c>
      <c r="E86" s="165" t="s">
        <v>1550</v>
      </c>
      <c r="F86" s="150" t="s">
        <v>1644</v>
      </c>
      <c r="H86" s="14">
        <f>H34</f>
        <v>0</v>
      </c>
      <c r="I86" s="25" t="s">
        <v>1554</v>
      </c>
      <c r="J86" s="14">
        <f>SUM(D86,H86)</f>
        <v>0</v>
      </c>
      <c r="L86" s="164" t="s">
        <v>10</v>
      </c>
      <c r="N86" s="14">
        <f>ROUND('SBITA Liabilities'!$J$18,0)</f>
        <v>0</v>
      </c>
      <c r="P86" s="13">
        <f>J86-N86</f>
        <v>0</v>
      </c>
    </row>
    <row r="87" spans="1:17" x14ac:dyDescent="0.25">
      <c r="B87" s="162" t="s">
        <v>1557</v>
      </c>
      <c r="D87" s="14">
        <f>B56</f>
        <v>0</v>
      </c>
      <c r="I87" s="25" t="s">
        <v>1554</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F10" sqref="F10"/>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1564</v>
      </c>
      <c r="C1" s="1" t="s">
        <v>116</v>
      </c>
      <c r="D1" s="7" t="s">
        <v>134</v>
      </c>
      <c r="E1" s="1" t="s">
        <v>1512</v>
      </c>
      <c r="F1" s="1" t="s">
        <v>1513</v>
      </c>
      <c r="G1" s="1" t="s">
        <v>1512</v>
      </c>
      <c r="I1" s="6"/>
      <c r="J1"/>
      <c r="K1"/>
    </row>
    <row r="2" spans="1:11" ht="15.75" x14ac:dyDescent="0.25">
      <c r="A2" s="1" t="s">
        <v>16</v>
      </c>
      <c r="B2" s="1" t="s">
        <v>1565</v>
      </c>
      <c r="C2" s="1" t="s">
        <v>115</v>
      </c>
      <c r="D2" s="7" t="s">
        <v>142</v>
      </c>
      <c r="E2" s="1" t="s">
        <v>1514</v>
      </c>
      <c r="F2" s="1" t="s">
        <v>1515</v>
      </c>
      <c r="G2" s="1" t="s">
        <v>1516</v>
      </c>
      <c r="I2"/>
      <c r="J2"/>
      <c r="K2"/>
    </row>
    <row r="3" spans="1:11" ht="15.75" x14ac:dyDescent="0.25">
      <c r="A3" s="1" t="s">
        <v>17</v>
      </c>
      <c r="B3" s="1" t="s">
        <v>1566</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1596</v>
      </c>
      <c r="E9" s="1" t="s">
        <v>1590</v>
      </c>
      <c r="F9" s="1" t="s">
        <v>1590</v>
      </c>
      <c r="G9" s="1" t="s">
        <v>1591</v>
      </c>
      <c r="I9"/>
      <c r="J9"/>
      <c r="K9"/>
    </row>
    <row r="10" spans="1:11" x14ac:dyDescent="0.2">
      <c r="A10" s="1" t="s">
        <v>24</v>
      </c>
      <c r="D10" s="7" t="s">
        <v>1597</v>
      </c>
      <c r="E10" s="1" t="s">
        <v>1546</v>
      </c>
      <c r="F10" s="1" t="s">
        <v>1546</v>
      </c>
      <c r="G10" s="1" t="s">
        <v>1545</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1536</v>
      </c>
      <c r="B112" s="5" t="s">
        <v>1537</v>
      </c>
      <c r="C112" s="5" t="s">
        <v>226</v>
      </c>
      <c r="D112" s="5" t="s">
        <v>227</v>
      </c>
      <c r="E112" s="5" t="s">
        <v>134</v>
      </c>
      <c r="F112" s="5" t="s">
        <v>131</v>
      </c>
      <c r="G112" s="5" t="s">
        <v>131</v>
      </c>
      <c r="H112" s="5" t="s">
        <v>131</v>
      </c>
      <c r="I112" s="5" t="s">
        <v>131</v>
      </c>
      <c r="J112" s="5" t="s">
        <v>1538</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1539</v>
      </c>
      <c r="B172" s="5" t="s">
        <v>1540</v>
      </c>
      <c r="C172" s="5" t="s">
        <v>226</v>
      </c>
      <c r="D172" s="5" t="s">
        <v>1541</v>
      </c>
      <c r="E172" s="5" t="s">
        <v>134</v>
      </c>
      <c r="F172" s="5" t="s">
        <v>131</v>
      </c>
      <c r="G172" s="5" t="s">
        <v>131</v>
      </c>
      <c r="H172" s="5" t="s">
        <v>131</v>
      </c>
      <c r="I172" s="5" t="s">
        <v>131</v>
      </c>
      <c r="J172" s="5" t="s">
        <v>1542</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1543</v>
      </c>
      <c r="B235" s="5" t="s">
        <v>1544</v>
      </c>
      <c r="C235" s="5" t="s">
        <v>241</v>
      </c>
      <c r="D235" s="5" t="s">
        <v>242</v>
      </c>
      <c r="E235" s="5" t="s">
        <v>134</v>
      </c>
      <c r="F235" s="5" t="s">
        <v>131</v>
      </c>
      <c r="G235" s="5" t="s">
        <v>131</v>
      </c>
      <c r="H235" s="5" t="s">
        <v>131</v>
      </c>
      <c r="I235" s="5" t="s">
        <v>131</v>
      </c>
      <c r="J235" s="5" t="s">
        <v>1538</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9745 Journal Entries</vt:lpstr>
      <vt:lpstr>Department Note Disclosure</vt:lpstr>
      <vt:lpstr>SBITA Liabilities</vt:lpstr>
      <vt:lpstr>Check Figures </vt:lpstr>
      <vt:lpstr>Drop Down Menus</vt:lpstr>
      <vt:lpstr>GAAP02Aindex</vt:lpstr>
      <vt:lpstr>'Department Note Disclosure'!Print_Area</vt:lpstr>
      <vt:lpstr>'Fund 9745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2025-02-26T18:58:01Z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