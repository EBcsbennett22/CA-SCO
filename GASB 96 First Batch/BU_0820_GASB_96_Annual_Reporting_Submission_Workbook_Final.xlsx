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7A2F6F53-E6A4-4A02-9CC1-F5EAE3353E33}" xr6:coauthVersionLast="47" xr6:coauthVersionMax="47" xr10:uidLastSave="{00000000-0000-0000-0000-000000000000}"/>
  <bookViews>
    <workbookView xWindow="20370" yWindow="-120" windowWidth="38640" windowHeight="15840" tabRatio="668" xr2:uid="{00000000-000D-0000-FFFF-FFFF00000000}"/>
  </bookViews>
  <sheets>
    <sheet name="Fund 0001 Journal Entries" sheetId="29" r:id="rId1"/>
    <sheet name="Fund 0012 Journal Entries" sheetId="2" r:id="rId2"/>
    <sheet name="Fund 0017 Journal Entries" sheetId="11" r:id="rId3"/>
    <sheet name="Fund 0044 Journal Entries" sheetId="13" r:id="rId4"/>
    <sheet name="Fund 0158 Journal Entries" sheetId="14" r:id="rId5"/>
    <sheet name="Fund 0367 Journal Entries" sheetId="15" r:id="rId6"/>
    <sheet name="Fund 0378 Journal Entries" sheetId="16" r:id="rId7"/>
    <sheet name="Fund 0460 Journal Entries" sheetId="17" r:id="rId8"/>
    <sheet name="Fund 0567 Journal Entries" sheetId="12" r:id="rId9"/>
    <sheet name="Fund 0569 Journal Entries" sheetId="19" r:id="rId10"/>
    <sheet name="Fund 0890 Journal Entries" sheetId="18" r:id="rId11"/>
    <sheet name="Fund 1008 Journal Entries" sheetId="23" r:id="rId12"/>
    <sheet name="Fund 3053 Journal Entries" sheetId="22" r:id="rId13"/>
    <sheet name="Fund 3086 Journal Entries" sheetId="20" r:id="rId14"/>
    <sheet name="Fund 3088 Journal Entries" sheetId="21" r:id="rId15"/>
    <sheet name="Fund 3297 Journal Entries" sheetId="25" r:id="rId16"/>
    <sheet name="Fund 3320 Journal Entries" sheetId="26" r:id="rId17"/>
    <sheet name="Fund 9731 Journal Entries" sheetId="27" r:id="rId18"/>
    <sheet name="Fund 9740 Journal Entries" sheetId="28" r:id="rId19"/>
    <sheet name="Department Note Disclosure" sheetId="3" r:id="rId20"/>
    <sheet name="SBITA Liabilities" sheetId="4" r:id="rId21"/>
    <sheet name="Check Figures " sheetId="9" r:id="rId22"/>
    <sheet name="Drop Down Menus" sheetId="1" state="hidden" r:id="rId23"/>
    <sheet name="GAAP02Aindex" sheetId="7" state="hidden" r:id="rId24"/>
  </sheets>
  <externalReferences>
    <externalReference r:id="rId2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9">'Department Note Disclosure'!$A$3:$D$101</definedName>
    <definedName name="_xlnm.Print_Area" localSheetId="0">'Fund 0001 Journal Entries'!$A$1:$K$99</definedName>
    <definedName name="_xlnm.Print_Area" localSheetId="1">'Fund 0012 Journal Entries'!$A$1:$K$99</definedName>
    <definedName name="_xlnm.Print_Area" localSheetId="2">'Fund 0017 Journal Entries'!$A$1:$K$99</definedName>
    <definedName name="_xlnm.Print_Area" localSheetId="3">'Fund 0044 Journal Entries'!$A$1:$K$99</definedName>
    <definedName name="_xlnm.Print_Area" localSheetId="4">'Fund 0158 Journal Entries'!$A$1:$K$99</definedName>
    <definedName name="_xlnm.Print_Area" localSheetId="5">'Fund 0367 Journal Entries'!$A$1:$K$99</definedName>
    <definedName name="_xlnm.Print_Area" localSheetId="6">'Fund 0378 Journal Entries'!$A$1:$K$99</definedName>
    <definedName name="_xlnm.Print_Area" localSheetId="7">'Fund 0460 Journal Entries'!$A$1:$K$99</definedName>
    <definedName name="_xlnm.Print_Area" localSheetId="8">'Fund 0567 Journal Entries'!$A$1:$K$99</definedName>
    <definedName name="_xlnm.Print_Area" localSheetId="9">'Fund 0569 Journal Entries'!$A$1:$K$99</definedName>
    <definedName name="_xlnm.Print_Area" localSheetId="10">'Fund 0890 Journal Entries'!$A$1:$K$99</definedName>
    <definedName name="_xlnm.Print_Area" localSheetId="11">'Fund 1008 Journal Entries'!$A$1:$K$99</definedName>
    <definedName name="_xlnm.Print_Area" localSheetId="12">'Fund 3053 Journal Entries'!$A$1:$K$99</definedName>
    <definedName name="_xlnm.Print_Area" localSheetId="13">'Fund 3086 Journal Entries'!$A$1:$K$99</definedName>
    <definedName name="_xlnm.Print_Area" localSheetId="14">'Fund 3088 Journal Entries'!$A$1:$K$99</definedName>
    <definedName name="_xlnm.Print_Area" localSheetId="15">'Fund 3297 Journal Entries'!$A$1:$K$99</definedName>
    <definedName name="_xlnm.Print_Area" localSheetId="16">'Fund 3320 Journal Entries'!$A$1:$K$99</definedName>
    <definedName name="_xlnm.Print_Area" localSheetId="17">'Fund 9731 Journal Entries'!$A$1:$K$99</definedName>
    <definedName name="_xlnm.Print_Area" localSheetId="18">'Fund 9740 Journal Entries'!$A$1:$K$99</definedName>
    <definedName name="_xlnm.Print_Area" localSheetId="20">'SBITA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B16" i="3"/>
  <c r="N10" i="4"/>
  <c r="B42" i="9"/>
  <c r="J10" i="4"/>
  <c r="H17" i="9"/>
  <c r="F17" i="9"/>
  <c r="H10" i="4"/>
  <c r="J17" i="9"/>
  <c r="D17" i="9"/>
  <c r="F10" i="4"/>
  <c r="B17" i="9"/>
  <c r="B49" i="9"/>
  <c r="F25" i="9"/>
  <c r="H25" i="9"/>
  <c r="J25" i="9"/>
  <c r="D25" i="9"/>
  <c r="B25" i="9"/>
  <c r="B17" i="3"/>
  <c r="B18" i="3" l="1"/>
  <c r="K86" i="29" l="1"/>
  <c r="J86" i="29"/>
  <c r="L86" i="29" s="1"/>
  <c r="K81" i="29"/>
  <c r="J81" i="29"/>
  <c r="K70" i="29"/>
  <c r="J70" i="29"/>
  <c r="J63" i="29"/>
  <c r="K62" i="29"/>
  <c r="K97" i="29" s="1"/>
  <c r="K57" i="29"/>
  <c r="L57" i="29" s="1"/>
  <c r="J53" i="29"/>
  <c r="K52" i="29"/>
  <c r="K53" i="29" s="1"/>
  <c r="B51" i="29"/>
  <c r="J47" i="29"/>
  <c r="K46" i="29"/>
  <c r="K47" i="29" s="1"/>
  <c r="K39" i="29"/>
  <c r="J39" i="29"/>
  <c r="K31" i="29"/>
  <c r="J31" i="29"/>
  <c r="A26" i="29"/>
  <c r="S21" i="29"/>
  <c r="Q20" i="29"/>
  <c r="S20" i="29" s="1"/>
  <c r="S19" i="29"/>
  <c r="K19" i="29"/>
  <c r="S18" i="29"/>
  <c r="K18" i="29"/>
  <c r="S17" i="29"/>
  <c r="P16" i="29"/>
  <c r="S16" i="29" s="1"/>
  <c r="S15" i="29"/>
  <c r="J15" i="29"/>
  <c r="K94" i="29" s="1"/>
  <c r="B14" i="29"/>
  <c r="A12" i="29"/>
  <c r="F8" i="29"/>
  <c r="C38" i="29" s="1"/>
  <c r="L53" i="29" l="1"/>
  <c r="L50" i="29"/>
  <c r="K95" i="29"/>
  <c r="J56" i="29"/>
  <c r="J58" i="29" s="1"/>
  <c r="L47" i="29"/>
  <c r="K20" i="29"/>
  <c r="L81" i="29"/>
  <c r="L70" i="29"/>
  <c r="K63" i="29"/>
  <c r="L63" i="29" s="1"/>
  <c r="K58" i="29"/>
  <c r="L39" i="29"/>
  <c r="L31" i="29"/>
  <c r="J16" i="29"/>
  <c r="B78" i="29"/>
  <c r="C80" i="29"/>
  <c r="C52" i="29"/>
  <c r="C30" i="29"/>
  <c r="K96" i="29" l="1"/>
  <c r="L58" i="29"/>
  <c r="K21" i="29"/>
  <c r="K22" i="29" s="1"/>
  <c r="J17" i="29"/>
  <c r="J22" i="29" s="1"/>
  <c r="J14" i="4"/>
  <c r="L22" i="29" l="1"/>
  <c r="K94" i="28"/>
  <c r="K86" i="28"/>
  <c r="J86" i="28"/>
  <c r="L86" i="28" s="1"/>
  <c r="K81" i="28"/>
  <c r="J81" i="28"/>
  <c r="L81" i="28" s="1"/>
  <c r="K70" i="28"/>
  <c r="J70" i="28"/>
  <c r="J63" i="28"/>
  <c r="K62" i="28"/>
  <c r="K97" i="28" s="1"/>
  <c r="J58" i="28"/>
  <c r="K57" i="28"/>
  <c r="K58" i="28" s="1"/>
  <c r="J53" i="28"/>
  <c r="K52" i="28"/>
  <c r="K53" i="28" s="1"/>
  <c r="B51" i="28"/>
  <c r="L50" i="28"/>
  <c r="J47" i="28"/>
  <c r="K46" i="28"/>
  <c r="K47" i="28" s="1"/>
  <c r="K39" i="28"/>
  <c r="J39" i="28"/>
  <c r="L39" i="28" s="1"/>
  <c r="L31" i="28"/>
  <c r="K31" i="28"/>
  <c r="J31" i="28"/>
  <c r="A26" i="28"/>
  <c r="S21" i="28"/>
  <c r="Q20" i="28"/>
  <c r="K20" i="28" s="1"/>
  <c r="S19" i="28"/>
  <c r="K19" i="28"/>
  <c r="K96" i="28" s="1"/>
  <c r="S18" i="28"/>
  <c r="K18" i="28"/>
  <c r="K95" i="28" s="1"/>
  <c r="S17" i="28"/>
  <c r="P16" i="28"/>
  <c r="J16" i="28" s="1"/>
  <c r="S15" i="28"/>
  <c r="J15" i="28"/>
  <c r="B14" i="28"/>
  <c r="A12" i="28"/>
  <c r="F8" i="28"/>
  <c r="C52" i="28" s="1"/>
  <c r="L86" i="27"/>
  <c r="K86" i="27"/>
  <c r="J86" i="27"/>
  <c r="K81" i="27"/>
  <c r="J81" i="27"/>
  <c r="L70" i="27"/>
  <c r="K70" i="27"/>
  <c r="J70" i="27"/>
  <c r="K63" i="27"/>
  <c r="J63" i="27"/>
  <c r="K62" i="27"/>
  <c r="K97" i="27" s="1"/>
  <c r="J58" i="27"/>
  <c r="K57" i="27"/>
  <c r="L57" i="27" s="1"/>
  <c r="J53" i="27"/>
  <c r="K52" i="27"/>
  <c r="K53" i="27" s="1"/>
  <c r="B51" i="27"/>
  <c r="J47" i="27"/>
  <c r="K46" i="27"/>
  <c r="K47" i="27" s="1"/>
  <c r="K39" i="27"/>
  <c r="J39" i="27"/>
  <c r="K31" i="27"/>
  <c r="J31" i="27"/>
  <c r="A26" i="27"/>
  <c r="S21" i="27"/>
  <c r="Q20" i="27"/>
  <c r="K20" i="27" s="1"/>
  <c r="S19" i="27"/>
  <c r="K19" i="27"/>
  <c r="K96" i="27" s="1"/>
  <c r="S18" i="27"/>
  <c r="K18" i="27"/>
  <c r="S17" i="27"/>
  <c r="P16" i="27"/>
  <c r="J16" i="27" s="1"/>
  <c r="S15" i="27"/>
  <c r="J15" i="27"/>
  <c r="K94" i="27" s="1"/>
  <c r="B14" i="27"/>
  <c r="A12" i="27"/>
  <c r="F8" i="27"/>
  <c r="C80" i="27" s="1"/>
  <c r="L86" i="26"/>
  <c r="K86" i="26"/>
  <c r="J86" i="26"/>
  <c r="K81" i="26"/>
  <c r="J81" i="26"/>
  <c r="L81" i="26" s="1"/>
  <c r="K70" i="26"/>
  <c r="J70" i="26"/>
  <c r="K63" i="26"/>
  <c r="L63" i="26" s="1"/>
  <c r="J63" i="26"/>
  <c r="K62" i="26"/>
  <c r="K97" i="26" s="1"/>
  <c r="J58" i="26"/>
  <c r="K57" i="26"/>
  <c r="L50" i="26" s="1"/>
  <c r="J53" i="26"/>
  <c r="K52" i="26"/>
  <c r="K53" i="26" s="1"/>
  <c r="B51" i="26"/>
  <c r="J47" i="26"/>
  <c r="K46" i="26"/>
  <c r="L39" i="26"/>
  <c r="K39" i="26"/>
  <c r="J39" i="26"/>
  <c r="K31" i="26"/>
  <c r="J31" i="26"/>
  <c r="A26" i="26"/>
  <c r="S21" i="26"/>
  <c r="Q20" i="26"/>
  <c r="S20" i="26" s="1"/>
  <c r="S19" i="26"/>
  <c r="K19" i="26"/>
  <c r="K96" i="26" s="1"/>
  <c r="S18" i="26"/>
  <c r="K18" i="26"/>
  <c r="S17" i="26"/>
  <c r="P16" i="26"/>
  <c r="J16" i="26" s="1"/>
  <c r="S15" i="26"/>
  <c r="J15" i="26"/>
  <c r="K94" i="26" s="1"/>
  <c r="B14" i="26"/>
  <c r="A12" i="26"/>
  <c r="F8" i="26"/>
  <c r="C38" i="26" s="1"/>
  <c r="K97" i="25"/>
  <c r="L86" i="25"/>
  <c r="K86" i="25"/>
  <c r="J86" i="25"/>
  <c r="K81" i="25"/>
  <c r="J81" i="25"/>
  <c r="L81" i="25" s="1"/>
  <c r="K70" i="25"/>
  <c r="J70" i="25"/>
  <c r="K63" i="25"/>
  <c r="L63" i="25" s="1"/>
  <c r="J63" i="25"/>
  <c r="K62" i="25"/>
  <c r="J58" i="25"/>
  <c r="K57" i="25"/>
  <c r="L50" i="25" s="1"/>
  <c r="J53" i="25"/>
  <c r="K52" i="25"/>
  <c r="K53" i="25" s="1"/>
  <c r="L53" i="25" s="1"/>
  <c r="B51" i="25"/>
  <c r="J47" i="25"/>
  <c r="K47" i="25"/>
  <c r="L39" i="25"/>
  <c r="K39" i="25"/>
  <c r="J39" i="25"/>
  <c r="K31" i="25"/>
  <c r="L31" i="25" s="1"/>
  <c r="J31" i="25"/>
  <c r="A26" i="25"/>
  <c r="S21" i="25"/>
  <c r="Q20" i="25"/>
  <c r="S20" i="25" s="1"/>
  <c r="S19" i="25"/>
  <c r="K19" i="25"/>
  <c r="K96" i="25" s="1"/>
  <c r="S18" i="25"/>
  <c r="K18" i="25"/>
  <c r="K95" i="25" s="1"/>
  <c r="S17" i="25"/>
  <c r="P16" i="25"/>
  <c r="J16" i="25" s="1"/>
  <c r="S15" i="25"/>
  <c r="J15" i="25"/>
  <c r="K94" i="25" s="1"/>
  <c r="B14" i="25"/>
  <c r="A12" i="25"/>
  <c r="F8" i="25"/>
  <c r="C38" i="25" s="1"/>
  <c r="K86" i="23"/>
  <c r="J86" i="23"/>
  <c r="L86" i="23" s="1"/>
  <c r="L81" i="23"/>
  <c r="K81" i="23"/>
  <c r="J81" i="23"/>
  <c r="K70" i="23"/>
  <c r="J70" i="23"/>
  <c r="J63" i="23"/>
  <c r="K62" i="23"/>
  <c r="K97" i="23" s="1"/>
  <c r="J58" i="23"/>
  <c r="K57" i="23"/>
  <c r="L50" i="23" s="1"/>
  <c r="K53" i="23"/>
  <c r="J53" i="23"/>
  <c r="K52" i="23"/>
  <c r="B51" i="23"/>
  <c r="J47" i="23"/>
  <c r="K46" i="23"/>
  <c r="K47" i="23" s="1"/>
  <c r="L47" i="23" s="1"/>
  <c r="L39" i="23"/>
  <c r="K39" i="23"/>
  <c r="J39" i="23"/>
  <c r="K31" i="23"/>
  <c r="J31" i="23"/>
  <c r="L31" i="23" s="1"/>
  <c r="A26" i="23"/>
  <c r="S21" i="23"/>
  <c r="Q20" i="23"/>
  <c r="S20" i="23" s="1"/>
  <c r="S19" i="23"/>
  <c r="K19" i="23"/>
  <c r="K96" i="23" s="1"/>
  <c r="S18" i="23"/>
  <c r="K18" i="23"/>
  <c r="S17" i="23"/>
  <c r="P16" i="23"/>
  <c r="J16" i="23" s="1"/>
  <c r="S15" i="23"/>
  <c r="J15" i="23"/>
  <c r="K94" i="23" s="1"/>
  <c r="B14" i="23"/>
  <c r="A12" i="23"/>
  <c r="F8" i="23"/>
  <c r="C38" i="23" s="1"/>
  <c r="K97" i="22"/>
  <c r="L86" i="22"/>
  <c r="K86" i="22"/>
  <c r="J86" i="22"/>
  <c r="K81" i="22"/>
  <c r="J81" i="22"/>
  <c r="K70" i="22"/>
  <c r="J70" i="22"/>
  <c r="L70" i="22" s="1"/>
  <c r="K63" i="22"/>
  <c r="J63" i="22"/>
  <c r="L63" i="22" s="1"/>
  <c r="K62" i="22"/>
  <c r="J58" i="22"/>
  <c r="K57" i="22"/>
  <c r="L50" i="22" s="1"/>
  <c r="K53" i="22"/>
  <c r="J53" i="22"/>
  <c r="L53" i="22" s="1"/>
  <c r="K52" i="22"/>
  <c r="B51" i="22"/>
  <c r="J47" i="22"/>
  <c r="L47" i="22" s="1"/>
  <c r="K46" i="22"/>
  <c r="K47" i="22" s="1"/>
  <c r="K39" i="22"/>
  <c r="J39" i="22"/>
  <c r="L39" i="22" s="1"/>
  <c r="K31" i="22"/>
  <c r="J31" i="22"/>
  <c r="L31" i="22" s="1"/>
  <c r="A26" i="22"/>
  <c r="S21" i="22"/>
  <c r="Q20" i="22"/>
  <c r="S20" i="22" s="1"/>
  <c r="S19" i="22"/>
  <c r="K19" i="22"/>
  <c r="S18" i="22"/>
  <c r="K18" i="22"/>
  <c r="K95" i="22" s="1"/>
  <c r="S17" i="22"/>
  <c r="P16" i="22"/>
  <c r="J16" i="22" s="1"/>
  <c r="S15" i="22"/>
  <c r="J15" i="22"/>
  <c r="K94" i="22" s="1"/>
  <c r="B14" i="22"/>
  <c r="A12" i="22"/>
  <c r="F8" i="22"/>
  <c r="C30" i="22" s="1"/>
  <c r="K86" i="21"/>
  <c r="L86" i="21" s="1"/>
  <c r="J86" i="21"/>
  <c r="K81" i="21"/>
  <c r="J81" i="21"/>
  <c r="K70" i="21"/>
  <c r="J70" i="21"/>
  <c r="K63" i="21"/>
  <c r="J63" i="21"/>
  <c r="K62" i="21"/>
  <c r="K97" i="21" s="1"/>
  <c r="J58" i="21"/>
  <c r="K57" i="21"/>
  <c r="L50" i="21" s="1"/>
  <c r="J53" i="21"/>
  <c r="K52" i="21"/>
  <c r="K53" i="21" s="1"/>
  <c r="B51" i="21"/>
  <c r="J47" i="21"/>
  <c r="K46" i="21"/>
  <c r="K47" i="21" s="1"/>
  <c r="K39" i="21"/>
  <c r="J39" i="21"/>
  <c r="K31" i="21"/>
  <c r="J31" i="21"/>
  <c r="A26" i="21"/>
  <c r="S21" i="21"/>
  <c r="Q20" i="21"/>
  <c r="S20" i="21" s="1"/>
  <c r="S19" i="21"/>
  <c r="K19" i="21"/>
  <c r="K96" i="21" s="1"/>
  <c r="S18" i="21"/>
  <c r="K18" i="21"/>
  <c r="S17" i="21"/>
  <c r="P16" i="21"/>
  <c r="J16" i="21" s="1"/>
  <c r="S15" i="21"/>
  <c r="J15" i="21"/>
  <c r="K94" i="21" s="1"/>
  <c r="B14" i="21"/>
  <c r="A12" i="21"/>
  <c r="F8" i="21"/>
  <c r="C38" i="21" s="1"/>
  <c r="K86" i="20"/>
  <c r="J86" i="20"/>
  <c r="L86" i="20" s="1"/>
  <c r="L81" i="20"/>
  <c r="K81" i="20"/>
  <c r="J81" i="20"/>
  <c r="K70" i="20"/>
  <c r="J70" i="20"/>
  <c r="J63" i="20"/>
  <c r="K62" i="20"/>
  <c r="K97" i="20" s="1"/>
  <c r="J58" i="20"/>
  <c r="K57" i="20"/>
  <c r="L50" i="20" s="1"/>
  <c r="J53" i="20"/>
  <c r="K52" i="20"/>
  <c r="K53" i="20" s="1"/>
  <c r="B51" i="20"/>
  <c r="J47" i="20"/>
  <c r="K46" i="20"/>
  <c r="K47" i="20" s="1"/>
  <c r="L47" i="20" s="1"/>
  <c r="K39" i="20"/>
  <c r="J39" i="20"/>
  <c r="K31" i="20"/>
  <c r="J31" i="20"/>
  <c r="A26" i="20"/>
  <c r="S21" i="20"/>
  <c r="Q20" i="20"/>
  <c r="K20" i="20" s="1"/>
  <c r="S19" i="20"/>
  <c r="K19" i="20"/>
  <c r="K96" i="20" s="1"/>
  <c r="S18" i="20"/>
  <c r="K18" i="20"/>
  <c r="S17" i="20"/>
  <c r="P16" i="20"/>
  <c r="J16" i="20" s="1"/>
  <c r="S15" i="20"/>
  <c r="J15" i="20"/>
  <c r="K94" i="20" s="1"/>
  <c r="B14" i="20"/>
  <c r="A12" i="20"/>
  <c r="F8" i="20"/>
  <c r="C38" i="20" s="1"/>
  <c r="K94" i="19"/>
  <c r="K86" i="19"/>
  <c r="L86" i="19" s="1"/>
  <c r="J86" i="19"/>
  <c r="K81" i="19"/>
  <c r="J81" i="19"/>
  <c r="K70" i="19"/>
  <c r="J70" i="19"/>
  <c r="J63" i="19"/>
  <c r="K62" i="19"/>
  <c r="K97" i="19" s="1"/>
  <c r="J58" i="19"/>
  <c r="L58" i="19" s="1"/>
  <c r="K57" i="19"/>
  <c r="K58" i="19" s="1"/>
  <c r="J53" i="19"/>
  <c r="K52" i="19"/>
  <c r="K53" i="19" s="1"/>
  <c r="B51" i="19"/>
  <c r="L50" i="19"/>
  <c r="J47" i="19"/>
  <c r="K46" i="19"/>
  <c r="K47" i="19" s="1"/>
  <c r="K39" i="19"/>
  <c r="L39" i="19" s="1"/>
  <c r="J39" i="19"/>
  <c r="K31" i="19"/>
  <c r="J31" i="19"/>
  <c r="A26" i="19"/>
  <c r="S21" i="19"/>
  <c r="Q20" i="19"/>
  <c r="S20" i="19" s="1"/>
  <c r="S19" i="19"/>
  <c r="K19" i="19"/>
  <c r="K96" i="19" s="1"/>
  <c r="S18" i="19"/>
  <c r="K18" i="19"/>
  <c r="K95" i="19" s="1"/>
  <c r="S17" i="19"/>
  <c r="P16" i="19"/>
  <c r="J16" i="19" s="1"/>
  <c r="S15" i="19"/>
  <c r="J15" i="19"/>
  <c r="B14" i="19"/>
  <c r="A12" i="19"/>
  <c r="F8" i="19"/>
  <c r="C38" i="19" s="1"/>
  <c r="K97" i="18"/>
  <c r="K86" i="18"/>
  <c r="L86" i="18" s="1"/>
  <c r="J86" i="18"/>
  <c r="L81" i="18"/>
  <c r="K81" i="18"/>
  <c r="J81" i="18"/>
  <c r="K70" i="18"/>
  <c r="J70" i="18"/>
  <c r="K63" i="18"/>
  <c r="J63" i="18"/>
  <c r="L63" i="18" s="1"/>
  <c r="K62" i="18"/>
  <c r="J58" i="18"/>
  <c r="K58" i="18"/>
  <c r="J53" i="18"/>
  <c r="K53" i="18"/>
  <c r="B51" i="18"/>
  <c r="J47" i="18"/>
  <c r="K46" i="18"/>
  <c r="K47" i="18" s="1"/>
  <c r="K39" i="18"/>
  <c r="J39" i="18"/>
  <c r="L39" i="18" s="1"/>
  <c r="K31" i="18"/>
  <c r="J31" i="18"/>
  <c r="L31" i="18" s="1"/>
  <c r="A26" i="18"/>
  <c r="S21" i="18"/>
  <c r="Q20" i="18"/>
  <c r="K20" i="18" s="1"/>
  <c r="S19" i="18"/>
  <c r="K19" i="18"/>
  <c r="K96" i="18" s="1"/>
  <c r="S18" i="18"/>
  <c r="K18" i="18"/>
  <c r="S17" i="18"/>
  <c r="P16" i="18"/>
  <c r="S16" i="18" s="1"/>
  <c r="S15" i="18"/>
  <c r="J15" i="18"/>
  <c r="K94" i="18" s="1"/>
  <c r="B14" i="18"/>
  <c r="A12" i="18"/>
  <c r="F8" i="18"/>
  <c r="C38" i="18" s="1"/>
  <c r="K97" i="17"/>
  <c r="L86" i="17"/>
  <c r="K86" i="17"/>
  <c r="J86" i="17"/>
  <c r="K81" i="17"/>
  <c r="J81" i="17"/>
  <c r="K70" i="17"/>
  <c r="J70" i="17"/>
  <c r="J63" i="17"/>
  <c r="K62" i="17"/>
  <c r="K63" i="17" s="1"/>
  <c r="L63" i="17" s="1"/>
  <c r="J58" i="17"/>
  <c r="K57" i="17"/>
  <c r="L50" i="17" s="1"/>
  <c r="J53" i="17"/>
  <c r="K52" i="17"/>
  <c r="K53" i="17" s="1"/>
  <c r="B51" i="17"/>
  <c r="J47" i="17"/>
  <c r="K46" i="17"/>
  <c r="K47" i="17" s="1"/>
  <c r="K39" i="17"/>
  <c r="J39" i="17"/>
  <c r="K31" i="17"/>
  <c r="J31" i="17"/>
  <c r="A26" i="17"/>
  <c r="S21" i="17"/>
  <c r="Q20" i="17"/>
  <c r="S20" i="17" s="1"/>
  <c r="S19" i="17"/>
  <c r="K19" i="17"/>
  <c r="K96" i="17" s="1"/>
  <c r="S18" i="17"/>
  <c r="K18" i="17"/>
  <c r="S17" i="17"/>
  <c r="P16" i="17"/>
  <c r="S16" i="17" s="1"/>
  <c r="S15" i="17"/>
  <c r="J15" i="17"/>
  <c r="K94" i="17" s="1"/>
  <c r="B14" i="17"/>
  <c r="A12" i="17"/>
  <c r="F8" i="17"/>
  <c r="C30" i="17" s="1"/>
  <c r="K86" i="16"/>
  <c r="J86" i="16"/>
  <c r="L86" i="16" s="1"/>
  <c r="K81" i="16"/>
  <c r="J81" i="16"/>
  <c r="K70" i="16"/>
  <c r="J70" i="16"/>
  <c r="J63" i="16"/>
  <c r="K62" i="16"/>
  <c r="K97" i="16" s="1"/>
  <c r="J58" i="16"/>
  <c r="K57" i="16"/>
  <c r="K58" i="16" s="1"/>
  <c r="K53" i="16"/>
  <c r="J53" i="16"/>
  <c r="K52" i="16"/>
  <c r="B51" i="16"/>
  <c r="J47" i="16"/>
  <c r="K46" i="16"/>
  <c r="K47" i="16" s="1"/>
  <c r="K39" i="16"/>
  <c r="J39" i="16"/>
  <c r="K31" i="16"/>
  <c r="J31" i="16"/>
  <c r="A26" i="16"/>
  <c r="S21" i="16"/>
  <c r="Q20" i="16"/>
  <c r="K20" i="16" s="1"/>
  <c r="S19" i="16"/>
  <c r="K19" i="16"/>
  <c r="K96" i="16" s="1"/>
  <c r="S18" i="16"/>
  <c r="K18" i="16"/>
  <c r="S17" i="16"/>
  <c r="P16" i="16"/>
  <c r="J16" i="16" s="1"/>
  <c r="S15" i="16"/>
  <c r="J15" i="16"/>
  <c r="K94" i="16" s="1"/>
  <c r="B14" i="16"/>
  <c r="A12" i="16"/>
  <c r="F8" i="16"/>
  <c r="C38" i="16" s="1"/>
  <c r="K97" i="15"/>
  <c r="K86" i="15"/>
  <c r="J86" i="15"/>
  <c r="L86" i="15" s="1"/>
  <c r="K81" i="15"/>
  <c r="J81" i="15"/>
  <c r="K70" i="15"/>
  <c r="L70" i="15" s="1"/>
  <c r="J70" i="15"/>
  <c r="J63" i="15"/>
  <c r="K62" i="15"/>
  <c r="K63" i="15" s="1"/>
  <c r="J58" i="15"/>
  <c r="K57" i="15"/>
  <c r="L50" i="15" s="1"/>
  <c r="J53" i="15"/>
  <c r="K52" i="15"/>
  <c r="K53" i="15" s="1"/>
  <c r="B51" i="15"/>
  <c r="J47" i="15"/>
  <c r="K46" i="15"/>
  <c r="K47" i="15" s="1"/>
  <c r="K39" i="15"/>
  <c r="J39" i="15"/>
  <c r="K31" i="15"/>
  <c r="J31" i="15"/>
  <c r="A26" i="15"/>
  <c r="S21" i="15"/>
  <c r="Q20" i="15"/>
  <c r="S20" i="15" s="1"/>
  <c r="S19" i="15"/>
  <c r="K19" i="15"/>
  <c r="K96" i="15" s="1"/>
  <c r="S18" i="15"/>
  <c r="K18" i="15"/>
  <c r="S17" i="15"/>
  <c r="P16" i="15"/>
  <c r="S16" i="15" s="1"/>
  <c r="S15" i="15"/>
  <c r="J15" i="15"/>
  <c r="K94" i="15" s="1"/>
  <c r="B14" i="15"/>
  <c r="A12" i="15"/>
  <c r="F8" i="15"/>
  <c r="C38" i="15" s="1"/>
  <c r="K86" i="14"/>
  <c r="J86" i="14"/>
  <c r="L86" i="14" s="1"/>
  <c r="K81" i="14"/>
  <c r="J81" i="14"/>
  <c r="K70" i="14"/>
  <c r="L70" i="14" s="1"/>
  <c r="J70" i="14"/>
  <c r="J63" i="14"/>
  <c r="K62" i="14"/>
  <c r="K63" i="14" s="1"/>
  <c r="J58" i="14"/>
  <c r="K57" i="14"/>
  <c r="K58" i="14" s="1"/>
  <c r="J53" i="14"/>
  <c r="K52" i="14"/>
  <c r="K53" i="14" s="1"/>
  <c r="B51" i="14"/>
  <c r="K47" i="14"/>
  <c r="J47" i="14"/>
  <c r="L47" i="14" s="1"/>
  <c r="K46" i="14"/>
  <c r="K39" i="14"/>
  <c r="J39" i="14"/>
  <c r="K31" i="14"/>
  <c r="J31" i="14"/>
  <c r="A26" i="14"/>
  <c r="S21" i="14"/>
  <c r="Q20" i="14"/>
  <c r="S20" i="14" s="1"/>
  <c r="S19" i="14"/>
  <c r="K19" i="14"/>
  <c r="K96" i="14" s="1"/>
  <c r="S18" i="14"/>
  <c r="K18" i="14"/>
  <c r="K95" i="14" s="1"/>
  <c r="S17" i="14"/>
  <c r="P16" i="14"/>
  <c r="S16" i="14" s="1"/>
  <c r="S15" i="14"/>
  <c r="J15" i="14"/>
  <c r="K94" i="14" s="1"/>
  <c r="B14" i="14"/>
  <c r="A12" i="14"/>
  <c r="F8" i="14"/>
  <c r="C38" i="14" s="1"/>
  <c r="K86" i="13"/>
  <c r="J86" i="13"/>
  <c r="L86" i="13" s="1"/>
  <c r="K81" i="13"/>
  <c r="J81" i="13"/>
  <c r="K70" i="13"/>
  <c r="J70" i="13"/>
  <c r="L70" i="13" s="1"/>
  <c r="J63" i="13"/>
  <c r="K62" i="13"/>
  <c r="K97" i="13" s="1"/>
  <c r="J58" i="13"/>
  <c r="K57" i="13"/>
  <c r="K58" i="13" s="1"/>
  <c r="K53" i="13"/>
  <c r="J53" i="13"/>
  <c r="K52" i="13"/>
  <c r="B51" i="13"/>
  <c r="L50" i="13"/>
  <c r="J47" i="13"/>
  <c r="K46" i="13"/>
  <c r="K47" i="13" s="1"/>
  <c r="K39" i="13"/>
  <c r="J39" i="13"/>
  <c r="K31" i="13"/>
  <c r="J31" i="13"/>
  <c r="A26" i="13"/>
  <c r="S21" i="13"/>
  <c r="Q20" i="13"/>
  <c r="K20" i="13" s="1"/>
  <c r="S19" i="13"/>
  <c r="K19" i="13"/>
  <c r="K96" i="13" s="1"/>
  <c r="S18" i="13"/>
  <c r="K18" i="13"/>
  <c r="S17" i="13"/>
  <c r="P16" i="13"/>
  <c r="J16" i="13" s="1"/>
  <c r="S15" i="13"/>
  <c r="J15" i="13"/>
  <c r="K94" i="13" s="1"/>
  <c r="B14" i="13"/>
  <c r="A12" i="13"/>
  <c r="F8" i="13"/>
  <c r="C38" i="13" s="1"/>
  <c r="L86" i="12"/>
  <c r="K86" i="12"/>
  <c r="J86" i="12"/>
  <c r="K81" i="12"/>
  <c r="J81" i="12"/>
  <c r="K70" i="12"/>
  <c r="J70" i="12"/>
  <c r="K63" i="12"/>
  <c r="L63" i="12" s="1"/>
  <c r="J63" i="12"/>
  <c r="K62" i="12"/>
  <c r="K97" i="12" s="1"/>
  <c r="J58" i="12"/>
  <c r="K57" i="12"/>
  <c r="L50" i="12" s="1"/>
  <c r="J53" i="12"/>
  <c r="K53" i="12"/>
  <c r="B51" i="12"/>
  <c r="K47" i="12"/>
  <c r="J47" i="12"/>
  <c r="K46" i="12"/>
  <c r="K39" i="12"/>
  <c r="J39" i="12"/>
  <c r="L39" i="12" s="1"/>
  <c r="K31" i="12"/>
  <c r="J31" i="12"/>
  <c r="A26" i="12"/>
  <c r="S21" i="12"/>
  <c r="Q20" i="12"/>
  <c r="S20" i="12" s="1"/>
  <c r="S19" i="12"/>
  <c r="K19" i="12"/>
  <c r="K96" i="12" s="1"/>
  <c r="S18" i="12"/>
  <c r="K18" i="12"/>
  <c r="S17" i="12"/>
  <c r="P16" i="12"/>
  <c r="J16" i="12" s="1"/>
  <c r="S15" i="12"/>
  <c r="J15" i="12"/>
  <c r="K94" i="12" s="1"/>
  <c r="B14" i="12"/>
  <c r="A12" i="12"/>
  <c r="F8" i="12"/>
  <c r="C38" i="12" s="1"/>
  <c r="K86" i="11"/>
  <c r="J86" i="11"/>
  <c r="L86" i="11" s="1"/>
  <c r="K81" i="11"/>
  <c r="J81" i="11"/>
  <c r="K70" i="11"/>
  <c r="J70" i="11"/>
  <c r="J63" i="11"/>
  <c r="K62" i="11"/>
  <c r="K63" i="11" s="1"/>
  <c r="L63" i="11" s="1"/>
  <c r="K57" i="11"/>
  <c r="L57" i="11" s="1"/>
  <c r="J53" i="11"/>
  <c r="K52" i="11"/>
  <c r="K53" i="11" s="1"/>
  <c r="B51" i="11"/>
  <c r="J47" i="11"/>
  <c r="K46" i="11"/>
  <c r="K47" i="11" s="1"/>
  <c r="K39" i="11"/>
  <c r="J39" i="11"/>
  <c r="K31" i="11"/>
  <c r="J31" i="11"/>
  <c r="A26" i="11"/>
  <c r="S21" i="11"/>
  <c r="Q20" i="11"/>
  <c r="S20" i="11" s="1"/>
  <c r="S19" i="11"/>
  <c r="K19" i="11"/>
  <c r="S18" i="11"/>
  <c r="K18" i="11"/>
  <c r="S17" i="11"/>
  <c r="P16" i="11"/>
  <c r="J16" i="11" s="1"/>
  <c r="S15" i="11"/>
  <c r="J15" i="11"/>
  <c r="K94" i="11" s="1"/>
  <c r="B14" i="11"/>
  <c r="A12" i="11"/>
  <c r="F8" i="11"/>
  <c r="B78" i="11" s="1"/>
  <c r="L47" i="25" l="1"/>
  <c r="K95" i="18"/>
  <c r="L53" i="18"/>
  <c r="L50" i="18"/>
  <c r="L50" i="14"/>
  <c r="L53" i="14"/>
  <c r="L63" i="27"/>
  <c r="L39" i="27"/>
  <c r="L31" i="27"/>
  <c r="L70" i="28"/>
  <c r="L47" i="28"/>
  <c r="L81" i="27"/>
  <c r="L53" i="27"/>
  <c r="L70" i="26"/>
  <c r="L31" i="26"/>
  <c r="K95" i="26"/>
  <c r="L70" i="25"/>
  <c r="L81" i="21"/>
  <c r="L70" i="21"/>
  <c r="L63" i="21"/>
  <c r="L53" i="21"/>
  <c r="L39" i="21"/>
  <c r="L31" i="21"/>
  <c r="L70" i="20"/>
  <c r="L53" i="20"/>
  <c r="L39" i="20"/>
  <c r="L31" i="20"/>
  <c r="L81" i="22"/>
  <c r="L70" i="23"/>
  <c r="L53" i="23"/>
  <c r="L70" i="18"/>
  <c r="L58" i="18"/>
  <c r="L57" i="18"/>
  <c r="L47" i="18"/>
  <c r="L81" i="19"/>
  <c r="L70" i="19"/>
  <c r="K63" i="19"/>
  <c r="L63" i="19" s="1"/>
  <c r="L47" i="19"/>
  <c r="L31" i="19"/>
  <c r="L81" i="12"/>
  <c r="L70" i="12"/>
  <c r="K58" i="12"/>
  <c r="L58" i="12" s="1"/>
  <c r="L47" i="12"/>
  <c r="L31" i="12"/>
  <c r="L81" i="17"/>
  <c r="L70" i="17"/>
  <c r="K95" i="17"/>
  <c r="L39" i="17"/>
  <c r="L31" i="17"/>
  <c r="L81" i="16"/>
  <c r="L70" i="16"/>
  <c r="L50" i="16"/>
  <c r="L53" i="16"/>
  <c r="L47" i="16"/>
  <c r="L39" i="16"/>
  <c r="L31" i="16"/>
  <c r="L81" i="15"/>
  <c r="L53" i="15"/>
  <c r="K95" i="15"/>
  <c r="L47" i="15"/>
  <c r="L39" i="15"/>
  <c r="L31" i="15"/>
  <c r="L81" i="14"/>
  <c r="L58" i="14"/>
  <c r="L39" i="14"/>
  <c r="L31" i="14"/>
  <c r="L81" i="13"/>
  <c r="L53" i="13"/>
  <c r="L47" i="13"/>
  <c r="L39" i="13"/>
  <c r="L31" i="13"/>
  <c r="J17" i="27"/>
  <c r="J22" i="27" s="1"/>
  <c r="S20" i="27"/>
  <c r="K20" i="26"/>
  <c r="K21" i="26" s="1"/>
  <c r="K22" i="26" s="1"/>
  <c r="K20" i="25"/>
  <c r="K21" i="25" s="1"/>
  <c r="K22" i="25" s="1"/>
  <c r="K20" i="21"/>
  <c r="K21" i="21" s="1"/>
  <c r="K22" i="21" s="1"/>
  <c r="S20" i="20"/>
  <c r="J16" i="18"/>
  <c r="J17" i="18" s="1"/>
  <c r="J22" i="18" s="1"/>
  <c r="S20" i="18"/>
  <c r="K20" i="19"/>
  <c r="K21" i="19" s="1"/>
  <c r="K22" i="19" s="1"/>
  <c r="K20" i="12"/>
  <c r="K21" i="12" s="1"/>
  <c r="K22" i="12" s="1"/>
  <c r="J16" i="17"/>
  <c r="K20" i="17"/>
  <c r="S20" i="16"/>
  <c r="J16" i="15"/>
  <c r="K20" i="15"/>
  <c r="J16" i="14"/>
  <c r="K20" i="14"/>
  <c r="J17" i="14" s="1"/>
  <c r="J22" i="14" s="1"/>
  <c r="S20" i="13"/>
  <c r="L31" i="11"/>
  <c r="L58" i="28"/>
  <c r="L53" i="28"/>
  <c r="K21" i="28"/>
  <c r="K22" i="28" s="1"/>
  <c r="C38" i="28"/>
  <c r="S20" i="28"/>
  <c r="B78" i="28"/>
  <c r="S16" i="28"/>
  <c r="L57" i="28"/>
  <c r="C80" i="28"/>
  <c r="J17" i="28"/>
  <c r="J22" i="28" s="1"/>
  <c r="C30" i="28"/>
  <c r="K63" i="28"/>
  <c r="L63" i="28" s="1"/>
  <c r="K21" i="27"/>
  <c r="K22" i="27" s="1"/>
  <c r="L47" i="27"/>
  <c r="B78" i="27"/>
  <c r="K58" i="27"/>
  <c r="L58" i="27" s="1"/>
  <c r="C30" i="27"/>
  <c r="L50" i="27"/>
  <c r="C52" i="27"/>
  <c r="S16" i="27"/>
  <c r="C38" i="27"/>
  <c r="K95" i="27"/>
  <c r="J17" i="26"/>
  <c r="J22" i="26" s="1"/>
  <c r="L53" i="26"/>
  <c r="C80" i="26"/>
  <c r="K47" i="26"/>
  <c r="L47" i="26" s="1"/>
  <c r="S16" i="26"/>
  <c r="L57" i="26"/>
  <c r="K58" i="26"/>
  <c r="L58" i="26" s="1"/>
  <c r="C30" i="26"/>
  <c r="B78" i="26"/>
  <c r="C52" i="26"/>
  <c r="C80" i="25"/>
  <c r="L57" i="25"/>
  <c r="K58" i="25"/>
  <c r="L58" i="25" s="1"/>
  <c r="B78" i="25"/>
  <c r="S16" i="25"/>
  <c r="C30" i="25"/>
  <c r="C52" i="25"/>
  <c r="S16" i="23"/>
  <c r="L57" i="23"/>
  <c r="C80" i="23"/>
  <c r="J17" i="23"/>
  <c r="J22" i="23" s="1"/>
  <c r="K58" i="23"/>
  <c r="L58" i="23" s="1"/>
  <c r="C52" i="23"/>
  <c r="K63" i="23"/>
  <c r="L63" i="23" s="1"/>
  <c r="C30" i="23"/>
  <c r="K20" i="23"/>
  <c r="K21" i="23" s="1"/>
  <c r="K22" i="23" s="1"/>
  <c r="B78" i="23"/>
  <c r="K95" i="23"/>
  <c r="C52" i="22"/>
  <c r="C80" i="22"/>
  <c r="C38" i="22"/>
  <c r="L57" i="22"/>
  <c r="K58" i="22"/>
  <c r="L58" i="22" s="1"/>
  <c r="B78" i="22"/>
  <c r="S16" i="22"/>
  <c r="K20" i="22"/>
  <c r="J17" i="22" s="1"/>
  <c r="J22" i="22" s="1"/>
  <c r="K96" i="22"/>
  <c r="L47" i="21"/>
  <c r="L57" i="21"/>
  <c r="K58" i="21"/>
  <c r="L58" i="21" s="1"/>
  <c r="C80" i="21"/>
  <c r="C30" i="21"/>
  <c r="B78" i="21"/>
  <c r="C52" i="21"/>
  <c r="K95" i="21"/>
  <c r="S16" i="21"/>
  <c r="K21" i="20"/>
  <c r="K22" i="20" s="1"/>
  <c r="B78" i="20"/>
  <c r="C80" i="20"/>
  <c r="J17" i="20"/>
  <c r="J22" i="20" s="1"/>
  <c r="S16" i="20"/>
  <c r="L57" i="20"/>
  <c r="K58" i="20"/>
  <c r="L58" i="20" s="1"/>
  <c r="C52" i="20"/>
  <c r="K63" i="20"/>
  <c r="L63" i="20" s="1"/>
  <c r="C30" i="20"/>
  <c r="K95" i="20"/>
  <c r="L53" i="19"/>
  <c r="B78" i="19"/>
  <c r="S16" i="19"/>
  <c r="L57" i="19"/>
  <c r="C80" i="19"/>
  <c r="C30" i="19"/>
  <c r="J17" i="19"/>
  <c r="J22" i="19" s="1"/>
  <c r="C52" i="19"/>
  <c r="B78" i="18"/>
  <c r="C80" i="18"/>
  <c r="C30" i="18"/>
  <c r="C52" i="18"/>
  <c r="L47" i="17"/>
  <c r="L53" i="17"/>
  <c r="L57" i="17"/>
  <c r="C80" i="17"/>
  <c r="C38" i="17"/>
  <c r="K58" i="17"/>
  <c r="L58" i="17" s="1"/>
  <c r="C52" i="17"/>
  <c r="B78" i="17"/>
  <c r="L58" i="16"/>
  <c r="K21" i="16"/>
  <c r="K22" i="16" s="1"/>
  <c r="B78" i="16"/>
  <c r="S16" i="16"/>
  <c r="L57" i="16"/>
  <c r="C80" i="16"/>
  <c r="J17" i="16"/>
  <c r="J22" i="16" s="1"/>
  <c r="C30" i="16"/>
  <c r="C52" i="16"/>
  <c r="K63" i="16"/>
  <c r="L63" i="16" s="1"/>
  <c r="K95" i="16"/>
  <c r="L63" i="15"/>
  <c r="B78" i="15"/>
  <c r="L57" i="15"/>
  <c r="C80" i="15"/>
  <c r="K58" i="15"/>
  <c r="L58" i="15" s="1"/>
  <c r="C30" i="15"/>
  <c r="C52" i="15"/>
  <c r="L63" i="14"/>
  <c r="C30" i="14"/>
  <c r="B78" i="14"/>
  <c r="L57" i="14"/>
  <c r="C80" i="14"/>
  <c r="C52" i="14"/>
  <c r="K97" i="14"/>
  <c r="L58" i="13"/>
  <c r="K21" i="13"/>
  <c r="K22" i="13" s="1"/>
  <c r="C30" i="13"/>
  <c r="B78" i="13"/>
  <c r="S16" i="13"/>
  <c r="L57" i="13"/>
  <c r="C80" i="13"/>
  <c r="J17" i="13"/>
  <c r="J22" i="13" s="1"/>
  <c r="C52" i="13"/>
  <c r="K63" i="13"/>
  <c r="L63" i="13" s="1"/>
  <c r="K95" i="13"/>
  <c r="L53" i="12"/>
  <c r="B78" i="12"/>
  <c r="S16" i="12"/>
  <c r="L57" i="12"/>
  <c r="C80" i="12"/>
  <c r="C30" i="12"/>
  <c r="C52" i="12"/>
  <c r="K95" i="12"/>
  <c r="L81" i="11"/>
  <c r="L70" i="11"/>
  <c r="K97" i="11"/>
  <c r="J58" i="11"/>
  <c r="K96" i="11"/>
  <c r="L53" i="11"/>
  <c r="L39" i="11"/>
  <c r="L47" i="11"/>
  <c r="C80" i="11"/>
  <c r="K58" i="11"/>
  <c r="C30" i="11"/>
  <c r="L50" i="11"/>
  <c r="C52" i="11"/>
  <c r="K20" i="11"/>
  <c r="C38" i="11"/>
  <c r="K95" i="11"/>
  <c r="S16" i="11"/>
  <c r="L22" i="26" l="1"/>
  <c r="J17" i="25"/>
  <c r="J22" i="25" s="1"/>
  <c r="L22" i="25" s="1"/>
  <c r="J17" i="21"/>
  <c r="J22" i="21" s="1"/>
  <c r="L22" i="21" s="1"/>
  <c r="L22" i="20"/>
  <c r="K21" i="22"/>
  <c r="K22" i="22" s="1"/>
  <c r="L22" i="22" s="1"/>
  <c r="K21" i="18"/>
  <c r="K22" i="18" s="1"/>
  <c r="L22" i="18" s="1"/>
  <c r="L22" i="19"/>
  <c r="J17" i="12"/>
  <c r="J22" i="12" s="1"/>
  <c r="L22" i="12" s="1"/>
  <c r="K21" i="17"/>
  <c r="K22" i="17" s="1"/>
  <c r="J17" i="17"/>
  <c r="J22" i="17" s="1"/>
  <c r="L22" i="16"/>
  <c r="K21" i="15"/>
  <c r="K22" i="15" s="1"/>
  <c r="J17" i="15"/>
  <c r="J22" i="15" s="1"/>
  <c r="K21" i="14"/>
  <c r="K22" i="14" s="1"/>
  <c r="L22" i="14" s="1"/>
  <c r="L22" i="13"/>
  <c r="L22" i="28"/>
  <c r="L22" i="27"/>
  <c r="L22" i="23"/>
  <c r="L58" i="11"/>
  <c r="J17" i="11"/>
  <c r="J22" i="11" s="1"/>
  <c r="K21" i="11"/>
  <c r="K22" i="11" s="1"/>
  <c r="L22" i="17" l="1"/>
  <c r="L22" i="15"/>
  <c r="L22" i="11"/>
  <c r="N18" i="4" l="1"/>
  <c r="K19" i="2"/>
  <c r="K18" i="2"/>
  <c r="J15" i="2"/>
  <c r="K94" i="2" s="1"/>
  <c r="S21" i="2"/>
  <c r="S19" i="2"/>
  <c r="S18" i="2"/>
  <c r="S17" i="2"/>
  <c r="S15" i="2"/>
  <c r="K57" i="2"/>
  <c r="L57" i="2" s="1"/>
  <c r="L50" i="2" l="1"/>
  <c r="J56" i="2" l="1"/>
  <c r="K96" i="2" s="1"/>
  <c r="H18" i="4"/>
  <c r="H14" i="4"/>
  <c r="L84" i="9" l="1"/>
  <c r="L74" i="9"/>
  <c r="L64" i="9"/>
  <c r="H86" i="9"/>
  <c r="H85" i="9"/>
  <c r="H75" i="9"/>
  <c r="H76" i="9"/>
  <c r="H66" i="9"/>
  <c r="H65" i="9"/>
  <c r="K62" i="2"/>
  <c r="K97" i="2" s="1"/>
  <c r="K52" i="2"/>
  <c r="K46" i="2"/>
  <c r="K95" i="2" s="1"/>
  <c r="J18" i="4" l="1"/>
  <c r="Q20" i="2"/>
  <c r="P16" i="2"/>
  <c r="K20" i="2" l="1"/>
  <c r="S20" i="2"/>
  <c r="J16" i="2"/>
  <c r="S16" i="2"/>
  <c r="D89" i="3"/>
  <c r="D58" i="3"/>
  <c r="K21" i="2" l="1"/>
  <c r="K22" i="2" s="1"/>
  <c r="J17" i="2"/>
  <c r="J22" i="2" s="1"/>
  <c r="D27" i="3"/>
  <c r="N14" i="4" l="1"/>
  <c r="N74" i="9"/>
  <c r="F18" i="4"/>
  <c r="K53" i="2"/>
  <c r="L34" i="9" l="1"/>
  <c r="L25"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<sst xmlns="http://schemas.openxmlformats.org/spreadsheetml/2006/main" count="8948" uniqueCount="1657">
  <si>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</si>
  <si>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</si>
  <si>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</si>
  <si>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</si>
  <si>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</si>
  <si>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</si>
  <si>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</si>
  <si>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</si>
  <si>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</si>
  <si>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</si>
  <si>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</si>
  <si>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</si>
  <si>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</si>
  <si>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</si>
  <si>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</si>
  <si>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</si>
  <si>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</si>
  <si>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</si>
  <si>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</si>
  <si>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</si>
  <si>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</si>
  <si>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</si>
  <si>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</si>
  <si>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</si>
  <si>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</si>
  <si>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</si>
  <si>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</si>
  <si>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</si>
  <si>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</si>
  <si>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</si>
  <si>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</si>
  <si>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</si>
  <si>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</si>
  <si>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</si>
  <si>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</si>
  <si>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</si>
  <si>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</si>
  <si>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</si>
  <si>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</si>
  <si>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</si>
  <si>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</si>
  <si>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</si>
  <si>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</si>
  <si>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</si>
  <si>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</si>
  <si>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</si>
  <si>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</si>
  <si>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</si>
  <si>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</si>
  <si>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</si>
  <si>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</si>
  <si>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</si>
  <si>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</si>
  <si>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</si>
  <si>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</si>
  <si>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</si>
  <si>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</si>
  <si>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</si>
  <si>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</si>
  <si>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</si>
  <si>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</si>
  <si>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</si>
  <si>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</si>
  <si>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</si>
  <si>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</si>
  <si>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</si>
  <si>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</si>
  <si>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</si>
  <si>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</si>
  <si>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</si>
  <si>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</si>
  <si>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</si>
  <si>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</si>
  <si>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</si>
  <si>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</si>
  <si>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</si>
  <si>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</si>
  <si>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</si>
  <si>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</si>
  <si>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</si>
  <si>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</si>
  <si>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</si>
  <si>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</si>
  <si>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</si>
  <si>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</si>
  <si>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</si>
  <si>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</si>
  <si>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</si>
  <si>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</si>
  <si>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</si>
  <si>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</si>
  <si>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</si>
  <si>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</si>
  <si>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</si>
  <si>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</si>
  <si>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</si>
  <si>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</si>
  <si>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</si>
  <si>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</si>
  <si>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</si>
  <si>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</si>
  <si>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</si>
  <si>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</si>
  <si>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</si>
  <si>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</si>
  <si>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</si>
  <si>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</si>
  <si>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</si>
  <si>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</si>
  <si>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</si>
  <si>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</si>
  <si>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</si>
  <si>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</si>
  <si>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</si>
  <si>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</si>
  <si>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</si>
  <si>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</si>
  <si>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</si>
  <si>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</si>
  <si>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</si>
  <si>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</si>
  <si>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</si>
  <si>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</si>
  <si>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</si>
  <si>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</si>
  <si>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</si>
  <si>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</si>
  <si>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</si>
  <si>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</si>
  <si>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</si>
  <si>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</si>
  <si>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</si>
  <si>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</si>
  <si>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</si>
  <si>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</si>
  <si>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</si>
  <si>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</si>
  <si>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</si>
  <si>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</si>
  <si>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</si>
  <si>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</si>
  <si>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</si>
  <si>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</si>
  <si>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</si>
  <si>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</si>
  <si>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</si>
  <si>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</si>
  <si>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</si>
  <si>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</si>
  <si>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</si>
  <si>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</si>
  <si>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</si>
  <si>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</si>
  <si>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</si>
  <si>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</si>
  <si>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</si>
  <si>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</si>
  <si>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</si>
  <si>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</si>
  <si>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</si>
  <si>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</si>
  <si>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</si>
  <si>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</si>
  <si>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</si>
  <si>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</si>
  <si>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</si>
  <si>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</si>
  <si>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</si>
  <si>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</si>
  <si>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</si>
  <si>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</si>
  <si>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</si>
  <si>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</si>
  <si>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</si>
  <si>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</si>
  <si>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</si>
  <si>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</si>
  <si>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</si>
  <si>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</si>
  <si>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</si>
  <si>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</si>
  <si>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</si>
  <si>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</si>
  <si>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</si>
  <si>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</si>
  <si>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</si>
  <si>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</si>
  <si>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</si>
  <si>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</si>
  <si>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</si>
  <si>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</si>
  <si>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</si>
  <si>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</si>
  <si>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</si>
  <si>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</si>
  <si>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</si>
  <si>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</si>
  <si>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</si>
  <si>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</si>
  <si>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</si>
  <si>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</si>
  <si>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</si>
  <si>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</si>
  <si>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</si>
  <si>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</si>
  <si>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</si>
  <si>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</si>
  <si>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</si>
  <si>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</si>
  <si>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</si>
  <si>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</si>
  <si>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</si>
  <si>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</si>
  <si>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</si>
  <si>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</si>
  <si>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</si>
  <si>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</si>
  <si>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</si>
  <si>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</si>
  <si>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</si>
  <si>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</si>
  <si>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</si>
  <si>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</si>
  <si>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</si>
  <si>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</si>
  <si>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</si>
  <si>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</si>
  <si>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</si>
  <si>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</si>
  <si>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</si>
  <si>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</si>
  <si>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</si>
  <si>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</si>
  <si>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</si>
  <si>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</si>
  <si>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</si>
  <si>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</si>
  <si>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</si>
  <si>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</si>
  <si>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</si>
  <si>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</si>
  <si>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</si>
  <si>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</si>
  <si>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</si>
  <si>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</si>
  <si>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</si>
  <si>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</si>
  <si>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</si>
  <si>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</si>
  <si>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</si>
  <si>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</si>
  <si>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</si>
  <si>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</si>
  <si>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</si>
  <si>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</si>
  <si>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</si>
  <si>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</si>
  <si>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</si>
  <si>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</si>
  <si>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</si>
  <si>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</si>
  <si>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</si>
  <si>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</si>
  <si>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</si>
  <si>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</si>
  <si>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</si>
  <si>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</si>
  <si>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</si>
  <si>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</si>
  <si>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</si>
  <si>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</si>
  <si>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</si>
  <si>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</si>
  <si>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</si>
  <si>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</si>
  <si>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</si>
  <si>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</si>
  <si>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</si>
  <si>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</si>
  <si>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</si>
  <si>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</si>
  <si>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</si>
  <si>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</si>
  <si>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</si>
  <si>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</si>
  <si>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</si>
  <si>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</si>
  <si>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</si>
  <si>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</si>
  <si>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</si>
  <si>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</si>
  <si>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</si>
  <si>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</si>
  <si>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</si>
  <si>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</si>
  <si>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</si>
  <si>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</si>
  <si>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</si>
  <si>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</si>
  <si>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</si>
  <si>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</si>
  <si>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</si>
  <si>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</si>
  <si>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</si>
  <si>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</si>
  <si>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</si>
  <si>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</si>
  <si>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</si>
  <si>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</si>
  <si>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</si>
  <si>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</si>
  <si>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</si>
  <si>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</si>
  <si>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</si>
  <si>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</si>
  <si>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</si>
  <si>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</si>
  <si>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</si>
  <si>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</si>
  <si>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</si>
  <si>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</si>
  <si>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</si>
  <si>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</si>
  <si>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</si>
  <si>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</si>
  <si>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</si>
  <si>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</si>
  <si>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</si>
  <si>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</si>
  <si>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</si>
  <si>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</si>
  <si>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</si>
  <si>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</si>
  <si>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</si>
  <si>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</si>
  <si>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</si>
  <si>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</si>
  <si>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</si>
  <si>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</si>
  <si>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</si>
  <si>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</si>
  <si>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</si>
  <si>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</si>
  <si>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</si>
  <si>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</si>
  <si>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</si>
  <si>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</si>
  <si>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</si>
  <si>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</si>
  <si>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</si>
  <si>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</si>
  <si>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</si>
  <si>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</si>
  <si>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</si>
  <si>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</si>
  <si>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</si>
  <si>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</si>
  <si>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</si>
  <si>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</si>
  <si>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</si>
  <si>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</si>
  <si>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</si>
  <si>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</si>
  <si>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</si>
  <si>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</si>
  <si>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</si>
  <si>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</si>
  <si>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</si>
  <si>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</si>
  <si>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</si>
  <si>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</si>
  <si>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</si>
  <si>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</si>
  <si>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</si>
  <si>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</si>
  <si>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</si>
  <si>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</si>
  <si>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</si>
  <si>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</si>
  <si>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</si>
  <si>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</si>
  <si>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</si>
  <si>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</si>
  <si>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</si>
  <si>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</si>
  <si>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</si>
  <si>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</si>
  <si>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</si>
  <si>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</si>
  <si>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</si>
  <si>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</si>
  <si>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</si>
  <si>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</si>
  <si>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</si>
  <si>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</si>
  <si>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</si>
  <si>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</si>
  <si>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</si>
  <si>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</si>
  <si>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</si>
  <si>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</si>
  <si>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</si>
  <si>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</si>
  <si>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</si>
  <si>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</si>
  <si>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</si>
  <si>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</si>
  <si>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</si>
  <si>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</si>
  <si>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</si>
  <si>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</si>
  <si>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</si>
  <si>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</si>
  <si>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</si>
  <si>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</si>
  <si>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</si>
  <si>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</si>
  <si>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</si>
  <si>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</si>
  <si>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</si>
  <si>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</si>
  <si>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</si>
  <si>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</si>
  <si>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</si>
  <si>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</si>
  <si>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</si>
  <si>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</si>
  <si>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</si>
  <si>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</si>
  <si>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</si>
  <si>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</si>
  <si>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</si>
  <si>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</si>
  <si>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</si>
  <si>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</si>
  <si>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</si>
  <si>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</si>
  <si>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</si>
  <si>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</si>
  <si>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</si>
  <si>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</si>
  <si>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</si>
  <si>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</si>
  <si>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</si>
  <si>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</si>
  <si>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</si>
  <si>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</si>
  <si>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</si>
  <si>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</si>
  <si>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</si>
  <si>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</si>
  <si>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</si>
  <si>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</si>
  <si>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</si>
  <si>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</si>
  <si>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</si>
  <si>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</si>
  <si>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</si>
  <si>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</si>
  <si>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</si>
  <si>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</si>
  <si>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</si>
  <si>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</si>
  <si>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</si>
  <si>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</si>
  <si>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</si>
  <si>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</si>
  <si>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</si>
  <si>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</si>
  <si>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</si>
  <si>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</si>
  <si>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</si>
  <si>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</si>
  <si>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</si>
  <si>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</si>
  <si>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</si>
  <si>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</si>
  <si>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</si>
  <si>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</si>
  <si>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</si>
  <si>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</si>
  <si>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</si>
  <si>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</si>
  <si>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</si>
  <si>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</si>
  <si>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</si>
  <si>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</si>
  <si>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</si>
  <si>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</si>
  <si>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</si>
  <si>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</si>
  <si>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</si>
  <si>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</si>
  <si>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</si>
  <si>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</si>
  <si>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</si>
  <si>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</si>
  <si>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</si>
  <si>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</si>
  <si>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</si>
  <si>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</si>
  <si>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</si>
  <si>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</si>
  <si>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</si>
  <si>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</si>
  <si>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</si>
  <si>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</si>
  <si>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</si>
  <si>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</si>
  <si>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</si>
  <si>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</si>
  <si>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</si>
  <si>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</si>
  <si>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</si>
  <si>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</si>
  <si>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</si>
  <si>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</si>
  <si>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</si>
  <si>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</si>
  <si>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</si>
  <si>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</si>
  <si>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</si>
  <si>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</si>
  <si>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</si>
  <si>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</si>
  <si>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</si>
  <si>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</si>
  <si>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</si>
  <si>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</si>
  <si>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</si>
  <si>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</si>
  <si>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</si>
  <si>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</si>
  <si>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</si>
  <si>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</si>
  <si>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</si>
  <si>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</si>
  <si>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</si>
  <si>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</si>
  <si>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</si>
  <si>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</si>
  <si>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</si>
  <si>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</si>
  <si>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</si>
  <si>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</si>
  <si>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</si>
  <si>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</si>
  <si>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</si>
  <si>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</si>
  <si>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</si>
  <si>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</si>
  <si>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</si>
  <si>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</si>
  <si>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</si>
  <si>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</si>
  <si>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</si>
  <si>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</si>
  <si>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</si>
  <si>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</si>
  <si>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</si>
  <si>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</si>
  <si>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</si>
  <si>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</si>
  <si>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</si>
  <si>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</si>
  <si>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</si>
  <si>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</si>
  <si>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</si>
  <si>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</si>
  <si>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</si>
  <si>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</si>
  <si>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</si>
  <si>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</si>
  <si>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</si>
  <si>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</si>
  <si>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</si>
  <si>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</si>
  <si>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</si>
  <si>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</si>
  <si>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</si>
  <si>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</si>
  <si>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</si>
  <si>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</si>
  <si>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</si>
  <si>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</si>
  <si>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</si>
  <si>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</si>
  <si>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</si>
  <si>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</si>
  <si>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</si>
  <si>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</si>
  <si>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</si>
  <si>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</si>
  <si>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</si>
  <si>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</si>
  <si>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</si>
  <si>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</si>
  <si>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</si>
  <si>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</si>
  <si>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</si>
  <si>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</si>
  <si>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</si>
  <si>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</si>
  <si>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</si>
  <si>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</si>
  <si>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</si>
  <si>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</si>
  <si>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</si>
  <si>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</si>
  <si>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</si>
  <si>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</si>
  <si>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</si>
  <si>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</si>
  <si>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</si>
  <si>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</si>
  <si>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</si>
  <si>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</si>
  <si>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</si>
  <si>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</si>
  <si>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</si>
  <si>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</si>
  <si>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</si>
  <si>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</si>
  <si>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</si>
  <si>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</si>
  <si>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</si>
  <si>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</si>
  <si>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</si>
  <si>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</si>
  <si>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</si>
  <si>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</si>
  <si>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</si>
  <si>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</si>
  <si>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</si>
  <si>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</si>
  <si>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</si>
  <si>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</si>
  <si>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</si>
  <si>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</si>
  <si>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</si>
  <si>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</si>
  <si>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</si>
  <si>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</si>
  <si>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</si>
  <si>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</si>
  <si>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</si>
  <si>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</si>
  <si>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</si>
  <si>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</si>
  <si>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</si>
  <si>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</si>
  <si>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</si>
  <si>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</si>
  <si>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</si>
  <si>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</si>
  <si>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</si>
  <si>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</si>
  <si>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</si>
  <si>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</si>
  <si>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</si>
  <si>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</si>
  <si>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</si>
  <si>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</si>
  <si>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</si>
  <si>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</si>
  <si>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</si>
  <si>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</si>
  <si>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</si>
  <si>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</si>
  <si>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</si>
  <si>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</si>
  <si>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</si>
  <si>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</si>
  <si>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</si>
  <si>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</si>
  <si>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</si>
  <si>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</si>
  <si>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</si>
  <si>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</si>
  <si>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</si>
  <si>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</si>
  <si>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</si>
  <si>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</si>
  <si>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</si>
  <si>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</si>
  <si>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</si>
  <si>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</si>
  <si>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</si>
  <si>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</si>
  <si>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</si>
  <si>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</si>
  <si>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</si>
  <si>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</si>
  <si>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</si>
  <si>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</si>
  <si>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</si>
  <si>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</si>
  <si>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</si>
  <si>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</si>
  <si>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</si>
  <si>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</si>
  <si>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</si>
  <si>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</si>
  <si>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</si>
  <si>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</si>
  <si>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</si>
  <si>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</si>
  <si>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</si>
  <si>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</si>
  <si>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</si>
  <si>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</si>
  <si>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</si>
  <si>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</si>
  <si>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</si>
  <si>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</si>
  <si>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</si>
  <si>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</si>
  <si>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</si>
  <si>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</si>
  <si>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</si>
  <si>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</si>
  <si>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</si>
  <si>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</si>
  <si>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</si>
  <si>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</si>
  <si>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</si>
  <si>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</si>
  <si>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</si>
  <si>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</si>
  <si>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</si>
  <si>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</si>
  <si>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</si>
  <si>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</si>
  <si>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</si>
  <si>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</si>
  <si>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</si>
  <si>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</si>
  <si>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</si>
  <si>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</si>
  <si>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</si>
  <si>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</si>
  <si>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</si>
  <si>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</si>
  <si>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</si>
  <si>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</si>
  <si>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</si>
  <si>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</si>
  <si>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</si>
  <si>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</si>
  <si>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</si>
  <si>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</si>
  <si>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</si>
  <si>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</si>
  <si>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</si>
  <si>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</si>
  <si>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</si>
  <si>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</si>
  <si>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</si>
  <si>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</si>
  <si>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</si>
  <si>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</si>
  <si>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</si>
  <si>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</si>
  <si>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</si>
  <si>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</si>
  <si>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</si>
  <si>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</si>
  <si>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</si>
  <si>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</si>
  <si>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</si>
  <si>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</si>
  <si>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</si>
  <si>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</si>
  <si>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</si>
  <si>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</si>
  <si>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</si>
  <si>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</si>
  <si>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</si>
  <si>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</si>
  <si>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</si>
  <si>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</si>
  <si>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</si>
  <si>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</si>
  <si>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</si>
  <si>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</si>
  <si>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</si>
  <si>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</si>
  <si>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</si>
  <si>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</si>
  <si>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</si>
  <si>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</si>
  <si>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</si>
  <si>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</si>
  <si>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</si>
  <si>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</si>
  <si>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</si>
  <si>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</si>
  <si>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</si>
  <si>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</si>
  <si>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</si>
  <si>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</si>
  <si>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</si>
  <si>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</si>
  <si>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</si>
  <si>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</si>
  <si>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</si>
  <si>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</si>
  <si>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</si>
  <si>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</si>
  <si>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</si>
  <si>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</si>
  <si>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</si>
  <si>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</si>
  <si>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</si>
  <si>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</si>
  <si>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</si>
  <si>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</si>
  <si>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</si>
  <si>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</si>
  <si>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</si>
  <si>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</si>
  <si>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</si>
  <si>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</si>
  <si>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</si>
  <si>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</si>
  <si>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</si>
  <si>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</si>
  <si>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</si>
  <si>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</si>
  <si>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</si>
  <si>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</si>
  <si>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</si>
  <si>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</si>
  <si>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</si>
  <si>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</si>
  <si>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</si>
  <si>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</si>
  <si>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</si>
  <si>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</si>
  <si>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</si>
  <si>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</si>
  <si>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</si>
  <si>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</si>
  <si>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</si>
  <si>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</si>
  <si>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</si>
  <si>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</si>
  <si>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</si>
  <si>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</si>
  <si>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</si>
  <si>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</si>
  <si>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</si>
  <si>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</si>
  <si>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</si>
  <si>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</si>
  <si>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</si>
  <si>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</si>
  <si>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</si>
  <si>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</si>
  <si>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</si>
  <si>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</si>
  <si>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</si>
  <si>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</si>
  <si>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</si>
  <si>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</si>
  <si>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</si>
  <si>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</si>
  <si>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</si>
  <si>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</si>
  <si>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</si>
  <si>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</si>
  <si>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</si>
  <si>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</si>
  <si>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</si>
  <si>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</si>
  <si>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</si>
  <si>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</si>
  <si>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</si>
  <si>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</si>
  <si>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</si>
  <si>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</si>
  <si>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</si>
  <si>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</si>
  <si>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</si>
  <si>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</si>
  <si>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</si>
  <si>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</si>
  <si>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</si>
  <si>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</si>
  <si>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</si>
  <si>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</si>
  <si>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</si>
  <si>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</si>
  <si>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</si>
  <si>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</si>
  <si>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</si>
  <si>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</si>
  <si>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</si>
  <si>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</si>
  <si>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</si>
  <si>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</si>
  <si>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</si>
  <si>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</si>
  <si>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</si>
  <si>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</si>
  <si>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</si>
  <si>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</si>
  <si>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</si>
  <si>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</si>
  <si>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</si>
  <si>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</si>
  <si>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</si>
  <si>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</si>
  <si>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</si>
  <si>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</si>
  <si>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</si>
  <si>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</si>
  <si>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</si>
  <si>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</si>
  <si>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</si>
  <si>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</si>
  <si>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</si>
  <si>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</si>
  <si>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</si>
  <si>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</si>
  <si>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</si>
  <si>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</si>
  <si>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</si>
  <si>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</si>
  <si>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</si>
  <si>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</si>
  <si>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</si>
  <si>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</si>
  <si>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</si>
  <si>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</si>
  <si>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</si>
  <si>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</si>
  <si>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</si>
  <si>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</si>
  <si>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</si>
  <si>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</si>
  <si>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</si>
  <si>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</si>
  <si>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</si>
  <si>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</si>
  <si>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</si>
  <si>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</si>
  <si>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</si>
  <si>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</si>
  <si>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</si>
  <si>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</si>
  <si>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</si>
  <si>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</si>
  <si>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</si>
  <si>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</si>
  <si>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</si>
  <si>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</si>
  <si>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</si>
  <si>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</si>
  <si>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</si>
  <si>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</si>
  <si>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</si>
  <si>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</si>
  <si>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</si>
  <si>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</si>
  <si>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</si>
  <si>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</si>
  <si>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</si>
  <si>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</si>
  <si>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</si>
  <si>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</si>
  <si>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</si>
  <si>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</si>
  <si>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</si>
  <si>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</si>
  <si>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</si>
  <si>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</si>
  <si>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</si>
  <si>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</si>
  <si>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</si>
  <si>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</si>
  <si>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</si>
  <si>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</si>
  <si>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</si>
  <si>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</si>
  <si>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</si>
  <si>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</si>
  <si>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</si>
  <si>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</si>
  <si>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</si>
  <si>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</si>
  <si>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</si>
  <si>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</si>
  <si>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</si>
  <si>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</si>
  <si>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</si>
  <si>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</si>
  <si>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</si>
  <si>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</si>
  <si>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</si>
  <si>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</si>
  <si>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</si>
  <si>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</si>
  <si>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</si>
  <si>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</si>
  <si>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</si>
  <si>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</si>
  <si>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</si>
  <si>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</si>
  <si>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</si>
  <si>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</si>
  <si>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</si>
  <si>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</si>
  <si>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</si>
  <si>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</si>
  <si>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</si>
  <si>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</si>
  <si>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</si>
  <si>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</si>
  <si>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</si>
  <si>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</si>
  <si>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</si>
  <si>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</si>
  <si>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</si>
  <si>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</si>
  <si>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</si>
  <si>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</si>
  <si>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</si>
  <si>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</si>
  <si>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</si>
  <si>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</si>
  <si>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</si>
  <si>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</si>
  <si>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</si>
  <si>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</si>
  <si>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</si>
  <si>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</si>
  <si>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</si>
  <si>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</si>
  <si>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</si>
  <si>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</si>
  <si>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</si>
  <si>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</si>
  <si>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</si>
  <si>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</si>
  <si>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</si>
  <si>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</si>
  <si>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</si>
  <si>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</si>
  <si>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</si>
  <si>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</si>
  <si>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</si>
  <si>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</si>
  <si>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</si>
  <si>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</si>
  <si>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</si>
  <si>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</si>
  <si>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</si>
  <si>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</si>
  <si>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</si>
  <si>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</si>
  <si>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</si>
  <si>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</si>
  <si>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</si>
  <si>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</si>
  <si>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</si>
  <si>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</si>
  <si>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</si>
  <si>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</si>
  <si>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</si>
  <si>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</si>
  <si>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</si>
  <si>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</si>
  <si>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</si>
  <si>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</si>
  <si>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</si>
  <si>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</si>
  <si>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</si>
  <si>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</si>
  <si>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</si>
  <si>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</si>
  <si>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</si>
  <si>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</si>
  <si>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</si>
  <si>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</si>
  <si>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</si>
  <si>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</si>
  <si>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</si>
  <si>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</si>
  <si>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</si>
  <si>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</si>
  <si>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</si>
  <si>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</si>
  <si>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</si>
  <si>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</si>
  <si>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</si>
  <si>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</si>
  <si>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</si>
  <si>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</si>
  <si>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</si>
  <si>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</si>
  <si>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</si>
  <si>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</si>
  <si>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</si>
  <si>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</si>
  <si>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</si>
  <si>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</si>
  <si>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</si>
  <si>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</si>
  <si>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</si>
  <si>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</si>
  <si>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</si>
  <si>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</si>
  <si>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</si>
  <si>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</si>
  <si>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</si>
  <si>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</si>
  <si>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</si>
  <si>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</si>
  <si>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</si>
  <si>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</si>
  <si>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</si>
  <si>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</si>
  <si>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</si>
  <si>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</si>
  <si>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</si>
  <si>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</si>
  <si>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</si>
  <si>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</si>
  <si>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</si>
  <si>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</si>
  <si>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</si>
  <si>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</si>
  <si>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</si>
  <si>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</si>
  <si>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</si>
  <si>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</si>
  <si>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</si>
  <si>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</si>
  <si>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</si>
  <si>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</si>
  <si>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</si>
  <si>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</si>
  <si>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</si>
  <si>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</si>
  <si>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</si>
  <si>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</si>
  <si>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</si>
  <si>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</si>
  <si>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</si>
  <si>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</si>
  <si>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</si>
  <si>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</si>
  <si>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</si>
  <si>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</si>
  <si>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</si>
  <si>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</si>
  <si>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</si>
  <si>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</si>
  <si>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</si>
  <si>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</si>
  <si>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</si>
  <si>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</si>
  <si>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</si>
  <si>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</si>
  <si>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</si>
  <si>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</si>
  <si>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</si>
  <si>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</si>
  <si>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</si>
  <si>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</si>
  <si>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</si>
  <si>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</si>
  <si>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</si>
  <si>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</si>
  <si>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</si>
  <si>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</si>
  <si>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</si>
  <si>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</si>
  <si>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</si>
  <si>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</si>
  <si>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</si>
  <si>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</si>
  <si>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</si>
  <si>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</si>
  <si>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</si>
  <si>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</si>
  <si>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</si>
  <si>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</si>
  <si>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</si>
  <si>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</si>
  <si>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</si>
  <si>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</si>
  <si>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</si>
  <si>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</si>
  <si>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</si>
  <si>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</si>
  <si>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</si>
  <si>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</si>
  <si>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</si>
  <si>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</si>
  <si>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</si>
  <si>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</si>
  <si>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</si>
  <si>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</si>
  <si>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</si>
  <si>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</si>
  <si>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</si>
  <si>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</si>
  <si>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</si>
  <si>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</si>
  <si>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</si>
  <si>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</si>
  <si>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</si>
  <si>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</si>
  <si>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</si>
  <si>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</si>
  <si>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</si>
  <si>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</si>
  <si>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</si>
  <si>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</si>
  <si>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</si>
  <si>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</si>
  <si>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</si>
  <si>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</si>
  <si>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</si>
  <si>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</si>
  <si>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</si>
  <si>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</si>
  <si>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</si>
  <si>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</si>
  <si>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</si>
  <si>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</si>
  <si>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</si>
  <si>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</si>
  <si>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</si>
  <si>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</si>
  <si>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</si>
  <si>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</si>
  <si>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</si>
  <si>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</si>
  <si>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</si>
  <si>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</si>
  <si>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</si>
  <si>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</si>
  <si>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</si>
  <si>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</si>
  <si>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</si>
  <si>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</si>
  <si>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</si>
  <si>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</si>
  <si>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</si>
  <si>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</si>
  <si>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</si>
  <si>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</si>
  <si>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</si>
  <si>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</si>
  <si>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</si>
  <si>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</si>
  <si>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</si>
  <si>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</si>
  <si>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</si>
  <si>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</si>
  <si>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</si>
  <si>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</si>
  <si>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</si>
  <si>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</si>
  <si>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</si>
  <si>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</si>
  <si>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</si>
  <si>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</si>
  <si>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</si>
  <si>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</si>
  <si>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</si>
  <si>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</si>
  <si>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</si>
  <si>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</si>
  <si>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</si>
  <si>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</si>
  <si>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</si>
  <si>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</si>
  <si>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</si>
  <si>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</si>
  <si>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</si>
  <si>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</si>
  <si>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</si>
  <si>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</si>
  <si>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</si>
  <si>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</si>
  <si>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</si>
  <si>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</si>
  <si>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</si>
  <si>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</si>
  <si>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</si>
  <si>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</si>
  <si>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</si>
  <si>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</si>
  <si>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</si>
  <si>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</si>
  <si>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</si>
  <si>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</si>
  <si>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</si>
  <si>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</si>
  <si>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</si>
  <si>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</si>
  <si>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</si>
  <si>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</si>
  <si>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</si>
  <si>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</si>
  <si>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</si>
  <si>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</si>
  <si>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</si>
  <si>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</si>
  <si>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</si>
  <si>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</si>
  <si>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</si>
  <si>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</si>
  <si>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</si>
  <si>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</si>
  <si>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</si>
  <si>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</si>
  <si>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</si>
  <si>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</si>
  <si>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</si>
  <si>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</si>
  <si>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</si>
  <si>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</si>
  <si>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</si>
  <si>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</si>
  <si>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</si>
  <si>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</si>
  <si>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</si>
  <si>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</si>
  <si>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</si>
  <si>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</si>
  <si>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</si>
  <si>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</si>
  <si>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</si>
  <si>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</si>
  <si>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</si>
  <si>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</si>
  <si>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</si>
  <si>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</si>
  <si>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</si>
  <si>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</si>
  <si>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</si>
  <si>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</si>
  <si>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</si>
  <si>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</si>
  <si>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</si>
  <si>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</si>
  <si>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</si>
  <si>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</si>
  <si>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</si>
  <si>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</si>
  <si>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</si>
  <si>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</si>
  <si>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</si>
  <si>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</si>
  <si>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</si>
  <si>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</si>
  <si>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</si>
  <si>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</si>
  <si>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</si>
  <si>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</si>
  <si>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</si>
  <si>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</si>
  <si>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</si>
  <si>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</si>
  <si>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</si>
  <si>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</si>
  <si>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</si>
  <si>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</si>
  <si>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</si>
  <si>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</si>
  <si>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</si>
  <si>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</si>
  <si>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</si>
  <si>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</si>
  <si>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</si>
  <si>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</si>
  <si>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</si>
  <si>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</si>
  <si>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</si>
  <si>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</si>
  <si>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</si>
  <si>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</si>
  <si>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</si>
  <si>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</si>
  <si>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</si>
  <si>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</si>
  <si>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</si>
  <si>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</si>
  <si>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</si>
  <si>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</si>
  <si>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</si>
  <si>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</si>
  <si>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</si>
  <si>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</si>
  <si>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</si>
  <si>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</si>
  <si>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</si>
  <si>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</si>
  <si>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</si>
  <si>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</si>
  <si>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</si>
  <si>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</si>
  <si>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</si>
  <si>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</si>
  <si>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</si>
  <si>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</si>
  <si>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</si>
  <si>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</si>
  <si>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</si>
  <si>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</si>
  <si>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</si>
  <si>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</si>
  <si>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</si>
  <si>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</si>
  <si>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</si>
  <si>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</si>
  <si>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</si>
  <si>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</si>
  <si>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</si>
  <si>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</si>
  <si>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</si>
  <si>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</si>
  <si>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</si>
  <si>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</si>
  <si>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</si>
  <si>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</si>
  <si>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</si>
  <si>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</si>
  <si>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</si>
  <si>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</si>
  <si>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</si>
  <si>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</si>
  <si>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</si>
  <si>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</si>
  <si>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</si>
  <si>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</si>
  <si>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</si>
  <si>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</si>
  <si>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</si>
  <si>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</si>
  <si>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</si>
  <si>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</si>
  <si>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</si>
  <si>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</si>
  <si>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</si>
  <si>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</si>
  <si>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</si>
  <si>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</si>
  <si>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</si>
  <si>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</si>
  <si>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</si>
  <si>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</si>
  <si>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</si>
  <si>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</si>
  <si>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</si>
  <si>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</si>
  <si>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</si>
  <si>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</si>
  <si>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</si>
  <si>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</si>
  <si>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</si>
  <si>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</si>
  <si>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</si>
  <si>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</si>
  <si>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</si>
  <si>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</si>
  <si>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</si>
  <si>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</si>
  <si>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</si>
  <si>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</si>
  <si>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</si>
  <si>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</si>
  <si>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</si>
  <si>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</si>
  <si>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</si>
  <si>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</si>
  <si>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</si>
  <si>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</si>
  <si>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</si>
  <si>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</si>
  <si>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</si>
  <si>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</si>
  <si>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</si>
  <si>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</si>
  <si>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</si>
  <si>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</si>
  <si>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</si>
  <si>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</si>
  <si>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</si>
  <si>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</si>
  <si>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</si>
  <si>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</si>
  <si>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</si>
  <si>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</si>
  <si>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</si>
  <si>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</si>
  <si>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</si>
  <si>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</si>
  <si>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</si>
  <si>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</si>
  <si>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</si>
  <si>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</si>
  <si>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</si>
  <si>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</si>
  <si>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</si>
  <si>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</si>
  <si>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</si>
  <si>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</si>
  <si>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</si>
  <si>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</si>
  <si>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</si>
  <si>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</si>
  <si>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</si>
  <si>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</si>
  <si>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</si>
  <si>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</si>
  <si>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</si>
  <si>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</si>
  <si>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</si>
  <si>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</si>
  <si>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</si>
  <si>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</si>
  <si>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</si>
  <si>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</si>
  <si>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</si>
  <si>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</si>
  <si>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</si>
  <si>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</si>
  <si>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</si>
  <si>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</si>
  <si>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</si>
  <si>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</si>
  <si>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</si>
  <si>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</si>
  <si>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</si>
  <si>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</si>
  <si>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</si>
  <si>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</si>
  <si>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</si>
  <si>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</si>
  <si>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</si>
  <si>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</si>
  <si>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</si>
  <si>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</si>
  <si>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</si>
  <si>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</si>
  <si>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</si>
  <si>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</si>
  <si>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</si>
  <si>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</si>
  <si>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</si>
  <si>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</si>
  <si>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</si>
  <si>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</si>
  <si>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</si>
  <si>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</si>
  <si>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</si>
  <si>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</si>
  <si>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</si>
  <si>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</si>
  <si>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</si>
  <si>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</si>
  <si>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</si>
  <si>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</si>
  <si>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</si>
  <si>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</si>
  <si>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</si>
  <si>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</si>
  <si>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</si>
  <si>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</si>
  <si>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</si>
  <si>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</si>
  <si>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</si>
  <si>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</si>
  <si>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</si>
  <si>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</si>
  <si>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</si>
  <si>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</si>
  <si>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</si>
  <si>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</si>
  <si>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</si>
  <si>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</si>
  <si>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</si>
  <si>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</si>
  <si>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</si>
  <si>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</si>
  <si>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</si>
  <si>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</si>
  <si>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</si>
  <si>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</si>
  <si>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</si>
  <si>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</si>
  <si>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</si>
  <si>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</si>
  <si>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</si>
  <si>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</si>
  <si>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</si>
  <si>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</si>
  <si>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</si>
  <si>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</si>
  <si>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</si>
  <si>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</si>
  <si>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</si>
  <si>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</si>
  <si>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</si>
  <si>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</si>
  <si>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</si>
  <si>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</si>
  <si>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</si>
  <si>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</si>
  <si>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</si>
  <si>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</si>
  <si>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</si>
  <si>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</si>
  <si>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</si>
  <si>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</si>
  <si>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</si>
  <si>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</si>
  <si>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</si>
  <si>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</si>
  <si>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</si>
  <si>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</si>
  <si>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</si>
  <si>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</si>
  <si>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</si>
  <si>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</si>
  <si>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</si>
  <si>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</si>
  <si>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</si>
  <si>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</si>
  <si>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</si>
  <si>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</si>
  <si>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</si>
  <si>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</si>
  <si>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</si>
  <si>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</si>
  <si>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</si>
  <si>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</si>
  <si>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</si>
  <si>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</si>
  <si>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</si>
  <si>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</si>
  <si>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</si>
  <si>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</si>
  <si>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</si>
  <si>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</si>
  <si>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</si>
  <si>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</si>
  <si>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</si>
  <si>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</si>
  <si>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Justice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</si>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</sst>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2" fillId="0" borderId="0" xfId="0" applyFont="1" applyAlignment="1" applyProtection="1">
      <alignment horizontal="left" vertical="top"/>
      <protection hidden="1"/>
    </xf>
    <xf numFmtId="0" fontId="6" fillId="2" borderId="0" xfId="0" applyFont="1" applyFill="1" applyAlignment="1" applyProtection="1">
      <alignment horizontal="left" vertical="top"/>
      <protection locked="0"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165" fontId="34" fillId="0" borderId="0" xfId="0" applyNumberFormat="1" applyFont="1" applyAlignment="1" applyProtection="1">
      <alignment horizontal="left"/>
      <protection hidden="1"/>
    </xf>
    <xf numFmtId="0" fontId="6"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7017-EAA2-4A5F-9131-45A852CE1616}">
  <sheetPr>
    <tabColor theme="9" tint="0.59999389629810485"/>
    <pageSetUpPr fitToPage="1"/>
  </sheetPr>
  <dimension ref="A1:XFC115"/>
  <sheetViews>
    <sheetView tabSelected="1" zoomScale="85" zoomScaleNormal="85" workbookViewId="0">
      <selection activeCell="K19" sqref="K19"/>
    </sheetView>
  </sheetViews>
  <sheetFormatPr defaultColWidth="0" defaultRowHeight="15" customHeight="1"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3655450</v>
      </c>
      <c r="K15" s="42"/>
      <c r="M15" s="105">
        <v>3655450</v>
      </c>
      <c r="P15" s="105">
        <v>3655450</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8892</v>
      </c>
      <c r="P16" s="46">
        <f>IF(SUM($Q$18:$Q$19)&gt;$P$15,SUM($Q$18:$Q$19)-$P$15,0)</f>
        <v>0</v>
      </c>
      <c r="S16" s="43">
        <f>M16-P16</f>
        <v>8892</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2247186</v>
      </c>
      <c r="N18" s="105">
        <v>2247186</v>
      </c>
      <c r="Q18" s="105">
        <v>2247186</v>
      </c>
      <c r="S18" s="43">
        <f>N18-Q18</f>
        <v>0</v>
      </c>
      <c r="T18" s="47" t="s">
        <v>1635</v>
      </c>
    </row>
    <row r="19" spans="1:25" ht="16.5" customHeight="1" x14ac:dyDescent="0.25">
      <c r="A19" s="45"/>
      <c r="B19" s="49"/>
      <c r="C19" s="183" t="s">
        <v>1618</v>
      </c>
      <c r="D19" s="183"/>
      <c r="E19" s="183"/>
      <c r="F19" s="183"/>
      <c r="G19" s="183"/>
      <c r="H19" s="183"/>
      <c r="I19" s="183"/>
      <c r="J19" s="42"/>
      <c r="K19" s="41">
        <f>ROUND(N19,0)</f>
        <v>968958</v>
      </c>
      <c r="N19" s="105">
        <v>968958</v>
      </c>
      <c r="Q19" s="105">
        <v>968958</v>
      </c>
      <c r="S19" s="43">
        <f>N19-Q19</f>
        <v>0</v>
      </c>
      <c r="T19" s="47" t="s">
        <v>1635</v>
      </c>
      <c r="X19" s="18"/>
    </row>
    <row r="20" spans="1:25" ht="16.5" customHeight="1" x14ac:dyDescent="0.25">
      <c r="A20" s="45"/>
      <c r="B20" s="49"/>
      <c r="C20" s="183" t="s">
        <v>1584</v>
      </c>
      <c r="D20" s="183"/>
      <c r="E20" s="183"/>
      <c r="F20" s="183"/>
      <c r="G20" s="183"/>
      <c r="H20" s="183"/>
      <c r="I20" s="183"/>
      <c r="K20" s="41">
        <f>ROUND(Q20,0)</f>
        <v>439306</v>
      </c>
      <c r="N20" s="105">
        <v>448198</v>
      </c>
      <c r="Q20" s="46">
        <f>IF(SUM($Q$18:$Q$19)&lt;$P$15,-SUM($Q$18:$Q$19)+$P$15,0)</f>
        <v>439306</v>
      </c>
      <c r="S20" s="43">
        <f>N20-Q20</f>
        <v>8892</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3655450</v>
      </c>
      <c r="K22" s="51">
        <f>ROUND(SUM(K18:K21),0)</f>
        <v>3655450</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1083987</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1083987</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1083987</v>
      </c>
      <c r="K31" s="51">
        <f>ROUND(SUM(K28:K30),2)</f>
        <v>1083987</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1083987</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1083987</v>
      </c>
      <c r="K35" s="68"/>
    </row>
    <row r="36" spans="1:20" ht="16.5" customHeight="1" x14ac:dyDescent="0.2">
      <c r="A36" s="45"/>
      <c r="B36" s="69"/>
      <c r="C36" s="183" t="s">
        <v>1575</v>
      </c>
      <c r="D36" s="183"/>
      <c r="E36" s="183"/>
      <c r="F36" s="183"/>
      <c r="G36" s="183"/>
      <c r="H36" s="183"/>
      <c r="I36" s="183"/>
      <c r="J36" s="68"/>
      <c r="K36" s="105">
        <v>1083987</v>
      </c>
    </row>
    <row r="37" spans="1:20" ht="16.5" customHeight="1" x14ac:dyDescent="0.2">
      <c r="A37" s="45"/>
      <c r="C37" s="183" t="s">
        <v>1618</v>
      </c>
      <c r="D37" s="183"/>
      <c r="E37" s="183"/>
      <c r="F37" s="183"/>
      <c r="G37" s="183"/>
      <c r="H37" s="183"/>
      <c r="I37" s="183"/>
      <c r="J37" s="68"/>
      <c r="K37" s="105">
        <v>1083987</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2167974</v>
      </c>
      <c r="K39" s="51">
        <f>ROUND(SUM(K36:K38),2)</f>
        <v>2167974</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882518</v>
      </c>
      <c r="K45" s="78"/>
    </row>
    <row r="46" spans="1:20" ht="16.5" customHeight="1" x14ac:dyDescent="0.2">
      <c r="A46" s="45"/>
      <c r="B46" s="69"/>
      <c r="C46" s="183" t="s">
        <v>1581</v>
      </c>
      <c r="D46" s="183"/>
      <c r="E46" s="183"/>
      <c r="F46" s="183"/>
      <c r="G46" s="183"/>
      <c r="H46" s="183"/>
      <c r="I46" s="183"/>
      <c r="J46" s="68"/>
      <c r="K46" s="105">
        <f>J45</f>
        <v>882518</v>
      </c>
    </row>
    <row r="47" spans="1:20" ht="16.5" customHeight="1" x14ac:dyDescent="0.2">
      <c r="A47" s="65"/>
      <c r="B47" s="50"/>
      <c r="C47" s="50"/>
      <c r="D47" s="50"/>
      <c r="E47" s="50"/>
      <c r="F47" s="50"/>
      <c r="G47" s="50"/>
      <c r="H47" s="50"/>
      <c r="I47" s="50"/>
      <c r="J47" s="79">
        <f>ROUND(SUM(J45:J45),2)</f>
        <v>882518</v>
      </c>
      <c r="K47" s="79">
        <f>ROUND(SUM(K46),2)</f>
        <v>882518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573282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16574</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589856</v>
      </c>
    </row>
    <row r="53" spans="1:20" ht="16.5" customHeight="1" x14ac:dyDescent="0.2">
      <c r="A53" s="65"/>
      <c r="B53" s="50"/>
      <c r="C53" s="50"/>
      <c r="D53" s="50"/>
      <c r="E53" s="50"/>
      <c r="F53" s="50"/>
      <c r="G53" s="50"/>
      <c r="H53" s="50"/>
      <c r="I53" s="50"/>
      <c r="J53" s="79">
        <f>ROUND(SUM(J50:J51),2)</f>
        <v>589856</v>
      </c>
      <c r="K53" s="79">
        <f>ROUND(SUM(K52,),2)</f>
        <v>589856</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573282</v>
      </c>
      <c r="K56" s="68"/>
    </row>
    <row r="57" spans="1:20" ht="16.5" customHeight="1" x14ac:dyDescent="0.25">
      <c r="A57" s="45"/>
      <c r="B57" s="49"/>
      <c r="C57" s="183" t="s">
        <v>1607</v>
      </c>
      <c r="D57" s="183"/>
      <c r="E57" s="183"/>
      <c r="F57" s="183"/>
      <c r="G57" s="183"/>
      <c r="H57" s="183"/>
      <c r="I57" s="183"/>
      <c r="J57" s="68"/>
      <c r="K57" s="105">
        <f>J50</f>
        <v>573282</v>
      </c>
      <c r="L57" s="27" t="str">
        <f>IF($J$50=$K$57,"","&lt;- Accts 0848 must agree")</f>
        <v/>
      </c>
    </row>
    <row r="58" spans="1:20" ht="16.5" customHeight="1" x14ac:dyDescent="0.2">
      <c r="A58" s="65"/>
      <c r="B58" s="50"/>
      <c r="C58" s="50"/>
      <c r="D58" s="50"/>
      <c r="E58" s="50"/>
      <c r="F58" s="50"/>
      <c r="G58" s="50"/>
      <c r="H58" s="50"/>
      <c r="I58" s="50"/>
      <c r="J58" s="79">
        <f>ROUND(SUM(J56:J56),2)</f>
        <v>573282</v>
      </c>
      <c r="K58" s="79">
        <f>ROUND(SUM(K57),2)</f>
        <v>573282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424220</v>
      </c>
      <c r="K61" s="78"/>
    </row>
    <row r="62" spans="1:20" ht="16.5" customHeight="1" x14ac:dyDescent="0.25">
      <c r="A62" s="45"/>
      <c r="B62" s="49"/>
      <c r="C62" s="183" t="s">
        <v>1616</v>
      </c>
      <c r="D62" s="183"/>
      <c r="E62" s="183"/>
      <c r="F62" s="183"/>
      <c r="G62" s="183"/>
      <c r="H62" s="183"/>
      <c r="I62" s="183"/>
      <c r="J62" s="78"/>
      <c r="K62" s="105">
        <f>J61</f>
        <v>424220</v>
      </c>
    </row>
    <row r="63" spans="1:20" ht="16.5" customHeight="1" x14ac:dyDescent="0.2">
      <c r="A63" s="45"/>
      <c r="B63" s="192" t="s">
        <v>1615</v>
      </c>
      <c r="C63" s="192"/>
      <c r="D63" s="192"/>
      <c r="E63" s="192"/>
      <c r="F63" s="192"/>
      <c r="G63" s="192"/>
      <c r="H63" s="192"/>
      <c r="I63" s="192"/>
      <c r="J63" s="79">
        <f>ROUND(SUM(J61:J61),2)</f>
        <v>424220</v>
      </c>
      <c r="K63" s="79">
        <f>ROUND(SUM(K62),2)</f>
        <v>424220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2271149</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2271149</v>
      </c>
    </row>
    <row r="70" spans="1:20" ht="16.5" customHeight="1" x14ac:dyDescent="0.2">
      <c r="B70" s="50"/>
      <c r="H70" s="27"/>
      <c r="J70" s="51">
        <f>SUM(J68)</f>
        <v>2271149</v>
      </c>
      <c r="K70" s="51">
        <f>SUM(K69)</f>
        <v>2271149</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613984</v>
      </c>
      <c r="K76" s="48"/>
    </row>
    <row r="77" spans="1:20" ht="16.5" customHeight="1" x14ac:dyDescent="0.2">
      <c r="B77" s="183" t="s">
        <v>1588</v>
      </c>
      <c r="C77" s="183"/>
      <c r="D77" s="183"/>
      <c r="E77" s="183"/>
      <c r="F77" s="183"/>
      <c r="G77" s="183"/>
      <c r="H77" s="183"/>
      <c r="I77" s="183"/>
      <c r="J77" s="108">
        <v>523211</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1131150</v>
      </c>
    </row>
    <row r="80" spans="1:20" ht="16.5" customHeight="1" x14ac:dyDescent="0.2">
      <c r="C80" s="183" t="str">
        <f>VLOOKUP($F$8,'Drop Down Menus'!$D$2:$G$10,4,FALSE)</f>
        <v>Cr: Acct 0808 - GENERAL GOV. (GAAP ADJ)</v>
      </c>
      <c r="D80" s="183"/>
      <c r="E80" s="183"/>
      <c r="F80" s="183"/>
      <c r="G80" s="183"/>
      <c r="H80" s="183"/>
      <c r="I80" s="183"/>
      <c r="J80" s="48"/>
      <c r="K80" s="108">
        <v>6045</v>
      </c>
    </row>
    <row r="81" spans="1:20" ht="16.5" customHeight="1" x14ac:dyDescent="0.2">
      <c r="B81" s="53"/>
      <c r="H81" s="27"/>
      <c r="J81" s="51">
        <f>ROUND(SUM(J76:J78),2)</f>
        <v>1137195</v>
      </c>
      <c r="K81" s="51">
        <f>ROUND(SUM(K79:K80),2)</f>
        <v>1137195</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1337138</v>
      </c>
      <c r="N94" s="104"/>
    </row>
    <row r="95" spans="1:20" ht="16.5" customHeight="1" x14ac:dyDescent="0.25">
      <c r="D95" s="49" t="s">
        <v>1631</v>
      </c>
      <c r="E95" s="100"/>
      <c r="F95" s="100"/>
      <c r="G95" s="100"/>
      <c r="H95" s="27"/>
      <c r="I95" s="100"/>
      <c r="J95" s="100"/>
      <c r="K95" s="103">
        <f>-K18-K46+J68+J77</f>
        <v>-335344</v>
      </c>
      <c r="N95" s="102"/>
    </row>
    <row r="96" spans="1:20" ht="16.5" customHeight="1" x14ac:dyDescent="0.25">
      <c r="D96" s="49" t="s">
        <v>1629</v>
      </c>
      <c r="E96" s="100"/>
      <c r="F96" s="100"/>
      <c r="G96" s="100"/>
      <c r="H96" s="27"/>
      <c r="I96" s="100"/>
      <c r="J96" s="100"/>
      <c r="K96" s="103">
        <f>-K19-K37+J56+J61+J76-K85</f>
        <v>-441459</v>
      </c>
    </row>
    <row r="97" spans="1:11" ht="16.5" customHeight="1" x14ac:dyDescent="0.25">
      <c r="D97" s="49" t="s">
        <v>1630</v>
      </c>
      <c r="E97" s="100"/>
      <c r="F97" s="100"/>
      <c r="G97" s="100"/>
      <c r="H97" s="27"/>
      <c r="I97" s="100"/>
      <c r="J97" s="100"/>
      <c r="K97" s="103">
        <f>-K62</f>
        <v>-424220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5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9A64AA0C-A696-4DE7-8F69-6FDDD59F69E0}">
      <formula1>0</formula1>
    </dataValidation>
    <dataValidation type="whole" operator="greaterThanOrEqual" allowBlank="1" showErrorMessage="1" errorTitle="Whole Numbers Only" error="Enter amounts as whole numbers only." promptTitle="Whole Numbers" prompt="Enter whole numbers only." sqref="J15:J17 K18:K21" xr:uid="{02A56191-DDE1-4A33-909E-D7FDCCE2D598}">
      <formula1>0</formula1>
    </dataValidation>
    <dataValidation type="textLength" operator="equal" allowBlank="1" showInputMessage="1" showErrorMessage="1" errorTitle="4-Digit Org Code" error="Enter the Org Code/BU as 4 digits." sqref="F5" xr:uid="{92FB34D1-7DD3-46B9-83E8-23528145CDB3}">
      <formula1>4</formula1>
    </dataValidation>
    <dataValidation type="textLength" operator="lessThan" allowBlank="1" showInputMessage="1" showErrorMessage="1" sqref="E11 A6:A8" xr:uid="{F77E2ABA-67DD-4FDA-A36B-7F1AE5B5ECC5}">
      <formula1>0</formula1>
    </dataValidation>
    <dataValidation operator="lessThan" allowBlank="1" showInputMessage="1" showErrorMessage="1" sqref="A3:A5 A7:A8 A11" xr:uid="{32776A41-8740-4971-843B-454357BC3BC8}"/>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8BAC011-C563-429E-804F-88107598761C}">
          <x14:formula1>
            <xm:f>'Drop Down Menus'!$B$1:$B$3</xm:f>
          </x14:formula1>
          <xm:sqref>F7</xm:sqref>
        </x14:dataValidation>
        <x14:dataValidation type="list" allowBlank="1" showInputMessage="1" showErrorMessage="1" xr:uid="{18FE7DF5-C8C9-43EE-8EE4-0996A277542D}">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pageSetUpPr fitToPage="1"/>
  </sheetPr>
  <dimension ref="A1:XFC115"/>
  <sheetViews>
    <sheetView topLeftCell="A65"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12</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717</v>
      </c>
      <c r="K15" s="42"/>
      <c r="M15" s="105">
        <v>717</v>
      </c>
      <c r="P15" s="105">
        <v>717</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4</v>
      </c>
      <c r="P16" s="46">
        <f>IF(SUM($Q$18:$Q$19)&gt;$P$15,SUM($Q$18:$Q$19)-$P$15,0)</f>
        <v>0</v>
      </c>
      <c r="S16" s="43">
        <f>M16-P16</f>
        <v>4</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295</v>
      </c>
      <c r="N18" s="105">
        <v>295</v>
      </c>
      <c r="Q18" s="105">
        <v>295</v>
      </c>
      <c r="S18" s="43">
        <f>N18-Q18</f>
        <v>0</v>
      </c>
      <c r="T18" s="47" t="s">
        <v>1635</v>
      </c>
    </row>
    <row r="19" spans="1:25" ht="16.5" customHeight="1" x14ac:dyDescent="0.25">
      <c r="A19" s="45"/>
      <c r="B19" s="49"/>
      <c r="C19" s="183" t="s">
        <v>1618</v>
      </c>
      <c r="D19" s="183"/>
      <c r="E19" s="183"/>
      <c r="F19" s="183"/>
      <c r="G19" s="183"/>
      <c r="H19" s="183"/>
      <c r="I19" s="183"/>
      <c r="J19" s="42"/>
      <c r="K19" s="41">
        <f>ROUND(N19,0)</f>
        <v>411</v>
      </c>
      <c r="N19" s="105">
        <v>411</v>
      </c>
      <c r="Q19" s="105">
        <v>411</v>
      </c>
      <c r="S19" s="43">
        <f>N19-Q19</f>
        <v>0</v>
      </c>
      <c r="T19" s="47" t="s">
        <v>1635</v>
      </c>
      <c r="X19" s="18"/>
    </row>
    <row r="20" spans="1:25" ht="16.5" customHeight="1" x14ac:dyDescent="0.25">
      <c r="A20" s="45"/>
      <c r="B20" s="49"/>
      <c r="C20" s="183" t="s">
        <v>1584</v>
      </c>
      <c r="D20" s="183"/>
      <c r="E20" s="183"/>
      <c r="F20" s="183"/>
      <c r="G20" s="183"/>
      <c r="H20" s="183"/>
      <c r="I20" s="183"/>
      <c r="K20" s="41">
        <f>ROUND(Q20,0)</f>
        <v>11</v>
      </c>
      <c r="N20" s="105">
        <v>15</v>
      </c>
      <c r="Q20" s="46">
        <f>IF(SUM($Q$18:$Q$19)&lt;$P$15,-SUM($Q$18:$Q$19)+$P$15,0)</f>
        <v>11</v>
      </c>
      <c r="S20" s="43">
        <f>N20-Q20</f>
        <v>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717</v>
      </c>
      <c r="K22" s="51">
        <f>ROUND(SUM(K18:K21),0)</f>
        <v>717</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557</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557</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557</v>
      </c>
      <c r="K31" s="51">
        <f>ROUND(SUM(K28:K30),2)</f>
        <v>557</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557</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557</v>
      </c>
      <c r="K35" s="68"/>
    </row>
    <row r="36" spans="1:20" ht="16.5" customHeight="1" x14ac:dyDescent="0.2">
      <c r="A36" s="45"/>
      <c r="B36" s="69"/>
      <c r="C36" s="183" t="s">
        <v>1575</v>
      </c>
      <c r="D36" s="183"/>
      <c r="E36" s="183"/>
      <c r="F36" s="183"/>
      <c r="G36" s="183"/>
      <c r="H36" s="183"/>
      <c r="I36" s="183"/>
      <c r="J36" s="68"/>
      <c r="K36" s="105">
        <v>557</v>
      </c>
    </row>
    <row r="37" spans="1:20" ht="16.5" customHeight="1" x14ac:dyDescent="0.2">
      <c r="A37" s="45"/>
      <c r="C37" s="183" t="s">
        <v>1618</v>
      </c>
      <c r="D37" s="183"/>
      <c r="E37" s="183"/>
      <c r="F37" s="183"/>
      <c r="G37" s="183"/>
      <c r="H37" s="183"/>
      <c r="I37" s="183"/>
      <c r="J37" s="68"/>
      <c r="K37" s="105">
        <v>557</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1114</v>
      </c>
      <c r="K39" s="51">
        <f>ROUND(SUM(K36:K38),2)</f>
        <v>1114</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161</v>
      </c>
      <c r="K45" s="78"/>
    </row>
    <row r="46" spans="1:20" ht="16.5" customHeight="1" x14ac:dyDescent="0.2">
      <c r="A46" s="45"/>
      <c r="B46" s="69"/>
      <c r="C46" s="183" t="s">
        <v>1581</v>
      </c>
      <c r="D46" s="183"/>
      <c r="E46" s="183"/>
      <c r="F46" s="183"/>
      <c r="G46" s="183"/>
      <c r="H46" s="183"/>
      <c r="I46" s="183"/>
      <c r="J46" s="68"/>
      <c r="K46" s="105">
        <f>J45</f>
        <v>161</v>
      </c>
    </row>
    <row r="47" spans="1:20" ht="16.5" customHeight="1" x14ac:dyDescent="0.2">
      <c r="A47" s="65"/>
      <c r="B47" s="50"/>
      <c r="C47" s="50"/>
      <c r="D47" s="50"/>
      <c r="E47" s="50"/>
      <c r="F47" s="50"/>
      <c r="G47" s="50"/>
      <c r="H47" s="50"/>
      <c r="I47" s="50"/>
      <c r="J47" s="79">
        <f>ROUND(SUM(J45:J45),2)</f>
        <v>161</v>
      </c>
      <c r="K47" s="79">
        <f>ROUND(SUM(K46),2)</f>
        <v>161</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213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7</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220</v>
      </c>
    </row>
    <row r="53" spans="1:20" ht="16.5" customHeight="1" x14ac:dyDescent="0.2">
      <c r="A53" s="65"/>
      <c r="B53" s="50"/>
      <c r="C53" s="50"/>
      <c r="D53" s="50"/>
      <c r="E53" s="50"/>
      <c r="F53" s="50"/>
      <c r="G53" s="50"/>
      <c r="H53" s="50"/>
      <c r="I53" s="50"/>
      <c r="J53" s="79">
        <f>ROUND(SUM(J50:J51),2)</f>
        <v>220</v>
      </c>
      <c r="K53" s="79">
        <f>ROUND(SUM(K52,),2)</f>
        <v>220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213</v>
      </c>
      <c r="K56" s="68"/>
    </row>
    <row r="57" spans="1:20" ht="16.5" customHeight="1" x14ac:dyDescent="0.25">
      <c r="A57" s="45"/>
      <c r="B57" s="49"/>
      <c r="C57" s="183" t="s">
        <v>1607</v>
      </c>
      <c r="D57" s="183"/>
      <c r="E57" s="183"/>
      <c r="F57" s="183"/>
      <c r="G57" s="183"/>
      <c r="H57" s="183"/>
      <c r="I57" s="183"/>
      <c r="J57" s="68"/>
      <c r="K57" s="105">
        <f>J50</f>
        <v>213</v>
      </c>
      <c r="L57" s="27" t="str">
        <f>IF($J$50=$K$57,"","&lt;- Accts 0848 must agree")</f>
        <v/>
      </c>
    </row>
    <row r="58" spans="1:20" ht="16.5" customHeight="1" x14ac:dyDescent="0.2">
      <c r="A58" s="65"/>
      <c r="B58" s="50"/>
      <c r="C58" s="50"/>
      <c r="D58" s="50"/>
      <c r="E58" s="50"/>
      <c r="F58" s="50"/>
      <c r="G58" s="50"/>
      <c r="H58" s="50"/>
      <c r="I58" s="50"/>
      <c r="J58" s="79">
        <f>ROUND(SUM(J56:J56),2)</f>
        <v>213</v>
      </c>
      <c r="K58" s="79">
        <f>ROUND(SUM(K57),2)</f>
        <v>213</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199</v>
      </c>
      <c r="K61" s="78"/>
    </row>
    <row r="62" spans="1:20" ht="16.5" customHeight="1" x14ac:dyDescent="0.25">
      <c r="A62" s="45"/>
      <c r="B62" s="49"/>
      <c r="C62" s="183" t="s">
        <v>1616</v>
      </c>
      <c r="D62" s="183"/>
      <c r="E62" s="183"/>
      <c r="F62" s="183"/>
      <c r="G62" s="183"/>
      <c r="H62" s="183"/>
      <c r="I62" s="183"/>
      <c r="J62" s="78"/>
      <c r="K62" s="105">
        <f>J61</f>
        <v>199</v>
      </c>
    </row>
    <row r="63" spans="1:20" ht="16.5" customHeight="1" x14ac:dyDescent="0.2">
      <c r="A63" s="45"/>
      <c r="B63" s="192" t="s">
        <v>1615</v>
      </c>
      <c r="C63" s="192"/>
      <c r="D63" s="192"/>
      <c r="E63" s="192"/>
      <c r="F63" s="192"/>
      <c r="G63" s="192"/>
      <c r="H63" s="192"/>
      <c r="I63" s="192"/>
      <c r="J63" s="79">
        <f>ROUND(SUM(J61:J61),2)</f>
        <v>199</v>
      </c>
      <c r="K63" s="79">
        <f>ROUND(SUM(K62),2)</f>
        <v>199</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101</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101</v>
      </c>
    </row>
    <row r="70" spans="1:20" ht="16.5" customHeight="1" x14ac:dyDescent="0.2">
      <c r="B70" s="50"/>
      <c r="H70" s="27"/>
      <c r="J70" s="51">
        <f>SUM(J68)</f>
        <v>101</v>
      </c>
      <c r="K70" s="51">
        <f>SUM(K69)</f>
        <v>101</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327</v>
      </c>
      <c r="K76" s="48"/>
    </row>
    <row r="77" spans="1:20" ht="16.5" customHeight="1" x14ac:dyDescent="0.2">
      <c r="B77" s="183" t="s">
        <v>1588</v>
      </c>
      <c r="C77" s="183"/>
      <c r="D77" s="183"/>
      <c r="E77" s="183"/>
      <c r="F77" s="183"/>
      <c r="G77" s="183"/>
      <c r="H77" s="183"/>
      <c r="I77" s="183"/>
      <c r="J77" s="108">
        <v>214</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538</v>
      </c>
    </row>
    <row r="80" spans="1:20" ht="16.5" customHeight="1" x14ac:dyDescent="0.2">
      <c r="C80" s="183" t="str">
        <f>VLOOKUP($F$8,'Drop Down Menus'!$D$2:$G$10,4,FALSE)</f>
        <v>Cr: Acct 0808 - GENERAL GOV. (GAAP ADJ)</v>
      </c>
      <c r="D80" s="183"/>
      <c r="E80" s="183"/>
      <c r="F80" s="183"/>
      <c r="G80" s="183"/>
      <c r="H80" s="183"/>
      <c r="I80" s="183"/>
      <c r="J80" s="48"/>
      <c r="K80" s="108">
        <v>3</v>
      </c>
    </row>
    <row r="81" spans="1:20" ht="16.5" customHeight="1" x14ac:dyDescent="0.2">
      <c r="B81" s="53"/>
      <c r="H81" s="27"/>
      <c r="J81" s="51">
        <f>ROUND(SUM(J76:J78),2)</f>
        <v>541</v>
      </c>
      <c r="K81" s="51">
        <f>ROUND(SUM(K79:K80),2)</f>
        <v>541</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635</v>
      </c>
      <c r="N94" s="104"/>
    </row>
    <row r="95" spans="1:20" ht="16.5" customHeight="1" x14ac:dyDescent="0.25">
      <c r="D95" s="49" t="s">
        <v>1631</v>
      </c>
      <c r="E95" s="100"/>
      <c r="F95" s="100"/>
      <c r="G95" s="100"/>
      <c r="H95" s="27"/>
      <c r="I95" s="100"/>
      <c r="J95" s="100"/>
      <c r="K95" s="103">
        <f>-K18-K46+J68+J77</f>
        <v>-141</v>
      </c>
      <c r="N95" s="102"/>
    </row>
    <row r="96" spans="1:20" ht="16.5" customHeight="1" x14ac:dyDescent="0.25">
      <c r="D96" s="49" t="s">
        <v>1629</v>
      </c>
      <c r="E96" s="100"/>
      <c r="F96" s="100"/>
      <c r="G96" s="100"/>
      <c r="H96" s="27"/>
      <c r="I96" s="100"/>
      <c r="J96" s="100"/>
      <c r="K96" s="103">
        <f>-K19-K37+J56+J61+J76-K85</f>
        <v>-229</v>
      </c>
    </row>
    <row r="97" spans="1:11" ht="16.5" customHeight="1" x14ac:dyDescent="0.25">
      <c r="D97" s="49" t="s">
        <v>1630</v>
      </c>
      <c r="E97" s="100"/>
      <c r="F97" s="100"/>
      <c r="G97" s="100"/>
      <c r="H97" s="27"/>
      <c r="I97" s="100"/>
      <c r="J97" s="100"/>
      <c r="K97" s="103">
        <f>-K62</f>
        <v>-199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5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5"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B6BD6-DCEE-440F-B624-2A714908E14E}">
  <sheetPr>
    <tabColor theme="9" tint="0.59999389629810485"/>
    <pageSetUpPr fitToPage="1"/>
  </sheetPr>
  <dimension ref="A1:XFC115"/>
  <sheetViews>
    <sheetView topLeftCell="A59"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332868</v>
      </c>
      <c r="K15" s="42"/>
      <c r="M15" s="105">
        <v>332868</v>
      </c>
      <c r="P15" s="105">
        <v>332868</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1123</v>
      </c>
      <c r="P16" s="46">
        <f>IF(SUM($Q$18:$Q$19)&gt;$P$15,SUM($Q$18:$Q$19)-$P$15,0)</f>
        <v>0</v>
      </c>
      <c r="S16" s="43">
        <f>M16-P16</f>
        <v>1123</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186858</v>
      </c>
      <c r="N18" s="105">
        <v>186858</v>
      </c>
      <c r="Q18" s="105">
        <v>186858</v>
      </c>
      <c r="S18" s="43">
        <f>N18-Q18</f>
        <v>0</v>
      </c>
      <c r="T18" s="47" t="s">
        <v>1635</v>
      </c>
    </row>
    <row r="19" spans="1:25" ht="16.5" customHeight="1" x14ac:dyDescent="0.25">
      <c r="A19" s="45"/>
      <c r="B19" s="49"/>
      <c r="C19" s="183" t="s">
        <v>1618</v>
      </c>
      <c r="D19" s="183"/>
      <c r="E19" s="183"/>
      <c r="F19" s="183"/>
      <c r="G19" s="183"/>
      <c r="H19" s="183"/>
      <c r="I19" s="183"/>
      <c r="J19" s="42"/>
      <c r="K19" s="41">
        <f>ROUND(N19,0)</f>
        <v>124913</v>
      </c>
      <c r="N19" s="105">
        <v>124913</v>
      </c>
      <c r="Q19" s="105">
        <v>124913</v>
      </c>
      <c r="S19" s="43">
        <f>N19-Q19</f>
        <v>0</v>
      </c>
      <c r="T19" s="47" t="s">
        <v>1635</v>
      </c>
      <c r="X19" s="18"/>
    </row>
    <row r="20" spans="1:25" ht="16.5" customHeight="1" x14ac:dyDescent="0.25">
      <c r="A20" s="45"/>
      <c r="B20" s="49"/>
      <c r="C20" s="183" t="s">
        <v>1584</v>
      </c>
      <c r="D20" s="183"/>
      <c r="E20" s="183"/>
      <c r="F20" s="183"/>
      <c r="G20" s="183"/>
      <c r="H20" s="183"/>
      <c r="I20" s="183"/>
      <c r="K20" s="41">
        <f>ROUND(Q20,0)</f>
        <v>21097</v>
      </c>
      <c r="N20" s="105">
        <v>22220</v>
      </c>
      <c r="Q20" s="46">
        <f>IF(SUM($Q$18:$Q$19)&lt;$P$15,-SUM($Q$18:$Q$19)+$P$15,0)</f>
        <v>21097</v>
      </c>
      <c r="S20" s="43">
        <f>N20-Q20</f>
        <v>1123</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332868</v>
      </c>
      <c r="K22" s="51">
        <f>ROUND(SUM(K18:K21),0)</f>
        <v>332868</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897953</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897953</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897953</v>
      </c>
      <c r="K31" s="51">
        <f>ROUND(SUM(K28:K30),2)</f>
        <v>897953</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897953</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897953</v>
      </c>
      <c r="K35" s="68"/>
    </row>
    <row r="36" spans="1:20" ht="16.5" customHeight="1" x14ac:dyDescent="0.2">
      <c r="A36" s="45"/>
      <c r="B36" s="69"/>
      <c r="C36" s="183" t="s">
        <v>1575</v>
      </c>
      <c r="D36" s="183"/>
      <c r="E36" s="183"/>
      <c r="F36" s="183"/>
      <c r="G36" s="183"/>
      <c r="H36" s="183"/>
      <c r="I36" s="183"/>
      <c r="J36" s="68"/>
      <c r="K36" s="105">
        <v>897953</v>
      </c>
    </row>
    <row r="37" spans="1:20" ht="16.5" customHeight="1" x14ac:dyDescent="0.2">
      <c r="A37" s="45"/>
      <c r="C37" s="183" t="s">
        <v>1618</v>
      </c>
      <c r="D37" s="183"/>
      <c r="E37" s="183"/>
      <c r="F37" s="183"/>
      <c r="G37" s="183"/>
      <c r="H37" s="183"/>
      <c r="I37" s="183"/>
      <c r="J37" s="68"/>
      <c r="K37" s="105">
        <v>897953</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1795906</v>
      </c>
      <c r="K39" s="51">
        <f>ROUND(SUM(K36:K38),2)</f>
        <v>1795906</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234418</v>
      </c>
      <c r="K45" s="78"/>
    </row>
    <row r="46" spans="1:20" ht="16.5" customHeight="1" x14ac:dyDescent="0.2">
      <c r="A46" s="45"/>
      <c r="B46" s="69"/>
      <c r="C46" s="183" t="s">
        <v>1581</v>
      </c>
      <c r="D46" s="183"/>
      <c r="E46" s="183"/>
      <c r="F46" s="183"/>
      <c r="G46" s="183"/>
      <c r="H46" s="183"/>
      <c r="I46" s="183"/>
      <c r="J46" s="68"/>
      <c r="K46" s="105">
        <f>J45</f>
        <v>234418</v>
      </c>
    </row>
    <row r="47" spans="1:20" ht="16.5" customHeight="1" x14ac:dyDescent="0.2">
      <c r="A47" s="65"/>
      <c r="B47" s="50"/>
      <c r="C47" s="50"/>
      <c r="D47" s="50"/>
      <c r="E47" s="50"/>
      <c r="F47" s="50"/>
      <c r="G47" s="50"/>
      <c r="H47" s="50"/>
      <c r="I47" s="50"/>
      <c r="J47" s="79">
        <f>ROUND(SUM(J45:J45),2)</f>
        <v>234418</v>
      </c>
      <c r="K47" s="79">
        <f>ROUND(SUM(K46),2)</f>
        <v>234418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319827</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10837</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330664</v>
      </c>
    </row>
    <row r="53" spans="1:20" ht="16.5" customHeight="1" x14ac:dyDescent="0.2">
      <c r="A53" s="65"/>
      <c r="B53" s="50"/>
      <c r="C53" s="50"/>
      <c r="D53" s="50"/>
      <c r="E53" s="50"/>
      <c r="F53" s="50"/>
      <c r="G53" s="50"/>
      <c r="H53" s="50"/>
      <c r="I53" s="50"/>
      <c r="J53" s="79">
        <f>ROUND(SUM(J50:J51),2)</f>
        <v>330664</v>
      </c>
      <c r="K53" s="79">
        <f>ROUND(SUM(K52,),2)</f>
        <v>330664</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319827</v>
      </c>
      <c r="K56" s="68"/>
    </row>
    <row r="57" spans="1:20" ht="16.5" customHeight="1" x14ac:dyDescent="0.25">
      <c r="A57" s="45"/>
      <c r="B57" s="49"/>
      <c r="C57" s="183" t="s">
        <v>1607</v>
      </c>
      <c r="D57" s="183"/>
      <c r="E57" s="183"/>
      <c r="F57" s="183"/>
      <c r="G57" s="183"/>
      <c r="H57" s="183"/>
      <c r="I57" s="183"/>
      <c r="J57" s="68"/>
      <c r="K57" s="105">
        <f>J50</f>
        <v>319827</v>
      </c>
      <c r="L57" s="27" t="str">
        <f>IF($J$50=$K$57,"","&lt;- Accts 0848 must agree")</f>
        <v/>
      </c>
    </row>
    <row r="58" spans="1:20" ht="16.5" customHeight="1" x14ac:dyDescent="0.2">
      <c r="A58" s="65"/>
      <c r="B58" s="50"/>
      <c r="C58" s="50"/>
      <c r="D58" s="50"/>
      <c r="E58" s="50"/>
      <c r="F58" s="50"/>
      <c r="G58" s="50"/>
      <c r="H58" s="50"/>
      <c r="I58" s="50"/>
      <c r="J58" s="79">
        <f>ROUND(SUM(J56:J56),2)</f>
        <v>319827</v>
      </c>
      <c r="K58" s="79">
        <f>ROUND(SUM(K57),2)</f>
        <v>319827</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317873</v>
      </c>
      <c r="K61" s="78"/>
    </row>
    <row r="62" spans="1:20" ht="16.5" customHeight="1" x14ac:dyDescent="0.25">
      <c r="A62" s="45"/>
      <c r="B62" s="49"/>
      <c r="C62" s="183" t="s">
        <v>1616</v>
      </c>
      <c r="D62" s="183"/>
      <c r="E62" s="183"/>
      <c r="F62" s="183"/>
      <c r="G62" s="183"/>
      <c r="H62" s="183"/>
      <c r="I62" s="183"/>
      <c r="J62" s="78"/>
      <c r="K62" s="105">
        <f>J61</f>
        <v>317873</v>
      </c>
    </row>
    <row r="63" spans="1:20" ht="16.5" customHeight="1" x14ac:dyDescent="0.2">
      <c r="A63" s="45"/>
      <c r="B63" s="192" t="s">
        <v>1615</v>
      </c>
      <c r="C63" s="192"/>
      <c r="D63" s="192"/>
      <c r="E63" s="192"/>
      <c r="F63" s="192"/>
      <c r="G63" s="192"/>
      <c r="H63" s="192"/>
      <c r="I63" s="192"/>
      <c r="J63" s="79">
        <f>ROUND(SUM(J61:J61),2)</f>
        <v>317873</v>
      </c>
      <c r="K63" s="79">
        <f>ROUND(SUM(K62),2)</f>
        <v>317873</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111102</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111102</v>
      </c>
    </row>
    <row r="70" spans="1:20" ht="16.5" customHeight="1" x14ac:dyDescent="0.2">
      <c r="B70" s="50"/>
      <c r="H70" s="27"/>
      <c r="J70" s="51">
        <f>SUM(J68)</f>
        <v>111102</v>
      </c>
      <c r="K70" s="51">
        <f>SUM(K69)</f>
        <v>111102</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21874</v>
      </c>
      <c r="K76" s="48"/>
    </row>
    <row r="77" spans="1:20" ht="16.5" customHeight="1" x14ac:dyDescent="0.2">
      <c r="B77" s="183" t="s">
        <v>1588</v>
      </c>
      <c r="C77" s="183"/>
      <c r="D77" s="183"/>
      <c r="E77" s="183"/>
      <c r="F77" s="183"/>
      <c r="G77" s="183"/>
      <c r="H77" s="183"/>
      <c r="I77" s="183"/>
      <c r="J77" s="108">
        <v>86628</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108286</v>
      </c>
    </row>
    <row r="80" spans="1:20" ht="16.5" customHeight="1" x14ac:dyDescent="0.2">
      <c r="C80" s="183" t="str">
        <f>VLOOKUP($F$8,'Drop Down Menus'!$D$2:$G$10,4,FALSE)</f>
        <v>Cr: Acct 0808 - GENERAL GOV. (GAAP ADJ)</v>
      </c>
      <c r="D80" s="183"/>
      <c r="E80" s="183"/>
      <c r="F80" s="183"/>
      <c r="G80" s="183"/>
      <c r="H80" s="183"/>
      <c r="I80" s="183"/>
      <c r="J80" s="48"/>
      <c r="K80" s="108">
        <v>216</v>
      </c>
    </row>
    <row r="81" spans="1:20" ht="16.5" customHeight="1" x14ac:dyDescent="0.2">
      <c r="B81" s="53"/>
      <c r="H81" s="27"/>
      <c r="J81" s="51">
        <f>ROUND(SUM(J76:J78),2)</f>
        <v>108502</v>
      </c>
      <c r="K81" s="51">
        <f>ROUND(SUM(K79:K80),2)</f>
        <v>108502</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1011433</v>
      </c>
      <c r="N94" s="104"/>
    </row>
    <row r="95" spans="1:20" ht="16.5" customHeight="1" x14ac:dyDescent="0.25">
      <c r="D95" s="49" t="s">
        <v>1631</v>
      </c>
      <c r="E95" s="100"/>
      <c r="F95" s="100"/>
      <c r="G95" s="100"/>
      <c r="H95" s="27"/>
      <c r="I95" s="100"/>
      <c r="J95" s="100"/>
      <c r="K95" s="103">
        <f>-K18-K46+J68+J77</f>
        <v>-223546</v>
      </c>
      <c r="N95" s="102"/>
    </row>
    <row r="96" spans="1:20" ht="16.5" customHeight="1" x14ac:dyDescent="0.25">
      <c r="D96" s="49" t="s">
        <v>1629</v>
      </c>
      <c r="E96" s="100"/>
      <c r="F96" s="100"/>
      <c r="G96" s="100"/>
      <c r="H96" s="27"/>
      <c r="I96" s="100"/>
      <c r="J96" s="100"/>
      <c r="K96" s="103">
        <f>-K19-K37+J56+J61+J76-K85</f>
        <v>-363292</v>
      </c>
    </row>
    <row r="97" spans="1:11" ht="16.5" customHeight="1" x14ac:dyDescent="0.25">
      <c r="D97" s="49" t="s">
        <v>1630</v>
      </c>
      <c r="E97" s="100"/>
      <c r="F97" s="100"/>
      <c r="G97" s="100"/>
      <c r="H97" s="27"/>
      <c r="I97" s="100"/>
      <c r="J97" s="100"/>
      <c r="K97" s="103">
        <f>-K62</f>
        <v>-317873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5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14EEDA48-845D-40F8-B411-0D77375496B0}">
      <formula1>0</formula1>
    </dataValidation>
    <dataValidation type="whole" operator="greaterThanOrEqual" allowBlank="1" showErrorMessage="1" errorTitle="Whole Numbers Only" error="Enter amounts as whole numbers only." promptTitle="Whole Numbers" prompt="Enter whole numbers only." sqref="J15:J17 K18:K21" xr:uid="{3A2FEF7F-2B40-4AA6-868D-1F2D8FD5399B}">
      <formula1>0</formula1>
    </dataValidation>
    <dataValidation type="textLength" operator="equal" allowBlank="1" showInputMessage="1" showErrorMessage="1" errorTitle="4-Digit Org Code" error="Enter the Org Code/BU as 4 digits." sqref="F5" xr:uid="{CF82EF30-1E7C-4A53-8028-4AD81132FEFB}">
      <formula1>4</formula1>
    </dataValidation>
    <dataValidation type="textLength" operator="lessThan" allowBlank="1" showInputMessage="1" showErrorMessage="1" sqref="E11 A6:A8" xr:uid="{5B80FFEE-20BB-466D-96F8-8DC644521B54}">
      <formula1>0</formula1>
    </dataValidation>
    <dataValidation operator="lessThan" allowBlank="1" showInputMessage="1" showErrorMessage="1" sqref="A3:A5 A7:A8 A11" xr:uid="{C79EA006-5343-4CD5-A767-3EC0BD2D3B84}"/>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88698472-05B5-4158-911D-742E02A71BF7}">
          <x14:formula1>
            <xm:f>'Drop Down Menus'!$B$1:$B$3</xm:f>
          </x14:formula1>
          <xm:sqref>F7</xm:sqref>
        </x14:dataValidation>
        <x14:dataValidation type="list" allowBlank="1" showInputMessage="1" showErrorMessage="1" xr:uid="{31AB7B76-4A8C-4D8E-B25E-D994991A1C22}">
          <x14:formula1>
            <xm:f>'Drop Down Menus'!$A$1:$A$101</xm:f>
          </x14:formula1>
          <xm:sqref>F3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6154-93B7-414F-83CB-8BFEADA899BF}">
  <sheetPr>
    <tabColor theme="9" tint="0.59999389629810485"/>
    <pageSetUpPr fitToPage="1"/>
  </sheetPr>
  <dimension ref="A1:XFC115"/>
  <sheetViews>
    <sheetView topLeftCell="A68" zoomScale="70" zoomScaleNormal="70" workbookViewId="0">
      <selection activeCell="B33" sqref="B33:K33"/>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44</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436045</v>
      </c>
      <c r="K15" s="42"/>
      <c r="M15" s="105">
        <v>436045</v>
      </c>
      <c r="P15" s="105">
        <v>436045</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1472</v>
      </c>
      <c r="P16" s="46">
        <f>IF(SUM($Q$18:$Q$19)&gt;$P$15,SUM($Q$18:$Q$19)-$P$15,0)</f>
        <v>0</v>
      </c>
      <c r="S16" s="43">
        <f>M16-P16</f>
        <v>1472</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244778</v>
      </c>
      <c r="N18" s="105">
        <v>244778</v>
      </c>
      <c r="Q18" s="105">
        <v>244778</v>
      </c>
      <c r="S18" s="43">
        <f>N18-Q18</f>
        <v>0</v>
      </c>
      <c r="T18" s="47" t="s">
        <v>1635</v>
      </c>
    </row>
    <row r="19" spans="1:25" ht="16.5" customHeight="1" x14ac:dyDescent="0.25">
      <c r="A19" s="45"/>
      <c r="B19" s="49"/>
      <c r="C19" s="183" t="s">
        <v>1618</v>
      </c>
      <c r="D19" s="183"/>
      <c r="E19" s="183"/>
      <c r="F19" s="183"/>
      <c r="G19" s="183"/>
      <c r="H19" s="183"/>
      <c r="I19" s="183"/>
      <c r="J19" s="42"/>
      <c r="K19" s="41">
        <f>ROUND(N19,0)</f>
        <v>163631</v>
      </c>
      <c r="N19" s="105">
        <v>163631</v>
      </c>
      <c r="Q19" s="105">
        <v>163631</v>
      </c>
      <c r="S19" s="43">
        <f>N19-Q19</f>
        <v>0</v>
      </c>
      <c r="T19" s="47" t="s">
        <v>1635</v>
      </c>
      <c r="X19" s="18"/>
    </row>
    <row r="20" spans="1:25" ht="16.5" customHeight="1" x14ac:dyDescent="0.25">
      <c r="A20" s="45"/>
      <c r="B20" s="49"/>
      <c r="C20" s="183" t="s">
        <v>1584</v>
      </c>
      <c r="D20" s="183"/>
      <c r="E20" s="183"/>
      <c r="F20" s="183"/>
      <c r="G20" s="183"/>
      <c r="H20" s="183"/>
      <c r="I20" s="183"/>
      <c r="K20" s="41">
        <f>ROUND(Q20,0)</f>
        <v>27636</v>
      </c>
      <c r="N20" s="105">
        <v>29108</v>
      </c>
      <c r="Q20" s="46">
        <f>IF(SUM($Q$18:$Q$19)&lt;$P$15,-SUM($Q$18:$Q$19)+$P$15,0)</f>
        <v>27636</v>
      </c>
      <c r="S20" s="43">
        <f>N20-Q20</f>
        <v>1472</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436045</v>
      </c>
      <c r="K22" s="51">
        <f>ROUND(SUM(K18:K21),0)</f>
        <v>436045</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1089435</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1089435</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1089435</v>
      </c>
      <c r="K31" s="51">
        <f>ROUND(SUM(K28:K30),2)</f>
        <v>1089435</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1089435</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1089435</v>
      </c>
      <c r="K35" s="68"/>
    </row>
    <row r="36" spans="1:20" ht="16.5" customHeight="1" x14ac:dyDescent="0.2">
      <c r="A36" s="45"/>
      <c r="B36" s="69"/>
      <c r="C36" s="183" t="s">
        <v>1575</v>
      </c>
      <c r="D36" s="183"/>
      <c r="E36" s="183"/>
      <c r="F36" s="183"/>
      <c r="G36" s="183"/>
      <c r="H36" s="183"/>
      <c r="I36" s="183"/>
      <c r="J36" s="68"/>
      <c r="K36" s="105">
        <v>1089435</v>
      </c>
    </row>
    <row r="37" spans="1:20" ht="16.5" customHeight="1" x14ac:dyDescent="0.2">
      <c r="A37" s="45"/>
      <c r="C37" s="183" t="s">
        <v>1618</v>
      </c>
      <c r="D37" s="183"/>
      <c r="E37" s="183"/>
      <c r="F37" s="183"/>
      <c r="G37" s="183"/>
      <c r="H37" s="183"/>
      <c r="I37" s="183"/>
      <c r="J37" s="68"/>
      <c r="K37" s="105">
        <v>1089435</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2178870</v>
      </c>
      <c r="K39" s="51">
        <f>ROUND(SUM(K36:K38),2)</f>
        <v>2178870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288751</v>
      </c>
      <c r="K45" s="78"/>
    </row>
    <row r="46" spans="1:20" ht="16.5" customHeight="1" x14ac:dyDescent="0.2">
      <c r="A46" s="45"/>
      <c r="B46" s="69"/>
      <c r="C46" s="183" t="s">
        <v>1581</v>
      </c>
      <c r="D46" s="183"/>
      <c r="E46" s="183"/>
      <c r="F46" s="183"/>
      <c r="G46" s="183"/>
      <c r="H46" s="183"/>
      <c r="I46" s="183"/>
      <c r="J46" s="68"/>
      <c r="K46" s="105">
        <f>J45</f>
        <v>288751</v>
      </c>
    </row>
    <row r="47" spans="1:20" ht="16.5" customHeight="1" x14ac:dyDescent="0.2">
      <c r="A47" s="65"/>
      <c r="B47" s="50"/>
      <c r="C47" s="50"/>
      <c r="D47" s="50"/>
      <c r="E47" s="50"/>
      <c r="F47" s="50"/>
      <c r="G47" s="50"/>
      <c r="H47" s="50"/>
      <c r="I47" s="50"/>
      <c r="J47" s="79">
        <f>ROUND(SUM(J45:J45),2)</f>
        <v>288751</v>
      </c>
      <c r="K47" s="79">
        <f>ROUND(SUM(K46),2)</f>
        <v>288751</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390080</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13365</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403445</v>
      </c>
    </row>
    <row r="53" spans="1:20" ht="16.5" customHeight="1" x14ac:dyDescent="0.2">
      <c r="A53" s="65"/>
      <c r="B53" s="50"/>
      <c r="C53" s="50"/>
      <c r="D53" s="50"/>
      <c r="E53" s="50"/>
      <c r="F53" s="50"/>
      <c r="G53" s="50"/>
      <c r="H53" s="50"/>
      <c r="I53" s="50"/>
      <c r="J53" s="79">
        <f>ROUND(SUM(J50:J51),2)</f>
        <v>403445</v>
      </c>
      <c r="K53" s="79">
        <f>ROUND(SUM(K52,),2)</f>
        <v>403445</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390080</v>
      </c>
      <c r="K56" s="68"/>
    </row>
    <row r="57" spans="1:20" ht="16.5" customHeight="1" x14ac:dyDescent="0.25">
      <c r="A57" s="45"/>
      <c r="B57" s="49"/>
      <c r="C57" s="183" t="s">
        <v>1607</v>
      </c>
      <c r="D57" s="183"/>
      <c r="E57" s="183"/>
      <c r="F57" s="183"/>
      <c r="G57" s="183"/>
      <c r="H57" s="183"/>
      <c r="I57" s="183"/>
      <c r="J57" s="68"/>
      <c r="K57" s="105">
        <f>J50</f>
        <v>390080</v>
      </c>
      <c r="L57" s="27" t="str">
        <f>IF($J$50=$K$57,"","&lt;- Accts 0848 must agree")</f>
        <v/>
      </c>
    </row>
    <row r="58" spans="1:20" ht="16.5" customHeight="1" x14ac:dyDescent="0.2">
      <c r="A58" s="65"/>
      <c r="B58" s="50"/>
      <c r="C58" s="50"/>
      <c r="D58" s="50"/>
      <c r="E58" s="50"/>
      <c r="F58" s="50"/>
      <c r="G58" s="50"/>
      <c r="H58" s="50"/>
      <c r="I58" s="50"/>
      <c r="J58" s="79">
        <f>ROUND(SUM(J56:J56),2)</f>
        <v>390080</v>
      </c>
      <c r="K58" s="79">
        <f>ROUND(SUM(K57),2)</f>
        <v>390080</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387798</v>
      </c>
      <c r="K61" s="78"/>
    </row>
    <row r="62" spans="1:20" ht="16.5" customHeight="1" x14ac:dyDescent="0.25">
      <c r="A62" s="45"/>
      <c r="B62" s="49"/>
      <c r="C62" s="183" t="s">
        <v>1616</v>
      </c>
      <c r="D62" s="183"/>
      <c r="E62" s="183"/>
      <c r="F62" s="183"/>
      <c r="G62" s="183"/>
      <c r="H62" s="183"/>
      <c r="I62" s="183"/>
      <c r="J62" s="78"/>
      <c r="K62" s="105">
        <f>J61</f>
        <v>387798</v>
      </c>
    </row>
    <row r="63" spans="1:20" ht="16.5" customHeight="1" x14ac:dyDescent="0.2">
      <c r="A63" s="45"/>
      <c r="B63" s="192" t="s">
        <v>1615</v>
      </c>
      <c r="C63" s="192"/>
      <c r="D63" s="192"/>
      <c r="E63" s="192"/>
      <c r="F63" s="192"/>
      <c r="G63" s="192"/>
      <c r="H63" s="192"/>
      <c r="I63" s="192"/>
      <c r="J63" s="79">
        <f>ROUND(SUM(J61:J61),2)</f>
        <v>387798</v>
      </c>
      <c r="K63" s="79">
        <f>ROUND(SUM(K62),2)</f>
        <v>387798</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145540</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145540</v>
      </c>
    </row>
    <row r="70" spans="1:20" ht="16.5" customHeight="1" x14ac:dyDescent="0.2">
      <c r="B70" s="50"/>
      <c r="H70" s="27"/>
      <c r="J70" s="51">
        <f>SUM(J68)</f>
        <v>145540</v>
      </c>
      <c r="K70" s="51">
        <f>SUM(K69)</f>
        <v>145540</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28654</v>
      </c>
      <c r="K76" s="48"/>
    </row>
    <row r="77" spans="1:20" ht="16.5" customHeight="1" x14ac:dyDescent="0.2">
      <c r="B77" s="183" t="s">
        <v>1588</v>
      </c>
      <c r="C77" s="183"/>
      <c r="D77" s="183"/>
      <c r="E77" s="183"/>
      <c r="F77" s="183"/>
      <c r="G77" s="183"/>
      <c r="H77" s="183"/>
      <c r="I77" s="183"/>
      <c r="J77" s="108">
        <v>113480</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141850</v>
      </c>
    </row>
    <row r="80" spans="1:20" ht="16.5" customHeight="1" x14ac:dyDescent="0.2">
      <c r="C80" s="183" t="str">
        <f>VLOOKUP($F$8,'Drop Down Menus'!$D$2:$G$10,4,FALSE)</f>
        <v>Cr: Acct 0808 - GENERAL GOV. (GAAP ADJ)</v>
      </c>
      <c r="D80" s="183"/>
      <c r="E80" s="183"/>
      <c r="F80" s="183"/>
      <c r="G80" s="183"/>
      <c r="H80" s="183"/>
      <c r="I80" s="183"/>
      <c r="J80" s="48"/>
      <c r="K80" s="108">
        <v>284</v>
      </c>
    </row>
    <row r="81" spans="1:20" ht="16.5" customHeight="1" x14ac:dyDescent="0.2">
      <c r="B81" s="53"/>
      <c r="H81" s="27"/>
      <c r="J81" s="51">
        <f>ROUND(SUM(J76:J78),2)</f>
        <v>142134</v>
      </c>
      <c r="K81" s="51">
        <f>ROUND(SUM(K79:K80),2)</f>
        <v>142134</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1238090</v>
      </c>
      <c r="N94" s="104"/>
    </row>
    <row r="95" spans="1:20" ht="16.5" customHeight="1" x14ac:dyDescent="0.25">
      <c r="D95" s="49" t="s">
        <v>1631</v>
      </c>
      <c r="E95" s="100"/>
      <c r="F95" s="100"/>
      <c r="G95" s="100"/>
      <c r="H95" s="27"/>
      <c r="I95" s="100"/>
      <c r="J95" s="100"/>
      <c r="K95" s="103">
        <f>-K18-K46+J68+J77</f>
        <v>-274509</v>
      </c>
      <c r="N95" s="102"/>
    </row>
    <row r="96" spans="1:20" ht="16.5" customHeight="1" x14ac:dyDescent="0.25">
      <c r="D96" s="49" t="s">
        <v>1629</v>
      </c>
      <c r="E96" s="100"/>
      <c r="F96" s="100"/>
      <c r="G96" s="100"/>
      <c r="H96" s="27"/>
      <c r="I96" s="100"/>
      <c r="J96" s="100"/>
      <c r="K96" s="103">
        <f>-K19-K37+J56+J61+J76-K85</f>
        <v>-446534</v>
      </c>
    </row>
    <row r="97" spans="1:11" ht="16.5" customHeight="1" x14ac:dyDescent="0.25">
      <c r="D97" s="49" t="s">
        <v>1630</v>
      </c>
      <c r="E97" s="100"/>
      <c r="F97" s="100"/>
      <c r="G97" s="100"/>
      <c r="H97" s="27"/>
      <c r="I97" s="100"/>
      <c r="J97" s="100"/>
      <c r="K97" s="103">
        <f>-K62</f>
        <v>-387798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5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1" priority="2" operator="equal">
      <formula>"&lt;- Debits and Credits do not equal each other."</formula>
    </cfRule>
  </conditionalFormatting>
  <dataValidations count="5">
    <dataValidation operator="lessThan" allowBlank="1" showInputMessage="1" showErrorMessage="1" sqref="A3:A5 A7:A8 A11" xr:uid="{EF2CDF09-71B1-43FC-83DC-2E304A14D857}"/>
    <dataValidation type="textLength" operator="lessThan" allowBlank="1" showInputMessage="1" showErrorMessage="1" sqref="E11 A6:A8" xr:uid="{64DAEBF5-E1EB-4D92-953A-0FEDD4A07A5C}">
      <formula1>0</formula1>
    </dataValidation>
    <dataValidation type="textLength" operator="equal" allowBlank="1" showInputMessage="1" showErrorMessage="1" errorTitle="4-Digit Org Code" error="Enter the Org Code/BU as 4 digits." sqref="F5" xr:uid="{25F59931-E5D5-4AFE-A19E-E8E0063210D9}">
      <formula1>4</formula1>
    </dataValidation>
    <dataValidation type="whole" operator="greaterThanOrEqual" allowBlank="1" showErrorMessage="1" errorTitle="Whole Numbers Only" error="Enter amounts as whole numbers only." promptTitle="Whole Numbers" prompt="Enter whole numbers only." sqref="J15:J17 K18:K21" xr:uid="{031ECBF4-1530-4668-BF5D-18A2F80C6C58}">
      <formula1>0</formula1>
    </dataValidation>
    <dataValidation type="whole" operator="greaterThanOrEqual" allowBlank="1" showInputMessage="1" showErrorMessage="1" sqref="M15:M17 N18:N21 P15 Q18:Q19 J28 K85 K29:K30 J34:J35 J45 K46 J50:J51 K52 J56 K57 J61 K62 J68 K69 J76:J78 K79:K80 J84 K36:K38" xr:uid="{B6808233-6C0B-47B6-803A-515DD1D0B614}">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5980CBE-AE61-4A52-B2AE-8F836745CE35}">
          <x14:formula1>
            <xm:f>'Drop Down Menus'!$A$1:$A$101</xm:f>
          </x14:formula1>
          <xm:sqref>F3</xm:sqref>
        </x14:dataValidation>
        <x14:dataValidation type="list" allowBlank="1" showInputMessage="1" showErrorMessage="1" xr:uid="{F3CFD9B5-DB57-455F-9F9D-DA6DDBAF9ADB}">
          <x14:formula1>
            <xm:f>'Drop Down Menus'!$B$1:$B$3</xm:f>
          </x14:formula1>
          <xm:sqref>F7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3D00-4579-435F-B8D9-F670BFFCBF68}">
  <sheetPr>
    <tabColor theme="9" tint="0.59999389629810485"/>
    <pageSetUpPr fitToPage="1"/>
  </sheetPr>
  <dimension ref="A1:XFC115"/>
  <sheetViews>
    <sheetView topLeftCell="A57" zoomScale="70" zoomScaleNormal="70" workbookViewId="0">
      <selection activeCell="M33" sqref="M33"/>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158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211</v>
      </c>
      <c r="K15" s="42"/>
      <c r="M15" s="105">
        <v>211</v>
      </c>
      <c r="P15" s="105">
        <v>211</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1</v>
      </c>
      <c r="P16" s="46">
        <f>IF(SUM($Q$18:$Q$19)&gt;$P$15,SUM($Q$18:$Q$19)-$P$15,0)</f>
        <v>0</v>
      </c>
      <c r="S16" s="43">
        <f>M16-P16</f>
        <v>1</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119</v>
      </c>
      <c r="N18" s="105">
        <v>119</v>
      </c>
      <c r="Q18" s="105">
        <v>119</v>
      </c>
      <c r="S18" s="43">
        <f>N18-Q18</f>
        <v>0</v>
      </c>
      <c r="T18" s="47" t="s">
        <v>1635</v>
      </c>
    </row>
    <row r="19" spans="1:25" ht="16.5" customHeight="1" x14ac:dyDescent="0.25">
      <c r="A19" s="45"/>
      <c r="B19" s="49"/>
      <c r="C19" s="183" t="s">
        <v>1618</v>
      </c>
      <c r="D19" s="183"/>
      <c r="E19" s="183"/>
      <c r="F19" s="183"/>
      <c r="G19" s="183"/>
      <c r="H19" s="183"/>
      <c r="I19" s="183"/>
      <c r="J19" s="42"/>
      <c r="K19" s="41">
        <f>ROUND(N19,0)</f>
        <v>79</v>
      </c>
      <c r="N19" s="105">
        <v>79</v>
      </c>
      <c r="Q19" s="105">
        <v>79</v>
      </c>
      <c r="S19" s="43">
        <f>N19-Q19</f>
        <v>0</v>
      </c>
      <c r="T19" s="47" t="s">
        <v>1635</v>
      </c>
      <c r="X19" s="18"/>
    </row>
    <row r="20" spans="1:25" ht="16.5" customHeight="1" x14ac:dyDescent="0.25">
      <c r="A20" s="45"/>
      <c r="B20" s="49"/>
      <c r="C20" s="183" t="s">
        <v>1584</v>
      </c>
      <c r="D20" s="183"/>
      <c r="E20" s="183"/>
      <c r="F20" s="183"/>
      <c r="G20" s="183"/>
      <c r="H20" s="183"/>
      <c r="I20" s="183"/>
      <c r="K20" s="41">
        <f>ROUND(Q20,0)</f>
        <v>13</v>
      </c>
      <c r="N20" s="105">
        <v>14</v>
      </c>
      <c r="Q20" s="46">
        <f>IF(SUM($Q$18:$Q$19)&lt;$P$15,-SUM($Q$18:$Q$19)+$P$15,0)</f>
        <v>13</v>
      </c>
      <c r="S20" s="43">
        <f>N20-Q20</f>
        <v>1</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211</v>
      </c>
      <c r="K22" s="51">
        <f>ROUND(SUM(K18:K21),0)</f>
        <v>211</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517</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517</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517</v>
      </c>
      <c r="K31" s="51">
        <f>ROUND(SUM(K28:K30),2)</f>
        <v>517</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517</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517</v>
      </c>
      <c r="K35" s="68"/>
    </row>
    <row r="36" spans="1:20" ht="16.5" customHeight="1" x14ac:dyDescent="0.2">
      <c r="A36" s="45"/>
      <c r="B36" s="69"/>
      <c r="C36" s="183" t="s">
        <v>1575</v>
      </c>
      <c r="D36" s="183"/>
      <c r="E36" s="183"/>
      <c r="F36" s="183"/>
      <c r="G36" s="183"/>
      <c r="H36" s="183"/>
      <c r="I36" s="183"/>
      <c r="J36" s="68"/>
      <c r="K36" s="105">
        <v>517</v>
      </c>
    </row>
    <row r="37" spans="1:20" ht="16.5" customHeight="1" x14ac:dyDescent="0.2">
      <c r="A37" s="45"/>
      <c r="C37" s="183" t="s">
        <v>1618</v>
      </c>
      <c r="D37" s="183"/>
      <c r="E37" s="183"/>
      <c r="F37" s="183"/>
      <c r="G37" s="183"/>
      <c r="H37" s="183"/>
      <c r="I37" s="183"/>
      <c r="J37" s="68"/>
      <c r="K37" s="105">
        <v>517</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1034</v>
      </c>
      <c r="K39" s="51">
        <f>ROUND(SUM(K36:K38),2)</f>
        <v>1034</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138</v>
      </c>
      <c r="K45" s="78"/>
    </row>
    <row r="46" spans="1:20" ht="16.5" customHeight="1" x14ac:dyDescent="0.2">
      <c r="A46" s="45"/>
      <c r="B46" s="69"/>
      <c r="C46" s="183" t="s">
        <v>1581</v>
      </c>
      <c r="D46" s="183"/>
      <c r="E46" s="183"/>
      <c r="F46" s="183"/>
      <c r="G46" s="183"/>
      <c r="H46" s="183"/>
      <c r="I46" s="183"/>
      <c r="J46" s="68"/>
      <c r="K46" s="105">
        <f>J45</f>
        <v>138</v>
      </c>
    </row>
    <row r="47" spans="1:20" ht="16.5" customHeight="1" x14ac:dyDescent="0.2">
      <c r="A47" s="65"/>
      <c r="B47" s="50"/>
      <c r="C47" s="50"/>
      <c r="D47" s="50"/>
      <c r="E47" s="50"/>
      <c r="F47" s="50"/>
      <c r="G47" s="50"/>
      <c r="H47" s="50"/>
      <c r="I47" s="50"/>
      <c r="J47" s="79">
        <f>ROUND(SUM(J45:J45),2)</f>
        <v>138</v>
      </c>
      <c r="K47" s="79">
        <f>ROUND(SUM(K46),2)</f>
        <v>138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185</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6</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191</v>
      </c>
    </row>
    <row r="53" spans="1:20" ht="16.5" customHeight="1" x14ac:dyDescent="0.2">
      <c r="A53" s="65"/>
      <c r="B53" s="50"/>
      <c r="C53" s="50"/>
      <c r="D53" s="50"/>
      <c r="E53" s="50"/>
      <c r="F53" s="50"/>
      <c r="G53" s="50"/>
      <c r="H53" s="50"/>
      <c r="I53" s="50"/>
      <c r="J53" s="79">
        <f>ROUND(SUM(J50:J51),2)</f>
        <v>191</v>
      </c>
      <c r="K53" s="79">
        <f>ROUND(SUM(K52,),2)</f>
        <v>191</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185</v>
      </c>
      <c r="K56" s="68"/>
    </row>
    <row r="57" spans="1:20" ht="16.5" customHeight="1" x14ac:dyDescent="0.25">
      <c r="A57" s="45"/>
      <c r="B57" s="49"/>
      <c r="C57" s="183" t="s">
        <v>1607</v>
      </c>
      <c r="D57" s="183"/>
      <c r="E57" s="183"/>
      <c r="F57" s="183"/>
      <c r="G57" s="183"/>
      <c r="H57" s="183"/>
      <c r="I57" s="183"/>
      <c r="J57" s="68"/>
      <c r="K57" s="105">
        <f>J50</f>
        <v>185</v>
      </c>
      <c r="L57" s="27" t="str">
        <f>IF($J$50=$K$57,"","&lt;- Accts 0848 must agree")</f>
        <v/>
      </c>
    </row>
    <row r="58" spans="1:20" ht="16.5" customHeight="1" x14ac:dyDescent="0.2">
      <c r="A58" s="65"/>
      <c r="B58" s="50"/>
      <c r="C58" s="50"/>
      <c r="D58" s="50"/>
      <c r="E58" s="50"/>
      <c r="F58" s="50"/>
      <c r="G58" s="50"/>
      <c r="H58" s="50"/>
      <c r="I58" s="50"/>
      <c r="J58" s="79">
        <f>ROUND(SUM(J56:J56),2)</f>
        <v>185</v>
      </c>
      <c r="K58" s="79">
        <f>ROUND(SUM(K57),2)</f>
        <v>185</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184</v>
      </c>
      <c r="K61" s="78"/>
    </row>
    <row r="62" spans="1:20" ht="16.5" customHeight="1" x14ac:dyDescent="0.25">
      <c r="A62" s="45"/>
      <c r="B62" s="49"/>
      <c r="C62" s="183" t="s">
        <v>1616</v>
      </c>
      <c r="D62" s="183"/>
      <c r="E62" s="183"/>
      <c r="F62" s="183"/>
      <c r="G62" s="183"/>
      <c r="H62" s="183"/>
      <c r="I62" s="183"/>
      <c r="J62" s="78"/>
      <c r="K62" s="105">
        <f>J61</f>
        <v>184</v>
      </c>
    </row>
    <row r="63" spans="1:20" ht="16.5" customHeight="1" x14ac:dyDescent="0.2">
      <c r="A63" s="45"/>
      <c r="B63" s="192" t="s">
        <v>1615</v>
      </c>
      <c r="C63" s="192"/>
      <c r="D63" s="192"/>
      <c r="E63" s="192"/>
      <c r="F63" s="192"/>
      <c r="G63" s="192"/>
      <c r="H63" s="192"/>
      <c r="I63" s="192"/>
      <c r="J63" s="79">
        <f>ROUND(SUM(J61:J61),2)</f>
        <v>184</v>
      </c>
      <c r="K63" s="79">
        <f>ROUND(SUM(K62),2)</f>
        <v>184</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71</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71</v>
      </c>
    </row>
    <row r="70" spans="1:20" ht="16.5" customHeight="1" x14ac:dyDescent="0.2">
      <c r="B70" s="50"/>
      <c r="H70" s="27"/>
      <c r="J70" s="51">
        <f>SUM(J68)</f>
        <v>71</v>
      </c>
      <c r="K70" s="51">
        <f>SUM(K69)</f>
        <v>71</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14</v>
      </c>
      <c r="K76" s="48"/>
    </row>
    <row r="77" spans="1:20" ht="16.5" customHeight="1" x14ac:dyDescent="0.2">
      <c r="B77" s="183" t="s">
        <v>1588</v>
      </c>
      <c r="C77" s="183"/>
      <c r="D77" s="183"/>
      <c r="E77" s="183"/>
      <c r="F77" s="183"/>
      <c r="G77" s="183"/>
      <c r="H77" s="183"/>
      <c r="I77" s="183"/>
      <c r="J77" s="108">
        <v>55</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69</v>
      </c>
    </row>
    <row r="80" spans="1:20" ht="16.5" customHeight="1" x14ac:dyDescent="0.2">
      <c r="C80" s="183" t="str">
        <f>VLOOKUP($F$8,'Drop Down Menus'!$D$2:$G$10,4,FALSE)</f>
        <v>Cr: Acct 0808 - GENERAL GOV. (GAAP ADJ)</v>
      </c>
      <c r="D80" s="183"/>
      <c r="E80" s="183"/>
      <c r="F80" s="183"/>
      <c r="G80" s="183"/>
      <c r="H80" s="183"/>
      <c r="I80" s="183"/>
      <c r="J80" s="48"/>
      <c r="K80" s="108"/>
    </row>
    <row r="81" spans="1:20" ht="16.5" customHeight="1" x14ac:dyDescent="0.2">
      <c r="B81" s="53"/>
      <c r="H81" s="27"/>
      <c r="J81" s="51">
        <f>ROUND(SUM(J76:J78),2)</f>
        <v>69</v>
      </c>
      <c r="K81" s="51">
        <f>ROUND(SUM(K79:K80),2)</f>
        <v>69</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588</v>
      </c>
      <c r="N94" s="104"/>
    </row>
    <row r="95" spans="1:20" ht="16.5" customHeight="1" x14ac:dyDescent="0.25">
      <c r="D95" s="49" t="s">
        <v>1631</v>
      </c>
      <c r="E95" s="100"/>
      <c r="F95" s="100"/>
      <c r="G95" s="100"/>
      <c r="H95" s="27"/>
      <c r="I95" s="100"/>
      <c r="J95" s="100"/>
      <c r="K95" s="103">
        <f>-K18-K46+J68+J77</f>
        <v>-131</v>
      </c>
      <c r="N95" s="102"/>
    </row>
    <row r="96" spans="1:20" ht="16.5" customHeight="1" x14ac:dyDescent="0.25">
      <c r="D96" s="49" t="s">
        <v>1629</v>
      </c>
      <c r="E96" s="100"/>
      <c r="F96" s="100"/>
      <c r="G96" s="100"/>
      <c r="H96" s="27"/>
      <c r="I96" s="100"/>
      <c r="J96" s="100"/>
      <c r="K96" s="103">
        <f>-K19-K37+J56+J61+J76-K85</f>
        <v>-213</v>
      </c>
    </row>
    <row r="97" spans="1:11" ht="16.5" customHeight="1" x14ac:dyDescent="0.25">
      <c r="D97" s="49" t="s">
        <v>1630</v>
      </c>
      <c r="E97" s="100"/>
      <c r="F97" s="100"/>
      <c r="G97" s="100"/>
      <c r="H97" s="27"/>
      <c r="I97" s="100"/>
      <c r="J97" s="100"/>
      <c r="K97" s="103">
        <f>-K62</f>
        <v>-184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5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9" priority="2" operator="equal">
      <formula>"&lt;- Debits and Credits do not equal each other."</formula>
    </cfRule>
  </conditionalFormatting>
  <dataValidations count="5">
    <dataValidation operator="lessThan" allowBlank="1" showInputMessage="1" showErrorMessage="1" sqref="A3:A5 A7:A8 A11" xr:uid="{4F68371F-4CA2-4B28-B159-09ED358664CC}"/>
    <dataValidation type="textLength" operator="lessThan" allowBlank="1" showInputMessage="1" showErrorMessage="1" sqref="E11 A6:A8" xr:uid="{3EAD7DA7-C30C-4E95-BADC-5363A68F6FD2}">
      <formula1>0</formula1>
    </dataValidation>
    <dataValidation type="textLength" operator="equal" allowBlank="1" showInputMessage="1" showErrorMessage="1" errorTitle="4-Digit Org Code" error="Enter the Org Code/BU as 4 digits." sqref="F5" xr:uid="{120FA208-6027-46B8-BD73-A2FDB8062D9C}">
      <formula1>4</formula1>
    </dataValidation>
    <dataValidation type="whole" operator="greaterThanOrEqual" allowBlank="1" showErrorMessage="1" errorTitle="Whole Numbers Only" error="Enter amounts as whole numbers only." promptTitle="Whole Numbers" prompt="Enter whole numbers only." sqref="J15:J17 K18:K21" xr:uid="{0DA43955-F051-41D2-A393-1E48014A0CD6}">
      <formula1>0</formula1>
    </dataValidation>
    <dataValidation type="whole" operator="greaterThanOrEqual" allowBlank="1" showInputMessage="1" showErrorMessage="1" sqref="M15:M17 N18:N21 P15 Q18:Q19 J28 K85 K29:K30 J34:J35 J45 K46 J50:J51 K52 J56 K57 J61 K62 J68 K69 J76:J78 K79:K80 J84 K36:K38" xr:uid="{169A9FD4-4EBA-43CD-8CB7-A1CAEF291D45}">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8863515-902E-417D-9F44-00BC598E5A64}">
          <x14:formula1>
            <xm:f>'Drop Down Menus'!$A$1:$A$101</xm:f>
          </x14:formula1>
          <xm:sqref>F3</xm:sqref>
        </x14:dataValidation>
        <x14:dataValidation type="list" allowBlank="1" showInputMessage="1" showErrorMessage="1" xr:uid="{B052FDD7-DD91-45E0-ADF1-AAB9E4A64C0D}">
          <x14:formula1>
            <xm:f>'Drop Down Menus'!$B$1:$B$3</xm:f>
          </x14:formula1>
          <xm:sqref>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3F8A-36EC-4BB8-930B-2EDA6D8AE3E0}">
  <sheetPr>
    <tabColor theme="9" tint="0.59999389629810485"/>
    <pageSetUpPr fitToPage="1"/>
  </sheetPr>
  <dimension ref="A1:XFC115"/>
  <sheetViews>
    <sheetView topLeftCell="A54"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367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287750</v>
      </c>
      <c r="K15" s="42"/>
      <c r="M15" s="105">
        <v>287750</v>
      </c>
      <c r="P15" s="105">
        <v>287750</v>
      </c>
      <c r="S15" s="43">
        <f>M15-P15</f>
        <v>0</v>
      </c>
      <c r="T15" s="44" t="s">
        <v>1634</v>
      </c>
    </row>
    <row r="16" spans="1:25" ht="16.5" customHeight="1" x14ac:dyDescent="0.2">
      <c r="A16" s="45"/>
      <c r="B16" s="183" t="s">
        <v>1582</v>
      </c>
      <c r="C16" s="183"/>
      <c r="D16" s="183"/>
      <c r="E16" s="183"/>
      <c r="F16" s="183"/>
      <c r="G16" s="183"/>
      <c r="H16" s="183"/>
      <c r="I16" s="183"/>
      <c r="J16" s="41">
        <f>ROUND(P16,0)</f>
        <v>1500</v>
      </c>
      <c r="K16" s="42"/>
      <c r="M16" s="105">
        <v>1954</v>
      </c>
      <c r="P16" s="46">
        <f>IF(SUM($Q$18:$Q$19)&gt;$P$15,SUM($Q$18:$Q$19)-$P$15,0)</f>
        <v>1500</v>
      </c>
      <c r="S16" s="43">
        <f>M16-P16</f>
        <v>454</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99336</v>
      </c>
      <c r="N18" s="105">
        <v>99336</v>
      </c>
      <c r="Q18" s="105">
        <v>99336</v>
      </c>
      <c r="S18" s="43">
        <f>N18-Q18</f>
        <v>0</v>
      </c>
      <c r="T18" s="47" t="s">
        <v>1635</v>
      </c>
    </row>
    <row r="19" spans="1:25" ht="16.5" customHeight="1" x14ac:dyDescent="0.25">
      <c r="A19" s="45"/>
      <c r="B19" s="49"/>
      <c r="C19" s="183" t="s">
        <v>1618</v>
      </c>
      <c r="D19" s="183"/>
      <c r="E19" s="183"/>
      <c r="F19" s="183"/>
      <c r="G19" s="183"/>
      <c r="H19" s="183"/>
      <c r="I19" s="183"/>
      <c r="J19" s="42"/>
      <c r="K19" s="41">
        <f>ROUND(N19,0)</f>
        <v>189914</v>
      </c>
      <c r="N19" s="105">
        <v>189914</v>
      </c>
      <c r="Q19" s="105">
        <v>189914</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v>454</v>
      </c>
      <c r="Q20" s="46">
        <f>IF(SUM($Q$18:$Q$19)&lt;$P$15,-SUM($Q$18:$Q$19)+$P$15,0)</f>
        <v>0</v>
      </c>
      <c r="S20" s="43">
        <f>N20-Q20</f>
        <v>454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289250</v>
      </c>
      <c r="K22" s="51">
        <f>ROUND(SUM(K18:K21),0)</f>
        <v>289250</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72854</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72854</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72854</v>
      </c>
      <c r="K31" s="51">
        <f>ROUND(SUM(K28:K30),2)</f>
        <v>72854</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72854</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72854</v>
      </c>
      <c r="K35" s="68"/>
    </row>
    <row r="36" spans="1:20" ht="16.5" customHeight="1" x14ac:dyDescent="0.2">
      <c r="A36" s="45"/>
      <c r="B36" s="69"/>
      <c r="C36" s="183" t="s">
        <v>1575</v>
      </c>
      <c r="D36" s="183"/>
      <c r="E36" s="183"/>
      <c r="F36" s="183"/>
      <c r="G36" s="183"/>
      <c r="H36" s="183"/>
      <c r="I36" s="183"/>
      <c r="J36" s="68"/>
      <c r="K36" s="105">
        <v>72854</v>
      </c>
    </row>
    <row r="37" spans="1:20" ht="16.5" customHeight="1" x14ac:dyDescent="0.2">
      <c r="A37" s="45"/>
      <c r="C37" s="183" t="s">
        <v>1618</v>
      </c>
      <c r="D37" s="183"/>
      <c r="E37" s="183"/>
      <c r="F37" s="183"/>
      <c r="G37" s="183"/>
      <c r="H37" s="183"/>
      <c r="I37" s="183"/>
      <c r="J37" s="68"/>
      <c r="K37" s="105">
        <v>72854</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145708</v>
      </c>
      <c r="K39" s="51">
        <f>ROUND(SUM(K36:K38),2)</f>
        <v>145708</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21905</v>
      </c>
      <c r="K45" s="78"/>
    </row>
    <row r="46" spans="1:20" ht="16.5" customHeight="1" x14ac:dyDescent="0.2">
      <c r="A46" s="45"/>
      <c r="B46" s="69"/>
      <c r="C46" s="183" t="s">
        <v>1581</v>
      </c>
      <c r="D46" s="183"/>
      <c r="E46" s="183"/>
      <c r="F46" s="183"/>
      <c r="G46" s="183"/>
      <c r="H46" s="183"/>
      <c r="I46" s="183"/>
      <c r="J46" s="68"/>
      <c r="K46" s="105">
        <f>J45</f>
        <v>21905</v>
      </c>
    </row>
    <row r="47" spans="1:20" ht="16.5" customHeight="1" x14ac:dyDescent="0.2">
      <c r="A47" s="65"/>
      <c r="B47" s="50"/>
      <c r="C47" s="50"/>
      <c r="D47" s="50"/>
      <c r="E47" s="50"/>
      <c r="F47" s="50"/>
      <c r="G47" s="50"/>
      <c r="H47" s="50"/>
      <c r="I47" s="50"/>
      <c r="J47" s="79">
        <f>ROUND(SUM(J45:J45),2)</f>
        <v>21905</v>
      </c>
      <c r="K47" s="79">
        <f>ROUND(SUM(K46),2)</f>
        <v>21905</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30422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883</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31305</v>
      </c>
    </row>
    <row r="53" spans="1:20" ht="16.5" customHeight="1" x14ac:dyDescent="0.2">
      <c r="A53" s="65"/>
      <c r="B53" s="50"/>
      <c r="C53" s="50"/>
      <c r="D53" s="50"/>
      <c r="E53" s="50"/>
      <c r="F53" s="50"/>
      <c r="G53" s="50"/>
      <c r="H53" s="50"/>
      <c r="I53" s="50"/>
      <c r="J53" s="79">
        <f>ROUND(SUM(J50:J51),2)</f>
        <v>31305</v>
      </c>
      <c r="K53" s="79">
        <f>ROUND(SUM(K52,),2)</f>
        <v>31305</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30422</v>
      </c>
      <c r="K56" s="68"/>
    </row>
    <row r="57" spans="1:20" ht="16.5" customHeight="1" x14ac:dyDescent="0.25">
      <c r="A57" s="45"/>
      <c r="B57" s="49"/>
      <c r="C57" s="183" t="s">
        <v>1607</v>
      </c>
      <c r="D57" s="183"/>
      <c r="E57" s="183"/>
      <c r="F57" s="183"/>
      <c r="G57" s="183"/>
      <c r="H57" s="183"/>
      <c r="I57" s="183"/>
      <c r="J57" s="68"/>
      <c r="K57" s="105">
        <f>J50</f>
        <v>30422</v>
      </c>
      <c r="L57" s="27" t="str">
        <f>IF($J$50=$K$57,"","&lt;- Accts 0848 must agree")</f>
        <v/>
      </c>
    </row>
    <row r="58" spans="1:20" ht="16.5" customHeight="1" x14ac:dyDescent="0.2">
      <c r="A58" s="65"/>
      <c r="B58" s="50"/>
      <c r="C58" s="50"/>
      <c r="D58" s="50"/>
      <c r="E58" s="50"/>
      <c r="F58" s="50"/>
      <c r="G58" s="50"/>
      <c r="H58" s="50"/>
      <c r="I58" s="50"/>
      <c r="J58" s="79">
        <f>ROUND(SUM(J56:J56),2)</f>
        <v>30422</v>
      </c>
      <c r="K58" s="79">
        <f>ROUND(SUM(K57),2)</f>
        <v>30422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24445</v>
      </c>
      <c r="K61" s="78"/>
    </row>
    <row r="62" spans="1:20" ht="16.5" customHeight="1" x14ac:dyDescent="0.25">
      <c r="A62" s="45"/>
      <c r="B62" s="49"/>
      <c r="C62" s="183" t="s">
        <v>1616</v>
      </c>
      <c r="D62" s="183"/>
      <c r="E62" s="183"/>
      <c r="F62" s="183"/>
      <c r="G62" s="183"/>
      <c r="H62" s="183"/>
      <c r="I62" s="183"/>
      <c r="J62" s="78"/>
      <c r="K62" s="105">
        <f>J61</f>
        <v>24445</v>
      </c>
    </row>
    <row r="63" spans="1:20" ht="16.5" customHeight="1" x14ac:dyDescent="0.2">
      <c r="A63" s="45"/>
      <c r="B63" s="192" t="s">
        <v>1615</v>
      </c>
      <c r="C63" s="192"/>
      <c r="D63" s="192"/>
      <c r="E63" s="192"/>
      <c r="F63" s="192"/>
      <c r="G63" s="192"/>
      <c r="H63" s="192"/>
      <c r="I63" s="192"/>
      <c r="J63" s="79">
        <f>ROUND(SUM(J61:J61),2)</f>
        <v>24445</v>
      </c>
      <c r="K63" s="79">
        <f>ROUND(SUM(K62),2)</f>
        <v>24445</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13494</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13494</v>
      </c>
    </row>
    <row r="70" spans="1:20" ht="16.5" customHeight="1" x14ac:dyDescent="0.2">
      <c r="B70" s="50"/>
      <c r="H70" s="27"/>
      <c r="J70" s="51">
        <f>SUM(J68)</f>
        <v>13494</v>
      </c>
      <c r="K70" s="51">
        <f>SUM(K69)</f>
        <v>13494</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182051</v>
      </c>
      <c r="K76" s="48"/>
    </row>
    <row r="77" spans="1:20" ht="16.5" customHeight="1" x14ac:dyDescent="0.2">
      <c r="B77" s="183" t="s">
        <v>1588</v>
      </c>
      <c r="C77" s="183"/>
      <c r="D77" s="183"/>
      <c r="E77" s="183"/>
      <c r="F77" s="183"/>
      <c r="G77" s="183"/>
      <c r="H77" s="183"/>
      <c r="I77" s="183"/>
      <c r="J77" s="108">
        <v>91678</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271940</v>
      </c>
    </row>
    <row r="80" spans="1:20" ht="16.5" customHeight="1" x14ac:dyDescent="0.2">
      <c r="C80" s="183" t="str">
        <f>VLOOKUP($F$8,'Drop Down Menus'!$D$2:$G$10,4,FALSE)</f>
        <v>Cr: Acct 0808 - GENERAL GOV. (GAAP ADJ)</v>
      </c>
      <c r="D80" s="183"/>
      <c r="E80" s="183"/>
      <c r="F80" s="183"/>
      <c r="G80" s="183"/>
      <c r="H80" s="183"/>
      <c r="I80" s="183"/>
      <c r="J80" s="48"/>
      <c r="K80" s="108">
        <v>1789</v>
      </c>
    </row>
    <row r="81" spans="1:20" ht="16.5" customHeight="1" x14ac:dyDescent="0.2">
      <c r="B81" s="53"/>
      <c r="H81" s="27"/>
      <c r="J81" s="51">
        <f>ROUND(SUM(J76:J78),2)</f>
        <v>273729</v>
      </c>
      <c r="K81" s="51">
        <f>ROUND(SUM(K79:K80),2)</f>
        <v>273729</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75170</v>
      </c>
      <c r="N94" s="104"/>
    </row>
    <row r="95" spans="1:20" ht="16.5" customHeight="1" x14ac:dyDescent="0.25">
      <c r="D95" s="49" t="s">
        <v>1631</v>
      </c>
      <c r="E95" s="100"/>
      <c r="F95" s="100"/>
      <c r="G95" s="100"/>
      <c r="H95" s="27"/>
      <c r="I95" s="100"/>
      <c r="J95" s="100"/>
      <c r="K95" s="103">
        <f>-K18-K46+J68+J77</f>
        <v>-16069</v>
      </c>
      <c r="N95" s="102"/>
    </row>
    <row r="96" spans="1:20" ht="16.5" customHeight="1" x14ac:dyDescent="0.25">
      <c r="D96" s="49" t="s">
        <v>1629</v>
      </c>
      <c r="E96" s="100"/>
      <c r="F96" s="100"/>
      <c r="G96" s="100"/>
      <c r="H96" s="27"/>
      <c r="I96" s="100"/>
      <c r="J96" s="100"/>
      <c r="K96" s="103">
        <f>-K19-K37+J56+J61+J76-K85</f>
        <v>-25850</v>
      </c>
    </row>
    <row r="97" spans="1:11" ht="16.5" customHeight="1" x14ac:dyDescent="0.25">
      <c r="D97" s="49" t="s">
        <v>1630</v>
      </c>
      <c r="E97" s="100"/>
      <c r="F97" s="100"/>
      <c r="G97" s="100"/>
      <c r="H97" s="27"/>
      <c r="I97" s="100"/>
      <c r="J97" s="100"/>
      <c r="K97" s="103">
        <f>-K62</f>
        <v>-24445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4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7" priority="2" operator="equal">
      <formula>"&lt;- Debits and Credits do not equal each other."</formula>
    </cfRule>
  </conditionalFormatting>
  <dataValidations count="5">
    <dataValidation operator="lessThan" allowBlank="1" showInputMessage="1" showErrorMessage="1" sqref="A3:A5 A7:A8 A11" xr:uid="{F21C75A7-D0E7-432C-B27C-C78F39C3DD7E}"/>
    <dataValidation type="textLength" operator="lessThan" allowBlank="1" showInputMessage="1" showErrorMessage="1" sqref="E11 A6:A8" xr:uid="{AC38BEC8-A9D0-48C0-8359-5A3211F182B8}">
      <formula1>0</formula1>
    </dataValidation>
    <dataValidation type="textLength" operator="equal" allowBlank="1" showInputMessage="1" showErrorMessage="1" errorTitle="4-Digit Org Code" error="Enter the Org Code/BU as 4 digits." sqref="F5" xr:uid="{4804F3D2-D048-41D0-BBD3-3E13F49FDED8}">
      <formula1>4</formula1>
    </dataValidation>
    <dataValidation type="whole" operator="greaterThanOrEqual" allowBlank="1" showErrorMessage="1" errorTitle="Whole Numbers Only" error="Enter amounts as whole numbers only." promptTitle="Whole Numbers" prompt="Enter whole numbers only." sqref="J15:J17 K18:K21" xr:uid="{88E28643-CA74-49D0-BA89-BFA143A94AE9}">
      <formula1>0</formula1>
    </dataValidation>
    <dataValidation type="whole" operator="greaterThanOrEqual" allowBlank="1" showInputMessage="1" showErrorMessage="1" sqref="M15:M17 N18:N21 P15 Q18:Q19 J28 K85 K29:K30 J34:J35 J45 K46 J50:J51 K52 J56 K57 J61 K62 J68 K69 J76:J78 K79:K80 J84 K36:K38" xr:uid="{3EF66161-CFC2-45A1-B1F6-7B3323F3C89D}">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2558AA1-3018-4EA6-96F0-62A0CA69006C}">
          <x14:formula1>
            <xm:f>'Drop Down Menus'!$A$1:$A$101</xm:f>
          </x14:formula1>
          <xm:sqref>F3</xm:sqref>
        </x14:dataValidation>
        <x14:dataValidation type="list" allowBlank="1" showInputMessage="1" showErrorMessage="1" xr:uid="{6F7759A0-8BCC-4220-B018-DB287C5B0736}">
          <x14:formula1>
            <xm:f>'Drop Down Menus'!$B$1:$B$3</xm:f>
          </x14:formula1>
          <xm:sqref>F7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849A-7DD1-4C33-BC71-F6835B22914F}">
  <sheetPr>
    <tabColor theme="9" tint="0.59999389629810485"/>
    <pageSetUpPr fitToPage="1"/>
  </sheetPr>
  <dimension ref="A1:XFC115"/>
  <sheetViews>
    <sheetView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378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14455</v>
      </c>
      <c r="K15" s="42"/>
      <c r="M15" s="105">
        <v>14455</v>
      </c>
      <c r="P15" s="105">
        <v>14455</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88</v>
      </c>
      <c r="P16" s="46">
        <f>IF(SUM($Q$18:$Q$19)&gt;$P$15,SUM($Q$18:$Q$19)-$P$15,0)</f>
        <v>0</v>
      </c>
      <c r="S16" s="43">
        <f>M16-P16</f>
        <v>88</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7866</v>
      </c>
      <c r="N18" s="105">
        <v>7866</v>
      </c>
      <c r="Q18" s="105">
        <v>7866</v>
      </c>
      <c r="S18" s="43">
        <f>N18-Q18</f>
        <v>0</v>
      </c>
      <c r="T18" s="47" t="s">
        <v>1635</v>
      </c>
    </row>
    <row r="19" spans="1:25" ht="16.5" customHeight="1" x14ac:dyDescent="0.25">
      <c r="A19" s="45"/>
      <c r="B19" s="49"/>
      <c r="C19" s="183" t="s">
        <v>1618</v>
      </c>
      <c r="D19" s="183"/>
      <c r="E19" s="183"/>
      <c r="F19" s="183"/>
      <c r="G19" s="183"/>
      <c r="H19" s="183"/>
      <c r="I19" s="183"/>
      <c r="J19" s="42"/>
      <c r="K19" s="41">
        <f>ROUND(N19,0)</f>
        <v>5983</v>
      </c>
      <c r="N19" s="105">
        <v>5983</v>
      </c>
      <c r="Q19" s="105">
        <v>5983</v>
      </c>
      <c r="S19" s="43">
        <f>N19-Q19</f>
        <v>0</v>
      </c>
      <c r="T19" s="47" t="s">
        <v>1635</v>
      </c>
      <c r="X19" s="18"/>
    </row>
    <row r="20" spans="1:25" ht="16.5" customHeight="1" x14ac:dyDescent="0.25">
      <c r="A20" s="45"/>
      <c r="B20" s="49"/>
      <c r="C20" s="183" t="s">
        <v>1584</v>
      </c>
      <c r="D20" s="183"/>
      <c r="E20" s="183"/>
      <c r="F20" s="183"/>
      <c r="G20" s="183"/>
      <c r="H20" s="183"/>
      <c r="I20" s="183"/>
      <c r="K20" s="41">
        <f>ROUND(Q20,0)</f>
        <v>606</v>
      </c>
      <c r="N20" s="105">
        <v>694</v>
      </c>
      <c r="Q20" s="46">
        <f>IF(SUM($Q$18:$Q$19)&lt;$P$15,-SUM($Q$18:$Q$19)+$P$15,0)</f>
        <v>606</v>
      </c>
      <c r="S20" s="43">
        <f>N20-Q20</f>
        <v>88</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14455</v>
      </c>
      <c r="K22" s="51">
        <f>ROUND(SUM(K18:K21),0)</f>
        <v>14455</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26207</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26207</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26207</v>
      </c>
      <c r="K31" s="51">
        <f>ROUND(SUM(K28:K30),2)</f>
        <v>26207</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26207</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26207</v>
      </c>
      <c r="K35" s="68"/>
    </row>
    <row r="36" spans="1:20" ht="16.5" customHeight="1" x14ac:dyDescent="0.2">
      <c r="A36" s="45"/>
      <c r="B36" s="69"/>
      <c r="C36" s="183" t="s">
        <v>1575</v>
      </c>
      <c r="D36" s="183"/>
      <c r="E36" s="183"/>
      <c r="F36" s="183"/>
      <c r="G36" s="183"/>
      <c r="H36" s="183"/>
      <c r="I36" s="183"/>
      <c r="J36" s="68"/>
      <c r="K36" s="105">
        <v>26207</v>
      </c>
    </row>
    <row r="37" spans="1:20" ht="16.5" customHeight="1" x14ac:dyDescent="0.2">
      <c r="A37" s="45"/>
      <c r="C37" s="183" t="s">
        <v>1618</v>
      </c>
      <c r="D37" s="183"/>
      <c r="E37" s="183"/>
      <c r="F37" s="183"/>
      <c r="G37" s="183"/>
      <c r="H37" s="183"/>
      <c r="I37" s="183"/>
      <c r="J37" s="68"/>
      <c r="K37" s="105">
        <v>26207</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52414</v>
      </c>
      <c r="K39" s="51">
        <f>ROUND(SUM(K36:K38),2)</f>
        <v>52414</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8959</v>
      </c>
      <c r="K45" s="78"/>
    </row>
    <row r="46" spans="1:20" ht="16.5" customHeight="1" x14ac:dyDescent="0.2">
      <c r="A46" s="45"/>
      <c r="B46" s="69"/>
      <c r="C46" s="183" t="s">
        <v>1581</v>
      </c>
      <c r="D46" s="183"/>
      <c r="E46" s="183"/>
      <c r="F46" s="183"/>
      <c r="G46" s="183"/>
      <c r="H46" s="183"/>
      <c r="I46" s="183"/>
      <c r="J46" s="68"/>
      <c r="K46" s="105">
        <f>J45</f>
        <v>8959</v>
      </c>
    </row>
    <row r="47" spans="1:20" ht="16.5" customHeight="1" x14ac:dyDescent="0.2">
      <c r="A47" s="65"/>
      <c r="B47" s="50"/>
      <c r="C47" s="50"/>
      <c r="D47" s="50"/>
      <c r="E47" s="50"/>
      <c r="F47" s="50"/>
      <c r="G47" s="50"/>
      <c r="H47" s="50"/>
      <c r="I47" s="50"/>
      <c r="J47" s="79">
        <f>ROUND(SUM(J45:J45),2)</f>
        <v>8959</v>
      </c>
      <c r="K47" s="79">
        <f>ROUND(SUM(K46),2)</f>
        <v>8959</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11456</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371</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11827</v>
      </c>
    </row>
    <row r="53" spans="1:20" ht="16.5" customHeight="1" x14ac:dyDescent="0.2">
      <c r="A53" s="65"/>
      <c r="B53" s="50"/>
      <c r="C53" s="50"/>
      <c r="D53" s="50"/>
      <c r="E53" s="50"/>
      <c r="F53" s="50"/>
      <c r="G53" s="50"/>
      <c r="H53" s="50"/>
      <c r="I53" s="50"/>
      <c r="J53" s="79">
        <f>ROUND(SUM(J50:J51),2)</f>
        <v>11827</v>
      </c>
      <c r="K53" s="79">
        <f>ROUND(SUM(K52,),2)</f>
        <v>11827</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11456</v>
      </c>
      <c r="K56" s="68"/>
    </row>
    <row r="57" spans="1:20" ht="16.5" customHeight="1" x14ac:dyDescent="0.25">
      <c r="A57" s="45"/>
      <c r="B57" s="49"/>
      <c r="C57" s="183" t="s">
        <v>1607</v>
      </c>
      <c r="D57" s="183"/>
      <c r="E57" s="183"/>
      <c r="F57" s="183"/>
      <c r="G57" s="183"/>
      <c r="H57" s="183"/>
      <c r="I57" s="183"/>
      <c r="J57" s="68"/>
      <c r="K57" s="105">
        <f>J50</f>
        <v>11456</v>
      </c>
      <c r="L57" s="27" t="str">
        <f>IF($J$50=$K$57,"","&lt;- Accts 0848 must agree")</f>
        <v/>
      </c>
    </row>
    <row r="58" spans="1:20" ht="16.5" customHeight="1" x14ac:dyDescent="0.2">
      <c r="A58" s="65"/>
      <c r="B58" s="50"/>
      <c r="C58" s="50"/>
      <c r="D58" s="50"/>
      <c r="E58" s="50"/>
      <c r="F58" s="50"/>
      <c r="G58" s="50"/>
      <c r="H58" s="50"/>
      <c r="I58" s="50"/>
      <c r="J58" s="79">
        <f>ROUND(SUM(J56:J56),2)</f>
        <v>11456</v>
      </c>
      <c r="K58" s="79">
        <f>ROUND(SUM(K57),2)</f>
        <v>11456</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9323</v>
      </c>
      <c r="K61" s="78"/>
    </row>
    <row r="62" spans="1:20" ht="16.5" customHeight="1" x14ac:dyDescent="0.25">
      <c r="A62" s="45"/>
      <c r="B62" s="49"/>
      <c r="C62" s="183" t="s">
        <v>1616</v>
      </c>
      <c r="D62" s="183"/>
      <c r="E62" s="183"/>
      <c r="F62" s="183"/>
      <c r="G62" s="183"/>
      <c r="H62" s="183"/>
      <c r="I62" s="183"/>
      <c r="J62" s="78"/>
      <c r="K62" s="105">
        <f>J61</f>
        <v>9323</v>
      </c>
    </row>
    <row r="63" spans="1:20" ht="16.5" customHeight="1" x14ac:dyDescent="0.2">
      <c r="A63" s="45"/>
      <c r="B63" s="192" t="s">
        <v>1615</v>
      </c>
      <c r="C63" s="192"/>
      <c r="D63" s="192"/>
      <c r="E63" s="192"/>
      <c r="F63" s="192"/>
      <c r="G63" s="192"/>
      <c r="H63" s="192"/>
      <c r="I63" s="192"/>
      <c r="J63" s="79">
        <f>ROUND(SUM(J61:J61),2)</f>
        <v>9323</v>
      </c>
      <c r="K63" s="79">
        <f>ROUND(SUM(K62),2)</f>
        <v>9323</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7522</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7522</v>
      </c>
    </row>
    <row r="70" spans="1:20" ht="16.5" customHeight="1" x14ac:dyDescent="0.2">
      <c r="B70" s="50"/>
      <c r="H70" s="27"/>
      <c r="J70" s="51">
        <f>SUM(J68)</f>
        <v>7522</v>
      </c>
      <c r="K70" s="51">
        <f>SUM(K69)</f>
        <v>7522</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684</v>
      </c>
      <c r="K76" s="48"/>
    </row>
    <row r="77" spans="1:20" ht="16.5" customHeight="1" x14ac:dyDescent="0.2">
      <c r="B77" s="183" t="s">
        <v>1588</v>
      </c>
      <c r="C77" s="183"/>
      <c r="D77" s="183"/>
      <c r="E77" s="183"/>
      <c r="F77" s="183"/>
      <c r="G77" s="183"/>
      <c r="H77" s="183"/>
      <c r="I77" s="183"/>
      <c r="J77" s="108">
        <v>2708</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3385</v>
      </c>
    </row>
    <row r="80" spans="1:20" ht="16.5" customHeight="1" x14ac:dyDescent="0.2">
      <c r="C80" s="183" t="str">
        <f>VLOOKUP($F$8,'Drop Down Menus'!$D$2:$G$10,4,FALSE)</f>
        <v>Cr: Acct 0808 - GENERAL GOV. (GAAP ADJ)</v>
      </c>
      <c r="D80" s="183"/>
      <c r="E80" s="183"/>
      <c r="F80" s="183"/>
      <c r="G80" s="183"/>
      <c r="H80" s="183"/>
      <c r="I80" s="183"/>
      <c r="J80" s="48"/>
      <c r="K80" s="108">
        <v>7</v>
      </c>
    </row>
    <row r="81" spans="1:20" ht="16.5" customHeight="1" x14ac:dyDescent="0.2">
      <c r="B81" s="53"/>
      <c r="H81" s="27"/>
      <c r="J81" s="51">
        <f>ROUND(SUM(J76:J78),2)</f>
        <v>3392</v>
      </c>
      <c r="K81" s="51">
        <f>ROUND(SUM(K79:K80),2)</f>
        <v>3392</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29755</v>
      </c>
      <c r="N94" s="104"/>
    </row>
    <row r="95" spans="1:20" ht="16.5" customHeight="1" x14ac:dyDescent="0.25">
      <c r="D95" s="49" t="s">
        <v>1631</v>
      </c>
      <c r="E95" s="100"/>
      <c r="F95" s="100"/>
      <c r="G95" s="100"/>
      <c r="H95" s="27"/>
      <c r="I95" s="100"/>
      <c r="J95" s="100"/>
      <c r="K95" s="103">
        <f>-K18-K46+J68+J77</f>
        <v>-6595</v>
      </c>
      <c r="N95" s="102"/>
    </row>
    <row r="96" spans="1:20" ht="16.5" customHeight="1" x14ac:dyDescent="0.25">
      <c r="D96" s="49" t="s">
        <v>1629</v>
      </c>
      <c r="E96" s="100"/>
      <c r="F96" s="100"/>
      <c r="G96" s="100"/>
      <c r="H96" s="27"/>
      <c r="I96" s="100"/>
      <c r="J96" s="100"/>
      <c r="K96" s="103">
        <f>-K19-K37+J56+J61+J76-K85</f>
        <v>-10727</v>
      </c>
    </row>
    <row r="97" spans="1:11" ht="16.5" customHeight="1" x14ac:dyDescent="0.25">
      <c r="D97" s="49" t="s">
        <v>1630</v>
      </c>
      <c r="E97" s="100"/>
      <c r="F97" s="100"/>
      <c r="G97" s="100"/>
      <c r="H97" s="27"/>
      <c r="I97" s="100"/>
      <c r="J97" s="100"/>
      <c r="K97" s="103">
        <f>-K62</f>
        <v>-9323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4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5" priority="2" operator="equal">
      <formula>"&lt;- Debits and Credits do not equal each other."</formula>
    </cfRule>
  </conditionalFormatting>
  <dataValidations count="5">
    <dataValidation operator="lessThan" allowBlank="1" showInputMessage="1" showErrorMessage="1" sqref="A3:A5 A7:A8 A11" xr:uid="{B64B7531-BB11-4CE7-8498-44AD05378215}"/>
    <dataValidation type="textLength" operator="lessThan" allowBlank="1" showInputMessage="1" showErrorMessage="1" sqref="E11 A6:A8" xr:uid="{A64B6799-025C-4AA5-AB45-D086B79F40CB}">
      <formula1>0</formula1>
    </dataValidation>
    <dataValidation type="textLength" operator="equal" allowBlank="1" showInputMessage="1" showErrorMessage="1" errorTitle="4-Digit Org Code" error="Enter the Org Code/BU as 4 digits." sqref="F5" xr:uid="{1AFFB731-8F43-418E-9FAB-4079C8FB3147}">
      <formula1>4</formula1>
    </dataValidation>
    <dataValidation type="whole" operator="greaterThanOrEqual" allowBlank="1" showErrorMessage="1" errorTitle="Whole Numbers Only" error="Enter amounts as whole numbers only." promptTitle="Whole Numbers" prompt="Enter whole numbers only." sqref="J15:J17 K18:K21" xr:uid="{F828B7F5-B9AF-41B9-8D2B-D1E0B95D0DA6}">
      <formula1>0</formula1>
    </dataValidation>
    <dataValidation type="whole" operator="greaterThanOrEqual" allowBlank="1" showInputMessage="1" showErrorMessage="1" sqref="M15:M17 N18:N21 P15 Q18:Q19 J28 K85 K29:K30 J34:J35 J45 K46 J50:J51 K52 J56 K57 J61 K62 J68 K69 J76:J78 K79:K80 J84 K36:K38" xr:uid="{E309EAD9-9C8E-42F7-9748-084AC8A760A8}">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5052782-9E87-4470-A249-83A41012877F}">
          <x14:formula1>
            <xm:f>'Drop Down Menus'!$A$1:$A$101</xm:f>
          </x14:formula1>
          <xm:sqref>F3</xm:sqref>
        </x14:dataValidation>
        <x14:dataValidation type="list" allowBlank="1" showInputMessage="1" showErrorMessage="1" xr:uid="{1EFCDC6C-7C55-4D5F-8571-B2EF76D7C3D0}">
          <x14:formula1>
            <xm:f>'Drop Down Menus'!$B$1:$B$3</xm:f>
          </x14:formula1>
          <xm:sqref>F7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F7A3-51BE-44B2-A7E4-5AA6718F9070}">
  <sheetPr>
    <tabColor theme="9" tint="0.59999389629810485"/>
    <pageSetUpPr fitToPage="1"/>
  </sheetPr>
  <dimension ref="A1:XFC115"/>
  <sheetViews>
    <sheetView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460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184476</v>
      </c>
      <c r="K15" s="42"/>
      <c r="M15" s="105">
        <v>184476</v>
      </c>
      <c r="P15" s="105">
        <v>184476</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627</v>
      </c>
      <c r="P16" s="46">
        <f>IF(SUM($Q$18:$Q$19)&gt;$P$15,SUM($Q$18:$Q$19)-$P$15,0)</f>
        <v>0</v>
      </c>
      <c r="S16" s="43">
        <f>M16-P16</f>
        <v>627</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103526</v>
      </c>
      <c r="N18" s="105">
        <v>103526</v>
      </c>
      <c r="Q18" s="105">
        <v>103526</v>
      </c>
      <c r="S18" s="43">
        <f>N18-Q18</f>
        <v>0</v>
      </c>
      <c r="T18" s="47" t="s">
        <v>1635</v>
      </c>
    </row>
    <row r="19" spans="1:25" ht="16.5" customHeight="1" x14ac:dyDescent="0.25">
      <c r="A19" s="45"/>
      <c r="B19" s="49"/>
      <c r="C19" s="183" t="s">
        <v>1618</v>
      </c>
      <c r="D19" s="183"/>
      <c r="E19" s="183"/>
      <c r="F19" s="183"/>
      <c r="G19" s="183"/>
      <c r="H19" s="183"/>
      <c r="I19" s="183"/>
      <c r="J19" s="42"/>
      <c r="K19" s="41">
        <f>ROUND(N19,0)</f>
        <v>69297</v>
      </c>
      <c r="N19" s="105">
        <v>69297</v>
      </c>
      <c r="Q19" s="105">
        <v>69297</v>
      </c>
      <c r="S19" s="43">
        <f>N19-Q19</f>
        <v>0</v>
      </c>
      <c r="T19" s="47" t="s">
        <v>1635</v>
      </c>
      <c r="X19" s="18"/>
    </row>
    <row r="20" spans="1:25" ht="16.5" customHeight="1" x14ac:dyDescent="0.25">
      <c r="A20" s="45"/>
      <c r="B20" s="49"/>
      <c r="C20" s="183" t="s">
        <v>1584</v>
      </c>
      <c r="D20" s="183"/>
      <c r="E20" s="183"/>
      <c r="F20" s="183"/>
      <c r="G20" s="183"/>
      <c r="H20" s="183"/>
      <c r="I20" s="183"/>
      <c r="K20" s="41">
        <f>ROUND(Q20,0)</f>
        <v>11653</v>
      </c>
      <c r="N20" s="105">
        <v>12280</v>
      </c>
      <c r="Q20" s="46">
        <f>IF(SUM($Q$18:$Q$19)&lt;$P$15,-SUM($Q$18:$Q$19)+$P$15,0)</f>
        <v>11653</v>
      </c>
      <c r="S20" s="43">
        <f>N20-Q20</f>
        <v>627</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184476</v>
      </c>
      <c r="K22" s="51">
        <f>ROUND(SUM(K18:K21),0)</f>
        <v>184476</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385309</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385309</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385309</v>
      </c>
      <c r="K31" s="51">
        <f>ROUND(SUM(K28:K30),2)</f>
        <v>385309</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385309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385309</v>
      </c>
      <c r="K35" s="68"/>
    </row>
    <row r="36" spans="1:20" ht="16.5" customHeight="1" x14ac:dyDescent="0.2">
      <c r="A36" s="45"/>
      <c r="B36" s="69"/>
      <c r="C36" s="183" t="s">
        <v>1575</v>
      </c>
      <c r="D36" s="183"/>
      <c r="E36" s="183"/>
      <c r="F36" s="183"/>
      <c r="G36" s="183"/>
      <c r="H36" s="183"/>
      <c r="I36" s="183"/>
      <c r="J36" s="68"/>
      <c r="K36" s="105">
        <v>385309</v>
      </c>
    </row>
    <row r="37" spans="1:20" ht="16.5" customHeight="1" x14ac:dyDescent="0.2">
      <c r="A37" s="45"/>
      <c r="C37" s="183" t="s">
        <v>1618</v>
      </c>
      <c r="D37" s="183"/>
      <c r="E37" s="183"/>
      <c r="F37" s="183"/>
      <c r="G37" s="183"/>
      <c r="H37" s="183"/>
      <c r="I37" s="183"/>
      <c r="J37" s="68"/>
      <c r="K37" s="105">
        <v>385309</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770618</v>
      </c>
      <c r="K39" s="51">
        <f>ROUND(SUM(K36:K38),2)</f>
        <v>770618</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106395</v>
      </c>
      <c r="K45" s="78"/>
    </row>
    <row r="46" spans="1:20" ht="16.5" customHeight="1" x14ac:dyDescent="0.2">
      <c r="A46" s="45"/>
      <c r="B46" s="69"/>
      <c r="C46" s="183" t="s">
        <v>1581</v>
      </c>
      <c r="D46" s="183"/>
      <c r="E46" s="183"/>
      <c r="F46" s="183"/>
      <c r="G46" s="183"/>
      <c r="H46" s="183"/>
      <c r="I46" s="183"/>
      <c r="J46" s="68"/>
      <c r="K46" s="105">
        <f>J45</f>
        <v>106395</v>
      </c>
    </row>
    <row r="47" spans="1:20" ht="16.5" customHeight="1" x14ac:dyDescent="0.2">
      <c r="A47" s="65"/>
      <c r="B47" s="50"/>
      <c r="C47" s="50"/>
      <c r="D47" s="50"/>
      <c r="E47" s="50"/>
      <c r="F47" s="50"/>
      <c r="G47" s="50"/>
      <c r="H47" s="50"/>
      <c r="I47" s="50"/>
      <c r="J47" s="79">
        <f>ROUND(SUM(J45:J45),2)</f>
        <v>106395</v>
      </c>
      <c r="K47" s="79">
        <f>ROUND(SUM(K46),2)</f>
        <v>106395</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140121</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4933</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145054</v>
      </c>
    </row>
    <row r="53" spans="1:20" ht="16.5" customHeight="1" x14ac:dyDescent="0.2">
      <c r="A53" s="65"/>
      <c r="B53" s="50"/>
      <c r="C53" s="50"/>
      <c r="D53" s="50"/>
      <c r="E53" s="50"/>
      <c r="F53" s="50"/>
      <c r="G53" s="50"/>
      <c r="H53" s="50"/>
      <c r="I53" s="50"/>
      <c r="J53" s="79">
        <f>ROUND(SUM(J50:J51),2)</f>
        <v>145054</v>
      </c>
      <c r="K53" s="79">
        <f>ROUND(SUM(K52,),2)</f>
        <v>145054</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140121</v>
      </c>
      <c r="K56" s="68"/>
    </row>
    <row r="57" spans="1:20" ht="16.5" customHeight="1" x14ac:dyDescent="0.25">
      <c r="A57" s="45"/>
      <c r="B57" s="49"/>
      <c r="C57" s="183" t="s">
        <v>1607</v>
      </c>
      <c r="D57" s="183"/>
      <c r="E57" s="183"/>
      <c r="F57" s="183"/>
      <c r="G57" s="183"/>
      <c r="H57" s="183"/>
      <c r="I57" s="183"/>
      <c r="J57" s="68"/>
      <c r="K57" s="105">
        <f>J50</f>
        <v>140121</v>
      </c>
      <c r="L57" s="27" t="str">
        <f>IF($J$50=$K$57,"","&lt;- Accts 0848 must agree")</f>
        <v/>
      </c>
    </row>
    <row r="58" spans="1:20" ht="16.5" customHeight="1" x14ac:dyDescent="0.2">
      <c r="A58" s="65"/>
      <c r="B58" s="50"/>
      <c r="C58" s="50"/>
      <c r="D58" s="50"/>
      <c r="E58" s="50"/>
      <c r="F58" s="50"/>
      <c r="G58" s="50"/>
      <c r="H58" s="50"/>
      <c r="I58" s="50"/>
      <c r="J58" s="79">
        <f>ROUND(SUM(J56:J56),2)</f>
        <v>140121</v>
      </c>
      <c r="K58" s="79">
        <f>ROUND(SUM(K57),2)</f>
        <v>140121</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139134</v>
      </c>
      <c r="K61" s="78"/>
    </row>
    <row r="62" spans="1:20" ht="16.5" customHeight="1" x14ac:dyDescent="0.25">
      <c r="A62" s="45"/>
      <c r="B62" s="49"/>
      <c r="C62" s="183" t="s">
        <v>1616</v>
      </c>
      <c r="D62" s="183"/>
      <c r="E62" s="183"/>
      <c r="F62" s="183"/>
      <c r="G62" s="183"/>
      <c r="H62" s="183"/>
      <c r="I62" s="183"/>
      <c r="J62" s="78"/>
      <c r="K62" s="105">
        <f>J61</f>
        <v>139134</v>
      </c>
    </row>
    <row r="63" spans="1:20" ht="16.5" customHeight="1" x14ac:dyDescent="0.2">
      <c r="A63" s="45"/>
      <c r="B63" s="192" t="s">
        <v>1615</v>
      </c>
      <c r="C63" s="192"/>
      <c r="D63" s="192"/>
      <c r="E63" s="192"/>
      <c r="F63" s="192"/>
      <c r="G63" s="192"/>
      <c r="H63" s="192"/>
      <c r="I63" s="192"/>
      <c r="J63" s="79">
        <f>ROUND(SUM(J61:J61),2)</f>
        <v>139134</v>
      </c>
      <c r="K63" s="79">
        <f>ROUND(SUM(K62),2)</f>
        <v>139134</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61915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61915</v>
      </c>
    </row>
    <row r="70" spans="1:20" ht="16.5" customHeight="1" x14ac:dyDescent="0.2">
      <c r="B70" s="50"/>
      <c r="H70" s="27"/>
      <c r="J70" s="51">
        <f>SUM(J68)</f>
        <v>61915</v>
      </c>
      <c r="K70" s="51">
        <f>SUM(K69)</f>
        <v>61915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12089</v>
      </c>
      <c r="K76" s="48"/>
    </row>
    <row r="77" spans="1:20" ht="16.5" customHeight="1" x14ac:dyDescent="0.2">
      <c r="B77" s="183" t="s">
        <v>1588</v>
      </c>
      <c r="C77" s="183"/>
      <c r="D77" s="183"/>
      <c r="E77" s="183"/>
      <c r="F77" s="183"/>
      <c r="G77" s="183"/>
      <c r="H77" s="183"/>
      <c r="I77" s="183"/>
      <c r="J77" s="108">
        <v>47876</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59846</v>
      </c>
    </row>
    <row r="80" spans="1:20" ht="16.5" customHeight="1" x14ac:dyDescent="0.2">
      <c r="C80" s="183" t="str">
        <f>VLOOKUP($F$8,'Drop Down Menus'!$D$2:$G$10,4,FALSE)</f>
        <v>Cr: Acct 0808 - GENERAL GOV. (GAAP ADJ)</v>
      </c>
      <c r="D80" s="183"/>
      <c r="E80" s="183"/>
      <c r="F80" s="183"/>
      <c r="G80" s="183"/>
      <c r="H80" s="183"/>
      <c r="I80" s="183"/>
      <c r="J80" s="48"/>
      <c r="K80" s="108">
        <v>119</v>
      </c>
    </row>
    <row r="81" spans="1:20" ht="16.5" customHeight="1" x14ac:dyDescent="0.2">
      <c r="B81" s="53"/>
      <c r="H81" s="27"/>
      <c r="J81" s="51">
        <f>ROUND(SUM(J76:J78),2)</f>
        <v>59965</v>
      </c>
      <c r="K81" s="51">
        <f>ROUND(SUM(K79:K80),2)</f>
        <v>59965</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448024</v>
      </c>
      <c r="N94" s="104"/>
    </row>
    <row r="95" spans="1:20" ht="16.5" customHeight="1" x14ac:dyDescent="0.25">
      <c r="D95" s="49" t="s">
        <v>1631</v>
      </c>
      <c r="E95" s="100"/>
      <c r="F95" s="100"/>
      <c r="G95" s="100"/>
      <c r="H95" s="27"/>
      <c r="I95" s="100"/>
      <c r="J95" s="100"/>
      <c r="K95" s="103">
        <f>-K18-K46+J68+J77</f>
        <v>-100130</v>
      </c>
      <c r="N95" s="102"/>
    </row>
    <row r="96" spans="1:20" ht="16.5" customHeight="1" x14ac:dyDescent="0.25">
      <c r="D96" s="49" t="s">
        <v>1629</v>
      </c>
      <c r="E96" s="100"/>
      <c r="F96" s="100"/>
      <c r="G96" s="100"/>
      <c r="H96" s="27"/>
      <c r="I96" s="100"/>
      <c r="J96" s="100"/>
      <c r="K96" s="103">
        <f>-K19-K37+J56+J61+J76-K85</f>
        <v>-163262</v>
      </c>
    </row>
    <row r="97" spans="1:11" ht="16.5" customHeight="1" x14ac:dyDescent="0.25">
      <c r="D97" s="49" t="s">
        <v>1630</v>
      </c>
      <c r="E97" s="100"/>
      <c r="F97" s="100"/>
      <c r="G97" s="100"/>
      <c r="H97" s="27"/>
      <c r="I97" s="100"/>
      <c r="J97" s="100"/>
      <c r="K97" s="103">
        <f>-K62</f>
        <v>-139134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4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3" priority="2" operator="equal">
      <formula>"&lt;- Debits and Credits do not equal each other."</formula>
    </cfRule>
  </conditionalFormatting>
  <dataValidations count="5">
    <dataValidation operator="lessThan" allowBlank="1" showInputMessage="1" showErrorMessage="1" sqref="A3:A5 A7:A8 A11" xr:uid="{E371EA34-3A5F-40AB-95F4-E663B11C2297}"/>
    <dataValidation type="textLength" operator="lessThan" allowBlank="1" showInputMessage="1" showErrorMessage="1" sqref="E11 A6:A8" xr:uid="{53264844-FE82-4C8A-BA9E-C5C234B237B7}">
      <formula1>0</formula1>
    </dataValidation>
    <dataValidation type="textLength" operator="equal" allowBlank="1" showInputMessage="1" showErrorMessage="1" errorTitle="4-Digit Org Code" error="Enter the Org Code/BU as 4 digits." sqref="F5" xr:uid="{E619BE8A-9130-4AD2-A4C0-2A75E5665BEB}">
      <formula1>4</formula1>
    </dataValidation>
    <dataValidation type="whole" operator="greaterThanOrEqual" allowBlank="1" showErrorMessage="1" errorTitle="Whole Numbers Only" error="Enter amounts as whole numbers only." promptTitle="Whole Numbers" prompt="Enter whole numbers only." sqref="J15:J17 K18:K21" xr:uid="{C0A07D53-5E86-4B22-A8FE-B10B96F7C181}">
      <formula1>0</formula1>
    </dataValidation>
    <dataValidation type="whole" operator="greaterThanOrEqual" allowBlank="1" showInputMessage="1" showErrorMessage="1" sqref="M15:M17 N18:N21 P15 Q18:Q19 J28 K85 K29:K30 J34:J35 J45 K46 J50:J51 K52 J56 K57 J61 K62 J68 K69 J76:J78 K79:K80 J84 K36:K38" xr:uid="{4902A9AF-0E12-4BDE-A70A-3F9037DE5E64}">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A83D7602-EE8A-47A8-9263-21B1708C0233}">
          <x14:formula1>
            <xm:f>'Drop Down Menus'!$A$1:$A$101</xm:f>
          </x14:formula1>
          <xm:sqref>F3</xm:sqref>
        </x14:dataValidation>
        <x14:dataValidation type="list" allowBlank="1" showInputMessage="1" showErrorMessage="1" xr:uid="{CA675C10-6751-4442-8DAB-632B45A34281}">
          <x14:formula1>
            <xm:f>'Drop Down Menus'!$B$1:$B$3</xm:f>
          </x14:formula1>
          <xm:sqref>F7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2979-EEDF-4B2F-A8FF-1B2A47B03A93}">
  <sheetPr>
    <tabColor theme="9" tint="0.59999389629810485"/>
    <pageSetUpPr fitToPage="1"/>
  </sheetPr>
  <dimension ref="A1:XFC115"/>
  <sheetViews>
    <sheetView topLeftCell="A43" zoomScale="70" zoomScaleNormal="70" workbookViewId="0">
      <selection activeCell="B24" sqref="B24:K2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567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145210</v>
      </c>
      <c r="K15" s="42"/>
      <c r="M15" s="105">
        <v>145210</v>
      </c>
      <c r="P15" s="105">
        <v>145210</v>
      </c>
      <c r="S15" s="43">
        <f>M15-P15</f>
        <v>0</v>
      </c>
      <c r="T15" s="44" t="s">
        <v>1634</v>
      </c>
    </row>
    <row r="16" spans="1:25" ht="16.5" customHeight="1" x14ac:dyDescent="0.2">
      <c r="A16" s="45"/>
      <c r="B16" s="183" t="s">
        <v>1582</v>
      </c>
      <c r="C16" s="183"/>
      <c r="D16" s="183"/>
      <c r="E16" s="183"/>
      <c r="F16" s="183"/>
      <c r="G16" s="183"/>
      <c r="H16" s="183"/>
      <c r="I16" s="183"/>
      <c r="J16" s="41">
        <f>ROUND(P16,0)</f>
        <v>1038</v>
      </c>
      <c r="K16" s="42"/>
      <c r="M16" s="105">
        <v>1038</v>
      </c>
      <c r="P16" s="46">
        <f>IF(SUM($Q$18:$Q$19)&gt;$P$15,SUM($Q$18:$Q$19)-$P$15,0)</f>
        <v>1038</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50401</v>
      </c>
      <c r="N18" s="105">
        <v>50401</v>
      </c>
      <c r="Q18" s="105">
        <v>50401</v>
      </c>
      <c r="S18" s="43">
        <f>N18-Q18</f>
        <v>0</v>
      </c>
      <c r="T18" s="47" t="s">
        <v>1635</v>
      </c>
    </row>
    <row r="19" spans="1:25" ht="16.5" customHeight="1" x14ac:dyDescent="0.25">
      <c r="A19" s="45"/>
      <c r="B19" s="49"/>
      <c r="C19" s="183" t="s">
        <v>1618</v>
      </c>
      <c r="D19" s="183"/>
      <c r="E19" s="183"/>
      <c r="F19" s="183"/>
      <c r="G19" s="183"/>
      <c r="H19" s="183"/>
      <c r="I19" s="183"/>
      <c r="J19" s="42"/>
      <c r="K19" s="41">
        <f>ROUND(N19,0)</f>
        <v>95847</v>
      </c>
      <c r="N19" s="105">
        <v>95847</v>
      </c>
      <c r="Q19" s="105">
        <v>95847</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146248</v>
      </c>
      <c r="K22" s="51">
        <f>ROUND(SUM(K18:K21),0)</f>
        <v>146248</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5993</v>
      </c>
      <c r="K45" s="78"/>
    </row>
    <row r="46" spans="1:20" ht="16.5" customHeight="1" x14ac:dyDescent="0.2">
      <c r="A46" s="45"/>
      <c r="B46" s="69"/>
      <c r="C46" s="183" t="s">
        <v>1581</v>
      </c>
      <c r="D46" s="183"/>
      <c r="E46" s="183"/>
      <c r="F46" s="183"/>
      <c r="G46" s="183"/>
      <c r="H46" s="183"/>
      <c r="I46" s="183"/>
      <c r="J46" s="68"/>
      <c r="K46" s="105">
        <f>J45</f>
        <v>5993</v>
      </c>
    </row>
    <row r="47" spans="1:20" ht="16.5" customHeight="1" x14ac:dyDescent="0.2">
      <c r="A47" s="65"/>
      <c r="B47" s="50"/>
      <c r="C47" s="50"/>
      <c r="D47" s="50"/>
      <c r="E47" s="50"/>
      <c r="F47" s="50"/>
      <c r="G47" s="50"/>
      <c r="H47" s="50"/>
      <c r="I47" s="50"/>
      <c r="J47" s="79">
        <f>ROUND(SUM(J45:J45),2)</f>
        <v>5993</v>
      </c>
      <c r="K47" s="79">
        <f>ROUND(SUM(K46),2)</f>
        <v>5993</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6149</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149</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v>6298</v>
      </c>
    </row>
    <row r="53" spans="1:20" ht="16.5" customHeight="1" x14ac:dyDescent="0.2">
      <c r="A53" s="65"/>
      <c r="B53" s="50"/>
      <c r="C53" s="50"/>
      <c r="D53" s="50"/>
      <c r="E53" s="50"/>
      <c r="F53" s="50"/>
      <c r="G53" s="50"/>
      <c r="H53" s="50"/>
      <c r="I53" s="50"/>
      <c r="J53" s="79">
        <f>ROUND(SUM(J50:J51),2)</f>
        <v>6298</v>
      </c>
      <c r="K53" s="79">
        <f>ROUND(SUM(K52,),2)</f>
        <v>6298</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6149</v>
      </c>
      <c r="K56" s="68"/>
    </row>
    <row r="57" spans="1:20" ht="16.5" customHeight="1" x14ac:dyDescent="0.25">
      <c r="A57" s="45"/>
      <c r="B57" s="49"/>
      <c r="C57" s="183" t="s">
        <v>1607</v>
      </c>
      <c r="D57" s="183"/>
      <c r="E57" s="183"/>
      <c r="F57" s="183"/>
      <c r="G57" s="183"/>
      <c r="H57" s="183"/>
      <c r="I57" s="183"/>
      <c r="J57" s="68"/>
      <c r="K57" s="105">
        <f>J50</f>
        <v>6149</v>
      </c>
      <c r="L57" s="27" t="str">
        <f>IF($J$50=$K$57,"","&lt;- Accts 0848 must agree")</f>
        <v/>
      </c>
    </row>
    <row r="58" spans="1:20" ht="16.5" customHeight="1" x14ac:dyDescent="0.2">
      <c r="A58" s="65"/>
      <c r="B58" s="50"/>
      <c r="C58" s="50"/>
      <c r="D58" s="50"/>
      <c r="E58" s="50"/>
      <c r="F58" s="50"/>
      <c r="G58" s="50"/>
      <c r="H58" s="50"/>
      <c r="I58" s="50"/>
      <c r="J58" s="79">
        <f>ROUND(SUM(J56:J56),2)</f>
        <v>6149</v>
      </c>
      <c r="K58" s="79">
        <f>ROUND(SUM(K57),2)</f>
        <v>6149</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11985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11985</v>
      </c>
    </row>
    <row r="70" spans="1:20" ht="16.5" customHeight="1" x14ac:dyDescent="0.2">
      <c r="B70" s="50"/>
      <c r="H70" s="27"/>
      <c r="J70" s="51">
        <f>SUM(J68)</f>
        <v>11985</v>
      </c>
      <c r="K70" s="51">
        <f>SUM(K69)</f>
        <v>11985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89698</v>
      </c>
      <c r="K76" s="48"/>
    </row>
    <row r="77" spans="1:20" ht="16.5" customHeight="1" x14ac:dyDescent="0.2">
      <c r="B77" s="183" t="s">
        <v>1588</v>
      </c>
      <c r="C77" s="183"/>
      <c r="D77" s="183"/>
      <c r="E77" s="183"/>
      <c r="F77" s="183"/>
      <c r="G77" s="183"/>
      <c r="H77" s="183"/>
      <c r="I77" s="183"/>
      <c r="J77" s="108">
        <v>44409</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133225</v>
      </c>
    </row>
    <row r="80" spans="1:20" ht="16.5" customHeight="1" x14ac:dyDescent="0.2">
      <c r="C80" s="183" t="str">
        <f>VLOOKUP($F$8,'Drop Down Menus'!$D$2:$G$10,4,FALSE)</f>
        <v>Cr: Acct 0808 - GENERAL GOV. (GAAP ADJ)</v>
      </c>
      <c r="D80" s="183"/>
      <c r="E80" s="183"/>
      <c r="F80" s="183"/>
      <c r="G80" s="183"/>
      <c r="H80" s="183"/>
      <c r="I80" s="183"/>
      <c r="J80" s="48"/>
      <c r="K80" s="108">
        <v>882</v>
      </c>
    </row>
    <row r="81" spans="1:20" ht="16.5" customHeight="1" x14ac:dyDescent="0.2">
      <c r="B81" s="53"/>
      <c r="H81" s="27"/>
      <c r="J81" s="51">
        <f>ROUND(SUM(J76:J78),2)</f>
        <v>134107</v>
      </c>
      <c r="K81" s="51">
        <f>ROUND(SUM(K79:K80),2)</f>
        <v>134107</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4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1" priority="2" operator="equal">
      <formula>"&lt;- Debits and Credits do not equal each other."</formula>
    </cfRule>
  </conditionalFormatting>
  <dataValidations count="5">
    <dataValidation operator="lessThan" allowBlank="1" showInputMessage="1" showErrorMessage="1" sqref="A3:A5 A7:A8 A11" xr:uid="{46B75DEF-8CD5-433E-BF30-0AB982433044}"/>
    <dataValidation type="textLength" operator="lessThan" allowBlank="1" showInputMessage="1" showErrorMessage="1" sqref="E11 A6:A8" xr:uid="{6CFF79CF-2A02-4A5F-82BF-8AB8C534F4B0}">
      <formula1>0</formula1>
    </dataValidation>
    <dataValidation type="textLength" operator="equal" allowBlank="1" showInputMessage="1" showErrorMessage="1" errorTitle="4-Digit Org Code" error="Enter the Org Code/BU as 4 digits." sqref="F5" xr:uid="{AB215BC2-1ABE-4045-B0D4-0FD4FE461F53}">
      <formula1>4</formula1>
    </dataValidation>
    <dataValidation type="whole" operator="greaterThanOrEqual" allowBlank="1" showErrorMessage="1" errorTitle="Whole Numbers Only" error="Enter amounts as whole numbers only." promptTitle="Whole Numbers" prompt="Enter whole numbers only." sqref="J15:J17 K18:K21" xr:uid="{6A792BAD-7CCB-4725-8EF1-23AFF985253A}">
      <formula1>0</formula1>
    </dataValidation>
    <dataValidation type="whole" operator="greaterThanOrEqual" allowBlank="1" showInputMessage="1" showErrorMessage="1" sqref="M15:M17 N18:N21 P15 Q18:Q19 J28 K85 K29:K30 J34:J35 J45 K46 J50:J51 K52 J56 K57 J61 K62 J68 K69 J76:J78 K79:K80 J84 K36:K38" xr:uid="{BBB490D4-0B20-4CCE-9A6A-115C9EAA3204}">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1C59D919-868E-4955-924F-AD7B3B61039C}">
          <x14:formula1>
            <xm:f>'Drop Down Menus'!$A$1:$A$101</xm:f>
          </x14:formula1>
          <xm:sqref>F3</xm:sqref>
        </x14:dataValidation>
        <x14:dataValidation type="list" allowBlank="1" showInputMessage="1" showErrorMessage="1" xr:uid="{44C10752-A060-4493-AC78-B22A06974CAF}">
          <x14:formula1>
            <xm:f>'Drop Down Menus'!$B$1:$B$3</xm:f>
          </x14:formula1>
          <xm:sqref>F7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C47DB-5295-4C1A-84BF-1ECF705AB386}">
  <sheetPr>
    <tabColor theme="9" tint="0.59999389629810485"/>
    <pageSetUpPr fitToPage="1"/>
  </sheetPr>
  <dimension ref="A1:XFC115"/>
  <sheetViews>
    <sheetView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569</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18449</v>
      </c>
      <c r="K15" s="42"/>
      <c r="M15" s="105">
        <v>18449</v>
      </c>
      <c r="P15" s="105">
        <v>18449</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71</v>
      </c>
      <c r="P16" s="46">
        <f>IF(SUM($Q$18:$Q$19)&gt;$P$15,SUM($Q$18:$Q$19)-$P$15,0)</f>
        <v>0</v>
      </c>
      <c r="S16" s="43">
        <f>M16-P16</f>
        <v>71</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9871</v>
      </c>
      <c r="N18" s="105">
        <v>9871</v>
      </c>
      <c r="Q18" s="105">
        <v>9871</v>
      </c>
      <c r="S18" s="43">
        <f>N18-Q18</f>
        <v>0</v>
      </c>
      <c r="T18" s="47" t="s">
        <v>1635</v>
      </c>
    </row>
    <row r="19" spans="1:25" ht="16.5" customHeight="1" x14ac:dyDescent="0.25">
      <c r="A19" s="45"/>
      <c r="B19" s="49"/>
      <c r="C19" s="183" t="s">
        <v>1618</v>
      </c>
      <c r="D19" s="183"/>
      <c r="E19" s="183"/>
      <c r="F19" s="183"/>
      <c r="G19" s="183"/>
      <c r="H19" s="183"/>
      <c r="I19" s="183"/>
      <c r="J19" s="42"/>
      <c r="K19" s="41">
        <f>ROUND(N19,0)</f>
        <v>7568</v>
      </c>
      <c r="N19" s="105">
        <v>7568</v>
      </c>
      <c r="Q19" s="105">
        <v>7568</v>
      </c>
      <c r="S19" s="43">
        <f>N19-Q19</f>
        <v>0</v>
      </c>
      <c r="T19" s="47" t="s">
        <v>1635</v>
      </c>
      <c r="X19" s="18"/>
    </row>
    <row r="20" spans="1:25" ht="16.5" customHeight="1" x14ac:dyDescent="0.25">
      <c r="A20" s="45"/>
      <c r="B20" s="49"/>
      <c r="C20" s="183" t="s">
        <v>1584</v>
      </c>
      <c r="D20" s="183"/>
      <c r="E20" s="183"/>
      <c r="F20" s="183"/>
      <c r="G20" s="183"/>
      <c r="H20" s="183"/>
      <c r="I20" s="183"/>
      <c r="K20" s="41">
        <f>ROUND(Q20,0)</f>
        <v>1010</v>
      </c>
      <c r="N20" s="105">
        <v>1081</v>
      </c>
      <c r="Q20" s="46">
        <f>IF(SUM($Q$18:$Q$19)&lt;$P$15,-SUM($Q$18:$Q$19)+$P$15,0)</f>
        <v>1010</v>
      </c>
      <c r="S20" s="43">
        <f>N20-Q20</f>
        <v>71</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18449</v>
      </c>
      <c r="K22" s="51">
        <f>ROUND(SUM(K18:K21),0)</f>
        <v>18449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64264</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64264</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64264</v>
      </c>
      <c r="K31" s="51">
        <f>ROUND(SUM(K28:K30),2)</f>
        <v>64264</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64264</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64264</v>
      </c>
      <c r="K35" s="68"/>
    </row>
    <row r="36" spans="1:20" ht="16.5" customHeight="1" x14ac:dyDescent="0.2">
      <c r="A36" s="45"/>
      <c r="B36" s="69"/>
      <c r="C36" s="183" t="s">
        <v>1575</v>
      </c>
      <c r="D36" s="183"/>
      <c r="E36" s="183"/>
      <c r="F36" s="183"/>
      <c r="G36" s="183"/>
      <c r="H36" s="183"/>
      <c r="I36" s="183"/>
      <c r="J36" s="68"/>
      <c r="K36" s="105">
        <v>64264</v>
      </c>
    </row>
    <row r="37" spans="1:20" ht="16.5" customHeight="1" x14ac:dyDescent="0.2">
      <c r="A37" s="45"/>
      <c r="C37" s="183" t="s">
        <v>1618</v>
      </c>
      <c r="D37" s="183"/>
      <c r="E37" s="183"/>
      <c r="F37" s="183"/>
      <c r="G37" s="183"/>
      <c r="H37" s="183"/>
      <c r="I37" s="183"/>
      <c r="J37" s="68"/>
      <c r="K37" s="105">
        <v>64264</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128528</v>
      </c>
      <c r="K39" s="51">
        <f>ROUND(SUM(K36:K38),2)</f>
        <v>128528</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15837</v>
      </c>
      <c r="K45" s="78"/>
    </row>
    <row r="46" spans="1:20" ht="16.5" customHeight="1" x14ac:dyDescent="0.2">
      <c r="A46" s="45"/>
      <c r="B46" s="69"/>
      <c r="C46" s="183" t="s">
        <v>1581</v>
      </c>
      <c r="D46" s="183"/>
      <c r="E46" s="183"/>
      <c r="F46" s="183"/>
      <c r="G46" s="183"/>
      <c r="H46" s="183"/>
      <c r="I46" s="183"/>
      <c r="J46" s="68"/>
      <c r="K46" s="105">
        <f>J45</f>
        <v>15837</v>
      </c>
    </row>
    <row r="47" spans="1:20" ht="16.5" customHeight="1" x14ac:dyDescent="0.2">
      <c r="A47" s="65"/>
      <c r="B47" s="50"/>
      <c r="C47" s="50"/>
      <c r="D47" s="50"/>
      <c r="E47" s="50"/>
      <c r="F47" s="50"/>
      <c r="G47" s="50"/>
      <c r="H47" s="50"/>
      <c r="I47" s="50"/>
      <c r="J47" s="79">
        <f>ROUND(SUM(J45:J45),2)</f>
        <v>15837</v>
      </c>
      <c r="K47" s="79">
        <f>ROUND(SUM(K46),2)</f>
        <v>15837</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22496</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726</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23222</v>
      </c>
    </row>
    <row r="53" spans="1:20" ht="16.5" customHeight="1" x14ac:dyDescent="0.2">
      <c r="A53" s="65"/>
      <c r="B53" s="50"/>
      <c r="C53" s="50"/>
      <c r="D53" s="50"/>
      <c r="E53" s="50"/>
      <c r="F53" s="50"/>
      <c r="G53" s="50"/>
      <c r="H53" s="50"/>
      <c r="I53" s="50"/>
      <c r="J53" s="79">
        <f>ROUND(SUM(J50:J51),2)</f>
        <v>23222</v>
      </c>
      <c r="K53" s="79">
        <f>ROUND(SUM(K52,),2)</f>
        <v>23222</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22496</v>
      </c>
      <c r="K56" s="68"/>
    </row>
    <row r="57" spans="1:20" ht="16.5" customHeight="1" x14ac:dyDescent="0.25">
      <c r="A57" s="45"/>
      <c r="B57" s="49"/>
      <c r="C57" s="183" t="s">
        <v>1607</v>
      </c>
      <c r="D57" s="183"/>
      <c r="E57" s="183"/>
      <c r="F57" s="183"/>
      <c r="G57" s="183"/>
      <c r="H57" s="183"/>
      <c r="I57" s="183"/>
      <c r="J57" s="68"/>
      <c r="K57" s="105">
        <f>J50</f>
        <v>22496</v>
      </c>
      <c r="L57" s="27" t="str">
        <f>IF($J$50=$K$57,"","&lt;- Accts 0848 must agree")</f>
        <v/>
      </c>
    </row>
    <row r="58" spans="1:20" ht="16.5" customHeight="1" x14ac:dyDescent="0.2">
      <c r="A58" s="65"/>
      <c r="B58" s="50"/>
      <c r="C58" s="50"/>
      <c r="D58" s="50"/>
      <c r="E58" s="50"/>
      <c r="F58" s="50"/>
      <c r="G58" s="50"/>
      <c r="H58" s="50"/>
      <c r="I58" s="50"/>
      <c r="J58" s="79">
        <f>ROUND(SUM(J56:J56),2)</f>
        <v>22496</v>
      </c>
      <c r="K58" s="79">
        <f>ROUND(SUM(K57),2)</f>
        <v>22496</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22242</v>
      </c>
      <c r="K61" s="78"/>
    </row>
    <row r="62" spans="1:20" ht="16.5" customHeight="1" x14ac:dyDescent="0.25">
      <c r="A62" s="45"/>
      <c r="B62" s="49"/>
      <c r="C62" s="183" t="s">
        <v>1616</v>
      </c>
      <c r="D62" s="183"/>
      <c r="E62" s="183"/>
      <c r="F62" s="183"/>
      <c r="G62" s="183"/>
      <c r="H62" s="183"/>
      <c r="I62" s="183"/>
      <c r="J62" s="78"/>
      <c r="K62" s="105">
        <f>J61</f>
        <v>22242</v>
      </c>
    </row>
    <row r="63" spans="1:20" ht="16.5" customHeight="1" x14ac:dyDescent="0.2">
      <c r="A63" s="45"/>
      <c r="B63" s="192" t="s">
        <v>1615</v>
      </c>
      <c r="C63" s="192"/>
      <c r="D63" s="192"/>
      <c r="E63" s="192"/>
      <c r="F63" s="192"/>
      <c r="G63" s="192"/>
      <c r="H63" s="192"/>
      <c r="I63" s="192"/>
      <c r="J63" s="79">
        <f>ROUND(SUM(J61:J61),2)</f>
        <v>22242</v>
      </c>
      <c r="K63" s="79">
        <f>ROUND(SUM(K62),2)</f>
        <v>22242</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5584</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5584</v>
      </c>
    </row>
    <row r="70" spans="1:20" ht="16.5" customHeight="1" x14ac:dyDescent="0.2">
      <c r="B70" s="50"/>
      <c r="H70" s="27"/>
      <c r="J70" s="51">
        <f>SUM(J68)</f>
        <v>5584</v>
      </c>
      <c r="K70" s="51">
        <f>SUM(K69)</f>
        <v>5584</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2465</v>
      </c>
      <c r="K76" s="48"/>
    </row>
    <row r="77" spans="1:20" ht="16.5" customHeight="1" x14ac:dyDescent="0.2">
      <c r="B77" s="183" t="s">
        <v>1588</v>
      </c>
      <c r="C77" s="183"/>
      <c r="D77" s="183"/>
      <c r="E77" s="183"/>
      <c r="F77" s="183"/>
      <c r="G77" s="183"/>
      <c r="H77" s="183"/>
      <c r="I77" s="183"/>
      <c r="J77" s="108">
        <v>4906</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7346</v>
      </c>
    </row>
    <row r="80" spans="1:20" ht="16.5" customHeight="1" x14ac:dyDescent="0.2">
      <c r="C80" s="183" t="str">
        <f>VLOOKUP($F$8,'Drop Down Menus'!$D$2:$G$10,4,FALSE)</f>
        <v>Cr: Acct 0808 - GENERAL GOV. (GAAP ADJ)</v>
      </c>
      <c r="D80" s="183"/>
      <c r="E80" s="183"/>
      <c r="F80" s="183"/>
      <c r="G80" s="183"/>
      <c r="H80" s="183"/>
      <c r="I80" s="183"/>
      <c r="J80" s="48"/>
      <c r="K80" s="108">
        <v>25</v>
      </c>
    </row>
    <row r="81" spans="1:20" ht="16.5" customHeight="1" x14ac:dyDescent="0.2">
      <c r="B81" s="53"/>
      <c r="H81" s="27"/>
      <c r="J81" s="51">
        <f>ROUND(SUM(J76:J78),2)</f>
        <v>7371</v>
      </c>
      <c r="K81" s="51">
        <f>ROUND(SUM(K79:K80),2)</f>
        <v>7371</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69783</v>
      </c>
      <c r="N94" s="104"/>
    </row>
    <row r="95" spans="1:20" ht="16.5" customHeight="1" x14ac:dyDescent="0.25">
      <c r="D95" s="49" t="s">
        <v>1631</v>
      </c>
      <c r="E95" s="100"/>
      <c r="F95" s="100"/>
      <c r="G95" s="100"/>
      <c r="H95" s="27"/>
      <c r="I95" s="100"/>
      <c r="J95" s="100"/>
      <c r="K95" s="103">
        <f>-K18-K46+J68+J77</f>
        <v>-15218</v>
      </c>
      <c r="N95" s="102"/>
    </row>
    <row r="96" spans="1:20" ht="16.5" customHeight="1" x14ac:dyDescent="0.25">
      <c r="D96" s="49" t="s">
        <v>1629</v>
      </c>
      <c r="E96" s="100"/>
      <c r="F96" s="100"/>
      <c r="G96" s="100"/>
      <c r="H96" s="27"/>
      <c r="I96" s="100"/>
      <c r="J96" s="100"/>
      <c r="K96" s="103">
        <f>-K19-K37+J56+J61+J76-K85</f>
        <v>-24629</v>
      </c>
    </row>
    <row r="97" spans="1:11" ht="16.5" customHeight="1" x14ac:dyDescent="0.25">
      <c r="D97" s="49" t="s">
        <v>1630</v>
      </c>
      <c r="E97" s="100"/>
      <c r="F97" s="100"/>
      <c r="G97" s="100"/>
      <c r="H97" s="27"/>
      <c r="I97" s="100"/>
      <c r="J97" s="100"/>
      <c r="K97" s="103">
        <f>-K62</f>
        <v>-22242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4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9" priority="2" operator="equal">
      <formula>"&lt;- Debits and Credits do not equal each other."</formula>
    </cfRule>
  </conditionalFormatting>
  <dataValidations count="5">
    <dataValidation operator="lessThan" allowBlank="1" showInputMessage="1" showErrorMessage="1" sqref="A3:A5 A7:A8 A11" xr:uid="{8A9B76BB-A4DC-41ED-A2D7-F9D09AEC3E55}"/>
    <dataValidation type="textLength" operator="lessThan" allowBlank="1" showInputMessage="1" showErrorMessage="1" sqref="E11 A6:A8" xr:uid="{BB066688-2B59-4377-8A3D-5F2B62A2EADE}">
      <formula1>0</formula1>
    </dataValidation>
    <dataValidation type="textLength" operator="equal" allowBlank="1" showInputMessage="1" showErrorMessage="1" errorTitle="4-Digit Org Code" error="Enter the Org Code/BU as 4 digits." sqref="F5" xr:uid="{98507AE9-2073-4E17-962F-C976ED313717}">
      <formula1>4</formula1>
    </dataValidation>
    <dataValidation type="whole" operator="greaterThanOrEqual" allowBlank="1" showErrorMessage="1" errorTitle="Whole Numbers Only" error="Enter amounts as whole numbers only." promptTitle="Whole Numbers" prompt="Enter whole numbers only." sqref="J15:J17 K18:K21" xr:uid="{F2C1CB0C-7AC7-4434-8E54-F8B34DE849E3}">
      <formula1>0</formula1>
    </dataValidation>
    <dataValidation type="whole" operator="greaterThanOrEqual" allowBlank="1" showInputMessage="1" showErrorMessage="1" sqref="M15:M17 N18:N21 P15 Q18:Q19 J28 K85 K29:K30 J34:J35 J45 K46 J50:J51 K52 J56 K57 J61 K62 J68 K69 J76:J78 K79:K80 J84 K36:K38" xr:uid="{5361C4D3-56A4-4346-B3BF-08225AF47CA9}">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D245A6F-E1BA-4EAF-A70E-F4AC24829C8D}">
          <x14:formula1>
            <xm:f>'Drop Down Menus'!$A$1:$A$101</xm:f>
          </x14:formula1>
          <xm:sqref>F3</xm:sqref>
        </x14:dataValidation>
        <x14:dataValidation type="list" allowBlank="1" showInputMessage="1" showErrorMessage="1" xr:uid="{F254BB45-3E70-4805-B2FC-45DE1B1FEA31}">
          <x14:formula1>
            <xm:f>'Drop Down Menus'!$B$1:$B$3</xm:f>
          </x14:formula1>
          <xm:sqref>F7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CE17E-D52D-4503-B8BF-820DCA61B2B2}">
  <sheetPr>
    <tabColor theme="9" tint="0.59999389629810485"/>
    <pageSetUpPr fitToPage="1"/>
  </sheetPr>
  <dimension ref="A1:XFC115"/>
  <sheetViews>
    <sheetView topLeftCell="A54"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890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17865</v>
      </c>
      <c r="K15" s="42"/>
      <c r="M15" s="105">
        <v>17865</v>
      </c>
      <c r="P15" s="105">
        <v>17865</v>
      </c>
      <c r="S15" s="43">
        <f>M15-P15</f>
        <v>0</v>
      </c>
      <c r="T15" s="44" t="s">
        <v>1634</v>
      </c>
    </row>
    <row r="16" spans="1:25" ht="16.5" customHeight="1" x14ac:dyDescent="0.2">
      <c r="A16" s="45"/>
      <c r="B16" s="183" t="s">
        <v>1582</v>
      </c>
      <c r="C16" s="183"/>
      <c r="D16" s="183"/>
      <c r="E16" s="183"/>
      <c r="F16" s="183"/>
      <c r="G16" s="183"/>
      <c r="H16" s="183"/>
      <c r="I16" s="183"/>
      <c r="J16" s="41">
        <f>ROUND(P16,0)</f>
        <v>234</v>
      </c>
      <c r="K16" s="42"/>
      <c r="M16" s="105">
        <v>234</v>
      </c>
      <c r="P16" s="46">
        <f>IF(SUM($Q$18:$Q$19)&gt;$P$15,SUM($Q$18:$Q$19)-$P$15,0)</f>
        <v>234</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8932</v>
      </c>
      <c r="N18" s="105">
        <v>8932</v>
      </c>
      <c r="Q18" s="105">
        <v>8932</v>
      </c>
      <c r="S18" s="43">
        <f>N18-Q18</f>
        <v>0</v>
      </c>
      <c r="T18" s="47" t="s">
        <v>1635</v>
      </c>
    </row>
    <row r="19" spans="1:25" ht="16.5" customHeight="1" x14ac:dyDescent="0.25">
      <c r="A19" s="45"/>
      <c r="B19" s="49"/>
      <c r="C19" s="183" t="s">
        <v>1618</v>
      </c>
      <c r="D19" s="183"/>
      <c r="E19" s="183"/>
      <c r="F19" s="183"/>
      <c r="G19" s="183"/>
      <c r="H19" s="183"/>
      <c r="I19" s="183"/>
      <c r="J19" s="42"/>
      <c r="K19" s="41">
        <f>ROUND(N19,0)</f>
        <v>9167</v>
      </c>
      <c r="N19" s="105">
        <v>9167</v>
      </c>
      <c r="Q19" s="105">
        <v>9167</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18099</v>
      </c>
      <c r="K22" s="51">
        <f>ROUND(SUM(K18:K21),0)</f>
        <v>18099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8933</v>
      </c>
      <c r="K45" s="78"/>
    </row>
    <row r="46" spans="1:20" ht="16.5" customHeight="1" x14ac:dyDescent="0.2">
      <c r="A46" s="45"/>
      <c r="B46" s="69"/>
      <c r="C46" s="183" t="s">
        <v>1581</v>
      </c>
      <c r="D46" s="183"/>
      <c r="E46" s="183"/>
      <c r="F46" s="183"/>
      <c r="G46" s="183"/>
      <c r="H46" s="183"/>
      <c r="I46" s="183"/>
      <c r="J46" s="68"/>
      <c r="K46" s="105">
        <f>J45</f>
        <v>8933</v>
      </c>
    </row>
    <row r="47" spans="1:20" ht="16.5" customHeight="1" x14ac:dyDescent="0.2">
      <c r="A47" s="65"/>
      <c r="B47" s="50"/>
      <c r="C47" s="50"/>
      <c r="D47" s="50"/>
      <c r="E47" s="50"/>
      <c r="F47" s="50"/>
      <c r="G47" s="50"/>
      <c r="H47" s="50"/>
      <c r="I47" s="50"/>
      <c r="J47" s="79">
        <f>ROUND(SUM(J45:J45),2)</f>
        <v>8933</v>
      </c>
      <c r="K47" s="79">
        <f>ROUND(SUM(K46),2)</f>
        <v>8933</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9167</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222</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v>9389</v>
      </c>
    </row>
    <row r="53" spans="1:20" ht="16.5" customHeight="1" x14ac:dyDescent="0.2">
      <c r="A53" s="65"/>
      <c r="B53" s="50"/>
      <c r="C53" s="50"/>
      <c r="D53" s="50"/>
      <c r="E53" s="50"/>
      <c r="F53" s="50"/>
      <c r="G53" s="50"/>
      <c r="H53" s="50"/>
      <c r="I53" s="50"/>
      <c r="J53" s="79">
        <f>ROUND(SUM(J50:J51),2)</f>
        <v>9389</v>
      </c>
      <c r="K53" s="79">
        <f>ROUND(SUM(K52,),2)</f>
        <v>9389</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9167</v>
      </c>
      <c r="K56" s="68"/>
    </row>
    <row r="57" spans="1:20" ht="16.5" customHeight="1" x14ac:dyDescent="0.25">
      <c r="A57" s="45"/>
      <c r="B57" s="49"/>
      <c r="C57" s="183" t="s">
        <v>1607</v>
      </c>
      <c r="D57" s="183"/>
      <c r="E57" s="183"/>
      <c r="F57" s="183"/>
      <c r="G57" s="183"/>
      <c r="H57" s="183"/>
      <c r="I57" s="183"/>
      <c r="J57" s="68"/>
      <c r="K57" s="105">
        <v>9167</v>
      </c>
      <c r="L57" s="27" t="str">
        <f>IF($J$50=$K$57,"","&lt;- Accts 0848 must agree")</f>
        <v/>
      </c>
    </row>
    <row r="58" spans="1:20" ht="16.5" customHeight="1" x14ac:dyDescent="0.2">
      <c r="A58" s="65"/>
      <c r="B58" s="50"/>
      <c r="C58" s="50"/>
      <c r="D58" s="50"/>
      <c r="E58" s="50"/>
      <c r="F58" s="50"/>
      <c r="G58" s="50"/>
      <c r="H58" s="50"/>
      <c r="I58" s="50"/>
      <c r="J58" s="79">
        <f>ROUND(SUM(J56:J56),2)</f>
        <v>9167</v>
      </c>
      <c r="K58" s="79">
        <f>ROUND(SUM(K57),2)</f>
        <v>9167</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17865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17865</v>
      </c>
    </row>
    <row r="70" spans="1:20" ht="16.5" customHeight="1" x14ac:dyDescent="0.2">
      <c r="B70" s="50"/>
      <c r="H70" s="27"/>
      <c r="J70" s="51">
        <f>SUM(J68)</f>
        <v>17865</v>
      </c>
      <c r="K70" s="51">
        <f>SUM(K69)</f>
        <v>17865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0808 - GENERAL GOV.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3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A5671A46-5CE1-436C-8179-DE58AB3528BA}">
      <formula1>0</formula1>
    </dataValidation>
    <dataValidation type="whole" operator="greaterThanOrEqual" allowBlank="1" showErrorMessage="1" errorTitle="Whole Numbers Only" error="Enter amounts as whole numbers only." promptTitle="Whole Numbers" prompt="Enter whole numbers only." sqref="J15:J17 K18:K21" xr:uid="{D59488BB-33B2-48D7-878C-58C8CB3448B4}">
      <formula1>0</formula1>
    </dataValidation>
    <dataValidation type="textLength" operator="equal" allowBlank="1" showInputMessage="1" showErrorMessage="1" errorTitle="4-Digit Org Code" error="Enter the Org Code/BU as 4 digits." sqref="F5" xr:uid="{B18A0A90-FEE3-4BB1-9673-4E97C7E2670D}">
      <formula1>4</formula1>
    </dataValidation>
    <dataValidation type="textLength" operator="lessThan" allowBlank="1" showInputMessage="1" showErrorMessage="1" sqref="E11 A6:A8" xr:uid="{F21773A4-4740-4BE8-AEC7-7FD240B6EE77}">
      <formula1>0</formula1>
    </dataValidation>
    <dataValidation operator="lessThan" allowBlank="1" showInputMessage="1" showErrorMessage="1" sqref="A3:A5 A7:A8 A11" xr:uid="{F1A328C4-9A8D-42EE-ABC2-2D7C5BBE97AB}"/>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8E8C5DD-5491-401A-A967-65EA77EECE0B}">
          <x14:formula1>
            <xm:f>'Drop Down Menus'!$B$1:$B$3</xm:f>
          </x14:formula1>
          <xm:sqref>F7</xm:sqref>
        </x14:dataValidation>
        <x14:dataValidation type="list" allowBlank="1" showInputMessage="1" showErrorMessage="1" xr:uid="{093DE971-4CF7-495F-B427-ED4B98C64940}">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95244-1259-41E5-B0F6-4F2BD9BF77C8}">
  <sheetPr>
    <tabColor theme="9" tint="0.59999389629810485"/>
    <pageSetUpPr fitToPage="1"/>
  </sheetPr>
  <dimension ref="A1:XFC115"/>
  <sheetViews>
    <sheetView topLeftCell="A51"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1008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30776</v>
      </c>
      <c r="K15" s="42"/>
      <c r="M15" s="105">
        <v>30776</v>
      </c>
      <c r="P15" s="105">
        <v>30776</v>
      </c>
      <c r="S15" s="43">
        <f>M15-P15</f>
        <v>0</v>
      </c>
      <c r="T15" s="44" t="s">
        <v>1634</v>
      </c>
    </row>
    <row r="16" spans="1:25" ht="16.5" customHeight="1" x14ac:dyDescent="0.2">
      <c r="A16" s="45"/>
      <c r="B16" s="183" t="s">
        <v>1582</v>
      </c>
      <c r="C16" s="183"/>
      <c r="D16" s="183"/>
      <c r="E16" s="183"/>
      <c r="F16" s="183"/>
      <c r="G16" s="183"/>
      <c r="H16" s="183"/>
      <c r="I16" s="183"/>
      <c r="J16" s="41">
        <f>ROUND(P16,0)</f>
        <v>403</v>
      </c>
      <c r="K16" s="42"/>
      <c r="M16" s="105">
        <v>403</v>
      </c>
      <c r="P16" s="46">
        <f>IF(SUM($Q$18:$Q$19)&gt;$P$15,SUM($Q$18:$Q$19)-$P$15,0)</f>
        <v>403</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15388</v>
      </c>
      <c r="N18" s="105">
        <v>15388</v>
      </c>
      <c r="Q18" s="105">
        <v>15388</v>
      </c>
      <c r="S18" s="43">
        <f>N18-Q18</f>
        <v>0</v>
      </c>
      <c r="T18" s="47" t="s">
        <v>1635</v>
      </c>
    </row>
    <row r="19" spans="1:25" ht="16.5" customHeight="1" x14ac:dyDescent="0.25">
      <c r="A19" s="45"/>
      <c r="B19" s="49"/>
      <c r="C19" s="183" t="s">
        <v>1618</v>
      </c>
      <c r="D19" s="183"/>
      <c r="E19" s="183"/>
      <c r="F19" s="183"/>
      <c r="G19" s="183"/>
      <c r="H19" s="183"/>
      <c r="I19" s="183"/>
      <c r="J19" s="42"/>
      <c r="K19" s="41">
        <f>ROUND(N19,0)</f>
        <v>15791</v>
      </c>
      <c r="N19" s="105">
        <v>15791</v>
      </c>
      <c r="Q19" s="105">
        <v>15791</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31179</v>
      </c>
      <c r="K22" s="51">
        <f>ROUND(SUM(K18:K21),0)</f>
        <v>31179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15388</v>
      </c>
      <c r="K45" s="78"/>
    </row>
    <row r="46" spans="1:20" ht="16.5" customHeight="1" x14ac:dyDescent="0.2">
      <c r="A46" s="45"/>
      <c r="B46" s="69"/>
      <c r="C46" s="183" t="s">
        <v>1581</v>
      </c>
      <c r="D46" s="183"/>
      <c r="E46" s="183"/>
      <c r="F46" s="183"/>
      <c r="G46" s="183"/>
      <c r="H46" s="183"/>
      <c r="I46" s="183"/>
      <c r="J46" s="68"/>
      <c r="K46" s="105">
        <f>J45</f>
        <v>15388</v>
      </c>
    </row>
    <row r="47" spans="1:20" ht="16.5" customHeight="1" x14ac:dyDescent="0.2">
      <c r="A47" s="65"/>
      <c r="B47" s="50"/>
      <c r="C47" s="50"/>
      <c r="D47" s="50"/>
      <c r="E47" s="50"/>
      <c r="F47" s="50"/>
      <c r="G47" s="50"/>
      <c r="H47" s="50"/>
      <c r="I47" s="50"/>
      <c r="J47" s="79">
        <f>ROUND(SUM(J45:J45),2)</f>
        <v>15388</v>
      </c>
      <c r="K47" s="79">
        <f>ROUND(SUM(K46),2)</f>
        <v>15388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15791</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383</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16174</v>
      </c>
    </row>
    <row r="53" spans="1:20" ht="16.5" customHeight="1" x14ac:dyDescent="0.2">
      <c r="A53" s="65"/>
      <c r="B53" s="50"/>
      <c r="C53" s="50"/>
      <c r="D53" s="50"/>
      <c r="E53" s="50"/>
      <c r="F53" s="50"/>
      <c r="G53" s="50"/>
      <c r="H53" s="50"/>
      <c r="I53" s="50"/>
      <c r="J53" s="79">
        <f>ROUND(SUM(J50:J51),2)</f>
        <v>16174</v>
      </c>
      <c r="K53" s="79">
        <f>ROUND(SUM(K52,),2)</f>
        <v>16174</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15791</v>
      </c>
      <c r="K56" s="68"/>
    </row>
    <row r="57" spans="1:20" ht="16.5" customHeight="1" x14ac:dyDescent="0.25">
      <c r="A57" s="45"/>
      <c r="B57" s="49"/>
      <c r="C57" s="183" t="s">
        <v>1607</v>
      </c>
      <c r="D57" s="183"/>
      <c r="E57" s="183"/>
      <c r="F57" s="183"/>
      <c r="G57" s="183"/>
      <c r="H57" s="183"/>
      <c r="I57" s="183"/>
      <c r="J57" s="68"/>
      <c r="K57" s="105">
        <f>J50</f>
        <v>15791</v>
      </c>
      <c r="L57" s="27" t="str">
        <f>IF($J$50=$K$57,"","&lt;- Accts 0848 must agree")</f>
        <v/>
      </c>
    </row>
    <row r="58" spans="1:20" ht="16.5" customHeight="1" x14ac:dyDescent="0.2">
      <c r="A58" s="65"/>
      <c r="B58" s="50"/>
      <c r="C58" s="50"/>
      <c r="D58" s="50"/>
      <c r="E58" s="50"/>
      <c r="F58" s="50"/>
      <c r="G58" s="50"/>
      <c r="H58" s="50"/>
      <c r="I58" s="50"/>
      <c r="J58" s="79">
        <f>ROUND(SUM(J56:J56),2)</f>
        <v>15791</v>
      </c>
      <c r="K58" s="79">
        <f>ROUND(SUM(K57),2)</f>
        <v>15791</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30776</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30776</v>
      </c>
    </row>
    <row r="70" spans="1:20" ht="16.5" customHeight="1" x14ac:dyDescent="0.2">
      <c r="B70" s="50"/>
      <c r="H70" s="27"/>
      <c r="J70" s="51">
        <f>SUM(J68)</f>
        <v>30776</v>
      </c>
      <c r="K70" s="51">
        <f>SUM(K69)</f>
        <v>30776</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0808 - GENERAL GOV.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3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5" priority="2" operator="equal">
      <formula>"&lt;- Debits and Credits do not equal each other."</formula>
    </cfRule>
  </conditionalFormatting>
  <dataValidations count="5">
    <dataValidation operator="lessThan" allowBlank="1" showInputMessage="1" showErrorMessage="1" sqref="A3:A5 A7:A8 A11" xr:uid="{90AD4E71-AC76-46B7-AB91-E3E1D26B6DEC}"/>
    <dataValidation type="textLength" operator="lessThan" allowBlank="1" showInputMessage="1" showErrorMessage="1" sqref="E11 A6:A8" xr:uid="{F9F1587C-C61C-4DE5-939F-41CD88962BCD}">
      <formula1>0</formula1>
    </dataValidation>
    <dataValidation type="textLength" operator="equal" allowBlank="1" showInputMessage="1" showErrorMessage="1" errorTitle="4-Digit Org Code" error="Enter the Org Code/BU as 4 digits." sqref="F5" xr:uid="{8F994FD9-7E4B-41E5-819C-6A0A2B407D87}">
      <formula1>4</formula1>
    </dataValidation>
    <dataValidation type="whole" operator="greaterThanOrEqual" allowBlank="1" showErrorMessage="1" errorTitle="Whole Numbers Only" error="Enter amounts as whole numbers only." promptTitle="Whole Numbers" prompt="Enter whole numbers only." sqref="J15:J17 K18:K21" xr:uid="{59345ACC-8FE0-45CF-944D-6DA71E824164}">
      <formula1>0</formula1>
    </dataValidation>
    <dataValidation type="whole" operator="greaterThanOrEqual" allowBlank="1" showInputMessage="1" showErrorMessage="1" sqref="M15:M17 N18:N21 P15 Q18:Q19 J28 K85 K29:K30 J34:J35 J45 K46 J50:J51 K52 J56 K57 J61 K62 J68 K69 J76:J78 K79:K80 J84 K36:K38" xr:uid="{CC5BBBE0-B793-4C30-86E1-C881769806E9}">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BE258550-E3BD-4AC2-97ED-CF40DD3B1A00}">
          <x14:formula1>
            <xm:f>'Drop Down Menus'!$A$1:$A$101</xm:f>
          </x14:formula1>
          <xm:sqref>F3</xm:sqref>
        </x14:dataValidation>
        <x14:dataValidation type="list" allowBlank="1" showInputMessage="1" showErrorMessage="1" xr:uid="{9E0C1BE5-F8D5-4F95-AD3A-B74FD15461AD}">
          <x14:formula1>
            <xm:f>'Drop Down Menus'!$B$1:$B$3</xm:f>
          </x14:formula1>
          <xm:sqref>F7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2E53A-3629-4482-95EC-659D01757723}">
  <sheetPr>
    <tabColor theme="9" tint="0.59999389629810485"/>
    <pageSetUpPr fitToPage="1"/>
  </sheetPr>
  <dimension ref="A1:XFC115"/>
  <sheetViews>
    <sheetView topLeftCell="A57"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3053</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1671</v>
      </c>
      <c r="K15" s="42"/>
      <c r="M15" s="105">
        <v>1671</v>
      </c>
      <c r="P15" s="105">
        <v>1671</v>
      </c>
      <c r="S15" s="43">
        <f>M15-P15</f>
        <v>0</v>
      </c>
      <c r="T15" s="44" t="s">
        <v>1634</v>
      </c>
    </row>
    <row r="16" spans="1:25" ht="16.5" customHeight="1" x14ac:dyDescent="0.2">
      <c r="A16" s="45"/>
      <c r="B16" s="183" t="s">
        <v>1582</v>
      </c>
      <c r="C16" s="183"/>
      <c r="D16" s="183"/>
      <c r="E16" s="183"/>
      <c r="F16" s="183"/>
      <c r="G16" s="183"/>
      <c r="H16" s="183"/>
      <c r="I16" s="183"/>
      <c r="J16" s="41">
        <f>ROUND(P16,0)</f>
        <v>8</v>
      </c>
      <c r="K16" s="42"/>
      <c r="M16" s="105">
        <v>8</v>
      </c>
      <c r="P16" s="46">
        <f>IF(SUM($Q$18:$Q$19)&gt;$P$15,SUM($Q$18:$Q$19)-$P$15,0)</f>
        <v>8</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835</v>
      </c>
      <c r="N18" s="105">
        <v>835</v>
      </c>
      <c r="Q18" s="105">
        <v>835</v>
      </c>
      <c r="S18" s="43">
        <f>N18-Q18</f>
        <v>0</v>
      </c>
      <c r="T18" s="47" t="s">
        <v>1635</v>
      </c>
    </row>
    <row r="19" spans="1:25" ht="16.5" customHeight="1" x14ac:dyDescent="0.25">
      <c r="A19" s="45"/>
      <c r="B19" s="49"/>
      <c r="C19" s="183" t="s">
        <v>1618</v>
      </c>
      <c r="D19" s="183"/>
      <c r="E19" s="183"/>
      <c r="F19" s="183"/>
      <c r="G19" s="183"/>
      <c r="H19" s="183"/>
      <c r="I19" s="183"/>
      <c r="J19" s="42"/>
      <c r="K19" s="41">
        <f>ROUND(N19,0)</f>
        <v>844</v>
      </c>
      <c r="N19" s="105">
        <v>844</v>
      </c>
      <c r="Q19" s="105">
        <v>844</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1679</v>
      </c>
      <c r="K22" s="51">
        <f>ROUND(SUM(K18:K21),0)</f>
        <v>1679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c r="K45" s="78"/>
    </row>
    <row r="46" spans="1:20" ht="16.5" customHeight="1" x14ac:dyDescent="0.2">
      <c r="A46" s="45"/>
      <c r="B46" s="69"/>
      <c r="C46" s="183" t="s">
        <v>1581</v>
      </c>
      <c r="D46" s="183"/>
      <c r="E46" s="183"/>
      <c r="F46" s="183"/>
      <c r="G46" s="183"/>
      <c r="H46" s="183"/>
      <c r="I46" s="183"/>
      <c r="J46" s="68"/>
      <c r="K46" s="105">
        <f>J45</f>
        <v>0</v>
      </c>
    </row>
    <row r="47" spans="1:20" ht="16.5" customHeight="1" x14ac:dyDescent="0.2">
      <c r="A47" s="65"/>
      <c r="B47" s="50"/>
      <c r="C47" s="50"/>
      <c r="D47" s="50"/>
      <c r="E47" s="50"/>
      <c r="F47" s="50"/>
      <c r="G47" s="50"/>
      <c r="H47" s="50"/>
      <c r="I47" s="50"/>
      <c r="J47" s="79">
        <f>ROUND(SUM(J45:J45),2)</f>
        <v>0</v>
      </c>
      <c r="K47" s="79">
        <f>ROUND(SUM(K46),2)</f>
        <v>0</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0</v>
      </c>
    </row>
    <row r="53" spans="1:20" ht="16.5" customHeight="1" x14ac:dyDescent="0.2">
      <c r="A53" s="65"/>
      <c r="B53" s="50"/>
      <c r="C53" s="50"/>
      <c r="D53" s="50"/>
      <c r="E53" s="50"/>
      <c r="F53" s="50"/>
      <c r="G53" s="50"/>
      <c r="H53" s="50"/>
      <c r="I53" s="50"/>
      <c r="J53" s="79">
        <f>ROUND(SUM(J50:J51),2)</f>
        <v>0</v>
      </c>
      <c r="K53" s="79">
        <f>ROUND(SUM(K52,),2)</f>
        <v>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c r="K56" s="68"/>
    </row>
    <row r="57" spans="1:20" ht="16.5" customHeight="1" x14ac:dyDescent="0.25">
      <c r="A57" s="45"/>
      <c r="B57" s="49"/>
      <c r="C57" s="183" t="s">
        <v>1607</v>
      </c>
      <c r="D57" s="183"/>
      <c r="E57" s="183"/>
      <c r="F57" s="183"/>
      <c r="G57" s="183"/>
      <c r="H57" s="183"/>
      <c r="I57" s="183"/>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row>
    <row r="70" spans="1:20" ht="16.5" customHeight="1" x14ac:dyDescent="0.2">
      <c r="B70" s="50"/>
      <c r="H70" s="27"/>
      <c r="J70" s="51">
        <f>SUM(J68)</f>
        <v>0</v>
      </c>
      <c r="K70" s="51">
        <f>SUM(K69)</f>
        <v>0</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844</v>
      </c>
      <c r="K76" s="48"/>
    </row>
    <row r="77" spans="1:20" ht="16.5" customHeight="1" x14ac:dyDescent="0.2">
      <c r="B77" s="183" t="s">
        <v>1588</v>
      </c>
      <c r="C77" s="183"/>
      <c r="D77" s="183"/>
      <c r="E77" s="183"/>
      <c r="F77" s="183"/>
      <c r="G77" s="183"/>
      <c r="H77" s="183"/>
      <c r="I77" s="183"/>
      <c r="J77" s="108">
        <v>835</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1671</v>
      </c>
    </row>
    <row r="80" spans="1:20" ht="16.5" customHeight="1" x14ac:dyDescent="0.2">
      <c r="C80" s="183" t="str">
        <f>VLOOKUP($F$8,'Drop Down Menus'!$D$2:$G$10,4,FALSE)</f>
        <v>Cr: Acct 0808 - GENERAL GOV. (GAAP ADJ)</v>
      </c>
      <c r="D80" s="183"/>
      <c r="E80" s="183"/>
      <c r="F80" s="183"/>
      <c r="G80" s="183"/>
      <c r="H80" s="183"/>
      <c r="I80" s="183"/>
      <c r="J80" s="48"/>
      <c r="K80" s="108">
        <v>8</v>
      </c>
    </row>
    <row r="81" spans="1:20" ht="16.5" customHeight="1" x14ac:dyDescent="0.2">
      <c r="B81" s="53"/>
      <c r="H81" s="27"/>
      <c r="J81" s="51">
        <f>ROUND(SUM(J76:J78),2)</f>
        <v>1679</v>
      </c>
      <c r="K81" s="51">
        <f>ROUND(SUM(K79:K80),2)</f>
        <v>1679</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3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3" priority="2" operator="equal">
      <formula>"&lt;- Debits and Credits do not equal each other."</formula>
    </cfRule>
  </conditionalFormatting>
  <dataValidations count="5">
    <dataValidation operator="lessThan" allowBlank="1" showInputMessage="1" showErrorMessage="1" sqref="A3:A5 A7:A8 A11" xr:uid="{14EE4590-7E8A-4DFA-918F-D00CB6A7E23B}"/>
    <dataValidation type="textLength" operator="lessThan" allowBlank="1" showInputMessage="1" showErrorMessage="1" sqref="E11 A6:A8" xr:uid="{D520B5B2-8AFA-400F-A55C-EA1769FC49F2}">
      <formula1>0</formula1>
    </dataValidation>
    <dataValidation type="textLength" operator="equal" allowBlank="1" showInputMessage="1" showErrorMessage="1" errorTitle="4-Digit Org Code" error="Enter the Org Code/BU as 4 digits." sqref="F5" xr:uid="{DC2B9FF4-0082-4D83-9018-F7DA24FB0C04}">
      <formula1>4</formula1>
    </dataValidation>
    <dataValidation type="whole" operator="greaterThanOrEqual" allowBlank="1" showErrorMessage="1" errorTitle="Whole Numbers Only" error="Enter amounts as whole numbers only." promptTitle="Whole Numbers" prompt="Enter whole numbers only." sqref="J15:J17 K18:K21" xr:uid="{96A550C7-2FAA-457A-8828-5F69886E1207}">
      <formula1>0</formula1>
    </dataValidation>
    <dataValidation type="whole" operator="greaterThanOrEqual" allowBlank="1" showInputMessage="1" showErrorMessage="1" sqref="M15:M17 N18:N21 P15 Q18:Q19 J28 K85 K29:K30 J34:J35 J45 K46 J50:J51 K52 J56 K57 J61 K62 J68 K69 J76:J78 K79:K80 J84 K36:K38" xr:uid="{06A18712-2700-4593-B4F5-D941B48D47DB}">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E85C5AA-857C-4B8D-99C2-5BFA62BB55F3}">
          <x14:formula1>
            <xm:f>'Drop Down Menus'!$A$1:$A$101</xm:f>
          </x14:formula1>
          <xm:sqref>F3</xm:sqref>
        </x14:dataValidation>
        <x14:dataValidation type="list" allowBlank="1" showInputMessage="1" showErrorMessage="1" xr:uid="{BC0E6FA3-4E84-4D71-9B31-EA241C54C747}">
          <x14:formula1>
            <xm:f>'Drop Down Menus'!$B$1:$B$3</xm:f>
          </x14:formula1>
          <xm:sqref>F7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32A2-E5F9-4259-B367-35EE9587768B}">
  <sheetPr>
    <tabColor theme="9" tint="0.59999389629810485"/>
    <pageSetUpPr fitToPage="1"/>
  </sheetPr>
  <dimension ref="A1:XFC115"/>
  <sheetViews>
    <sheetView topLeftCell="A51"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3086</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54222</v>
      </c>
      <c r="K15" s="42"/>
      <c r="M15" s="105">
        <v>54222</v>
      </c>
      <c r="P15" s="105">
        <v>54222</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457</v>
      </c>
      <c r="P16" s="46">
        <f>IF(SUM($Q$18:$Q$19)&gt;$P$15,SUM($Q$18:$Q$19)-$P$15,0)</f>
        <v>0</v>
      </c>
      <c r="S16" s="43">
        <f>M16-P16</f>
        <v>457</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32913</v>
      </c>
      <c r="N18" s="105">
        <v>32913</v>
      </c>
      <c r="Q18" s="105">
        <v>32913</v>
      </c>
      <c r="S18" s="43">
        <f>N18-Q18</f>
        <v>0</v>
      </c>
      <c r="T18" s="47" t="s">
        <v>1635</v>
      </c>
    </row>
    <row r="19" spans="1:25" ht="16.5" customHeight="1" x14ac:dyDescent="0.25">
      <c r="A19" s="45"/>
      <c r="B19" s="49"/>
      <c r="C19" s="183" t="s">
        <v>1618</v>
      </c>
      <c r="D19" s="183"/>
      <c r="E19" s="183"/>
      <c r="F19" s="183"/>
      <c r="G19" s="183"/>
      <c r="H19" s="183"/>
      <c r="I19" s="183"/>
      <c r="J19" s="42"/>
      <c r="K19" s="41">
        <f>ROUND(N19,0)</f>
        <v>17898</v>
      </c>
      <c r="N19" s="105">
        <v>17898</v>
      </c>
      <c r="Q19" s="105">
        <v>17898</v>
      </c>
      <c r="S19" s="43">
        <f>N19-Q19</f>
        <v>0</v>
      </c>
      <c r="T19" s="47" t="s">
        <v>1635</v>
      </c>
      <c r="X19" s="18"/>
    </row>
    <row r="20" spans="1:25" ht="16.5" customHeight="1" x14ac:dyDescent="0.25">
      <c r="A20" s="45"/>
      <c r="B20" s="49"/>
      <c r="C20" s="183" t="s">
        <v>1584</v>
      </c>
      <c r="D20" s="183"/>
      <c r="E20" s="183"/>
      <c r="F20" s="183"/>
      <c r="G20" s="183"/>
      <c r="H20" s="183"/>
      <c r="I20" s="183"/>
      <c r="K20" s="41">
        <f>ROUND(Q20,0)</f>
        <v>3411</v>
      </c>
      <c r="N20" s="105">
        <v>3868</v>
      </c>
      <c r="Q20" s="46">
        <f>IF(SUM($Q$18:$Q$19)&lt;$P$15,-SUM($Q$18:$Q$19)+$P$15,0)</f>
        <v>3411</v>
      </c>
      <c r="S20" s="43">
        <f>N20-Q20</f>
        <v>457</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54222</v>
      </c>
      <c r="K22" s="51">
        <f>ROUND(SUM(K18:K21),0)</f>
        <v>54222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1300314</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1300314</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1300314</v>
      </c>
      <c r="K31" s="51">
        <f>ROUND(SUM(K28:K30),2)</f>
        <v>1300314</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1300314</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1300314</v>
      </c>
      <c r="K35" s="68"/>
    </row>
    <row r="36" spans="1:20" ht="16.5" customHeight="1" x14ac:dyDescent="0.2">
      <c r="A36" s="45"/>
      <c r="B36" s="69"/>
      <c r="C36" s="183" t="s">
        <v>1575</v>
      </c>
      <c r="D36" s="183"/>
      <c r="E36" s="183"/>
      <c r="F36" s="183"/>
      <c r="G36" s="183"/>
      <c r="H36" s="183"/>
      <c r="I36" s="183"/>
      <c r="J36" s="68"/>
      <c r="K36" s="105">
        <v>1300314</v>
      </c>
    </row>
    <row r="37" spans="1:20" ht="16.5" customHeight="1" x14ac:dyDescent="0.2">
      <c r="A37" s="45"/>
      <c r="C37" s="183" t="s">
        <v>1618</v>
      </c>
      <c r="D37" s="183"/>
      <c r="E37" s="183"/>
      <c r="F37" s="183"/>
      <c r="G37" s="183"/>
      <c r="H37" s="183"/>
      <c r="I37" s="183"/>
      <c r="J37" s="68"/>
      <c r="K37" s="105">
        <v>1300314</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2600628</v>
      </c>
      <c r="K39" s="51">
        <f>ROUND(SUM(K36:K38),2)</f>
        <v>2600628</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310268</v>
      </c>
      <c r="K45" s="78"/>
    </row>
    <row r="46" spans="1:20" ht="16.5" customHeight="1" x14ac:dyDescent="0.2">
      <c r="A46" s="45"/>
      <c r="B46" s="69"/>
      <c r="C46" s="183" t="s">
        <v>1581</v>
      </c>
      <c r="D46" s="183"/>
      <c r="E46" s="183"/>
      <c r="F46" s="183"/>
      <c r="G46" s="183"/>
      <c r="H46" s="183"/>
      <c r="I46" s="183"/>
      <c r="J46" s="68"/>
      <c r="K46" s="105">
        <f>J45</f>
        <v>310268</v>
      </c>
    </row>
    <row r="47" spans="1:20" ht="16.5" customHeight="1" x14ac:dyDescent="0.2">
      <c r="A47" s="65"/>
      <c r="B47" s="50"/>
      <c r="C47" s="50"/>
      <c r="D47" s="50"/>
      <c r="E47" s="50"/>
      <c r="F47" s="50"/>
      <c r="G47" s="50"/>
      <c r="H47" s="50"/>
      <c r="I47" s="50"/>
      <c r="J47" s="79">
        <f>ROUND(SUM(J45:J45),2)</f>
        <v>310268</v>
      </c>
      <c r="K47" s="79">
        <f>ROUND(SUM(K46),2)</f>
        <v>310268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449561</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13645</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463206</v>
      </c>
    </row>
    <row r="53" spans="1:20" ht="16.5" customHeight="1" x14ac:dyDescent="0.2">
      <c r="A53" s="65"/>
      <c r="B53" s="50"/>
      <c r="C53" s="50"/>
      <c r="D53" s="50"/>
      <c r="E53" s="50"/>
      <c r="F53" s="50"/>
      <c r="G53" s="50"/>
      <c r="H53" s="50"/>
      <c r="I53" s="50"/>
      <c r="J53" s="79">
        <f>ROUND(SUM(J50:J51),2)</f>
        <v>463206</v>
      </c>
      <c r="K53" s="79">
        <f>ROUND(SUM(K52,),2)</f>
        <v>463206</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449561</v>
      </c>
      <c r="K56" s="68"/>
    </row>
    <row r="57" spans="1:20" ht="16.5" customHeight="1" x14ac:dyDescent="0.25">
      <c r="A57" s="45"/>
      <c r="B57" s="49"/>
      <c r="C57" s="183" t="s">
        <v>1607</v>
      </c>
      <c r="D57" s="183"/>
      <c r="E57" s="183"/>
      <c r="F57" s="183"/>
      <c r="G57" s="183"/>
      <c r="H57" s="183"/>
      <c r="I57" s="183"/>
      <c r="J57" s="68"/>
      <c r="K57" s="105">
        <f>J50</f>
        <v>449561</v>
      </c>
      <c r="L57" s="27" t="str">
        <f>IF($J$50=$K$57,"","&lt;- Accts 0848 must agree")</f>
        <v/>
      </c>
    </row>
    <row r="58" spans="1:20" ht="16.5" customHeight="1" x14ac:dyDescent="0.2">
      <c r="A58" s="65"/>
      <c r="B58" s="50"/>
      <c r="C58" s="50"/>
      <c r="D58" s="50"/>
      <c r="E58" s="50"/>
      <c r="F58" s="50"/>
      <c r="G58" s="50"/>
      <c r="H58" s="50"/>
      <c r="I58" s="50"/>
      <c r="J58" s="79">
        <f>ROUND(SUM(J56:J56),2)</f>
        <v>449561</v>
      </c>
      <c r="K58" s="79">
        <f>ROUND(SUM(K57),2)</f>
        <v>449561</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428621</v>
      </c>
      <c r="K61" s="78"/>
    </row>
    <row r="62" spans="1:20" ht="16.5" customHeight="1" x14ac:dyDescent="0.25">
      <c r="A62" s="45"/>
      <c r="B62" s="49"/>
      <c r="C62" s="183" t="s">
        <v>1616</v>
      </c>
      <c r="D62" s="183"/>
      <c r="E62" s="183"/>
      <c r="F62" s="183"/>
      <c r="G62" s="183"/>
      <c r="H62" s="183"/>
      <c r="I62" s="183"/>
      <c r="J62" s="78"/>
      <c r="K62" s="105">
        <f>J61</f>
        <v>428621</v>
      </c>
    </row>
    <row r="63" spans="1:20" ht="16.5" customHeight="1" x14ac:dyDescent="0.2">
      <c r="A63" s="45"/>
      <c r="B63" s="192" t="s">
        <v>1615</v>
      </c>
      <c r="C63" s="192"/>
      <c r="D63" s="192"/>
      <c r="E63" s="192"/>
      <c r="F63" s="192"/>
      <c r="G63" s="192"/>
      <c r="H63" s="192"/>
      <c r="I63" s="192"/>
      <c r="J63" s="79">
        <f>ROUND(SUM(J61:J61),2)</f>
        <v>428621</v>
      </c>
      <c r="K63" s="79">
        <f>ROUND(SUM(K62),2)</f>
        <v>428621</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54222</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54222</v>
      </c>
    </row>
    <row r="70" spans="1:20" ht="16.5" customHeight="1" x14ac:dyDescent="0.2">
      <c r="B70" s="50"/>
      <c r="H70" s="27"/>
      <c r="J70" s="51">
        <f>SUM(J68)</f>
        <v>54222</v>
      </c>
      <c r="K70" s="51">
        <f>SUM(K69)</f>
        <v>54222</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0808 - GENERAL GOV.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1300314</v>
      </c>
      <c r="N94" s="104"/>
    </row>
    <row r="95" spans="1:20" ht="16.5" customHeight="1" x14ac:dyDescent="0.25">
      <c r="D95" s="49" t="s">
        <v>1631</v>
      </c>
      <c r="E95" s="100"/>
      <c r="F95" s="100"/>
      <c r="G95" s="100"/>
      <c r="H95" s="27"/>
      <c r="I95" s="100"/>
      <c r="J95" s="100"/>
      <c r="K95" s="103">
        <f>-K18-K46+J68+J77</f>
        <v>-288959</v>
      </c>
      <c r="N95" s="102"/>
    </row>
    <row r="96" spans="1:20" ht="16.5" customHeight="1" x14ac:dyDescent="0.25">
      <c r="D96" s="49" t="s">
        <v>1629</v>
      </c>
      <c r="E96" s="100"/>
      <c r="F96" s="100"/>
      <c r="G96" s="100"/>
      <c r="H96" s="27"/>
      <c r="I96" s="100"/>
      <c r="J96" s="100"/>
      <c r="K96" s="103">
        <f>-K19-K37+J56+J61+J76-K85</f>
        <v>-440030</v>
      </c>
    </row>
    <row r="97" spans="1:11" ht="16.5" customHeight="1" x14ac:dyDescent="0.25">
      <c r="D97" s="49" t="s">
        <v>1630</v>
      </c>
      <c r="E97" s="100"/>
      <c r="F97" s="100"/>
      <c r="G97" s="100"/>
      <c r="H97" s="27"/>
      <c r="I97" s="100"/>
      <c r="J97" s="100"/>
      <c r="K97" s="103">
        <f>-K62</f>
        <v>-428621</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3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1" priority="2" operator="equal">
      <formula>"&lt;- Debits and Credits do not equal each other."</formula>
    </cfRule>
  </conditionalFormatting>
  <dataValidations count="5">
    <dataValidation operator="lessThan" allowBlank="1" showInputMessage="1" showErrorMessage="1" sqref="A3:A5 A7:A8 A11" xr:uid="{7291E542-D1E7-4540-A69A-1F6877FD5950}"/>
    <dataValidation type="textLength" operator="lessThan" allowBlank="1" showInputMessage="1" showErrorMessage="1" sqref="E11 A6:A8" xr:uid="{4BDB3954-E373-4F4C-A94D-F852A45692C7}">
      <formula1>0</formula1>
    </dataValidation>
    <dataValidation type="textLength" operator="equal" allowBlank="1" showInputMessage="1" showErrorMessage="1" errorTitle="4-Digit Org Code" error="Enter the Org Code/BU as 4 digits." sqref="F5" xr:uid="{6D4AA42A-06AA-448C-9A12-5F4015271501}">
      <formula1>4</formula1>
    </dataValidation>
    <dataValidation type="whole" operator="greaterThanOrEqual" allowBlank="1" showErrorMessage="1" errorTitle="Whole Numbers Only" error="Enter amounts as whole numbers only." promptTitle="Whole Numbers" prompt="Enter whole numbers only." sqref="J15:J17 K18:K21" xr:uid="{CB24CA5F-740D-4D42-9119-D812C9A3DEE7}">
      <formula1>0</formula1>
    </dataValidation>
    <dataValidation type="whole" operator="greaterThanOrEqual" allowBlank="1" showInputMessage="1" showErrorMessage="1" sqref="M15:M17 N18:N21 P15 Q18:Q19 J28 K85 K29:K30 J34:J35 J45 K46 J50:J51 K52 J56 K57 J61 K62 J68 K69 J76:J78 K79:K80 J84 K36:K38" xr:uid="{918925E1-71B2-40D8-890F-B0D6266F5188}">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4B618C5-BA07-4DDD-A07D-633E76FA9767}">
          <x14:formula1>
            <xm:f>'Drop Down Menus'!$A$1:$A$101</xm:f>
          </x14:formula1>
          <xm:sqref>F3</xm:sqref>
        </x14:dataValidation>
        <x14:dataValidation type="list" allowBlank="1" showInputMessage="1" showErrorMessage="1" xr:uid="{7239D87B-1BDE-4636-8792-B16CC51C3AFB}">
          <x14:formula1>
            <xm:f>'Drop Down Menus'!$B$1:$B$3</xm:f>
          </x14:formula1>
          <xm:sqref>F7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E02D-0297-4595-B896-57B2C896E60C}">
  <sheetPr>
    <tabColor theme="9" tint="0.59999389629810485"/>
    <pageSetUpPr fitToPage="1"/>
  </sheetPr>
  <dimension ref="A1:XFC115"/>
  <sheetViews>
    <sheetView topLeftCell="A57" zoomScale="70" zoomScaleNormal="70" workbookViewId="0">
      <selection activeCell="K62" sqref="K62"/>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3088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6156</v>
      </c>
      <c r="K15" s="42"/>
      <c r="M15" s="105">
        <v>6156</v>
      </c>
      <c r="P15" s="105">
        <v>6156</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v>20</v>
      </c>
      <c r="P16" s="46">
        <f>IF(SUM($Q$18:$Q$19)&gt;$P$15,SUM($Q$18:$Q$19)-$P$15,0)</f>
        <v>0</v>
      </c>
      <c r="S16" s="43">
        <f>M16-P16</f>
        <v>20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3455</v>
      </c>
      <c r="N18" s="105">
        <v>3455</v>
      </c>
      <c r="Q18" s="105">
        <v>3455</v>
      </c>
      <c r="S18" s="43">
        <f>N18-Q18</f>
        <v>0</v>
      </c>
      <c r="T18" s="47" t="s">
        <v>1635</v>
      </c>
    </row>
    <row r="19" spans="1:25" ht="16.5" customHeight="1" x14ac:dyDescent="0.25">
      <c r="A19" s="45"/>
      <c r="B19" s="49"/>
      <c r="C19" s="183" t="s">
        <v>1618</v>
      </c>
      <c r="D19" s="183"/>
      <c r="E19" s="183"/>
      <c r="F19" s="183"/>
      <c r="G19" s="183"/>
      <c r="H19" s="183"/>
      <c r="I19" s="183"/>
      <c r="J19" s="42"/>
      <c r="K19" s="41">
        <f>ROUND(N19,0)</f>
        <v>2310</v>
      </c>
      <c r="N19" s="105">
        <v>2310</v>
      </c>
      <c r="Q19" s="105">
        <v>2310</v>
      </c>
      <c r="S19" s="43">
        <f>N19-Q19</f>
        <v>0</v>
      </c>
      <c r="T19" s="47" t="s">
        <v>1635</v>
      </c>
      <c r="X19" s="18"/>
    </row>
    <row r="20" spans="1:25" ht="16.5" customHeight="1" x14ac:dyDescent="0.25">
      <c r="A20" s="45"/>
      <c r="B20" s="49"/>
      <c r="C20" s="183" t="s">
        <v>1584</v>
      </c>
      <c r="D20" s="183"/>
      <c r="E20" s="183"/>
      <c r="F20" s="183"/>
      <c r="G20" s="183"/>
      <c r="H20" s="183"/>
      <c r="I20" s="183"/>
      <c r="K20" s="41">
        <f>ROUND(Q20,0)</f>
        <v>391</v>
      </c>
      <c r="N20" s="105">
        <v>411</v>
      </c>
      <c r="Q20" s="46">
        <f>IF(SUM($Q$18:$Q$19)&lt;$P$15,-SUM($Q$18:$Q$19)+$P$15,0)</f>
        <v>391</v>
      </c>
      <c r="S20" s="43">
        <f>N20-Q20</f>
        <v>20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6156</v>
      </c>
      <c r="K22" s="51">
        <f>ROUND(SUM(K18:K21),0)</f>
        <v>6156</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15430</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15430</v>
      </c>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15430</v>
      </c>
      <c r="K31" s="51">
        <f>ROUND(SUM(K28:K30),2)</f>
        <v>15430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15430</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15430</v>
      </c>
      <c r="K35" s="68"/>
    </row>
    <row r="36" spans="1:20" ht="16.5" customHeight="1" x14ac:dyDescent="0.2">
      <c r="A36" s="45"/>
      <c r="B36" s="69"/>
      <c r="C36" s="183" t="s">
        <v>1575</v>
      </c>
      <c r="D36" s="183"/>
      <c r="E36" s="183"/>
      <c r="F36" s="183"/>
      <c r="G36" s="183"/>
      <c r="H36" s="183"/>
      <c r="I36" s="183"/>
      <c r="J36" s="68"/>
      <c r="K36" s="105">
        <v>15430</v>
      </c>
    </row>
    <row r="37" spans="1:20" ht="16.5" customHeight="1" x14ac:dyDescent="0.2">
      <c r="A37" s="45"/>
      <c r="C37" s="183" t="s">
        <v>1618</v>
      </c>
      <c r="D37" s="183"/>
      <c r="E37" s="183"/>
      <c r="F37" s="183"/>
      <c r="G37" s="183"/>
      <c r="H37" s="183"/>
      <c r="I37" s="183"/>
      <c r="J37" s="68"/>
      <c r="K37" s="105">
        <v>15430</v>
      </c>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30860</v>
      </c>
      <c r="K39" s="51">
        <f>ROUND(SUM(K36:K38),2)</f>
        <v>30860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4087</v>
      </c>
      <c r="K45" s="78"/>
    </row>
    <row r="46" spans="1:20" ht="16.5" customHeight="1" x14ac:dyDescent="0.2">
      <c r="A46" s="45"/>
      <c r="B46" s="69"/>
      <c r="C46" s="183" t="s">
        <v>1581</v>
      </c>
      <c r="D46" s="183"/>
      <c r="E46" s="183"/>
      <c r="F46" s="183"/>
      <c r="G46" s="183"/>
      <c r="H46" s="183"/>
      <c r="I46" s="183"/>
      <c r="J46" s="68"/>
      <c r="K46" s="105">
        <f>J45</f>
        <v>4087</v>
      </c>
    </row>
    <row r="47" spans="1:20" ht="16.5" customHeight="1" x14ac:dyDescent="0.2">
      <c r="A47" s="65"/>
      <c r="B47" s="50"/>
      <c r="C47" s="50"/>
      <c r="D47" s="50"/>
      <c r="E47" s="50"/>
      <c r="F47" s="50"/>
      <c r="G47" s="50"/>
      <c r="H47" s="50"/>
      <c r="I47" s="50"/>
      <c r="J47" s="79">
        <f>ROUND(SUM(J45:J45),2)</f>
        <v>4087</v>
      </c>
      <c r="K47" s="79">
        <f>ROUND(SUM(K46),2)</f>
        <v>4087</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5523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189</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5712</v>
      </c>
    </row>
    <row r="53" spans="1:20" ht="16.5" customHeight="1" x14ac:dyDescent="0.2">
      <c r="A53" s="65"/>
      <c r="B53" s="50"/>
      <c r="C53" s="50"/>
      <c r="D53" s="50"/>
      <c r="E53" s="50"/>
      <c r="F53" s="50"/>
      <c r="G53" s="50"/>
      <c r="H53" s="50"/>
      <c r="I53" s="50"/>
      <c r="J53" s="79">
        <f>ROUND(SUM(J50:J51),2)</f>
        <v>5712</v>
      </c>
      <c r="K53" s="79">
        <f>ROUND(SUM(K52,),2)</f>
        <v>5712</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5523</v>
      </c>
      <c r="K56" s="68"/>
    </row>
    <row r="57" spans="1:20" ht="16.5" customHeight="1" x14ac:dyDescent="0.25">
      <c r="A57" s="45"/>
      <c r="B57" s="49"/>
      <c r="C57" s="183" t="s">
        <v>1607</v>
      </c>
      <c r="D57" s="183"/>
      <c r="E57" s="183"/>
      <c r="F57" s="183"/>
      <c r="G57" s="183"/>
      <c r="H57" s="183"/>
      <c r="I57" s="183"/>
      <c r="J57" s="68"/>
      <c r="K57" s="105">
        <f>J50</f>
        <v>5523</v>
      </c>
      <c r="L57" s="27" t="str">
        <f>IF($J$50=$K$57,"","&lt;- Accts 0848 must agree")</f>
        <v/>
      </c>
    </row>
    <row r="58" spans="1:20" ht="16.5" customHeight="1" x14ac:dyDescent="0.2">
      <c r="A58" s="65"/>
      <c r="B58" s="50"/>
      <c r="C58" s="50"/>
      <c r="D58" s="50"/>
      <c r="E58" s="50"/>
      <c r="F58" s="50"/>
      <c r="G58" s="50"/>
      <c r="H58" s="50"/>
      <c r="I58" s="50"/>
      <c r="J58" s="79">
        <f>ROUND(SUM(J56:J56),2)</f>
        <v>5523</v>
      </c>
      <c r="K58" s="79">
        <f>ROUND(SUM(K57),2)</f>
        <v>5523</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5491</v>
      </c>
      <c r="K61" s="78"/>
    </row>
    <row r="62" spans="1:20" ht="16.5" customHeight="1" x14ac:dyDescent="0.25">
      <c r="A62" s="45"/>
      <c r="B62" s="49"/>
      <c r="C62" s="183" t="s">
        <v>1616</v>
      </c>
      <c r="D62" s="183"/>
      <c r="E62" s="183"/>
      <c r="F62" s="183"/>
      <c r="G62" s="183"/>
      <c r="H62" s="183"/>
      <c r="I62" s="183"/>
      <c r="J62" s="78"/>
      <c r="K62" s="105">
        <f>J61</f>
        <v>5491</v>
      </c>
    </row>
    <row r="63" spans="1:20" ht="16.5" customHeight="1" x14ac:dyDescent="0.2">
      <c r="A63" s="45"/>
      <c r="B63" s="192" t="s">
        <v>1615</v>
      </c>
      <c r="C63" s="192"/>
      <c r="D63" s="192"/>
      <c r="E63" s="192"/>
      <c r="F63" s="192"/>
      <c r="G63" s="192"/>
      <c r="H63" s="192"/>
      <c r="I63" s="192"/>
      <c r="J63" s="79">
        <f>ROUND(SUM(J61:J61),2)</f>
        <v>5491</v>
      </c>
      <c r="K63" s="79">
        <f>ROUND(SUM(K62),2)</f>
        <v>5491</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2055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2055</v>
      </c>
    </row>
    <row r="70" spans="1:20" ht="16.5" customHeight="1" x14ac:dyDescent="0.2">
      <c r="B70" s="50"/>
      <c r="H70" s="27"/>
      <c r="J70" s="51">
        <f>SUM(J68)</f>
        <v>2055</v>
      </c>
      <c r="K70" s="51">
        <f>SUM(K69)</f>
        <v>2055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404</v>
      </c>
      <c r="K76" s="48"/>
    </row>
    <row r="77" spans="1:20" ht="16.5" customHeight="1" x14ac:dyDescent="0.2">
      <c r="B77" s="183" t="s">
        <v>1588</v>
      </c>
      <c r="C77" s="183"/>
      <c r="D77" s="183"/>
      <c r="E77" s="183"/>
      <c r="F77" s="183"/>
      <c r="G77" s="183"/>
      <c r="H77" s="183"/>
      <c r="I77" s="183"/>
      <c r="J77" s="108">
        <v>1602</v>
      </c>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2002</v>
      </c>
    </row>
    <row r="80" spans="1:20" ht="16.5" customHeight="1" x14ac:dyDescent="0.2">
      <c r="C80" s="183" t="str">
        <f>VLOOKUP($F$8,'Drop Down Menus'!$D$2:$G$10,4,FALSE)</f>
        <v>Cr: Acct 0808 - GENERAL GOV. (GAAP ADJ)</v>
      </c>
      <c r="D80" s="183"/>
      <c r="E80" s="183"/>
      <c r="F80" s="183"/>
      <c r="G80" s="183"/>
      <c r="H80" s="183"/>
      <c r="I80" s="183"/>
      <c r="J80" s="48"/>
      <c r="K80" s="108">
        <v>4</v>
      </c>
    </row>
    <row r="81" spans="1:20" ht="16.5" customHeight="1" x14ac:dyDescent="0.2">
      <c r="B81" s="53"/>
      <c r="H81" s="27"/>
      <c r="J81" s="51">
        <f>ROUND(SUM(J76:J78),2)</f>
        <v>2006</v>
      </c>
      <c r="K81" s="51">
        <f>ROUND(SUM(K79:K80),2)</f>
        <v>2006</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17529</v>
      </c>
      <c r="N94" s="104"/>
    </row>
    <row r="95" spans="1:20" ht="16.5" customHeight="1" x14ac:dyDescent="0.25">
      <c r="D95" s="49" t="s">
        <v>1631</v>
      </c>
      <c r="E95" s="100"/>
      <c r="F95" s="100"/>
      <c r="G95" s="100"/>
      <c r="H95" s="27"/>
      <c r="I95" s="100"/>
      <c r="J95" s="100"/>
      <c r="K95" s="103">
        <f>-K18-K46+J68+J77</f>
        <v>-3885</v>
      </c>
      <c r="N95" s="102"/>
    </row>
    <row r="96" spans="1:20" ht="16.5" customHeight="1" x14ac:dyDescent="0.25">
      <c r="D96" s="49" t="s">
        <v>1629</v>
      </c>
      <c r="E96" s="100"/>
      <c r="F96" s="100"/>
      <c r="G96" s="100"/>
      <c r="H96" s="27"/>
      <c r="I96" s="100"/>
      <c r="J96" s="100"/>
      <c r="K96" s="103">
        <f>-K19-K37+J56+J61+J76-K85</f>
        <v>-6322</v>
      </c>
    </row>
    <row r="97" spans="1:11" ht="16.5" customHeight="1" x14ac:dyDescent="0.25">
      <c r="D97" s="49" t="s">
        <v>1630</v>
      </c>
      <c r="E97" s="100"/>
      <c r="F97" s="100"/>
      <c r="G97" s="100"/>
      <c r="H97" s="27"/>
      <c r="I97" s="100"/>
      <c r="J97" s="100"/>
      <c r="K97" s="103">
        <f>-K62</f>
        <v>-5491</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3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9" priority="2" operator="equal">
      <formula>"&lt;- Debits and Credits do not equal each other."</formula>
    </cfRule>
  </conditionalFormatting>
  <dataValidations count="5">
    <dataValidation operator="lessThan" allowBlank="1" showInputMessage="1" showErrorMessage="1" sqref="A3:A5 A7:A8 A11" xr:uid="{24DB67E5-FC43-498A-8C71-2B9679B2CBAB}"/>
    <dataValidation type="textLength" operator="lessThan" allowBlank="1" showInputMessage="1" showErrorMessage="1" sqref="E11 A6:A8" xr:uid="{C2F84D34-432D-4339-8E82-95EF441A4FC3}">
      <formula1>0</formula1>
    </dataValidation>
    <dataValidation type="textLength" operator="equal" allowBlank="1" showInputMessage="1" showErrorMessage="1" errorTitle="4-Digit Org Code" error="Enter the Org Code/BU as 4 digits." sqref="F5" xr:uid="{1A0D8815-4602-46A6-9678-1C24E07792C6}">
      <formula1>4</formula1>
    </dataValidation>
    <dataValidation type="whole" operator="greaterThanOrEqual" allowBlank="1" showErrorMessage="1" errorTitle="Whole Numbers Only" error="Enter amounts as whole numbers only." promptTitle="Whole Numbers" prompt="Enter whole numbers only." sqref="J15:J17 K18:K21" xr:uid="{F5FD29DE-9798-46BE-A055-51E75C1A1BCF}">
      <formula1>0</formula1>
    </dataValidation>
    <dataValidation type="whole" operator="greaterThanOrEqual" allowBlank="1" showInputMessage="1" showErrorMessage="1" sqref="M15:M17 N18:N21 P15 Q18:Q19 J28 K85 K29:K30 J34:J35 J45 K46 J50:J51 K52 J56 K57 J61 K62 J68 K69 J76:J78 K79:K80 J84 K36:K38" xr:uid="{6991AD00-8040-4770-9C57-8F76685B970E}">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5DDB2DF-7EAD-4910-946B-AA2DE6338DDB}">
          <x14:formula1>
            <xm:f>'Drop Down Menus'!$A$1:$A$101</xm:f>
          </x14:formula1>
          <xm:sqref>F3</xm:sqref>
        </x14:dataValidation>
        <x14:dataValidation type="list" allowBlank="1" showInputMessage="1" showErrorMessage="1" xr:uid="{C7ABD28B-2C42-4332-8EFE-70CDA208D9C9}">
          <x14:formula1>
            <xm:f>'Drop Down Menus'!$B$1:$B$3</xm:f>
          </x14:formula1>
          <xm:sqref>F7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E176-D865-4905-8382-486D0559E373}">
  <sheetPr>
    <tabColor theme="9" tint="0.59999389629810485"/>
    <pageSetUpPr fitToPage="1"/>
  </sheetPr>
  <dimension ref="A1:XFC115"/>
  <sheetViews>
    <sheetView topLeftCell="A54"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3297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395</v>
      </c>
      <c r="K15" s="42"/>
      <c r="M15" s="105">
        <v>395</v>
      </c>
      <c r="P15" s="105">
        <v>395</v>
      </c>
      <c r="S15" s="43">
        <f>M15-P15</f>
        <v>0</v>
      </c>
      <c r="T15" s="44" t="s">
        <v>1634</v>
      </c>
    </row>
    <row r="16" spans="1:25" ht="16.5" customHeight="1" x14ac:dyDescent="0.2">
      <c r="A16" s="45"/>
      <c r="B16" s="183" t="s">
        <v>1582</v>
      </c>
      <c r="C16" s="183"/>
      <c r="D16" s="183"/>
      <c r="E16" s="183"/>
      <c r="F16" s="183"/>
      <c r="G16" s="183"/>
      <c r="H16" s="183"/>
      <c r="I16" s="183"/>
      <c r="J16" s="41">
        <f>ROUND(P16,0)</f>
        <v>5</v>
      </c>
      <c r="K16" s="42"/>
      <c r="M16" s="105">
        <v>5</v>
      </c>
      <c r="P16" s="46">
        <f>IF(SUM($Q$18:$Q$19)&gt;$P$15,SUM($Q$18:$Q$19)-$P$15,0)</f>
        <v>5</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197</v>
      </c>
      <c r="N18" s="105">
        <v>197</v>
      </c>
      <c r="Q18" s="105">
        <v>197</v>
      </c>
      <c r="S18" s="43">
        <f>N18-Q18</f>
        <v>0</v>
      </c>
      <c r="T18" s="47" t="s">
        <v>1635</v>
      </c>
    </row>
    <row r="19" spans="1:25" ht="16.5" customHeight="1" x14ac:dyDescent="0.25">
      <c r="A19" s="45"/>
      <c r="B19" s="49"/>
      <c r="C19" s="183" t="s">
        <v>1618</v>
      </c>
      <c r="D19" s="183"/>
      <c r="E19" s="183"/>
      <c r="F19" s="183"/>
      <c r="G19" s="183"/>
      <c r="H19" s="183"/>
      <c r="I19" s="183"/>
      <c r="J19" s="42"/>
      <c r="K19" s="41">
        <f>ROUND(N19,0)</f>
        <v>203</v>
      </c>
      <c r="N19" s="105">
        <v>203</v>
      </c>
      <c r="Q19" s="105">
        <v>203</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400</v>
      </c>
      <c r="K22" s="51">
        <f>ROUND(SUM(K18:K21),0)</f>
        <v>400</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198</v>
      </c>
      <c r="K45" s="78"/>
    </row>
    <row r="46" spans="1:20" ht="16.5" customHeight="1" x14ac:dyDescent="0.2">
      <c r="A46" s="45"/>
      <c r="B46" s="69"/>
      <c r="C46" s="183" t="s">
        <v>1581</v>
      </c>
      <c r="D46" s="183"/>
      <c r="E46" s="183"/>
      <c r="F46" s="183"/>
      <c r="G46" s="183"/>
      <c r="H46" s="183"/>
      <c r="I46" s="183"/>
      <c r="J46" s="68"/>
      <c r="K46" s="105">
        <v>198</v>
      </c>
    </row>
    <row r="47" spans="1:20" ht="16.5" customHeight="1" x14ac:dyDescent="0.2">
      <c r="A47" s="65"/>
      <c r="B47" s="50"/>
      <c r="C47" s="50"/>
      <c r="D47" s="50"/>
      <c r="E47" s="50"/>
      <c r="F47" s="50"/>
      <c r="G47" s="50"/>
      <c r="H47" s="50"/>
      <c r="I47" s="50"/>
      <c r="J47" s="79">
        <f>ROUND(SUM(J45:J45),2)</f>
        <v>198</v>
      </c>
      <c r="K47" s="79">
        <f>ROUND(SUM(K46),2)</f>
        <v>198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203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5</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208</v>
      </c>
    </row>
    <row r="53" spans="1:20" ht="16.5" customHeight="1" x14ac:dyDescent="0.2">
      <c r="A53" s="65"/>
      <c r="B53" s="50"/>
      <c r="C53" s="50"/>
      <c r="D53" s="50"/>
      <c r="E53" s="50"/>
      <c r="F53" s="50"/>
      <c r="G53" s="50"/>
      <c r="H53" s="50"/>
      <c r="I53" s="50"/>
      <c r="J53" s="79">
        <f>ROUND(SUM(J50:J51),2)</f>
        <v>208</v>
      </c>
      <c r="K53" s="79">
        <f>ROUND(SUM(K52,),2)</f>
        <v>208</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203</v>
      </c>
      <c r="K56" s="68"/>
    </row>
    <row r="57" spans="1:20" ht="16.5" customHeight="1" x14ac:dyDescent="0.25">
      <c r="A57" s="45"/>
      <c r="B57" s="49"/>
      <c r="C57" s="183" t="s">
        <v>1607</v>
      </c>
      <c r="D57" s="183"/>
      <c r="E57" s="183"/>
      <c r="F57" s="183"/>
      <c r="G57" s="183"/>
      <c r="H57" s="183"/>
      <c r="I57" s="183"/>
      <c r="J57" s="68"/>
      <c r="K57" s="105">
        <f>J50</f>
        <v>203</v>
      </c>
      <c r="L57" s="27" t="str">
        <f>IF($J$50=$K$57,"","&lt;- Accts 0848 must agree")</f>
        <v/>
      </c>
    </row>
    <row r="58" spans="1:20" ht="16.5" customHeight="1" x14ac:dyDescent="0.2">
      <c r="A58" s="65"/>
      <c r="B58" s="50"/>
      <c r="C58" s="50"/>
      <c r="D58" s="50"/>
      <c r="E58" s="50"/>
      <c r="F58" s="50"/>
      <c r="G58" s="50"/>
      <c r="H58" s="50"/>
      <c r="I58" s="50"/>
      <c r="J58" s="79">
        <f>ROUND(SUM(J56:J56),2)</f>
        <v>203</v>
      </c>
      <c r="K58" s="79">
        <f>ROUND(SUM(K57),2)</f>
        <v>203</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395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395</v>
      </c>
    </row>
    <row r="70" spans="1:20" ht="16.5" customHeight="1" x14ac:dyDescent="0.2">
      <c r="B70" s="50"/>
      <c r="H70" s="27"/>
      <c r="J70" s="51">
        <f>SUM(J68)</f>
        <v>395</v>
      </c>
      <c r="K70" s="51">
        <f>SUM(K69)</f>
        <v>395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0808 - GENERAL GOV.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02079832-FCE1-4F52-8B5F-1AF12DC8037A}">
      <formula1>0</formula1>
    </dataValidation>
    <dataValidation type="whole" operator="greaterThanOrEqual" allowBlank="1" showErrorMessage="1" errorTitle="Whole Numbers Only" error="Enter amounts as whole numbers only." promptTitle="Whole Numbers" prompt="Enter whole numbers only." sqref="J15:J17 K18:K21" xr:uid="{44F3C637-D64B-4753-816F-6227F45EC9BD}">
      <formula1>0</formula1>
    </dataValidation>
    <dataValidation type="textLength" operator="equal" allowBlank="1" showInputMessage="1" showErrorMessage="1" errorTitle="4-Digit Org Code" error="Enter the Org Code/BU as 4 digits." sqref="F5" xr:uid="{CE872924-0757-4667-86C0-D9C2001DA496}">
      <formula1>4</formula1>
    </dataValidation>
    <dataValidation type="textLength" operator="lessThan" allowBlank="1" showInputMessage="1" showErrorMessage="1" sqref="E11 A6:A8" xr:uid="{0A51339D-E595-4CB6-BEE5-0526723BD059}">
      <formula1>0</formula1>
    </dataValidation>
    <dataValidation operator="lessThan" allowBlank="1" showInputMessage="1" showErrorMessage="1" sqref="A3:A5 A7:A8 A11" xr:uid="{E5919286-195F-4A27-B046-F4EA1C6E4A0C}"/>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A7C56D5-2A1C-4E21-AA42-D06F045F5D44}">
          <x14:formula1>
            <xm:f>'Drop Down Menus'!$B$1:$B$3</xm:f>
          </x14:formula1>
          <xm:sqref>F7</xm:sqref>
        </x14:dataValidation>
        <x14:dataValidation type="list" allowBlank="1" showInputMessage="1" showErrorMessage="1" xr:uid="{26A52F7B-7FA1-4C63-B2FD-45E38252B3BF}">
          <x14:formula1>
            <xm:f>'Drop Down Menus'!$A$1:$A$101</xm:f>
          </x14:formula1>
          <xm:sqref>F3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4616-D51F-45F5-A7FB-95A6C939CFE4}">
  <sheetPr>
    <tabColor theme="9" tint="0.59999389629810485"/>
    <pageSetUpPr fitToPage="1"/>
  </sheetPr>
  <dimension ref="A1:XFC115"/>
  <sheetViews>
    <sheetView topLeftCell="A62" zoomScale="70" zoomScaleNormal="70" workbookViewId="0">
      <selection activeCell="K37" sqref="K3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3320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GENERAL GOVERNMENT</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616020</v>
      </c>
      <c r="K15" s="42"/>
      <c r="M15" s="105">
        <v>616020</v>
      </c>
      <c r="P15" s="105">
        <v>616020</v>
      </c>
      <c r="S15" s="43">
        <f>M15-P15</f>
        <v>0</v>
      </c>
      <c r="T15" s="44" t="s">
        <v>1634</v>
      </c>
    </row>
    <row r="16" spans="1:25" ht="16.5" customHeight="1" x14ac:dyDescent="0.2">
      <c r="A16" s="45"/>
      <c r="B16" s="183" t="s">
        <v>1582</v>
      </c>
      <c r="C16" s="183"/>
      <c r="D16" s="183"/>
      <c r="E16" s="183"/>
      <c r="F16" s="183"/>
      <c r="G16" s="183"/>
      <c r="H16" s="183"/>
      <c r="I16" s="183"/>
      <c r="J16" s="41">
        <f>ROUND(P16,0)</f>
        <v>3072</v>
      </c>
      <c r="K16" s="42"/>
      <c r="M16" s="105">
        <v>3072</v>
      </c>
      <c r="P16" s="46">
        <f>IF(SUM($Q$18:$Q$19)&gt;$P$15,SUM($Q$18:$Q$19)-$P$15,0)</f>
        <v>3072</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308010</v>
      </c>
      <c r="N18" s="105">
        <v>308010</v>
      </c>
      <c r="Q18" s="105">
        <v>308010</v>
      </c>
      <c r="S18" s="43">
        <f>N18-Q18</f>
        <v>0</v>
      </c>
      <c r="T18" s="47" t="s">
        <v>1635</v>
      </c>
    </row>
    <row r="19" spans="1:25" ht="16.5" customHeight="1" x14ac:dyDescent="0.25">
      <c r="A19" s="45"/>
      <c r="B19" s="49"/>
      <c r="C19" s="183" t="s">
        <v>1618</v>
      </c>
      <c r="D19" s="183"/>
      <c r="E19" s="183"/>
      <c r="F19" s="183"/>
      <c r="G19" s="183"/>
      <c r="H19" s="183"/>
      <c r="I19" s="183"/>
      <c r="J19" s="42"/>
      <c r="K19" s="41">
        <f>ROUND(N19,0)</f>
        <v>311082</v>
      </c>
      <c r="N19" s="105">
        <v>311082</v>
      </c>
      <c r="Q19" s="105">
        <v>311082</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619092</v>
      </c>
      <c r="K22" s="51">
        <f>ROUND(SUM(K18:K21),0)</f>
        <v>619092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0808 - GENERAL GOV.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0808 - GENERAL GOV.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308010</v>
      </c>
      <c r="K45" s="78"/>
    </row>
    <row r="46" spans="1:20" ht="16.5" customHeight="1" x14ac:dyDescent="0.2">
      <c r="A46" s="45"/>
      <c r="B46" s="69"/>
      <c r="C46" s="183" t="s">
        <v>1581</v>
      </c>
      <c r="D46" s="183"/>
      <c r="E46" s="183"/>
      <c r="F46" s="183"/>
      <c r="G46" s="183"/>
      <c r="H46" s="183"/>
      <c r="I46" s="183"/>
      <c r="J46" s="68"/>
      <c r="K46" s="105">
        <f>J45</f>
        <v>308010</v>
      </c>
    </row>
    <row r="47" spans="1:20" ht="16.5" customHeight="1" x14ac:dyDescent="0.2">
      <c r="A47" s="65"/>
      <c r="B47" s="50"/>
      <c r="C47" s="50"/>
      <c r="D47" s="50"/>
      <c r="E47" s="50"/>
      <c r="F47" s="50"/>
      <c r="G47" s="50"/>
      <c r="H47" s="50"/>
      <c r="I47" s="50"/>
      <c r="J47" s="79">
        <f>ROUND(SUM(J45:J45),2)</f>
        <v>308010</v>
      </c>
      <c r="K47" s="79">
        <f>ROUND(SUM(K46),2)</f>
        <v>308010</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311082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4061</v>
      </c>
      <c r="K51" s="81"/>
    </row>
    <row r="52" spans="1:20" ht="16.5" customHeight="1" x14ac:dyDescent="0.25">
      <c r="A52" s="45"/>
      <c r="B52" s="49"/>
      <c r="C52" s="183" t="str">
        <f>VLOOKUP($F$8,'Drop Down Menus'!$D$2:$G$10,4,FALSE)</f>
        <v>Cr: Acct 0808 - GENERAL GOV. (GAAP ADJ)</v>
      </c>
      <c r="D52" s="183"/>
      <c r="E52" s="183"/>
      <c r="F52" s="183"/>
      <c r="G52" s="183"/>
      <c r="H52" s="183"/>
      <c r="I52" s="183"/>
      <c r="J52" s="81"/>
      <c r="K52" s="107">
        <f>+J50+J51</f>
        <v>315143</v>
      </c>
    </row>
    <row r="53" spans="1:20" ht="16.5" customHeight="1" x14ac:dyDescent="0.2">
      <c r="A53" s="65"/>
      <c r="B53" s="50"/>
      <c r="C53" s="50"/>
      <c r="D53" s="50"/>
      <c r="E53" s="50"/>
      <c r="F53" s="50"/>
      <c r="G53" s="50"/>
      <c r="H53" s="50"/>
      <c r="I53" s="50"/>
      <c r="J53" s="79">
        <f>ROUND(SUM(J50:J51),2)</f>
        <v>315143</v>
      </c>
      <c r="K53" s="79">
        <f>ROUND(SUM(K52,),2)</f>
        <v>315143</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311082</v>
      </c>
      <c r="K56" s="68"/>
    </row>
    <row r="57" spans="1:20" ht="16.5" customHeight="1" x14ac:dyDescent="0.25">
      <c r="A57" s="45"/>
      <c r="B57" s="49"/>
      <c r="C57" s="183" t="s">
        <v>1607</v>
      </c>
      <c r="D57" s="183"/>
      <c r="E57" s="183"/>
      <c r="F57" s="183"/>
      <c r="G57" s="183"/>
      <c r="H57" s="183"/>
      <c r="I57" s="183"/>
      <c r="J57" s="68"/>
      <c r="K57" s="105">
        <f>J50</f>
        <v>311082</v>
      </c>
      <c r="L57" s="27" t="str">
        <f>IF($J$50=$K$57,"","&lt;- Accts 0848 must agree")</f>
        <v/>
      </c>
    </row>
    <row r="58" spans="1:20" ht="16.5" customHeight="1" x14ac:dyDescent="0.2">
      <c r="A58" s="65"/>
      <c r="B58" s="50"/>
      <c r="C58" s="50"/>
      <c r="D58" s="50"/>
      <c r="E58" s="50"/>
      <c r="F58" s="50"/>
      <c r="G58" s="50"/>
      <c r="H58" s="50"/>
      <c r="I58" s="50"/>
      <c r="J58" s="79">
        <f>ROUND(SUM(J56:J56),2)</f>
        <v>311082</v>
      </c>
      <c r="K58" s="79">
        <f>ROUND(SUM(K57),2)</f>
        <v>311082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616020</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616020</v>
      </c>
    </row>
    <row r="70" spans="1:20" ht="16.5" customHeight="1" x14ac:dyDescent="0.2">
      <c r="B70" s="50"/>
      <c r="H70" s="27"/>
      <c r="J70" s="51">
        <f>SUM(J68)</f>
        <v>616020</v>
      </c>
      <c r="K70" s="51">
        <f>SUM(K69)</f>
        <v>616020</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0808 - GENERAL GOV.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0808 - GENERAL GOV.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AF010BC0-0AE5-4602-BA3E-9AEC87F6C7F5}">
      <formula1>0</formula1>
    </dataValidation>
    <dataValidation type="whole" operator="greaterThanOrEqual" allowBlank="1" showErrorMessage="1" errorTitle="Whole Numbers Only" error="Enter amounts as whole numbers only." promptTitle="Whole Numbers" prompt="Enter whole numbers only." sqref="J15:J17 K18:K21" xr:uid="{3EFE3C56-772B-488A-913B-38D901C581ED}">
      <formula1>0</formula1>
    </dataValidation>
    <dataValidation type="textLength" operator="equal" allowBlank="1" showInputMessage="1" showErrorMessage="1" errorTitle="4-Digit Org Code" error="Enter the Org Code/BU as 4 digits." sqref="F5" xr:uid="{ABEC5529-96CA-44AE-A94A-9BF67070ADAF}">
      <formula1>4</formula1>
    </dataValidation>
    <dataValidation type="textLength" operator="lessThan" allowBlank="1" showInputMessage="1" showErrorMessage="1" sqref="E11 A6:A8" xr:uid="{C3EAB269-226B-4615-AF52-E9E76F3C8E30}">
      <formula1>0</formula1>
    </dataValidation>
    <dataValidation operator="lessThan" allowBlank="1" showInputMessage="1" showErrorMessage="1" sqref="A3:A5 A7:A8 A11" xr:uid="{A66293C9-5FFD-4AFF-8124-A5148E541749}"/>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60F3047C-A2F5-4E4A-A186-553DC9389240}">
          <x14:formula1>
            <xm:f>'Drop Down Menus'!$B$1:$B$3</xm:f>
          </x14:formula1>
          <xm:sqref>F7</xm:sqref>
        </x14:dataValidation>
        <x14:dataValidation type="list" allowBlank="1" showInputMessage="1" showErrorMessage="1" xr:uid="{C724EDFC-E29F-478C-838B-7103796A4E6A}">
          <x14:formula1>
            <xm:f>'Drop Down Menus'!$A$1:$A$101</xm:f>
          </x14:formula1>
          <xm:sqref>F3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F33E3-FE00-4876-8F9A-E70ACCC5EBB6}">
  <sheetPr>
    <tabColor theme="9" tint="0.59999389629810485"/>
    <pageSetUpPr fitToPage="1"/>
  </sheetPr>
  <dimension ref="A1:XFC115"/>
  <sheetViews>
    <sheetView zoomScale="70" zoomScaleNormal="70" workbookViewId="0">
      <selection activeCell="B14" sqref="B14:K1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9731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1566</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PROPRIETARY FUND</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525859</v>
      </c>
      <c r="K15" s="42"/>
      <c r="M15" s="105">
        <v>525859</v>
      </c>
      <c r="P15" s="105">
        <v>525859</v>
      </c>
      <c r="S15" s="43">
        <f>M15-P15</f>
        <v>0</v>
      </c>
      <c r="T15" s="44" t="s">
        <v>1634</v>
      </c>
    </row>
    <row r="16" spans="1:25" ht="16.5" customHeight="1" x14ac:dyDescent="0.2">
      <c r="A16" s="45"/>
      <c r="B16" s="183" t="s">
        <v>1582</v>
      </c>
      <c r="C16" s="183"/>
      <c r="D16" s="183"/>
      <c r="E16" s="183"/>
      <c r="F16" s="183"/>
      <c r="G16" s="183"/>
      <c r="H16" s="183"/>
      <c r="I16" s="183"/>
      <c r="J16" s="41">
        <f>ROUND(P16,0)</f>
        <v>1348</v>
      </c>
      <c r="K16" s="42"/>
      <c r="M16" s="105">
        <v>1348</v>
      </c>
      <c r="P16" s="46">
        <f>IF(SUM($Q$18:$Q$19)&gt;$P$15,SUM($Q$18:$Q$19)-$P$15,0)</f>
        <v>1348</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395262</v>
      </c>
      <c r="N18" s="105">
        <v>395262</v>
      </c>
      <c r="Q18" s="105">
        <v>395262</v>
      </c>
      <c r="S18" s="43">
        <f>N18-Q18</f>
        <v>0</v>
      </c>
      <c r="T18" s="47" t="s">
        <v>1635</v>
      </c>
    </row>
    <row r="19" spans="1:25" ht="16.5" customHeight="1" x14ac:dyDescent="0.25">
      <c r="A19" s="45"/>
      <c r="B19" s="49"/>
      <c r="C19" s="183" t="s">
        <v>1618</v>
      </c>
      <c r="D19" s="183"/>
      <c r="E19" s="183"/>
      <c r="F19" s="183"/>
      <c r="G19" s="183"/>
      <c r="H19" s="183"/>
      <c r="I19" s="183"/>
      <c r="J19" s="42"/>
      <c r="K19" s="41">
        <f>ROUND(N19,0)</f>
        <v>131945</v>
      </c>
      <c r="N19" s="105">
        <v>131945</v>
      </c>
      <c r="Q19" s="105">
        <v>131945</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527207</v>
      </c>
      <c r="K22" s="51">
        <f>ROUND(SUM(K18:K21),0)</f>
        <v>527207</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0</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0</v>
      </c>
      <c r="L29" s="37"/>
      <c r="M29" s="37"/>
      <c r="N29" s="37"/>
      <c r="O29" s="37"/>
      <c r="P29" s="37"/>
      <c r="Q29" s="37"/>
      <c r="R29" s="37"/>
      <c r="S29" s="37"/>
      <c r="T29" s="37"/>
    </row>
    <row r="30" spans="1:25" ht="16.5" customHeight="1" x14ac:dyDescent="0.25">
      <c r="A30" s="45"/>
      <c r="B30" s="49"/>
      <c r="C30" s="183" t="str">
        <f>VLOOKUP($F$8,'Drop Down Menus'!$D$2:$G$10,4,FALSE)</f>
        <v>Cr: Acct 0870 - SERVICES &amp; CHARGES (MG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0</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0</v>
      </c>
      <c r="K35" s="68"/>
    </row>
    <row r="36" spans="1:20" ht="16.5" customHeight="1" x14ac:dyDescent="0.2">
      <c r="A36" s="45"/>
      <c r="B36" s="69"/>
      <c r="C36" s="183" t="s">
        <v>1575</v>
      </c>
      <c r="D36" s="183"/>
      <c r="E36" s="183"/>
      <c r="F36" s="183"/>
      <c r="G36" s="183"/>
      <c r="H36" s="183"/>
      <c r="I36" s="183"/>
      <c r="J36" s="68"/>
      <c r="K36" s="105">
        <v>0</v>
      </c>
    </row>
    <row r="37" spans="1:20" ht="16.5" customHeight="1" x14ac:dyDescent="0.2">
      <c r="A37" s="45"/>
      <c r="C37" s="183" t="s">
        <v>1618</v>
      </c>
      <c r="D37" s="183"/>
      <c r="E37" s="183"/>
      <c r="F37" s="183"/>
      <c r="G37" s="183"/>
      <c r="H37" s="183"/>
      <c r="I37" s="183"/>
      <c r="J37" s="68"/>
      <c r="K37" s="105">
        <v>0</v>
      </c>
    </row>
    <row r="38" spans="1:20" ht="16.5" customHeight="1" x14ac:dyDescent="0.25">
      <c r="A38" s="45"/>
      <c r="B38" s="49"/>
      <c r="C38" s="183" t="str">
        <f>VLOOKUP($F$8,'Drop Down Menus'!$D$2:$G$10,4,FALSE)</f>
        <v>Cr: Acct 0870 - SERVICES &amp; CHARGES (MG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62623</v>
      </c>
      <c r="K45" s="78"/>
    </row>
    <row r="46" spans="1:20" ht="16.5" customHeight="1" x14ac:dyDescent="0.2">
      <c r="A46" s="45"/>
      <c r="B46" s="69"/>
      <c r="C46" s="183" t="s">
        <v>1581</v>
      </c>
      <c r="D46" s="183"/>
      <c r="E46" s="183"/>
      <c r="F46" s="183"/>
      <c r="G46" s="183"/>
      <c r="H46" s="183"/>
      <c r="I46" s="183"/>
      <c r="J46" s="68"/>
      <c r="K46" s="105">
        <f>J45</f>
        <v>62623</v>
      </c>
    </row>
    <row r="47" spans="1:20" ht="16.5" customHeight="1" x14ac:dyDescent="0.2">
      <c r="A47" s="65"/>
      <c r="B47" s="50"/>
      <c r="C47" s="50"/>
      <c r="D47" s="50"/>
      <c r="E47" s="50"/>
      <c r="F47" s="50"/>
      <c r="G47" s="50"/>
      <c r="H47" s="50"/>
      <c r="I47" s="50"/>
      <c r="J47" s="79">
        <f>ROUND(SUM(J45:J45),2)</f>
        <v>62623</v>
      </c>
      <c r="K47" s="79">
        <f>ROUND(SUM(K46),2)</f>
        <v>62623</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63297</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0894 - INTEREST EXPENSE AND FISCAL CHARGES</v>
      </c>
      <c r="C51" s="183"/>
      <c r="D51" s="183"/>
      <c r="E51" s="183"/>
      <c r="F51" s="183"/>
      <c r="G51" s="183"/>
      <c r="H51" s="183"/>
      <c r="I51" s="183"/>
      <c r="J51" s="106">
        <v>253</v>
      </c>
      <c r="K51" s="81"/>
    </row>
    <row r="52" spans="1:20" ht="16.5" customHeight="1" x14ac:dyDescent="0.25">
      <c r="A52" s="45"/>
      <c r="B52" s="49"/>
      <c r="C52" s="183" t="str">
        <f>VLOOKUP($F$8,'Drop Down Menus'!$D$2:$G$10,4,FALSE)</f>
        <v>Cr: Acct 0870 - SERVICES &amp; CHARGES (MG ADJ)</v>
      </c>
      <c r="D52" s="183"/>
      <c r="E52" s="183"/>
      <c r="F52" s="183"/>
      <c r="G52" s="183"/>
      <c r="H52" s="183"/>
      <c r="I52" s="183"/>
      <c r="J52" s="81"/>
      <c r="K52" s="107">
        <f>+J50+J51</f>
        <v>63550</v>
      </c>
    </row>
    <row r="53" spans="1:20" ht="16.5" customHeight="1" x14ac:dyDescent="0.2">
      <c r="A53" s="65"/>
      <c r="B53" s="50"/>
      <c r="C53" s="50"/>
      <c r="D53" s="50"/>
      <c r="E53" s="50"/>
      <c r="F53" s="50"/>
      <c r="G53" s="50"/>
      <c r="H53" s="50"/>
      <c r="I53" s="50"/>
      <c r="J53" s="79">
        <f>ROUND(SUM(J50:J51),2)</f>
        <v>63550</v>
      </c>
      <c r="K53" s="79">
        <f>ROUND(SUM(K52,),2)</f>
        <v>63550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63297</v>
      </c>
      <c r="K56" s="68"/>
    </row>
    <row r="57" spans="1:20" ht="16.5" customHeight="1" x14ac:dyDescent="0.25">
      <c r="A57" s="45"/>
      <c r="B57" s="49"/>
      <c r="C57" s="183" t="s">
        <v>1607</v>
      </c>
      <c r="D57" s="183"/>
      <c r="E57" s="183"/>
      <c r="F57" s="183"/>
      <c r="G57" s="183"/>
      <c r="H57" s="183"/>
      <c r="I57" s="183"/>
      <c r="J57" s="68"/>
      <c r="K57" s="105">
        <f>J50</f>
        <v>63297</v>
      </c>
      <c r="L57" s="27" t="str">
        <f>IF($J$50=$K$57,"","&lt;- Accts 0848 must agree")</f>
        <v/>
      </c>
    </row>
    <row r="58" spans="1:20" ht="16.5" customHeight="1" x14ac:dyDescent="0.2">
      <c r="A58" s="65"/>
      <c r="B58" s="50"/>
      <c r="C58" s="50"/>
      <c r="D58" s="50"/>
      <c r="E58" s="50"/>
      <c r="F58" s="50"/>
      <c r="G58" s="50"/>
      <c r="H58" s="50"/>
      <c r="I58" s="50"/>
      <c r="J58" s="79">
        <f>ROUND(SUM(J56:J56),2)</f>
        <v>63297</v>
      </c>
      <c r="K58" s="79">
        <f>ROUND(SUM(K57),2)</f>
        <v>63297</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0</v>
      </c>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423898</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423898</v>
      </c>
    </row>
    <row r="70" spans="1:20" ht="16.5" customHeight="1" x14ac:dyDescent="0.2">
      <c r="B70" s="50"/>
      <c r="H70" s="27"/>
      <c r="J70" s="51">
        <f>SUM(J68)</f>
        <v>423898</v>
      </c>
      <c r="K70" s="51">
        <f>SUM(K69)</f>
        <v>423898</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68648</v>
      </c>
      <c r="K76" s="48"/>
    </row>
    <row r="77" spans="1:20" ht="16.5" customHeight="1" x14ac:dyDescent="0.2">
      <c r="B77" s="183" t="s">
        <v>1588</v>
      </c>
      <c r="C77" s="183"/>
      <c r="D77" s="183"/>
      <c r="E77" s="183"/>
      <c r="F77" s="183"/>
      <c r="G77" s="183"/>
      <c r="H77" s="183"/>
      <c r="I77" s="183"/>
      <c r="J77" s="108">
        <v>33987</v>
      </c>
      <c r="K77" s="48"/>
    </row>
    <row r="78" spans="1:20" ht="16.5" customHeight="1" x14ac:dyDescent="0.2">
      <c r="B78" s="183" t="str">
        <f>VLOOKUP($F$8,'Drop Down Menus'!$D$2:$G$10,3,FALSE)</f>
        <v>Dr: Acct 0875 - DEPRECIATION/AMORTIZATION (MG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101961</v>
      </c>
    </row>
    <row r="80" spans="1:20" ht="16.5" customHeight="1" x14ac:dyDescent="0.2">
      <c r="C80" s="183" t="str">
        <f>VLOOKUP($F$8,'Drop Down Menus'!$D$2:$G$10,4,FALSE)</f>
        <v>Cr: Acct 0870 - SERVICES &amp; CHARGES (MG ADJ)</v>
      </c>
      <c r="D80" s="183"/>
      <c r="E80" s="183"/>
      <c r="F80" s="183"/>
      <c r="G80" s="183"/>
      <c r="H80" s="183"/>
      <c r="I80" s="183"/>
      <c r="J80" s="48"/>
      <c r="K80" s="108">
        <v>674</v>
      </c>
    </row>
    <row r="81" spans="1:20" ht="16.5" customHeight="1" x14ac:dyDescent="0.2">
      <c r="B81" s="53"/>
      <c r="H81" s="27"/>
      <c r="J81" s="51">
        <f>ROUND(SUM(J76:J78),2)</f>
        <v>102635</v>
      </c>
      <c r="K81" s="51">
        <f>ROUND(SUM(K79:K80),2)</f>
        <v>102635</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096115E-EC52-4AD7-ACA9-DB3EE589BD5E}">
      <formula1>0</formula1>
    </dataValidation>
    <dataValidation type="whole" operator="greaterThanOrEqual" allowBlank="1" showErrorMessage="1" errorTitle="Whole Numbers Only" error="Enter amounts as whole numbers only." promptTitle="Whole Numbers" prompt="Enter whole numbers only." sqref="J15:J17 K18:K21" xr:uid="{20E9EA15-198F-42CF-80F2-AF5A5946A2C0}">
      <formula1>0</formula1>
    </dataValidation>
    <dataValidation type="textLength" operator="equal" allowBlank="1" showInputMessage="1" showErrorMessage="1" errorTitle="4-Digit Org Code" error="Enter the Org Code/BU as 4 digits." sqref="F5" xr:uid="{75B0704A-D004-4923-9006-812A7147F2D9}">
      <formula1>4</formula1>
    </dataValidation>
    <dataValidation type="textLength" operator="lessThan" allowBlank="1" showInputMessage="1" showErrorMessage="1" sqref="E11 A6:A8" xr:uid="{297D121E-15FD-4956-B3C3-D2E3BEBBBFF6}">
      <formula1>0</formula1>
    </dataValidation>
    <dataValidation operator="lessThan" allowBlank="1" showInputMessage="1" showErrorMessage="1" sqref="A3:A5 A7:A8 A11" xr:uid="{9E3302C3-4374-4142-BFE9-85AF694B2DA0}"/>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7302992-8E9C-4C10-9BA1-C8F5D8E9CA05}">
          <x14:formula1>
            <xm:f>'Drop Down Menus'!$B$1:$B$3</xm:f>
          </x14:formula1>
          <xm:sqref>F7</xm:sqref>
        </x14:dataValidation>
        <x14:dataValidation type="list" allowBlank="1" showInputMessage="1" showErrorMessage="1" xr:uid="{C31B6743-6398-491C-8E3C-9C27127C6EA3}">
          <x14:formula1>
            <xm:f>'Drop Down Menus'!$A$1:$A$101</xm:f>
          </x14:formula1>
          <xm:sqref>F3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7EED-A6FB-4E56-97BC-5F60D06644C6}">
  <sheetPr>
    <tabColor theme="9" tint="0.59999389629810485"/>
    <pageSetUpPr fitToPage="1"/>
  </sheetPr>
  <dimension ref="A1:XFC115"/>
  <sheetViews>
    <sheetView topLeftCell="A73"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241</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9740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1566</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PROPRIETARY FUND</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14973</v>
      </c>
      <c r="K15" s="42"/>
      <c r="M15" s="105">
        <v>14973</v>
      </c>
      <c r="P15" s="105">
        <v>14973</v>
      </c>
      <c r="S15" s="43">
        <f>M15-P15</f>
        <v>0</v>
      </c>
      <c r="T15" s="44" t="s">
        <v>1634</v>
      </c>
    </row>
    <row r="16" spans="1:25" ht="16.5" customHeight="1" x14ac:dyDescent="0.2">
      <c r="A16" s="45"/>
      <c r="B16" s="183" t="s">
        <v>1582</v>
      </c>
      <c r="C16" s="183"/>
      <c r="D16" s="183"/>
      <c r="E16" s="183"/>
      <c r="F16" s="183"/>
      <c r="G16" s="183"/>
      <c r="H16" s="183"/>
      <c r="I16" s="183"/>
      <c r="J16" s="41">
        <f>ROUND(P16,0)</f>
        <v>34</v>
      </c>
      <c r="K16" s="42"/>
      <c r="M16" s="105">
        <v>34</v>
      </c>
      <c r="P16" s="46">
        <f>IF(SUM($Q$18:$Q$19)&gt;$P$15,SUM($Q$18:$Q$19)-$P$15,0)</f>
        <v>34</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11495</v>
      </c>
      <c r="N18" s="105">
        <v>11495</v>
      </c>
      <c r="Q18" s="105">
        <v>11495</v>
      </c>
      <c r="S18" s="43">
        <f>N18-Q18</f>
        <v>0</v>
      </c>
      <c r="T18" s="47" t="s">
        <v>1635</v>
      </c>
    </row>
    <row r="19" spans="1:25" ht="16.5" customHeight="1" x14ac:dyDescent="0.25">
      <c r="A19" s="45"/>
      <c r="B19" s="49"/>
      <c r="C19" s="183" t="s">
        <v>1618</v>
      </c>
      <c r="D19" s="183"/>
      <c r="E19" s="183"/>
      <c r="F19" s="183"/>
      <c r="G19" s="183"/>
      <c r="H19" s="183"/>
      <c r="I19" s="183"/>
      <c r="J19" s="42"/>
      <c r="K19" s="41">
        <f>ROUND(N19,0)</f>
        <v>3512</v>
      </c>
      <c r="N19" s="105">
        <v>3512</v>
      </c>
      <c r="Q19" s="105">
        <v>3512</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15007</v>
      </c>
      <c r="K22" s="51">
        <f>ROUND(SUM(K18:K21),0)</f>
        <v>15007</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0870 - SERVICES &amp; CHARGES (MG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0870 - SERVICES &amp; CHARGES (MG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3478</v>
      </c>
      <c r="K45" s="78"/>
    </row>
    <row r="46" spans="1:20" ht="16.5" customHeight="1" x14ac:dyDescent="0.2">
      <c r="A46" s="45"/>
      <c r="B46" s="69"/>
      <c r="C46" s="183" t="s">
        <v>1581</v>
      </c>
      <c r="D46" s="183"/>
      <c r="E46" s="183"/>
      <c r="F46" s="183"/>
      <c r="G46" s="183"/>
      <c r="H46" s="183"/>
      <c r="I46" s="183"/>
      <c r="J46" s="68"/>
      <c r="K46" s="105">
        <f>J45</f>
        <v>3478</v>
      </c>
    </row>
    <row r="47" spans="1:20" ht="16.5" customHeight="1" x14ac:dyDescent="0.2">
      <c r="A47" s="65"/>
      <c r="B47" s="50"/>
      <c r="C47" s="50"/>
      <c r="D47" s="50"/>
      <c r="E47" s="50"/>
      <c r="F47" s="50"/>
      <c r="G47" s="50"/>
      <c r="H47" s="50"/>
      <c r="I47" s="50"/>
      <c r="J47" s="79">
        <f>ROUND(SUM(J45:J45),2)</f>
        <v>3478</v>
      </c>
      <c r="K47" s="79">
        <f>ROUND(SUM(K46),2)</f>
        <v>3478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3512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0894 - INTEREST EXPENSE AND FISCAL CHARGES</v>
      </c>
      <c r="C51" s="183"/>
      <c r="D51" s="183"/>
      <c r="E51" s="183"/>
      <c r="F51" s="183"/>
      <c r="G51" s="183"/>
      <c r="H51" s="183"/>
      <c r="I51" s="183"/>
      <c r="J51" s="106">
        <v>30</v>
      </c>
      <c r="K51" s="81"/>
    </row>
    <row r="52" spans="1:20" ht="16.5" customHeight="1" x14ac:dyDescent="0.25">
      <c r="A52" s="45"/>
      <c r="B52" s="49"/>
      <c r="C52" s="183" t="str">
        <f>VLOOKUP($F$8,'Drop Down Menus'!$D$2:$G$10,4,FALSE)</f>
        <v>Cr: Acct 0870 - SERVICES &amp; CHARGES (MG ADJ)</v>
      </c>
      <c r="D52" s="183"/>
      <c r="E52" s="183"/>
      <c r="F52" s="183"/>
      <c r="G52" s="183"/>
      <c r="H52" s="183"/>
      <c r="I52" s="183"/>
      <c r="J52" s="81"/>
      <c r="K52" s="107">
        <f>+J50+J51</f>
        <v>3542</v>
      </c>
    </row>
    <row r="53" spans="1:20" ht="16.5" customHeight="1" x14ac:dyDescent="0.2">
      <c r="A53" s="65"/>
      <c r="B53" s="50"/>
      <c r="C53" s="50"/>
      <c r="D53" s="50"/>
      <c r="E53" s="50"/>
      <c r="F53" s="50"/>
      <c r="G53" s="50"/>
      <c r="H53" s="50"/>
      <c r="I53" s="50"/>
      <c r="J53" s="79">
        <f>ROUND(SUM(J50:J51),2)</f>
        <v>3542</v>
      </c>
      <c r="K53" s="79">
        <f>ROUND(SUM(K52,),2)</f>
        <v>3542</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3512</v>
      </c>
      <c r="K56" s="68"/>
    </row>
    <row r="57" spans="1:20" ht="16.5" customHeight="1" x14ac:dyDescent="0.25">
      <c r="A57" s="45"/>
      <c r="B57" s="49"/>
      <c r="C57" s="183" t="s">
        <v>1607</v>
      </c>
      <c r="D57" s="183"/>
      <c r="E57" s="183"/>
      <c r="F57" s="183"/>
      <c r="G57" s="183"/>
      <c r="H57" s="183"/>
      <c r="I57" s="183"/>
      <c r="J57" s="68"/>
      <c r="K57" s="105">
        <f>J50</f>
        <v>3512</v>
      </c>
      <c r="L57" s="27" t="str">
        <f>IF($J$50=$K$57,"","&lt;- Accts 0848 must agree")</f>
        <v/>
      </c>
    </row>
    <row r="58" spans="1:20" ht="16.5" customHeight="1" x14ac:dyDescent="0.2">
      <c r="A58" s="65"/>
      <c r="B58" s="50"/>
      <c r="C58" s="50"/>
      <c r="D58" s="50"/>
      <c r="E58" s="50"/>
      <c r="F58" s="50"/>
      <c r="G58" s="50"/>
      <c r="H58" s="50"/>
      <c r="I58" s="50"/>
      <c r="J58" s="79">
        <f>ROUND(SUM(J56:J56),2)</f>
        <v>3512</v>
      </c>
      <c r="K58" s="79">
        <f>ROUND(SUM(K57),2)</f>
        <v>3512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14973</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14973</v>
      </c>
    </row>
    <row r="70" spans="1:20" ht="16.5" customHeight="1" x14ac:dyDescent="0.2">
      <c r="B70" s="50"/>
      <c r="H70" s="27"/>
      <c r="J70" s="51">
        <f>SUM(J68)</f>
        <v>14973</v>
      </c>
      <c r="K70" s="51">
        <f>SUM(K69)</f>
        <v>14973</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0875 - DEPRECIATION/AMORTIZATION (MG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0870 - SERVICES &amp; CHARGES (MG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2C575371-776C-4B88-AC06-7237D30F076F}">
      <formula1>0</formula1>
    </dataValidation>
    <dataValidation type="whole" operator="greaterThanOrEqual" allowBlank="1" showErrorMessage="1" errorTitle="Whole Numbers Only" error="Enter amounts as whole numbers only." promptTitle="Whole Numbers" prompt="Enter whole numbers only." sqref="J15:J17 K18:K21" xr:uid="{97D2609A-2A7D-43C3-B260-C0C4FF84BBCA}">
      <formula1>0</formula1>
    </dataValidation>
    <dataValidation type="textLength" operator="equal" allowBlank="1" showInputMessage="1" showErrorMessage="1" errorTitle="4-Digit Org Code" error="Enter the Org Code/BU as 4 digits." sqref="F5" xr:uid="{BF1DA60A-D6F9-4043-86CC-3F4BC0D59640}">
      <formula1>4</formula1>
    </dataValidation>
    <dataValidation type="textLength" operator="lessThan" allowBlank="1" showInputMessage="1" showErrorMessage="1" sqref="E11 A6:A8" xr:uid="{F75E1F93-E897-4FE5-802A-35A660823ED7}">
      <formula1>0</formula1>
    </dataValidation>
    <dataValidation operator="lessThan" allowBlank="1" showInputMessage="1" showErrorMessage="1" sqref="A3:A5 A7:A8 A11" xr:uid="{B4B3CE6F-A055-4651-BA01-9628CF7C3AB8}"/>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AB749C40-A5C5-41AA-A24D-24D8DEEF1CD4}">
          <x14:formula1>
            <xm:f>'Drop Down Menus'!$B$1:$B$3</xm:f>
          </x14:formula1>
          <xm:sqref>F7</xm:sqref>
        </x14:dataValidation>
        <x14:dataValidation type="list" allowBlank="1" showInputMessage="1" showErrorMessage="1" xr:uid="{6A1D5479-1BDB-4C05-8C5B-4B96A2200FE8}">
          <x14:formula1>
            <xm:f>'Drop Down Menus'!$A$1:$A$101</xm:f>
          </x14:formula1>
          <xm:sqref>F3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pageSetUpPr fitToPage="1"/>
  </sheetPr>
  <dimension ref="A1:K101"/>
  <sheetViews>
    <sheetView zoomScale="80" zoomScaleNormal="80" workbookViewId="0">
      <selection activeCell="D70" sqref="D7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820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f>1759529+1</f>
        <v>1759530</v>
      </c>
      <c r="C16" s="2">
        <v>70929</v>
      </c>
      <c r="D16" s="199" t="s">
        <v>1536</v>
      </c>
      <c r="E16" s="118"/>
      <c r="F16" s="118"/>
      <c r="G16" s="118"/>
      <c r="H16" s="118"/>
      <c r="I16" s="118"/>
      <c r="J16" s="118"/>
      <c r="K16" s="118"/>
    </row>
    <row r="17" spans="1:11" ht="15" customHeight="1" x14ac:dyDescent="0.2">
      <c r="A17" s="115" t="str">
        <f>LEFT(A16,4)+1&amp;"–"&amp;RIGHT(A16,4)+1</f>
        <v>2025–2026</v>
      </c>
      <c r="B17" s="2">
        <f>1767484-1</f>
        <v>1767483</v>
      </c>
      <c r="C17" s="2">
        <v>24466</v>
      </c>
      <c r="D17" s="199"/>
      <c r="E17" s="118"/>
      <c r="F17" s="118"/>
      <c r="G17" s="118"/>
      <c r="H17" s="118"/>
      <c r="I17" s="118"/>
      <c r="J17" s="118"/>
      <c r="K17" s="118"/>
    </row>
    <row r="18" spans="1:11" ht="15" customHeight="1" x14ac:dyDescent="0.2">
      <c r="A18" s="115" t="str">
        <f>LEFT(A17,4)+1&amp;"–"&amp;RIGHT(A17,4)+1</f>
        <v>2026–2027</v>
      </c>
      <c r="B18" s="2">
        <f>102140-1</f>
        <v>102139</v>
      </c>
      <c r="C18" s="2">
        <v>2603</v>
      </c>
      <c r="D18" s="17" t="s">
        <v>115</v>
      </c>
      <c r="E18" s="118"/>
      <c r="F18" s="118"/>
      <c r="G18" s="118"/>
      <c r="H18" s="118"/>
      <c r="I18" s="118"/>
      <c r="J18" s="118"/>
      <c r="K18" s="118"/>
    </row>
    <row r="19" spans="1:11" ht="15" customHeight="1" x14ac:dyDescent="0.2">
      <c r="A19" s="115" t="str">
        <f>LEFT(A18,4)+1&amp;"–"&amp;RIGHT(A18,4)+1</f>
        <v>2027–2028</v>
      </c>
      <c r="B19" s="2">
        <f>52928-3</f>
        <v>52925</v>
      </c>
      <c r="C19" s="2">
        <v>371</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1656</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1656</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820</v>
      </c>
      <c r="C43" s="198"/>
    </row>
    <row r="44" spans="1:11" ht="15.75" x14ac:dyDescent="0.25">
      <c r="A44" s="113" t="s">
        <v>1594</v>
      </c>
      <c r="B44" s="197" t="str">
        <f>B13</f>
        <v>Department of Justice</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t="s">
        <v>115</v>
      </c>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v>0</v>
      </c>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t="s">
        <v>115</v>
      </c>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t="s">
        <v>115</v>
      </c>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t="s">
        <v>115</v>
      </c>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t="s">
        <v>1656</v>
      </c>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820</v>
      </c>
      <c r="C74" s="198"/>
    </row>
    <row r="75" spans="1:4" ht="15.75" x14ac:dyDescent="0.25">
      <c r="A75" s="113" t="s">
        <v>1594</v>
      </c>
      <c r="B75" s="197" t="str">
        <f>B13</f>
        <v>Department of Justice</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11" sqref="N11"/>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0012 Journal Entries'!$F$5&amp;" "&amp;'Fund 0012 Journal Entries'!$F$4</f>
        <v>Business Unit 0820 Department of Justice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0012 Journal Entries'!$F$3,4)</f>
        <v>Balance
July 1, 2023</v>
      </c>
      <c r="G7" s="131"/>
      <c r="H7" s="132" t="s">
        <v>9</v>
      </c>
      <c r="I7" s="131"/>
      <c r="J7" s="132" t="s">
        <v>10</v>
      </c>
      <c r="K7" s="131"/>
      <c r="L7" s="130" t="str">
        <f>"Balance
June 30, "&amp;RIGHT('Fund 0012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0001 Journal Entries'!K19+'Fund 0012 Journal Entries'!K19+'Fund 0017 Journal Entries'!K19+'Fund 0044 Journal Entries'!K19+'Fund 0158 Journal Entries'!K19+'Fund 0367 Journal Entries'!K19+'Fund 0378 Journal Entries'!K19+'Fund 0460 Journal Entries'!K19+'Fund 0567 Journal Entries'!K19+'Fund 0569 Journal Entries'!K19+'Fund 0890 Journal Entries'!K19+'Fund 1008 Journal Entries'!K19+'Fund 3053 Journal Entries'!K19+'Fund 3086 Journal Entries'!K19+'Fund 3088 Journal Entries'!K19+'Fund 3297 Journal Entries'!K19+'Fund 3320 Journal Entries'!K19</f>
        <v>1983896</v>
      </c>
      <c r="H10" s="3">
        <f>'Fund 0001 Journal Entries'!K37+'Fund 0012 Journal Entries'!K37+'Fund 0017 Journal Entries'!K37+'Fund 0044 Journal Entries'!K37+'Fund 0158 Journal Entries'!K37+'Fund 0367 Journal Entries'!K37+'Fund 0378 Journal Entries'!K37+'Fund 0460 Journal Entries'!K37+'Fund 0567 Journal Entries'!K37+'Fund 0569 Journal Entries'!K37+'Fund 0890 Journal Entries'!K37+'Fund 1008 Journal Entries'!K37+'Fund 3053 Journal Entries'!K37+'Fund 3086 Journal Entries'!K37+'Fund 3088 Journal Entries'!K37+'Fund 3297 Journal Entries'!K37+'Fund 3320 Journal Entries'!K37+'Fund 0001 Journal Entries'!K85+'Fund 0012 Journal Entries'!K85+'Fund 0017 Journal Entries'!K85+'Fund 0044 Journal Entries'!K85+'Fund 0158 Journal Entries'!K85+'Fund 0367 Journal Entries'!K85+'Fund 0378 Journal Entries'!K85+'Fund 0460 Journal Entries'!K85+'Fund 0567 Journal Entries'!K85+'Fund 0569 Journal Entries'!K85+'Fund 0890 Journal Entries'!K85+'Fund 1008 Journal Entries'!K85+'Fund 3053 Journal Entries'!K85+'Fund 3086 Journal Entries'!K85+'Fund 3088 Journal Entries'!K85+'Fund 3297 Journal Entries'!K85+'Fund 3320 Journal Entries'!K85</f>
        <v>4936827</v>
      </c>
      <c r="J10" s="3">
        <f>'Fund 0001 Journal Entries'!J56+'Fund 0012 Journal Entries'!J56+'Fund 0017 Journal Entries'!J56+'Fund 0044 Journal Entries'!J56+'Fund 0158 Journal Entries'!J56+'Fund 0367 Journal Entries'!J56+'Fund 0378 Journal Entries'!J56+'Fund 0460 Journal Entries'!J56+'Fund 0567 Journal Entries'!J56+'Fund 0569 Journal Entries'!J56+'Fund 0890 Journal Entries'!J56+'Fund 1008 Journal Entries'!J56+'Fund 3053 Journal Entries'!J56+'Fund 3086 Journal Entries'!J56+'Fund 3088 Journal Entries'!J56+'Fund 3297 Journal Entries'!J56+'Fund 3320 Journal Entries'!J56+'Fund 0001 Journal Entries'!J76+'Fund 0012 Journal Entries'!J76+'Fund 0017 Journal Entries'!J76+'Fund 0044 Journal Entries'!J76+'Fund 0158 Journal Entries'!J76+'Fund 0367 Journal Entries'!J76+'Fund 0378 Journal Entries'!J76+'Fund 0460 Journal Entries'!J76+'Fund 0567 Journal Entries'!J76+'Fund 0569 Journal Entries'!J76+'Fund 0890 Journal Entries'!J76+'Fund 1008 Journal Entries'!J76+'Fund 3053 Journal Entries'!J76+'Fund 3086 Journal Entries'!J76+'Fund 3088 Journal Entries'!J76+'Fund 3297 Journal Entries'!J76+'Fund 3320 Journal Entries'!J76</f>
        <v>3238646</v>
      </c>
      <c r="L10" s="134">
        <f>SUM(F10+H10-J10)</f>
        <v>3682077</v>
      </c>
      <c r="N10" s="3">
        <f>'Fund 0001 Journal Entries'!K62+'Fund 0012 Journal Entries'!K62+'Fund 0017 Journal Entries'!K62+'Fund 0044 Journal Entries'!K62+'Fund 0158 Journal Entries'!K62+'Fund 0367 Journal Entries'!K62+'Fund 0378 Journal Entries'!K62+'Fund 0460 Journal Entries'!K62+'Fund 0567 Journal Entries'!K62+'Fund 0569 Journal Entries'!K62+'Fund 0890 Journal Entries'!K62+'Fund 1008 Journal Entries'!K62+'Fund 3053 Journal Entries'!K62+'Fund 3086 Journal Entries'!K62+'Fund 3088 Journal Entries'!K62+'Fund 3297 Journal Entries'!K62+'Fund 3320 Journal Entries'!K62</f>
        <v>1759530</v>
      </c>
      <c r="P10" s="134">
        <f>L10-N10</f>
        <v>1922547</v>
      </c>
      <c r="Q10" s="129"/>
    </row>
    <row r="11" spans="2:17" ht="19.5" thickTop="1" thickBot="1" x14ac:dyDescent="0.3">
      <c r="B11" s="128"/>
      <c r="C11" s="208" t="s">
        <v>14</v>
      </c>
      <c r="D11" s="208"/>
      <c r="F11" s="135">
        <f>SUM(F10:F10)</f>
        <v>1983896</v>
      </c>
      <c r="H11" s="135">
        <f>SUM(H10:H10)</f>
        <v>4936827</v>
      </c>
      <c r="J11" s="135">
        <f>SUM(J10:J10)</f>
        <v>3238646</v>
      </c>
      <c r="L11" s="135">
        <f>SUM(L10:L10)</f>
        <v>3682077</v>
      </c>
      <c r="N11" s="135">
        <f>SUM(N10:N10)</f>
        <v>1759530</v>
      </c>
      <c r="P11" s="135">
        <f>SUM(P10:P10)</f>
        <v>1922547</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v>135457</v>
      </c>
      <c r="H14" s="3">
        <f>IF('Fund 0012 Journal Entries'!$F$7="Proprietary - Internal Service Fund",SUM('Fund 0012 Journal Entries'!$K$37,'Fund 0012 Journal Entries'!$K$85),0)</f>
        <v>0</v>
      </c>
      <c r="J14" s="3">
        <f>66809+68648</f>
        <v>135457</v>
      </c>
      <c r="L14" s="134">
        <f>SUM(F14+H14-J14)</f>
        <v>0</v>
      </c>
      <c r="N14" s="3">
        <f>IF('Fund 0012 Journal Entries'!$F$7="Proprietary - Internal Service Fund",'Fund 0012 Journal Entries'!$J$61,0)</f>
        <v>0</v>
      </c>
      <c r="P14" s="134">
        <f>L14-N14</f>
        <v>0</v>
      </c>
      <c r="Q14" s="129"/>
    </row>
    <row r="15" spans="2:17" ht="19.5" thickTop="1" thickBot="1" x14ac:dyDescent="0.3">
      <c r="B15" s="128"/>
      <c r="C15" s="208" t="s">
        <v>1578</v>
      </c>
      <c r="D15" s="208"/>
      <c r="F15" s="135">
        <f>SUM(F14:F14)</f>
        <v>135457</v>
      </c>
      <c r="H15" s="135">
        <f>SUM(H14:H14)</f>
        <v>0</v>
      </c>
      <c r="J15" s="135">
        <f>SUM(J14:J14)</f>
        <v>135457</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0012 Journal Entries'!$F$7="Proprietary - Enterprise Fund",'Fund 0012 Journal Entries'!$K$19,0)</f>
        <v>0</v>
      </c>
      <c r="H18" s="3">
        <f>IF('Fund 0012 Journal Entries'!$F$7="Proprietary - Enterprise Fund",SUM('Fund 0012 Journal Entries'!$K$37,'Fund 0012 Journal Entries'!$K$85),0)</f>
        <v>0</v>
      </c>
      <c r="J18" s="3">
        <f>IF('Fund 0012 Journal Entries'!$F$7="Proprietary - Enterprise Fund",SUM('Fund 0012 Journal Entries'!$J$56,'Fund 0012 Journal Entries'!$J$76),0)</f>
        <v>0</v>
      </c>
      <c r="L18" s="134">
        <f>SUM(F18+H18-J18)</f>
        <v>0</v>
      </c>
      <c r="N18" s="3">
        <f>IF('Fund 0012 Journal Entries'!$F$7="Proprietary - Enterprise Fund",'Fund 0012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92D050"/>
    <pageSetUpPr fitToPage="1"/>
  </sheetPr>
  <dimension ref="A1:XFC91"/>
  <sheetViews>
    <sheetView showGridLines="0" zoomScaleNormal="100" workbookViewId="0">
      <selection activeCell="L25" sqref="L25"/>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0012 Journal Entries'!K19+'Fund 0017 Journal Entries'!K19+'Fund 0044 Journal Entries'!K19+'Fund 0158 Journal Entries'!K19+'Fund 0367 Journal Entries'!K19+'Fund 0378 Journal Entries'!K19+'Fund 0460 Journal Entries'!K19+'Fund 0567 Journal Entries'!K19+'Fund 0569 Journal Entries'!K19+'Fund 0890 Journal Entries'!K19+'Fund 1008 Journal Entries'!K19+'Fund 3053 Journal Entries'!K19+'Fund 3086 Journal Entries'!K19+'Fund 3088 Journal Entries'!K19+'Fund 3297 Journal Entries'!K19+'Fund 3320 Journal Entries'!K19</f>
        <v>1983896</v>
      </c>
      <c r="C17" s="21" t="s">
        <v>1551</v>
      </c>
      <c r="D17" s="10">
        <f>'Fund 0001 Journal Entries'!K37+'Fund 0012 Journal Entries'!K37+'Fund 0017 Journal Entries'!K37+'Fund 0044 Journal Entries'!K37+'Fund 0158 Journal Entries'!K37+'Fund 0367 Journal Entries'!K37+'Fund 0378 Journal Entries'!K37+'Fund 0460 Journal Entries'!K37+'Fund 0567 Journal Entries'!K37+'Fund 0569 Journal Entries'!K37+'Fund 0890 Journal Entries'!K37+'Fund 1008 Journal Entries'!K37+'Fund 3053 Journal Entries'!K37+'Fund 3086 Journal Entries'!K37+'Fund 3088 Journal Entries'!K37+'Fund 3297 Journal Entries'!K37+'Fund 3320 Journal Entries'!K37</f>
        <v>4936827</v>
      </c>
      <c r="E17" s="22" t="s">
        <v>1553</v>
      </c>
      <c r="F17" s="10">
        <f>'Fund 0001 Journal Entries'!J56+'Fund 0012 Journal Entries'!J56+'Fund 0017 Journal Entries'!J56+'Fund 0044 Journal Entries'!J56+'Fund 0158 Journal Entries'!J56+'Fund 0367 Journal Entries'!J56+'Fund 0378 Journal Entries'!J56+'Fund 0460 Journal Entries'!J56+'Fund 0567 Journal Entries'!J56+'Fund 0569 Journal Entries'!J56+'Fund 0890 Journal Entries'!J56+'Fund 1008 Journal Entries'!J56+'Fund 3053 Journal Entries'!J56+'Fund 3086 Journal Entries'!J56+'Fund 3088 Journal Entries'!J56+'Fund 3297 Journal Entries'!J56+'Fund 3320 Journal Entries'!J56</f>
        <v>2285558</v>
      </c>
      <c r="G17" s="22" t="s">
        <v>1553</v>
      </c>
      <c r="H17" s="10">
        <f>'Fund 0001 Journal Entries'!J76+'Fund 0012 Journal Entries'!J76+'Fund 0017 Journal Entries'!J76+'Fund 0044 Journal Entries'!J76+'Fund 0158 Journal Entries'!J76+'Fund 0367 Journal Entries'!J76+'Fund 0378 Journal Entries'!J76+'Fund 0460 Journal Entries'!J76+'Fund 0567 Journal Entries'!J76+'Fund 0569 Journal Entries'!J76+'Fund 0890 Journal Entries'!J76+'Fund 1008 Journal Entries'!J76+'Fund 3053 Journal Entries'!J76+'Fund 3086 Journal Entries'!J76+'Fund 3088 Journal Entries'!J76+'Fund 3297 Journal Entries'!J76+'Fund 3320 Journal Entries'!J76</f>
        <v>953088</v>
      </c>
      <c r="I17" s="22" t="s">
        <v>1551</v>
      </c>
      <c r="J17" s="10">
        <f>'Fund 0001 Journal Entries'!K85+'Fund 0012 Journal Entries'!K85+'Fund 0017 Journal Entries'!K85+'Fund 0044 Journal Entries'!K85+'Fund 0158 Journal Entries'!K85+'Fund 0367 Journal Entries'!K85+'Fund 0378 Journal Entries'!K85+'Fund 0460 Journal Entries'!K85+'Fund 0567 Journal Entries'!K85+'Fund 0569 Journal Entries'!K85+'Fund 0890 Journal Entries'!K85+'Fund 1008 Journal Entries'!K85+'Fund 3053 Journal Entries'!K85+'Fund 3086 Journal Entries'!K85+'Fund 3088 Journal Entries'!K85+'Fund 3297 Journal Entries'!K85+'Fund 3320 Journal Entries'!K85</f>
        <v>0</v>
      </c>
      <c r="K17" s="22" t="s">
        <v>1555</v>
      </c>
      <c r="L17" s="11">
        <f>+B17+D17-F17-H17+J17</f>
        <v>3682077</v>
      </c>
      <c r="M17" s="22"/>
      <c r="N17" s="12">
        <f>ROUND(SUM('Department Note Disclosure'!$B$16:$B$39),0)</f>
        <v>3682077</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+'Fund 9731 Journal Entries'!K19+'Fund 9740 Journal Entries'!K19</f>
        <v>135457</v>
      </c>
      <c r="C25" s="21" t="s">
        <v>1551</v>
      </c>
      <c r="D25" s="10">
        <f>+'Fund 9731 Journal Entries'!K37+'Fund 9740 Journal Entries'!K37</f>
        <v>0</v>
      </c>
      <c r="E25" s="22" t="s">
        <v>1553</v>
      </c>
      <c r="F25" s="10">
        <f>+'Fund 9731 Journal Entries'!J56+'Fund 9740 Journal Entries'!J56</f>
        <v>66809</v>
      </c>
      <c r="G25" s="22" t="s">
        <v>1553</v>
      </c>
      <c r="H25" s="10">
        <f>+'Fund 9731 Journal Entries'!J76+'Fund 9740 Journal Entries'!J76</f>
        <v>68648</v>
      </c>
      <c r="I25" s="22" t="s">
        <v>1551</v>
      </c>
      <c r="J25" s="10">
        <f>+'Fund 9731 Journal Entries'!K85+'Fund 9740 Journal Entries'!K85</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v>0</v>
      </c>
      <c r="C34" s="21" t="s">
        <v>1551</v>
      </c>
      <c r="D34" s="10">
        <v>0</v>
      </c>
      <c r="E34" s="22" t="s">
        <v>1553</v>
      </c>
      <c r="F34" s="10">
        <v>0</v>
      </c>
      <c r="G34" s="22" t="s">
        <v>1553</v>
      </c>
      <c r="H34" s="10">
        <v>0</v>
      </c>
      <c r="I34" s="22" t="s">
        <v>1551</v>
      </c>
      <c r="J34" s="10">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Entries'!K62+'Fund 0012 Journal Entries'!K62+'Fund 0017 Journal Entries'!K62+'Fund 0044 Journal Entries'!K62+'Fund 0158 Journal Entries'!K62+'Fund 0367 Journal Entries'!K62+'Fund 0378 Journal Entries'!K62+'Fund 0460 Journal Entries'!K62+'Fund 0567 Journal Entries'!K62+'Fund 0569 Journal Entries'!K62+'Fund 0890 Journal Entries'!K62+'Fund 1008 Journal Entries'!K62+'Fund 3053 Journal Entries'!K62+'Fund 3086 Journal Entries'!K62+'Fund 3088 Journal Entries'!K62+'Fund 3297 Journal Entries'!K62+'Fund 3320 Journal Entries'!K62</f>
        <v>1759530</v>
      </c>
      <c r="C42" s="160"/>
      <c r="D42" s="159"/>
      <c r="E42" s="159"/>
      <c r="F42" s="159"/>
      <c r="G42" s="145"/>
      <c r="H42" s="159"/>
      <c r="I42" s="149"/>
      <c r="J42" s="159"/>
      <c r="K42" s="145"/>
      <c r="L42" s="158"/>
      <c r="M42" s="23"/>
      <c r="N42" s="12">
        <f>ROUND('Department Note Disclosure'!$B$16,0)</f>
        <v>1759530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+'Fund 9731 Journal Entries'!K62+'Fund 9740 Journal Entries'!K62</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1983896</v>
      </c>
      <c r="I64" s="25" t="s">
        <v>1555</v>
      </c>
      <c r="J64" s="14">
        <f>SUM(D64)</f>
        <v>1983896</v>
      </c>
      <c r="L64" s="164" t="str">
        <f>CONCATENATE("Balance July 1, ",LEFT('Department Note Disclosure'!$B$11,4))</f>
        <v>Balance July 1, 2023</v>
      </c>
      <c r="N64" s="14">
        <f>ROUND('SBITA Liabilities'!$F$10,0)</f>
        <v>1983896</v>
      </c>
      <c r="P64" s="13">
        <f>J64-N64</f>
        <v>0</v>
      </c>
    </row>
    <row r="65" spans="1:16383" x14ac:dyDescent="0.25">
      <c r="B65" s="162" t="s">
        <v>1620</v>
      </c>
      <c r="D65" s="14">
        <f>$D$17</f>
        <v>4936827</v>
      </c>
      <c r="E65" s="165" t="s">
        <v>1551</v>
      </c>
      <c r="F65" s="150" t="s">
        <v>1646</v>
      </c>
      <c r="H65" s="14">
        <f>J17</f>
        <v>0</v>
      </c>
      <c r="I65" s="25" t="s">
        <v>1555</v>
      </c>
      <c r="J65" s="14">
        <f>SUM(D65,H65)</f>
        <v>4936827</v>
      </c>
      <c r="L65" s="164" t="s">
        <v>9</v>
      </c>
      <c r="N65" s="14">
        <f>ROUND('SBITA Liabilities'!$H$10,0)</f>
        <v>4936827</v>
      </c>
      <c r="P65" s="13">
        <f>J65-N65</f>
        <v>0</v>
      </c>
    </row>
    <row r="66" spans="1:16383" x14ac:dyDescent="0.25">
      <c r="B66" s="162" t="s">
        <v>1554</v>
      </c>
      <c r="D66" s="14">
        <f>$F$17</f>
        <v>2285558</v>
      </c>
      <c r="E66" s="165" t="s">
        <v>1551</v>
      </c>
      <c r="F66" s="150" t="s">
        <v>1645</v>
      </c>
      <c r="H66" s="14">
        <f>H17</f>
        <v>953088</v>
      </c>
      <c r="I66" s="25" t="s">
        <v>1555</v>
      </c>
      <c r="J66" s="14">
        <f>SUM(D66,H66)</f>
        <v>3238646</v>
      </c>
      <c r="L66" s="164" t="s">
        <v>10</v>
      </c>
      <c r="N66" s="14">
        <f>ROUND('SBITA Liabilities'!$J$10,0)</f>
        <v>3238646</v>
      </c>
      <c r="P66" s="13">
        <f>J66-N66</f>
        <v>0</v>
      </c>
    </row>
    <row r="67" spans="1:16383" x14ac:dyDescent="0.25">
      <c r="B67" s="162" t="s">
        <v>1558</v>
      </c>
      <c r="D67" s="14">
        <f>$B$42</f>
        <v>1759530</v>
      </c>
      <c r="I67" s="25" t="s">
        <v>1555</v>
      </c>
      <c r="J67" s="14">
        <f>SUM(D67)</f>
        <v>1759530</v>
      </c>
      <c r="L67" s="164" t="s">
        <v>11</v>
      </c>
      <c r="N67" s="14">
        <f>ROUND('SBITA Liabilities'!$N$10,0)</f>
        <v>1759530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135457</v>
      </c>
      <c r="I74" s="25" t="s">
        <v>1555</v>
      </c>
      <c r="J74" s="14">
        <f>SUM(D74)</f>
        <v>135457</v>
      </c>
      <c r="L74" s="164" t="str">
        <f>CONCATENATE("Balance July 1, ",LEFT('Department Note Disclosure'!$B$11,4))</f>
        <v>Balance July 1, 2023</v>
      </c>
      <c r="N74" s="14">
        <f>ROUND('SBITA Liabilities'!$F$14,0)</f>
        <v>135457</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66809</v>
      </c>
      <c r="E76" s="165" t="s">
        <v>1551</v>
      </c>
      <c r="F76" s="150" t="s">
        <v>1645</v>
      </c>
      <c r="H76" s="14">
        <f>H25</f>
        <v>68648</v>
      </c>
      <c r="I76" s="25" t="s">
        <v>1555</v>
      </c>
      <c r="J76" s="14">
        <f>SUM(D76,H76)</f>
        <v>135457</v>
      </c>
      <c r="L76" s="164" t="s">
        <v>10</v>
      </c>
      <c r="N76" s="14">
        <f>ROUND('SBITA Liabilities'!$J$14,0)</f>
        <v>135457</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iRbb5yjDRmuMoioqYPPE5DHtO/W8XjeTozOaigj9L3Sj3AYOq8R1a50dv39vFn4RdTd/ikebarlBeBUjkKSDfg==" saltValue="GXjaDK5p/ZgyE64Ntg9djw=="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21</vt:i4>
      </vt:variant>
    </vt:vector>
  </HeadingPairs>
  <TitlesOfParts>
    <vt:vector size="45" baseType="lpstr">
      <vt:lpstr>Fund 0001 Journal Entries</vt:lpstr>
      <vt:lpstr>Fund 0012 Journal Entries</vt:lpstr>
      <vt:lpstr>Fund 0017 Journal Entries</vt:lpstr>
      <vt:lpstr>Fund 0044 Journal Entries</vt:lpstr>
      <vt:lpstr>Fund 0158 Journal Entries</vt:lpstr>
      <vt:lpstr>Fund 0367 Journal Entries</vt:lpstr>
      <vt:lpstr>Fund 0378 Journal Entries</vt:lpstr>
      <vt:lpstr>Fund 0460 Journal Entries</vt:lpstr>
      <vt:lpstr>Fund 0567 Journal Entries</vt:lpstr>
      <vt:lpstr>Fund 0569 Journal Entries</vt:lpstr>
      <vt:lpstr>Fund 0890 Journal Entries</vt:lpstr>
      <vt:lpstr>Fund 1008 Journal Entries</vt:lpstr>
      <vt:lpstr>Fund 3053 Journal Entries</vt:lpstr>
      <vt:lpstr>Fund 3086 Journal Entries</vt:lpstr>
      <vt:lpstr>Fund 3088 Journal Entries</vt:lpstr>
      <vt:lpstr>Fund 3297 Journal Entries</vt:lpstr>
      <vt:lpstr>Fund 3320 Journal Entries</vt:lpstr>
      <vt:lpstr>Fund 9731 Journal Entries</vt:lpstr>
      <vt:lpstr>Fund 9740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0012 Journal Entries'!Print_Area</vt:lpstr>
      <vt:lpstr>'Fund 0017 Journal Entries'!Print_Area</vt:lpstr>
      <vt:lpstr>'Fund 0044 Journal Entries'!Print_Area</vt:lpstr>
      <vt:lpstr>'Fund 0158 Journal Entries'!Print_Area</vt:lpstr>
      <vt:lpstr>'Fund 0367 Journal Entries'!Print_Area</vt:lpstr>
      <vt:lpstr>'Fund 0378 Journal Entries'!Print_Area</vt:lpstr>
      <vt:lpstr>'Fund 0460 Journal Entries'!Print_Area</vt:lpstr>
      <vt:lpstr>'Fund 0567 Journal Entries'!Print_Area</vt:lpstr>
      <vt:lpstr>'Fund 0569 Journal Entries'!Print_Area</vt:lpstr>
      <vt:lpstr>'Fund 0890 Journal Entries'!Print_Area</vt:lpstr>
      <vt:lpstr>'Fund 1008 Journal Entries'!Print_Area</vt:lpstr>
      <vt:lpstr>'Fund 3053 Journal Entries'!Print_Area</vt:lpstr>
      <vt:lpstr>'Fund 3086 Journal Entries'!Print_Area</vt:lpstr>
      <vt:lpstr>'Fund 3088 Journal Entries'!Print_Area</vt:lpstr>
      <vt:lpstr>'Fund 3297 Journal Entries'!Print_Area</vt:lpstr>
      <vt:lpstr>'Fund 3320 Journal Entries'!Print_Area</vt:lpstr>
      <vt:lpstr>'Fund 9731 Journal Entries'!Print_Area</vt:lpstr>
      <vt:lpstr>'Fund 9740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2025-02-26T19:07:15Z</dcterms:modified>
</cp:coreProperties>
</file>