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932C877A-388B-4BA9-A58E-85910F99BC12}" xr6:coauthVersionLast="47" xr6:coauthVersionMax="47" xr10:uidLastSave="{00000000-0000-0000-0000-000000000000}"/>
  <bookViews>
    <workbookView xWindow="39150" yWindow="-110" windowWidth="38620" windowHeight="21220" tabRatio="726" xr2:uid="{00000000-000D-0000-FFFF-FFFF00000000}"/>
  </bookViews>
  <sheets>
    <sheet name="Fund 0001 Journal Entries" sheetId="2" r:id="rId1"/>
    <sheet name="Fund 0159 Journal Entries" sheetId="11" r:id="rId2"/>
    <sheet name="Department Note Disclosure" sheetId="3" r:id="rId3"/>
    <sheet name="SBITA Liabilities" sheetId="4" r:id="rId4"/>
    <sheet name="Check Figures " sheetId="9" r:id="rId5"/>
    <sheet name="Drop Down Menus" sheetId="1" state="hidden" r:id="rId6"/>
    <sheet name="GAAP02Aindex" sheetId="7" state="hidden"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2">'Department Note Disclosure'!$A$3:$D$101</definedName>
    <definedName name="_xlnm.Print_Area" localSheetId="0">'Fund 0001 Journal Entries'!$A$1:$K$99</definedName>
    <definedName name="_xlnm.Print_Area" localSheetId="1">'Fund 0159 Journal Entries'!$A$1:$K$99</definedName>
    <definedName name="_xlnm.Print_Area" localSheetId="3">'SBITA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9" i="2" l="1"/>
  <c r="J17" i="9" l="1"/>
  <c r="H17" i="9"/>
  <c r="D17" i="9"/>
  <c r="N10" i="4"/>
  <c r="H10" i="4"/>
  <c r="K94" i="11"/>
  <c r="K86" i="11"/>
  <c r="J86" i="11"/>
  <c r="L86" i="11" s="1"/>
  <c r="K81" i="11"/>
  <c r="L81" i="11" s="1"/>
  <c r="J81" i="11"/>
  <c r="K70" i="11"/>
  <c r="J70" i="11"/>
  <c r="L70" i="11" s="1"/>
  <c r="J68" i="11"/>
  <c r="J63" i="11"/>
  <c r="K62" i="11"/>
  <c r="K63" i="11" s="1"/>
  <c r="L57" i="11"/>
  <c r="K57" i="11"/>
  <c r="L50" i="11" s="1"/>
  <c r="J53" i="11"/>
  <c r="K52" i="11"/>
  <c r="K53" i="11" s="1"/>
  <c r="B51" i="11"/>
  <c r="J47" i="11"/>
  <c r="K46" i="11"/>
  <c r="K47" i="11" s="1"/>
  <c r="K39" i="11"/>
  <c r="J39" i="11"/>
  <c r="L39" i="11" s="1"/>
  <c r="K31" i="11"/>
  <c r="J31" i="11"/>
  <c r="L31" i="11" s="1"/>
  <c r="A26" i="11"/>
  <c r="S21" i="11"/>
  <c r="Q20" i="11"/>
  <c r="S20" i="11" s="1"/>
  <c r="S19" i="11"/>
  <c r="K19" i="11"/>
  <c r="S18" i="11"/>
  <c r="K18" i="11"/>
  <c r="K95" i="11" s="1"/>
  <c r="S17" i="11"/>
  <c r="P16" i="11"/>
  <c r="J16" i="11" s="1"/>
  <c r="S15" i="11"/>
  <c r="J15" i="11"/>
  <c r="B14" i="11"/>
  <c r="A12" i="11"/>
  <c r="F8" i="11"/>
  <c r="C30" i="11" s="1"/>
  <c r="K97" i="11" l="1"/>
  <c r="K58" i="11"/>
  <c r="J56" i="11"/>
  <c r="L53" i="11"/>
  <c r="K20" i="11"/>
  <c r="J17" i="11" s="1"/>
  <c r="J22" i="11" s="1"/>
  <c r="K96" i="11"/>
  <c r="L63" i="11"/>
  <c r="L47" i="11"/>
  <c r="S16" i="11"/>
  <c r="C38" i="11"/>
  <c r="B78" i="11"/>
  <c r="C52" i="11"/>
  <c r="C80" i="11"/>
  <c r="F17" i="9" l="1"/>
  <c r="J10" i="4"/>
  <c r="J58" i="11"/>
  <c r="L58" i="11" s="1"/>
  <c r="K21" i="11"/>
  <c r="K22" i="11" s="1"/>
  <c r="L22" i="11" s="1"/>
  <c r="N18" i="4" l="1"/>
  <c r="K19" i="2"/>
  <c r="K18" i="2"/>
  <c r="J15" i="2"/>
  <c r="K94" i="2" s="1"/>
  <c r="S21" i="2"/>
  <c r="S19" i="2"/>
  <c r="S18" i="2"/>
  <c r="S17" i="2"/>
  <c r="S15" i="2"/>
  <c r="L57" i="2"/>
  <c r="K96" i="2" l="1"/>
  <c r="F10" i="4"/>
  <c r="B17" i="9"/>
  <c r="L50" i="2"/>
  <c r="J14" i="4" l="1"/>
  <c r="H18" i="4"/>
  <c r="H14" i="4"/>
  <c r="L84" i="9" l="1"/>
  <c r="L74" i="9"/>
  <c r="L64" i="9"/>
  <c r="H34" i="9"/>
  <c r="H86" i="9" s="1"/>
  <c r="J34" i="9"/>
  <c r="H85" i="9" s="1"/>
  <c r="J25" i="9"/>
  <c r="H75" i="9" s="1"/>
  <c r="H25" i="9"/>
  <c r="H76" i="9" s="1"/>
  <c r="H66" i="9"/>
  <c r="H65" i="9"/>
  <c r="K62" i="2"/>
  <c r="K52" i="2"/>
  <c r="K46" i="2"/>
  <c r="K95" i="2" s="1"/>
  <c r="B42" i="9" l="1"/>
  <c r="K97" i="2"/>
  <c r="J18" i="4"/>
  <c r="Q20" i="2"/>
  <c r="P16" i="2"/>
  <c r="J16" i="2" l="1"/>
  <c r="S16" i="2"/>
  <c r="K20" i="2"/>
  <c r="S20" i="2"/>
  <c r="D89" i="3"/>
  <c r="D58" i="3"/>
  <c r="K21" i="2" l="1"/>
  <c r="K22" i="2" s="1"/>
  <c r="J17" i="2"/>
  <c r="J22" i="2" s="1"/>
  <c r="D27" i="3"/>
  <c r="B25" i="9" l="1"/>
  <c r="D25" i="9"/>
  <c r="F25" i="9"/>
  <c r="B34" i="9"/>
  <c r="D34" i="9"/>
  <c r="F34" i="9"/>
  <c r="B49" i="9"/>
  <c r="B56" i="9"/>
  <c r="N14" i="4"/>
  <c r="F14" i="4"/>
  <c r="N74" i="9" s="1"/>
  <c r="F18" i="4"/>
  <c r="K53" i="2"/>
  <c r="L34" i="9" l="1"/>
  <c r="L25" i="9"/>
  <c r="C5" i="4"/>
  <c r="D86" i="3"/>
  <c r="D55" i="3"/>
  <c r="D24" i="3"/>
  <c r="L17" i="9" l="1"/>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s="1"/>
  <c r="P74" i="9" l="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l="1"/>
  <c r="P64" i="9" s="1"/>
  <c r="J76" i="9"/>
  <c r="P76" i="9" s="1"/>
  <c r="N86" i="9"/>
  <c r="J19" i="4"/>
  <c r="L18" i="4"/>
  <c r="D86" i="9"/>
  <c r="J86" i="9" s="1"/>
  <c r="P34" i="9"/>
  <c r="D35" i="9" s="1"/>
  <c r="D21" i="3"/>
  <c r="P86" i="9" l="1"/>
  <c r="K47" i="2"/>
  <c r="L47" i="2" s="1"/>
  <c r="K63" i="2"/>
  <c r="L63" i="2" s="1"/>
  <c r="P18" i="4"/>
  <c r="P19" i="4" s="1"/>
  <c r="L19" i="4"/>
  <c r="D67" i="9"/>
  <c r="J67" i="9" s="1"/>
  <c r="D77" i="9"/>
  <c r="P25" i="9"/>
  <c r="D27" i="9" s="1"/>
  <c r="J77" i="9" l="1"/>
  <c r="P77" i="9" s="1"/>
  <c r="D78" i="9" s="1"/>
  <c r="P67" i="9"/>
  <c r="D87" i="9"/>
  <c r="P57" i="9"/>
  <c r="B57" i="9" s="1"/>
  <c r="P42" i="9"/>
  <c r="B43" i="9" s="1"/>
  <c r="P50" i="9"/>
  <c r="B50" i="9" s="1"/>
  <c r="J87" i="9" l="1"/>
  <c r="P87" i="9" s="1"/>
  <c r="D88" i="9" s="1"/>
  <c r="D66" i="9"/>
  <c r="J66" i="9" l="1"/>
  <c r="P66" i="9" s="1"/>
  <c r="D65" i="9"/>
  <c r="J65" i="9" s="1"/>
  <c r="P17" i="9"/>
  <c r="D18" i="9" s="1"/>
  <c r="P65" i="9" l="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70" i="2"/>
  <c r="L70" i="2" s="1"/>
</calcChain>
</file>

<file path=xl/sharedStrings.xml><?xml version="1.0" encoding="utf-8"?>
<sst xmlns="http://schemas.openxmlformats.org/spreadsheetml/2006/main" count="7702" uniqueCount="1656">
  <si>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</si>
  <si>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</si>
  <si>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</si>
  <si>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</si>
  <si>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</si>
  <si>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</si>
  <si>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</si>
  <si>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</si>
  <si>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</si>
  <si>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</si>
  <si>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</si>
  <si>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</si>
  <si>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</si>
  <si>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</si>
  <si>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</si>
  <si>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</si>
  <si>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</si>
  <si>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</si>
  <si>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</si>
  <si>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</si>
  <si>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</si>
  <si>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</si>
  <si>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</si>
  <si>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</si>
  <si>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</si>
  <si>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</si>
  <si>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</si>
  <si>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</si>
  <si>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</si>
  <si>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</si>
  <si>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</si>
  <si>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</si>
  <si>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</si>
  <si>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</si>
  <si>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</si>
  <si>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</si>
  <si>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</si>
  <si>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</si>
  <si>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</si>
  <si>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</si>
  <si>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</si>
  <si>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</si>
  <si>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</si>
  <si>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</si>
  <si>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</si>
  <si>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</si>
  <si>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</si>
  <si>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</si>
  <si>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</si>
  <si>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</si>
  <si>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</si>
  <si>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</si>
  <si>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</si>
  <si>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</si>
  <si>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</si>
  <si>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</si>
  <si>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</si>
  <si>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</si>
  <si>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</si>
  <si>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</si>
  <si>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</si>
  <si>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</si>
  <si>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</si>
  <si>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</si>
  <si>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</si>
  <si>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</si>
  <si>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</si>
  <si>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</si>
  <si>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</si>
  <si>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</si>
  <si>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</si>
  <si>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</si>
  <si>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</si>
  <si>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</si>
  <si>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</si>
  <si>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</si>
  <si>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</si>
  <si>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</si>
  <si>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</si>
  <si>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</si>
  <si>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</si>
  <si>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</si>
  <si>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</si>
  <si>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</si>
  <si>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</si>
  <si>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</si>
  <si>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</si>
  <si>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</si>
  <si>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</si>
  <si>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</si>
  <si>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</si>
  <si>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</si>
  <si>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</si>
  <si>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</si>
  <si>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</si>
  <si>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</si>
  <si>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</si>
  <si>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</si>
  <si>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</si>
  <si>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</si>
  <si>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</si>
  <si>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</si>
  <si>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</si>
  <si>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</si>
  <si>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</si>
  <si>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</si>
  <si>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</si>
  <si>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</si>
  <si>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</si>
  <si>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</si>
  <si>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</si>
  <si>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</si>
  <si>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</si>
  <si>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</si>
  <si>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</si>
  <si>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</si>
  <si>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</si>
  <si>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</si>
  <si>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</si>
  <si>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</si>
  <si>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</si>
  <si>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</si>
  <si>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</si>
  <si>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</si>
  <si>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</si>
  <si>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</si>
  <si>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</si>
  <si>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</si>
  <si>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</si>
  <si>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</si>
  <si>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</si>
  <si>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</si>
  <si>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</si>
  <si>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</si>
  <si>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</si>
  <si>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</si>
  <si>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</si>
  <si>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</si>
  <si>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</si>
  <si>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</si>
  <si>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</si>
  <si>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</si>
  <si>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</si>
  <si>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</si>
  <si>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</si>
  <si>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</si>
  <si>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</si>
  <si>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</si>
  <si>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</si>
  <si>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</si>
  <si>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</si>
  <si>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</si>
  <si>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</si>
  <si>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</si>
  <si>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</si>
  <si>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</si>
  <si>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</si>
  <si>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</si>
  <si>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</si>
  <si>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</si>
  <si>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</si>
  <si>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</si>
  <si>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</si>
  <si>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</si>
  <si>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</si>
  <si>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</si>
  <si>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</si>
  <si>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</si>
  <si>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</si>
  <si>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</si>
  <si>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</si>
  <si>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</si>
  <si>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</si>
  <si>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</si>
  <si>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</si>
  <si>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</si>
  <si>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</si>
  <si>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</si>
  <si>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</si>
  <si>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</si>
  <si>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</si>
  <si>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</si>
  <si>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</si>
  <si>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</si>
  <si>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</si>
  <si>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</si>
  <si>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</si>
  <si>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</si>
  <si>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</si>
  <si>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</si>
  <si>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</si>
  <si>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</si>
  <si>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</si>
  <si>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</si>
  <si>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</si>
  <si>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</si>
  <si>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</si>
  <si>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</si>
  <si>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</si>
  <si>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</si>
  <si>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</si>
  <si>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</si>
  <si>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</si>
  <si>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</si>
  <si>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</si>
  <si>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</si>
  <si>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</si>
  <si>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</si>
  <si>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</si>
  <si>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</si>
  <si>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</si>
  <si>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</si>
  <si>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</si>
  <si>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</si>
  <si>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</si>
  <si>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</si>
  <si>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</si>
  <si>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</si>
  <si>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</si>
  <si>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</si>
  <si>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</si>
  <si>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</si>
  <si>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</si>
  <si>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</si>
  <si>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</si>
  <si>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</si>
  <si>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</si>
  <si>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</si>
  <si>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</si>
  <si>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</si>
  <si>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</si>
  <si>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</si>
  <si>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</si>
  <si>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</si>
  <si>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</si>
  <si>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</si>
  <si>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</si>
  <si>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</si>
  <si>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</si>
  <si>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</si>
  <si>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</si>
  <si>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</si>
  <si>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</si>
  <si>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</si>
  <si>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</si>
  <si>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</si>
  <si>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</si>
  <si>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</si>
  <si>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</si>
  <si>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</si>
  <si>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</si>
  <si>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</si>
  <si>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</si>
  <si>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</si>
  <si>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</si>
  <si>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</si>
  <si>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</si>
  <si>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</si>
  <si>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</si>
  <si>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</si>
  <si>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</si>
  <si>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</si>
  <si>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</si>
  <si>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</si>
  <si>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</si>
  <si>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</si>
  <si>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</si>
  <si>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</si>
  <si>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</si>
  <si>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</si>
  <si>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</si>
  <si>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</si>
  <si>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</si>
  <si>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</si>
  <si>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</si>
  <si>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</si>
  <si>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</si>
  <si>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</si>
  <si>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</si>
  <si>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</si>
  <si>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</si>
  <si>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</si>
  <si>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</si>
  <si>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</si>
  <si>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</si>
  <si>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</si>
  <si>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</si>
  <si>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</si>
  <si>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</si>
  <si>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</si>
  <si>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</si>
  <si>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</si>
  <si>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</si>
  <si>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</si>
  <si>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</si>
  <si>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</si>
  <si>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</si>
  <si>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</si>
  <si>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</si>
  <si>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</si>
  <si>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</si>
  <si>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</si>
  <si>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</si>
  <si>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</si>
  <si>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</si>
  <si>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</si>
  <si>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</si>
  <si>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</si>
  <si>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</si>
  <si>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</si>
  <si>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</si>
  <si>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</si>
  <si>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</si>
  <si>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</si>
  <si>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</si>
  <si>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</si>
  <si>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</si>
  <si>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</si>
  <si>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</si>
  <si>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</si>
  <si>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</si>
  <si>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</si>
  <si>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</si>
  <si>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</si>
  <si>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</si>
  <si>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</si>
  <si>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</si>
  <si>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</si>
  <si>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</si>
  <si>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</si>
  <si>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</si>
  <si>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</si>
  <si>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</si>
  <si>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</si>
  <si>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</si>
  <si>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</si>
  <si>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</si>
  <si>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</si>
  <si>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</si>
  <si>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</si>
  <si>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</si>
  <si>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</si>
  <si>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</si>
  <si>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</si>
  <si>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</si>
  <si>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</si>
  <si>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</si>
  <si>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</si>
  <si>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</si>
  <si>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</si>
  <si>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</si>
  <si>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</si>
  <si>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</si>
  <si>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</si>
  <si>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</si>
  <si>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</si>
  <si>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</si>
  <si>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</si>
  <si>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</si>
  <si>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</si>
  <si>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</si>
  <si>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</si>
  <si>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</si>
  <si>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</si>
  <si>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</si>
  <si>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</si>
  <si>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</si>
  <si>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</si>
  <si>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</si>
  <si>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</si>
  <si>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</si>
  <si>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</si>
  <si>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</si>
  <si>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</si>
  <si>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</si>
  <si>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</si>
  <si>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</si>
  <si>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</si>
  <si>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</si>
  <si>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</si>
  <si>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</si>
  <si>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</si>
  <si>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</si>
  <si>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</si>
  <si>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</si>
  <si>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</si>
  <si>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</si>
  <si>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</si>
  <si>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</si>
  <si>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</si>
  <si>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</si>
  <si>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</si>
  <si>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</si>
  <si>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</si>
  <si>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</si>
  <si>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</si>
  <si>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</si>
  <si>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</si>
  <si>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</si>
  <si>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</si>
  <si>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</si>
  <si>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</si>
  <si>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</si>
  <si>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</si>
  <si>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</si>
  <si>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</si>
  <si>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</si>
  <si>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</si>
  <si>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</si>
  <si>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</si>
  <si>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</si>
  <si>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</si>
  <si>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</si>
  <si>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</si>
  <si>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</si>
  <si>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</si>
  <si>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</si>
  <si>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</si>
  <si>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</si>
  <si>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</si>
  <si>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</si>
  <si>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</si>
  <si>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</si>
  <si>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</si>
  <si>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</si>
  <si>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</si>
  <si>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</si>
  <si>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</si>
  <si>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</si>
  <si>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</si>
  <si>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</si>
  <si>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</si>
  <si>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</si>
  <si>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</si>
  <si>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</si>
  <si>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</si>
  <si>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</si>
  <si>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</si>
  <si>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</si>
  <si>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</si>
  <si>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</si>
  <si>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</si>
  <si>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</si>
  <si>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</si>
  <si>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</si>
  <si>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</si>
  <si>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</si>
  <si>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</si>
  <si>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</si>
  <si>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</si>
  <si>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</si>
  <si>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</si>
  <si>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</si>
  <si>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</si>
  <si>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</si>
  <si>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</si>
  <si>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</si>
  <si>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</si>
  <si>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</si>
  <si>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</si>
  <si>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</si>
  <si>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</si>
  <si>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</si>
  <si>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</si>
  <si>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</si>
  <si>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</si>
  <si>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</si>
  <si>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</si>
  <si>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</si>
  <si>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</si>
  <si>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</si>
  <si>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</si>
  <si>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</si>
  <si>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</si>
  <si>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</si>
  <si>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</si>
  <si>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</si>
  <si>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</si>
  <si>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</si>
  <si>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</si>
  <si>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</si>
  <si>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</si>
  <si>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</si>
  <si>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</si>
  <si>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</si>
  <si>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</si>
  <si>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</si>
  <si>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</si>
  <si>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</si>
  <si>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</si>
  <si>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</si>
  <si>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</si>
  <si>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</si>
  <si>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</si>
  <si>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</si>
  <si>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</si>
  <si>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</si>
  <si>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</si>
  <si>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</si>
  <si>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</si>
  <si>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</si>
  <si>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</si>
  <si>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</si>
  <si>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</si>
  <si>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</si>
  <si>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</si>
  <si>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</si>
  <si>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</si>
  <si>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</si>
  <si>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</si>
  <si>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</si>
  <si>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</si>
  <si>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</si>
  <si>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</si>
  <si>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</si>
  <si>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</si>
  <si>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</si>
  <si>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</si>
  <si>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</si>
  <si>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</si>
  <si>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</si>
  <si>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</si>
  <si>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</si>
  <si>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</si>
  <si>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</si>
  <si>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</si>
  <si>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</si>
  <si>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</si>
  <si>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</si>
  <si>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</si>
  <si>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</si>
  <si>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</si>
  <si>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</si>
  <si>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</si>
  <si>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</si>
  <si>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</si>
  <si>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</si>
  <si>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</si>
  <si>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</si>
  <si>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</si>
  <si>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</si>
  <si>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</si>
  <si>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</si>
  <si>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</si>
  <si>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</si>
  <si>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</si>
  <si>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</si>
  <si>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</si>
  <si>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</si>
  <si>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</si>
  <si>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</si>
  <si>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</si>
  <si>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</si>
  <si>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</si>
  <si>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</si>
  <si>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</si>
  <si>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</si>
  <si>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</si>
  <si>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</si>
  <si>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</si>
  <si>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</si>
  <si>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</si>
  <si>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</si>
  <si>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</si>
  <si>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</si>
  <si>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</si>
  <si>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</si>
  <si>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</si>
  <si>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</si>
  <si>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</si>
  <si>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</si>
  <si>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</si>
  <si>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</si>
  <si>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</si>
  <si>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</si>
  <si>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</si>
  <si>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</si>
  <si>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</si>
  <si>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</si>
  <si>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</si>
  <si>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</si>
  <si>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</si>
  <si>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</si>
  <si>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</si>
  <si>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</si>
  <si>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</si>
  <si>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</si>
  <si>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</si>
  <si>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</si>
  <si>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</si>
  <si>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</si>
  <si>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</si>
  <si>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</si>
  <si>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</si>
  <si>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</si>
  <si>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</si>
  <si>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</si>
  <si>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</si>
  <si>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</si>
  <si>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</si>
  <si>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</si>
  <si>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</si>
  <si>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</si>
  <si>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</si>
  <si>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</si>
  <si>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</si>
  <si>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</si>
  <si>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</si>
  <si>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</si>
  <si>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</si>
  <si>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</si>
  <si>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</si>
  <si>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</si>
  <si>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</si>
  <si>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</si>
  <si>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</si>
  <si>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</si>
  <si>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</si>
  <si>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</si>
  <si>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</si>
  <si>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</si>
  <si>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</si>
  <si>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</si>
  <si>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</si>
  <si>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</si>
  <si>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</si>
  <si>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</si>
  <si>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</si>
  <si>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</si>
  <si>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</si>
  <si>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</si>
  <si>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</si>
  <si>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</si>
  <si>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</si>
  <si>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</si>
  <si>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</si>
  <si>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</si>
  <si>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</si>
  <si>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</si>
  <si>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</si>
  <si>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</si>
  <si>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</si>
  <si>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</si>
  <si>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</si>
  <si>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</si>
  <si>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</si>
  <si>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</si>
  <si>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</si>
  <si>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</si>
  <si>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</si>
  <si>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</si>
  <si>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</si>
  <si>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</si>
  <si>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</si>
  <si>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</si>
  <si>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</si>
  <si>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</si>
  <si>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</si>
  <si>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</si>
  <si>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</si>
  <si>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</si>
  <si>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</si>
  <si>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</si>
  <si>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</si>
  <si>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</si>
  <si>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</si>
  <si>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</si>
  <si>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</si>
  <si>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</si>
  <si>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</si>
  <si>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</si>
  <si>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</si>
  <si>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</si>
  <si>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</si>
  <si>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</si>
  <si>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</si>
  <si>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</si>
  <si>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</si>
  <si>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</si>
  <si>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</si>
  <si>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</si>
  <si>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</si>
  <si>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</si>
  <si>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</si>
  <si>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</si>
  <si>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</si>
  <si>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</si>
  <si>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</si>
  <si>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</si>
  <si>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</si>
  <si>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</si>
  <si>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</si>
  <si>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</si>
  <si>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</si>
  <si>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</si>
  <si>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</si>
  <si>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</si>
  <si>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</si>
  <si>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</si>
  <si>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</si>
  <si>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</si>
  <si>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</si>
  <si>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</si>
  <si>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</si>
  <si>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</si>
  <si>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</si>
  <si>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</si>
  <si>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</si>
  <si>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</si>
  <si>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</si>
  <si>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</si>
  <si>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</si>
  <si>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</si>
  <si>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</si>
  <si>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</si>
  <si>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</si>
  <si>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</si>
  <si>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</si>
  <si>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</si>
  <si>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</si>
  <si>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</si>
  <si>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</si>
  <si>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</si>
  <si>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</si>
  <si>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</si>
  <si>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</si>
  <si>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</si>
  <si>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</si>
  <si>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</si>
  <si>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</si>
  <si>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</si>
  <si>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</si>
  <si>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</si>
  <si>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</si>
  <si>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</si>
  <si>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</si>
  <si>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</si>
  <si>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</si>
  <si>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</si>
  <si>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</si>
  <si>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</si>
  <si>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</si>
  <si>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</si>
  <si>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</si>
  <si>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</si>
  <si>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</si>
  <si>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</si>
  <si>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</si>
  <si>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</si>
  <si>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</si>
  <si>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</si>
  <si>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</si>
  <si>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</si>
  <si>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</si>
  <si>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</si>
  <si>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</si>
  <si>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</si>
  <si>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</si>
  <si>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</si>
  <si>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</si>
  <si>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</si>
  <si>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</si>
  <si>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</si>
  <si>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</si>
  <si>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</si>
  <si>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</si>
  <si>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</si>
  <si>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</si>
  <si>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</si>
  <si>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</si>
  <si>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</si>
  <si>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</si>
  <si>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</si>
  <si>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</si>
  <si>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</si>
  <si>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</si>
  <si>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</si>
  <si>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</si>
  <si>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</si>
  <si>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</si>
  <si>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</si>
  <si>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</si>
  <si>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</si>
  <si>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</si>
  <si>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</si>
  <si>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</si>
  <si>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</si>
  <si>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</si>
  <si>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</si>
  <si>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</si>
  <si>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</si>
  <si>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</si>
  <si>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</si>
  <si>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</si>
  <si>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</si>
  <si>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</si>
  <si>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</si>
  <si>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</si>
  <si>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</si>
  <si>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</si>
  <si>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</si>
  <si>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</si>
  <si>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</si>
  <si>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</si>
  <si>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</si>
  <si>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</si>
  <si>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</si>
  <si>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</si>
  <si>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</si>
  <si>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</si>
  <si>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</si>
  <si>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</si>
  <si>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</si>
  <si>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</si>
  <si>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</si>
  <si>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</si>
  <si>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</si>
  <si>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</si>
  <si>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</si>
  <si>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</si>
  <si>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</si>
  <si>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</si>
  <si>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</si>
  <si>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</si>
  <si>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</si>
  <si>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</si>
  <si>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</si>
  <si>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</si>
  <si>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</si>
  <si>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</si>
  <si>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</si>
  <si>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</si>
  <si>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</si>
  <si>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</si>
  <si>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</si>
  <si>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</si>
  <si>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</si>
  <si>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</si>
  <si>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</si>
  <si>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</si>
  <si>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</si>
  <si>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</si>
  <si>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</si>
  <si>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</si>
  <si>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</si>
  <si>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</si>
  <si>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</si>
  <si>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</si>
  <si>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</si>
  <si>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</si>
  <si>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</si>
  <si>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</si>
  <si>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</si>
  <si>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</si>
  <si>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</si>
  <si>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</si>
  <si>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</si>
  <si>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</si>
  <si>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</si>
  <si>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</si>
  <si>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</si>
  <si>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</si>
  <si>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</si>
  <si>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</si>
  <si>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</si>
  <si>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</si>
  <si>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</si>
  <si>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</si>
  <si>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</si>
  <si>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</si>
  <si>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</si>
  <si>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</si>
  <si>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</si>
  <si>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</si>
  <si>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</si>
  <si>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</si>
  <si>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</si>
  <si>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</si>
  <si>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</si>
  <si>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</si>
  <si>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</si>
  <si>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</si>
  <si>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</si>
  <si>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</si>
  <si>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</si>
  <si>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</si>
  <si>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</si>
  <si>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</si>
  <si>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</si>
  <si>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</si>
  <si>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</si>
  <si>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</si>
  <si>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</si>
  <si>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</si>
  <si>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</si>
  <si>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</si>
  <si>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</si>
  <si>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</si>
  <si>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</si>
  <si>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</si>
  <si>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</si>
  <si>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</si>
  <si>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</si>
  <si>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</si>
  <si>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</si>
  <si>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</si>
  <si>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</si>
  <si>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</si>
  <si>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</si>
  <si>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</si>
  <si>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</si>
  <si>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</si>
  <si>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</si>
  <si>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</si>
  <si>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</si>
  <si>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</si>
  <si>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</si>
  <si>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</si>
  <si>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</si>
  <si>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</si>
  <si>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</si>
  <si>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</si>
  <si>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</si>
  <si>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</si>
  <si>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</si>
  <si>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</si>
  <si>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</si>
  <si>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</si>
  <si>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</si>
  <si>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</si>
  <si>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</si>
  <si>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</si>
  <si>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</si>
  <si>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</si>
  <si>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</si>
  <si>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</si>
  <si>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</si>
  <si>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</si>
  <si>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</si>
  <si>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</si>
  <si>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</si>
  <si>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</si>
  <si>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</si>
  <si>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</si>
  <si>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</si>
  <si>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</si>
  <si>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</si>
  <si>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</si>
  <si>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</si>
  <si>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</si>
  <si>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</si>
  <si>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</si>
  <si>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</si>
  <si>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</si>
  <si>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</si>
  <si>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</si>
  <si>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</si>
  <si>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</si>
  <si>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</si>
  <si>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</si>
  <si>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</si>
  <si>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</si>
  <si>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</si>
  <si>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</si>
  <si>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</si>
  <si>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</si>
  <si>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</si>
  <si>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</si>
  <si>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</si>
  <si>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</si>
  <si>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</si>
  <si>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</si>
  <si>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</si>
  <si>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</si>
  <si>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</si>
  <si>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</si>
  <si>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</si>
  <si>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</si>
  <si>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</si>
  <si>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</si>
  <si>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</si>
  <si>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</si>
  <si>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</si>
  <si>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</si>
  <si>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</si>
  <si>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</si>
  <si>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</si>
  <si>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</si>
  <si>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</si>
  <si>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</si>
  <si>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</si>
  <si>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</si>
  <si>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</si>
  <si>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</si>
  <si>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</si>
  <si>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</si>
  <si>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</si>
  <si>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</si>
  <si>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</si>
  <si>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</si>
  <si>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</si>
  <si>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</si>
  <si>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</si>
  <si>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</si>
  <si>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</si>
  <si>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</si>
  <si>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</si>
  <si>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</si>
  <si>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</si>
  <si>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</si>
  <si>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</si>
  <si>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</si>
  <si>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</si>
  <si>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</si>
  <si>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</si>
  <si>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</si>
  <si>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</si>
  <si>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</si>
  <si>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</si>
  <si>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</si>
  <si>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</si>
  <si>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</si>
  <si>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</si>
  <si>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</si>
  <si>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</si>
  <si>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</si>
  <si>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</si>
  <si>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</si>
  <si>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</si>
  <si>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</si>
  <si>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</si>
  <si>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</si>
  <si>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</si>
  <si>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</si>
  <si>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</si>
  <si>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</si>
  <si>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</si>
  <si>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</si>
  <si>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</si>
  <si>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</si>
  <si>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</si>
  <si>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</si>
  <si>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</si>
  <si>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</si>
  <si>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</si>
  <si>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</si>
  <si>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</si>
  <si>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</si>
  <si>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</si>
  <si>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</si>
  <si>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</si>
  <si>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</si>
  <si>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</si>
  <si>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</si>
  <si>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</si>
  <si>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</si>
  <si>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</si>
  <si>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</si>
  <si>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</si>
  <si>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</si>
  <si>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</si>
  <si>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</si>
  <si>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</si>
  <si>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</si>
  <si>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</si>
  <si>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</si>
  <si>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</si>
  <si>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</si>
  <si>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</si>
  <si>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</si>
  <si>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</si>
  <si>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</si>
  <si>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</si>
  <si>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</si>
  <si>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</si>
  <si>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</si>
  <si>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</si>
  <si>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</si>
  <si>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</si>
  <si>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</si>
  <si>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</si>
  <si>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</si>
  <si>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</si>
  <si>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</si>
  <si>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</si>
  <si>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</si>
  <si>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</si>
  <si>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</si>
  <si>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</si>
  <si>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</si>
  <si>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</si>
  <si>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</si>
  <si>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</si>
  <si>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</si>
  <si>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</si>
  <si>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</si>
  <si>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</si>
  <si>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</si>
  <si>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</si>
  <si>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</si>
  <si>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</si>
  <si>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</si>
  <si>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</si>
  <si>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</si>
  <si>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</si>
  <si>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</si>
  <si>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</si>
  <si>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</si>
  <si>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</si>
  <si>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</si>
  <si>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</si>
  <si>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</si>
  <si>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</si>
  <si>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</si>
  <si>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</si>
  <si>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</si>
  <si>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</si>
  <si>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</si>
  <si>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</si>
  <si>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</si>
  <si>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</si>
  <si>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</si>
  <si>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</si>
  <si>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</si>
  <si>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</si>
  <si>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</si>
  <si>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</si>
  <si>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</si>
  <si>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</si>
  <si>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</si>
  <si>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</si>
  <si>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</si>
  <si>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</si>
  <si>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</si>
  <si>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</si>
  <si>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</si>
  <si>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</si>
  <si>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</si>
  <si>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</si>
  <si>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</si>
  <si>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</si>
  <si>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</si>
  <si>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</si>
  <si>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</si>
  <si>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</si>
  <si>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</si>
  <si>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</si>
  <si>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</si>
  <si>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</si>
  <si>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</si>
  <si>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</si>
  <si>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</si>
  <si>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</si>
  <si>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</si>
  <si>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</si>
  <si>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</si>
  <si>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</si>
  <si>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</si>
  <si>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</si>
  <si>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</si>
  <si>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</si>
  <si>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</si>
  <si>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</si>
  <si>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</si>
  <si>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</si>
  <si>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</si>
  <si>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</si>
  <si>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</si>
  <si>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</si>
  <si>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</si>
  <si>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</si>
  <si>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</si>
  <si>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</si>
  <si>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</si>
  <si>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</si>
  <si>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</si>
  <si>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</si>
  <si>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</si>
  <si>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</si>
  <si>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</si>
  <si>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</si>
  <si>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</si>
  <si>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</si>
  <si>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</si>
  <si>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</si>
  <si>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</si>
  <si>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</si>
  <si>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</si>
  <si>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</si>
  <si>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</si>
  <si>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</si>
  <si>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</si>
  <si>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</si>
  <si>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</si>
  <si>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</si>
  <si>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</si>
  <si>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</si>
  <si>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</si>
  <si>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</si>
  <si>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</si>
  <si>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</si>
  <si>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</si>
  <si>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</si>
  <si>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</si>
  <si>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</si>
  <si>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</si>
  <si>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</si>
  <si>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</si>
  <si>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</si>
  <si>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</si>
  <si>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</si>
  <si>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</si>
  <si>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</si>
  <si>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</si>
  <si>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</si>
  <si>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</si>
  <si>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</si>
  <si>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</si>
  <si>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</si>
  <si>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</si>
  <si>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</si>
  <si>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</si>
  <si>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</si>
  <si>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</si>
  <si>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</si>
  <si>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</si>
  <si>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</si>
  <si>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</si>
  <si>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</si>
  <si>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</si>
  <si>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</si>
  <si>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</si>
  <si>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</si>
  <si>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</si>
  <si>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</si>
  <si>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</si>
  <si>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</si>
  <si>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</si>
  <si>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</si>
  <si>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</si>
  <si>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</si>
  <si>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</si>
  <si>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</si>
  <si>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</si>
  <si>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</si>
  <si>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</si>
  <si>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</si>
  <si>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</si>
  <si>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</si>
  <si>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</si>
  <si>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</si>
  <si>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</si>
  <si>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</si>
  <si>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</si>
  <si>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</si>
  <si>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</si>
  <si>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</si>
  <si>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</si>
  <si>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</si>
  <si>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</si>
  <si>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</si>
  <si>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</si>
  <si>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</si>
  <si>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</si>
  <si>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</si>
  <si>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</si>
  <si>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</si>
  <si>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</si>
  <si>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</si>
  <si>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</si>
  <si>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</si>
  <si>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</si>
  <si>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</si>
  <si>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</si>
  <si>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</si>
  <si>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</si>
  <si>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</si>
  <si>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</si>
  <si>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</si>
  <si>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</si>
  <si>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</si>
  <si>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</si>
  <si>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</si>
  <si>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</si>
  <si>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</si>
  <si>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</si>
  <si>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</si>
  <si>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</si>
  <si>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</si>
  <si>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</si>
  <si>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</si>
  <si>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</si>
  <si>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</si>
  <si>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</si>
  <si>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</si>
  <si>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</si>
  <si>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</si>
  <si>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</si>
  <si>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</si>
  <si>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</si>
  <si>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</si>
  <si>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</si>
  <si>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</si>
  <si>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</si>
  <si>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</si>
  <si>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</si>
  <si>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</si>
  <si>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</si>
  <si>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</si>
  <si>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</si>
  <si>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</si>
  <si>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</si>
  <si>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</si>
  <si>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</si>
  <si>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</si>
  <si>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</si>
  <si>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</si>
  <si>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</si>
  <si>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</si>
  <si>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</si>
  <si>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</si>
  <si>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</si>
  <si>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</si>
  <si>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</si>
  <si>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</si>
  <si>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</si>
  <si>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</si>
  <si>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</si>
  <si>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</si>
  <si>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</si>
  <si>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</si>
  <si>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</si>
  <si>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</si>
  <si>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</si>
  <si>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</si>
  <si>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</si>
  <si>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</si>
  <si>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</si>
  <si>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</si>
  <si>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</si>
  <si>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</si>
  <si>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</si>
  <si>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</si>
  <si>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</si>
  <si>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</si>
  <si>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</si>
  <si>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</si>
  <si>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</si>
  <si>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</si>
  <si>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</si>
  <si>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</si>
  <si>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</si>
  <si>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</si>
  <si>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</si>
  <si>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</si>
  <si>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</si>
  <si>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</si>
  <si>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</si>
  <si>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</si>
  <si>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</si>
  <si>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</si>
  <si>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</si>
  <si>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</si>
  <si>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</si>
  <si>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</si>
  <si>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</si>
  <si>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</si>
  <si>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</si>
  <si>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</si>
  <si>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</si>
  <si>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</si>
  <si>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</si>
  <si>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</si>
  <si>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</si>
  <si>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</si>
  <si>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</si>
  <si>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</si>
  <si>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</si>
  <si>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</si>
  <si>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</si>
  <si>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</si>
  <si>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</si>
  <si>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</si>
  <si>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</si>
  <si>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</si>
  <si>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</si>
  <si>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</si>
  <si>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</si>
  <si>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</si>
  <si>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</si>
  <si>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</si>
  <si>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</si>
  <si>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</si>
  <si>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</si>
  <si>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</si>
  <si>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</si>
  <si>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</si>
  <si>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</si>
  <si>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</si>
  <si>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</si>
  <si>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</si>
  <si>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</si>
  <si>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</si>
  <si>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</si>
  <si>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</si>
  <si>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</si>
  <si>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</si>
  <si>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</si>
  <si>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</si>
  <si>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</si>
  <si>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</si>
  <si>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</si>
  <si>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</si>
  <si>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</si>
  <si>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</si>
  <si>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</si>
  <si>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</si>
  <si>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</si>
  <si>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</si>
  <si>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</si>
  <si>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</si>
  <si>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</si>
  <si>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</si>
  <si>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</si>
  <si>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</si>
  <si>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</si>
  <si>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</si>
  <si>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</si>
  <si>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</si>
  <si>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</si>
  <si>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</si>
  <si>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</si>
  <si>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</si>
  <si>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</si>
  <si>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</si>
  <si>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</si>
  <si>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</si>
  <si>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</si>
  <si>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</si>
  <si>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</si>
  <si>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</si>
  <si>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</si>
  <si>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</si>
  <si>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</si>
  <si>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</si>
  <si>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</si>
  <si>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</si>
  <si>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</si>
  <si>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</si>
  <si>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</si>
  <si>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</si>
  <si>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</si>
  <si>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</si>
  <si>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</si>
  <si>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</si>
  <si>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</si>
  <si>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</si>
  <si>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</si>
  <si>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</si>
  <si>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</si>
  <si>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</si>
  <si>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</si>
  <si>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</si>
  <si>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</si>
  <si>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</si>
  <si>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</si>
  <si>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</si>
  <si>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</si>
  <si>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</si>
  <si>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</si>
  <si>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</si>
  <si>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</si>
  <si>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</si>
  <si>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</si>
  <si>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</si>
  <si>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</si>
  <si>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</si>
  <si>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</si>
  <si>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</si>
  <si>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</si>
  <si>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</si>
  <si>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</si>
  <si>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</si>
  <si>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</si>
  <si>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</si>
  <si>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</si>
  <si>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</si>
  <si>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</si>
  <si>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</si>
  <si>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</si>
  <si>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</si>
  <si>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</si>
  <si>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</si>
  <si>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</si>
  <si>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</si>
  <si>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</si>
  <si>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</si>
  <si>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</si>
  <si>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</si>
  <si>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</si>
  <si>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</si>
  <si>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</si>
  <si>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</si>
  <si>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</si>
  <si>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</si>
  <si>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</si>
  <si>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</si>
  <si>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</si>
  <si>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</si>
  <si>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</si>
  <si>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</si>
  <si>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</si>
  <si>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</si>
  <si>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</si>
  <si>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</si>
  <si>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</si>
  <si>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</si>
  <si>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</si>
  <si>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</si>
  <si>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</si>
  <si>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</si>
  <si>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</si>
  <si>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</si>
  <si>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</si>
  <si>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</si>
  <si>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</si>
  <si>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</si>
  <si>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</si>
  <si>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</si>
  <si>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</si>
  <si>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</si>
  <si>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</si>
  <si>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</si>
  <si>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</si>
  <si>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</si>
  <si>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</si>
  <si>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</si>
  <si>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</si>
  <si>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</si>
  <si>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</si>
  <si>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</si>
  <si>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</si>
  <si>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</si>
  <si>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</si>
  <si>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</si>
  <si>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</si>
  <si>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</si>
  <si>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</si>
  <si>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</si>
  <si>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</si>
  <si>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</si>
  <si>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</si>
  <si>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</si>
  <si>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</si>
  <si>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</si>
  <si>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</si>
  <si>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</si>
  <si>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</si>
  <si>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</si>
  <si>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</si>
  <si>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</si>
  <si>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</si>
  <si>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</si>
  <si>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</si>
  <si>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</si>
  <si>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</si>
  <si>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</si>
  <si>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</si>
  <si>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</si>
  <si>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</si>
  <si>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</si>
  <si>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</si>
  <si>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</si>
  <si>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</si>
  <si>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</si>
  <si>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</si>
  <si>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</si>
  <si>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</si>
  <si>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</si>
  <si>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</si>
  <si>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</si>
  <si>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</si>
  <si>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</si>
  <si>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</si>
  <si>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</si>
  <si>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</si>
  <si>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</si>
  <si>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</si>
  <si>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</si>
  <si>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</si>
  <si>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</si>
  <si>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</si>
  <si>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</si>
  <si>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</si>
  <si>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</si>
  <si>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</si>
  <si>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</si>
  <si>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</si>
  <si>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</si>
  <si>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</si>
  <si>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</si>
  <si>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</si>
  <si>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</si>
  <si>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</si>
  <si>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</si>
  <si>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</si>
  <si>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</si>
  <si>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</si>
  <si>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</si>
  <si>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</si>
  <si>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</si>
  <si>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</si>
  <si>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</si>
  <si>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</si>
  <si>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</si>
  <si>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</si>
  <si>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</si>
  <si>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</si>
  <si>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</si>
  <si>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</si>
  <si>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</si>
  <si>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</si>
  <si>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</si>
  <si>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</si>
  <si>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</si>
  <si>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</si>
  <si>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</si>
  <si>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</si>
  <si>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</si>
  <si>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</si>
  <si>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</si>
  <si>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</si>
  <si>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</si>
  <si>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</si>
  <si>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</si>
  <si>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</si>
  <si>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</si>
  <si>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</si>
  <si>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</si>
  <si>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</si>
  <si>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</si>
  <si>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</si>
  <si>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</si>
  <si>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</si>
  <si>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</si>
  <si>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</si>
  <si>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</si>
  <si>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</si>
  <si>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</si>
  <si>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</si>
  <si>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</si>
  <si>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</si>
  <si>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</si>
  <si>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</si>
  <si>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</si>
  <si>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Judicial Council of California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</si>
</sst>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K94" sqref="K94:K95"/>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174</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4150682</v>
      </c>
      <c r="K15" s="42"/>
      <c r="M15" s="105">
        <v>4150682</v>
      </c>
      <c r="P15" s="105">
        <v>4150682</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172945</v>
      </c>
      <c r="N18" s="105">
        <v>172945</v>
      </c>
      <c r="Q18" s="105">
        <v>172945</v>
      </c>
      <c r="S18" s="43">
        <f>N18-Q18</f>
        <v>0</v>
      </c>
      <c r="T18" s="47" t="s">
        <v>1635</v>
      </c>
    </row>
    <row r="19" spans="1:25" ht="16.5" customHeight="1" x14ac:dyDescent="0.25">
      <c r="A19" s="45"/>
      <c r="B19" s="49"/>
      <c r="C19" s="178" t="s">
        <v>1618</v>
      </c>
      <c r="D19" s="178"/>
      <c r="E19" s="178"/>
      <c r="F19" s="178"/>
      <c r="G19" s="178"/>
      <c r="H19" s="178"/>
      <c r="I19" s="178"/>
      <c r="J19" s="42"/>
      <c r="K19" s="41">
        <f>ROUND(N19,0)</f>
        <v>2099950</v>
      </c>
      <c r="N19" s="105">
        <v>2099950</v>
      </c>
      <c r="Q19" s="105">
        <v>2099950</v>
      </c>
      <c r="S19" s="43">
        <f>N19-Q19</f>
        <v>0</v>
      </c>
      <c r="T19" s="47" t="s">
        <v>1635</v>
      </c>
      <c r="X19" s="18"/>
    </row>
    <row r="20" spans="1:25" ht="16.5" customHeight="1" x14ac:dyDescent="0.25">
      <c r="A20" s="45"/>
      <c r="B20" s="49"/>
      <c r="C20" s="178" t="s">
        <v>1584</v>
      </c>
      <c r="D20" s="178"/>
      <c r="E20" s="178"/>
      <c r="F20" s="178"/>
      <c r="G20" s="178"/>
      <c r="H20" s="178"/>
      <c r="I20" s="178"/>
      <c r="K20" s="41">
        <f>ROUND(Q20,0)</f>
        <v>1877787</v>
      </c>
      <c r="N20" s="105">
        <v>1877787</v>
      </c>
      <c r="Q20" s="46">
        <f>IF(SUM($Q$18:$Q$19)&lt;$P$15,-SUM($Q$18:$Q$19)+$P$15,0)</f>
        <v>1877787</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4150682</v>
      </c>
      <c r="K22" s="51">
        <f>ROUND(SUM(K18:K21),0)</f>
        <v>4150682</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2075341.2099999993</v>
      </c>
      <c r="K45" s="78"/>
    </row>
    <row r="46" spans="1:20" ht="16.5" customHeight="1" x14ac:dyDescent="0.2">
      <c r="A46" s="45"/>
      <c r="B46" s="69"/>
      <c r="C46" s="178" t="s">
        <v>1581</v>
      </c>
      <c r="D46" s="178"/>
      <c r="E46" s="178"/>
      <c r="F46" s="178"/>
      <c r="G46" s="178"/>
      <c r="H46" s="178"/>
      <c r="I46" s="178"/>
      <c r="J46" s="68"/>
      <c r="K46" s="105">
        <f>J45</f>
        <v>2075341.2099999993</v>
      </c>
    </row>
    <row r="47" spans="1:20" ht="16.5" customHeight="1" x14ac:dyDescent="0.2">
      <c r="A47" s="65"/>
      <c r="B47" s="50"/>
      <c r="C47" s="50"/>
      <c r="D47" s="50"/>
      <c r="E47" s="50"/>
      <c r="F47" s="50"/>
      <c r="G47" s="50"/>
      <c r="H47" s="50"/>
      <c r="I47" s="50"/>
      <c r="J47" s="79">
        <f>ROUND(SUM(J45:J45),2)</f>
        <v>2075341.21</v>
      </c>
      <c r="K47" s="79">
        <f>ROUND(SUM(K46),2)</f>
        <v>2075341.21</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2099950</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45116</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f>+J50+J51</f>
        <v>2145066</v>
      </c>
    </row>
    <row r="53" spans="1:20" ht="16.5" customHeight="1" x14ac:dyDescent="0.2">
      <c r="A53" s="65"/>
      <c r="B53" s="50"/>
      <c r="C53" s="50"/>
      <c r="D53" s="50"/>
      <c r="E53" s="50"/>
      <c r="F53" s="50"/>
      <c r="G53" s="50"/>
      <c r="H53" s="50"/>
      <c r="I53" s="50"/>
      <c r="J53" s="79">
        <f>ROUND(SUM(J50:J51),2)</f>
        <v>2145066</v>
      </c>
      <c r="K53" s="79">
        <f>ROUND(SUM(K52,),2)</f>
        <v>2145066</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2099950</v>
      </c>
      <c r="K56" s="68"/>
    </row>
    <row r="57" spans="1:20" ht="16.5" customHeight="1" x14ac:dyDescent="0.25">
      <c r="A57" s="45"/>
      <c r="B57" s="49"/>
      <c r="C57" s="178" t="s">
        <v>1607</v>
      </c>
      <c r="D57" s="178"/>
      <c r="E57" s="178"/>
      <c r="F57" s="178"/>
      <c r="G57" s="178"/>
      <c r="H57" s="178"/>
      <c r="I57" s="178"/>
      <c r="J57" s="68"/>
      <c r="K57" s="105">
        <v>2099950</v>
      </c>
      <c r="L57" s="27" t="str">
        <f>IF($J$50=$K$57,"","&lt;- Accts 0848 must agree")</f>
        <v/>
      </c>
    </row>
    <row r="58" spans="1:20" ht="16.5" customHeight="1" x14ac:dyDescent="0.2">
      <c r="A58" s="65"/>
      <c r="B58" s="50"/>
      <c r="C58" s="50"/>
      <c r="D58" s="50"/>
      <c r="E58" s="50"/>
      <c r="F58" s="50"/>
      <c r="G58" s="50"/>
      <c r="H58" s="50"/>
      <c r="I58" s="50"/>
      <c r="J58" s="79">
        <f>ROUND(SUM(J56:J56),2)</f>
        <v>2099950</v>
      </c>
      <c r="K58" s="79">
        <f>ROUND(SUM(K57),2)</f>
        <v>2099950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0</v>
      </c>
      <c r="K61" s="78"/>
    </row>
    <row r="62" spans="1:20" ht="16.5" customHeight="1" x14ac:dyDescent="0.25">
      <c r="A62" s="45"/>
      <c r="B62" s="49"/>
      <c r="C62" s="178" t="s">
        <v>1616</v>
      </c>
      <c r="D62" s="178"/>
      <c r="E62" s="178"/>
      <c r="F62" s="178"/>
      <c r="G62" s="178"/>
      <c r="H62" s="178"/>
      <c r="I62" s="178"/>
      <c r="J62" s="78"/>
      <c r="K62" s="105">
        <f>J61</f>
        <v>0</v>
      </c>
    </row>
    <row r="63" spans="1:20" ht="16.5" customHeight="1" x14ac:dyDescent="0.2">
      <c r="A63" s="45"/>
      <c r="B63" s="192" t="s">
        <v>1615</v>
      </c>
      <c r="C63" s="192"/>
      <c r="D63" s="192"/>
      <c r="E63" s="192"/>
      <c r="F63" s="192"/>
      <c r="G63" s="192"/>
      <c r="H63" s="192"/>
      <c r="I63" s="192"/>
      <c r="J63" s="79">
        <f>ROUND(SUM(J61:J61),2)</f>
        <v>0</v>
      </c>
      <c r="K63" s="79">
        <f>ROUND(SUM(K62),2)</f>
        <v>0</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f>+J68</f>
        <v>0</v>
      </c>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4150682</v>
      </c>
      <c r="N94" s="104"/>
    </row>
    <row r="95" spans="1:20" ht="16.5" customHeight="1" x14ac:dyDescent="0.25">
      <c r="D95" s="49" t="s">
        <v>1631</v>
      </c>
      <c r="E95" s="100"/>
      <c r="F95" s="100"/>
      <c r="G95" s="100"/>
      <c r="H95" s="27"/>
      <c r="I95" s="100"/>
      <c r="J95" s="100"/>
      <c r="K95" s="103">
        <f>-K18-K46+J68+J77</f>
        <v>-2248286.209999999</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4"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3"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4ABBA-8C47-413A-AA79-21CFB6BC8658}">
  <sheetPr>
    <tabColor rgb="FF92D050"/>
    <pageSetUpPr fitToPage="1"/>
  </sheetPr>
  <dimension ref="A1:XFC115"/>
  <sheetViews>
    <sheetView zoomScale="70" zoomScaleNormal="70" workbookViewId="0">
      <selection activeCell="K94" sqref="K94:K95"/>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174</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159</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GENERAL GOVERNMENT</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431223</v>
      </c>
      <c r="K15" s="42"/>
      <c r="M15" s="105">
        <v>431223.34</v>
      </c>
      <c r="P15" s="105">
        <v>431223.34</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132684</v>
      </c>
      <c r="N18" s="105">
        <v>132684</v>
      </c>
      <c r="Q18" s="105">
        <v>132684</v>
      </c>
      <c r="S18" s="43">
        <f>N18-Q18</f>
        <v>0</v>
      </c>
      <c r="T18" s="47" t="s">
        <v>1635</v>
      </c>
    </row>
    <row r="19" spans="1:25" ht="16.5" customHeight="1" x14ac:dyDescent="0.25">
      <c r="A19" s="45"/>
      <c r="B19" s="49"/>
      <c r="C19" s="178" t="s">
        <v>1618</v>
      </c>
      <c r="D19" s="178"/>
      <c r="E19" s="178"/>
      <c r="F19" s="178"/>
      <c r="G19" s="178"/>
      <c r="H19" s="178"/>
      <c r="I19" s="178"/>
      <c r="J19" s="42"/>
      <c r="K19" s="41">
        <f>ROUND(N19,0)</f>
        <v>282705</v>
      </c>
      <c r="N19" s="105">
        <v>282705</v>
      </c>
      <c r="Q19" s="105">
        <v>282705</v>
      </c>
      <c r="S19" s="43">
        <f>N19-Q19</f>
        <v>0</v>
      </c>
      <c r="T19" s="47" t="s">
        <v>1635</v>
      </c>
      <c r="X19" s="18"/>
    </row>
    <row r="20" spans="1:25" ht="16.5" customHeight="1" x14ac:dyDescent="0.25">
      <c r="A20" s="45"/>
      <c r="B20" s="49"/>
      <c r="C20" s="178" t="s">
        <v>1584</v>
      </c>
      <c r="D20" s="178"/>
      <c r="E20" s="178"/>
      <c r="F20" s="178"/>
      <c r="G20" s="178"/>
      <c r="H20" s="178"/>
      <c r="I20" s="178"/>
      <c r="K20" s="41">
        <f>ROUND(Q20,0)</f>
        <v>15834</v>
      </c>
      <c r="N20" s="105">
        <v>15834</v>
      </c>
      <c r="Q20" s="46">
        <f>IF(SUM($Q$18:$Q$19)&lt;$P$15,-SUM($Q$18:$Q$19)+$P$15,0)</f>
        <v>15834.340000000026</v>
      </c>
      <c r="S20" s="43">
        <f>N20-Q20</f>
        <v>-0.34000000002561137</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431223</v>
      </c>
      <c r="K22" s="51">
        <f>ROUND(SUM(K18:K21),0)</f>
        <v>431223</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c r="L29" s="37"/>
      <c r="M29" s="37"/>
      <c r="N29" s="37"/>
      <c r="O29" s="37"/>
      <c r="P29" s="37"/>
      <c r="Q29" s="37"/>
      <c r="R29" s="37"/>
      <c r="S29" s="37"/>
      <c r="T29" s="37"/>
    </row>
    <row r="30" spans="1:25" ht="16.5" customHeight="1" x14ac:dyDescent="0.25">
      <c r="A30" s="45"/>
      <c r="B30" s="49"/>
      <c r="C30" s="178" t="str">
        <f>VLOOKUP($F$8,'Drop Down Menus'!$D$2:$G$10,4,FALSE)</f>
        <v>Cr: Acct 0808 - GENERAL GOV. (GAAP ADJ)</v>
      </c>
      <c r="D30" s="178"/>
      <c r="E30" s="178"/>
      <c r="F30" s="178"/>
      <c r="G30" s="178"/>
      <c r="H30" s="178"/>
      <c r="I30" s="178"/>
      <c r="J30" s="42"/>
      <c r="K30" s="105"/>
    </row>
    <row r="31" spans="1:25" ht="16.5" customHeight="1" x14ac:dyDescent="0.2">
      <c r="A31" s="65"/>
      <c r="B31" s="50"/>
      <c r="C31" s="50"/>
      <c r="D31" s="50"/>
      <c r="E31" s="50"/>
      <c r="F31" s="50"/>
      <c r="G31" s="50"/>
      <c r="H31" s="50"/>
      <c r="I31" s="50"/>
      <c r="J31" s="51">
        <f>ROUND(SUM(J28:J30),2)</f>
        <v>0</v>
      </c>
      <c r="K31" s="51">
        <f>ROUND(SUM(K28:K30),2)</f>
        <v>0</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c r="K35" s="68"/>
    </row>
    <row r="36" spans="1:20" ht="16.5" customHeight="1" x14ac:dyDescent="0.2">
      <c r="A36" s="45"/>
      <c r="B36" s="69"/>
      <c r="C36" s="178" t="s">
        <v>1575</v>
      </c>
      <c r="D36" s="178"/>
      <c r="E36" s="178"/>
      <c r="F36" s="178"/>
      <c r="G36" s="178"/>
      <c r="H36" s="178"/>
      <c r="I36" s="178"/>
      <c r="J36" s="68"/>
      <c r="K36" s="105"/>
    </row>
    <row r="37" spans="1:20" ht="16.5" customHeight="1" x14ac:dyDescent="0.2">
      <c r="A37" s="45"/>
      <c r="C37" s="178" t="s">
        <v>1618</v>
      </c>
      <c r="D37" s="178"/>
      <c r="E37" s="178"/>
      <c r="F37" s="178"/>
      <c r="G37" s="178"/>
      <c r="H37" s="178"/>
      <c r="I37" s="178"/>
      <c r="J37" s="68"/>
      <c r="K37" s="105"/>
    </row>
    <row r="38" spans="1:20" ht="16.5" customHeight="1" x14ac:dyDescent="0.25">
      <c r="A38" s="45"/>
      <c r="B38" s="49"/>
      <c r="C38" s="178" t="str">
        <f>VLOOKUP($F$8,'Drop Down Menus'!$D$2:$G$10,4,FALSE)</f>
        <v>Cr: Acct 0808 - GENERAL GOV.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0</v>
      </c>
      <c r="K39" s="51">
        <f>ROUND(SUM(K36:K38),2)</f>
        <v>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132684.09999999998</v>
      </c>
      <c r="K45" s="78"/>
    </row>
    <row r="46" spans="1:20" ht="16.5" customHeight="1" x14ac:dyDescent="0.2">
      <c r="A46" s="45"/>
      <c r="B46" s="69"/>
      <c r="C46" s="178" t="s">
        <v>1581</v>
      </c>
      <c r="D46" s="178"/>
      <c r="E46" s="178"/>
      <c r="F46" s="178"/>
      <c r="G46" s="178"/>
      <c r="H46" s="178"/>
      <c r="I46" s="178"/>
      <c r="J46" s="68"/>
      <c r="K46" s="105">
        <f>J45</f>
        <v>132684.09999999998</v>
      </c>
    </row>
    <row r="47" spans="1:20" ht="16.5" customHeight="1" x14ac:dyDescent="0.2">
      <c r="A47" s="65"/>
      <c r="B47" s="50"/>
      <c r="C47" s="50"/>
      <c r="D47" s="50"/>
      <c r="E47" s="50"/>
      <c r="F47" s="50"/>
      <c r="G47" s="50"/>
      <c r="H47" s="50"/>
      <c r="I47" s="50"/>
      <c r="J47" s="79">
        <f>ROUND(SUM(J45:J45),2)</f>
        <v>132684.1</v>
      </c>
      <c r="K47" s="79">
        <f>ROUND(SUM(K46),2)</f>
        <v>132684.1</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136057</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3903</v>
      </c>
      <c r="K51" s="81"/>
    </row>
    <row r="52" spans="1:20" ht="16.5" customHeight="1" x14ac:dyDescent="0.25">
      <c r="A52" s="45"/>
      <c r="B52" s="49"/>
      <c r="C52" s="178" t="str">
        <f>VLOOKUP($F$8,'Drop Down Menus'!$D$2:$G$10,4,FALSE)</f>
        <v>Cr: Acct 0808 - GENERAL GOV. (GAAP ADJ)</v>
      </c>
      <c r="D52" s="178"/>
      <c r="E52" s="178"/>
      <c r="F52" s="178"/>
      <c r="G52" s="178"/>
      <c r="H52" s="178"/>
      <c r="I52" s="178"/>
      <c r="J52" s="81"/>
      <c r="K52" s="107">
        <f>+J50+J51</f>
        <v>139960</v>
      </c>
    </row>
    <row r="53" spans="1:20" ht="16.5" customHeight="1" x14ac:dyDescent="0.2">
      <c r="A53" s="65"/>
      <c r="B53" s="50"/>
      <c r="C53" s="50"/>
      <c r="D53" s="50"/>
      <c r="E53" s="50"/>
      <c r="F53" s="50"/>
      <c r="G53" s="50"/>
      <c r="H53" s="50"/>
      <c r="I53" s="50"/>
      <c r="J53" s="79">
        <f>ROUND(SUM(J50:J51),2)</f>
        <v>139960</v>
      </c>
      <c r="K53" s="79">
        <f>ROUND(SUM(K52,),2)</f>
        <v>139960</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f>K57</f>
        <v>136057</v>
      </c>
      <c r="K56" s="68"/>
    </row>
    <row r="57" spans="1:20" ht="16.5" customHeight="1" x14ac:dyDescent="0.25">
      <c r="A57" s="45"/>
      <c r="B57" s="49"/>
      <c r="C57" s="178" t="s">
        <v>1607</v>
      </c>
      <c r="D57" s="178"/>
      <c r="E57" s="178"/>
      <c r="F57" s="178"/>
      <c r="G57" s="178"/>
      <c r="H57" s="178"/>
      <c r="I57" s="178"/>
      <c r="J57" s="68"/>
      <c r="K57" s="105">
        <f>J50</f>
        <v>136057</v>
      </c>
      <c r="L57" s="27" t="str">
        <f>IF($J$50=$K$57,"","&lt;- Accts 0848 must agree")</f>
        <v/>
      </c>
    </row>
    <row r="58" spans="1:20" ht="16.5" customHeight="1" x14ac:dyDescent="0.2">
      <c r="A58" s="65"/>
      <c r="B58" s="50"/>
      <c r="C58" s="50"/>
      <c r="D58" s="50"/>
      <c r="E58" s="50"/>
      <c r="F58" s="50"/>
      <c r="G58" s="50"/>
      <c r="H58" s="50"/>
      <c r="I58" s="50"/>
      <c r="J58" s="79">
        <f>ROUND(SUM(J56:J56),2)</f>
        <v>136057</v>
      </c>
      <c r="K58" s="79">
        <f>ROUND(SUM(K57),2)</f>
        <v>136057</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146648</v>
      </c>
      <c r="K61" s="78"/>
    </row>
    <row r="62" spans="1:20" ht="16.5" customHeight="1" x14ac:dyDescent="0.25">
      <c r="A62" s="45"/>
      <c r="B62" s="49"/>
      <c r="C62" s="178" t="s">
        <v>1616</v>
      </c>
      <c r="D62" s="178"/>
      <c r="E62" s="178"/>
      <c r="F62" s="178"/>
      <c r="G62" s="178"/>
      <c r="H62" s="178"/>
      <c r="I62" s="178"/>
      <c r="J62" s="78"/>
      <c r="K62" s="105">
        <f>J61</f>
        <v>146648</v>
      </c>
    </row>
    <row r="63" spans="1:20" ht="16.5" customHeight="1" x14ac:dyDescent="0.2">
      <c r="A63" s="45"/>
      <c r="B63" s="192" t="s">
        <v>1615</v>
      </c>
      <c r="C63" s="192"/>
      <c r="D63" s="192"/>
      <c r="E63" s="192"/>
      <c r="F63" s="192"/>
      <c r="G63" s="192"/>
      <c r="H63" s="192"/>
      <c r="I63" s="192"/>
      <c r="J63" s="79">
        <f>ROUND(SUM(J61:J61),2)</f>
        <v>146648</v>
      </c>
      <c r="K63" s="79">
        <f>ROUND(SUM(K62),2)</f>
        <v>146648</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0808 - GENERAL GOV.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0808 - GENERAL GOV.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431223</v>
      </c>
      <c r="N94" s="104"/>
    </row>
    <row r="95" spans="1:20" ht="16.5" customHeight="1" x14ac:dyDescent="0.25">
      <c r="D95" s="49" t="s">
        <v>1631</v>
      </c>
      <c r="E95" s="100"/>
      <c r="F95" s="100"/>
      <c r="G95" s="100"/>
      <c r="H95" s="27"/>
      <c r="I95" s="100"/>
      <c r="J95" s="100"/>
      <c r="K95" s="103">
        <f>-K18-K46+J68+J77</f>
        <v>-265368.09999999998</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-146648</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A1:K1"/>
    <mergeCell ref="A2:K2"/>
    <mergeCell ref="A3:E3"/>
    <mergeCell ref="F3:I3"/>
    <mergeCell ref="A4:E4"/>
    <mergeCell ref="F4:I4"/>
    <mergeCell ref="M14:N14"/>
    <mergeCell ref="P14:Q14"/>
    <mergeCell ref="A5:E5"/>
    <mergeCell ref="F5:I5"/>
    <mergeCell ref="A6:E6"/>
    <mergeCell ref="F6:I6"/>
    <mergeCell ref="A7:E7"/>
    <mergeCell ref="F7:I7"/>
    <mergeCell ref="C20:I20"/>
    <mergeCell ref="A8:E8"/>
    <mergeCell ref="F8:I8"/>
    <mergeCell ref="A12:K12"/>
    <mergeCell ref="B14:K14"/>
    <mergeCell ref="B15:I15"/>
    <mergeCell ref="B16:I16"/>
    <mergeCell ref="B17:I17"/>
    <mergeCell ref="C18:I18"/>
    <mergeCell ref="C19:I19"/>
    <mergeCell ref="C36:I36"/>
    <mergeCell ref="C21:I21"/>
    <mergeCell ref="L22:P22"/>
    <mergeCell ref="B24:K24"/>
    <mergeCell ref="B27:K27"/>
    <mergeCell ref="B28:I28"/>
    <mergeCell ref="C29:I29"/>
    <mergeCell ref="C30:I30"/>
    <mergeCell ref="L31:P31"/>
    <mergeCell ref="B33:K33"/>
    <mergeCell ref="B34:I34"/>
    <mergeCell ref="B35:I35"/>
    <mergeCell ref="B56:I56"/>
    <mergeCell ref="C37:I37"/>
    <mergeCell ref="C38:I38"/>
    <mergeCell ref="L39:P39"/>
    <mergeCell ref="B41:K41"/>
    <mergeCell ref="B45:I45"/>
    <mergeCell ref="C46:I46"/>
    <mergeCell ref="L47:P47"/>
    <mergeCell ref="B50:I50"/>
    <mergeCell ref="B51:I51"/>
    <mergeCell ref="C52:I52"/>
    <mergeCell ref="L53:P53"/>
    <mergeCell ref="B76:I76"/>
    <mergeCell ref="C57:I57"/>
    <mergeCell ref="L58:P58"/>
    <mergeCell ref="B61:I61"/>
    <mergeCell ref="C62:I62"/>
    <mergeCell ref="B63:I64"/>
    <mergeCell ref="L63:P63"/>
    <mergeCell ref="B68:I68"/>
    <mergeCell ref="C69:I69"/>
    <mergeCell ref="L70:P70"/>
    <mergeCell ref="B72:K72"/>
    <mergeCell ref="B75:K75"/>
    <mergeCell ref="B84:I84"/>
    <mergeCell ref="C85:I85"/>
    <mergeCell ref="L86:P86"/>
    <mergeCell ref="B88:K88"/>
    <mergeCell ref="B77:I77"/>
    <mergeCell ref="B78:I78"/>
    <mergeCell ref="C79:I79"/>
    <mergeCell ref="C80:I80"/>
    <mergeCell ref="L81:P81"/>
    <mergeCell ref="B83:K83"/>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2" operator="equal">
      <formula>"&lt;- Debits and Credits do not equal each other."</formula>
    </cfRule>
  </conditionalFormatting>
  <dataValidations count="5">
    <dataValidation type="whole" operator="greaterThanOrEqual" allowBlank="1" showInputMessage="1" showErrorMessage="1" sqref="M15:M17 N18:N21 P15 Q18:Q19 J28 K85 K29:K30 J34:J35 J45 K46 J50:J51 K52 J56 K57 J61 K62 J68 K69 J76:J78 K79:K80 J84 K36:K38" xr:uid="{7B7E4946-5A13-4F40-9774-5291C99980EE}">
      <formula1>0</formula1>
    </dataValidation>
    <dataValidation type="whole" operator="greaterThanOrEqual" allowBlank="1" showErrorMessage="1" errorTitle="Whole Numbers Only" error="Enter amounts as whole numbers only." promptTitle="Whole Numbers" prompt="Enter whole numbers only." sqref="J15:J17 K18:K21" xr:uid="{D0574B4E-6823-41D3-BA8D-59E290FF5A24}">
      <formula1>0</formula1>
    </dataValidation>
    <dataValidation type="textLength" operator="equal" allowBlank="1" showInputMessage="1" showErrorMessage="1" errorTitle="4-Digit Org Code" error="Enter the Org Code/BU as 4 digits." sqref="F5" xr:uid="{76C66A17-1441-4113-A989-25040A1E4477}">
      <formula1>4</formula1>
    </dataValidation>
    <dataValidation type="textLength" operator="lessThan" allowBlank="1" showInputMessage="1" showErrorMessage="1" sqref="E11 A6:A8" xr:uid="{82C1818E-A852-467F-B610-38938EEEEAE7}">
      <formula1>0</formula1>
    </dataValidation>
    <dataValidation operator="lessThan" allowBlank="1" showInputMessage="1" showErrorMessage="1" sqref="A3:A5 A7:A8 A11" xr:uid="{73441B08-73FC-4848-B50B-A4015F1A424B}"/>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23A91384-BD87-4275-8A4C-1A5B9E7D70E3}">
          <x14:formula1>
            <xm:f>'Drop Down Menus'!$B$1:$B$3</xm:f>
          </x14:formula1>
          <xm:sqref>F7</xm:sqref>
        </x14:dataValidation>
        <x14:dataValidation type="list" allowBlank="1" showInputMessage="1" showErrorMessage="1" xr:uid="{589646F2-3F41-414F-B7D6-6F594BBB221F}">
          <x14:formula1>
            <xm:f>'Drop Down Menus'!$A$1:$A$101</xm:f>
          </x14:formula1>
          <xm:sqref>F3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activeCell="B36" sqref="B36"/>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250</v>
      </c>
      <c r="C12" s="201"/>
    </row>
    <row r="13" spans="1:11" ht="15.75" x14ac:dyDescent="0.25">
      <c r="A13" s="113" t="s">
        <v>1594</v>
      </c>
      <c r="B13" s="205" t="s">
        <v>1655</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146648.49</v>
      </c>
      <c r="C16" s="2">
        <v>0</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t="s">
        <v>115</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115</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250</v>
      </c>
      <c r="C43" s="203"/>
    </row>
    <row r="44" spans="1:11" ht="15.75" x14ac:dyDescent="0.25">
      <c r="A44" s="113" t="s">
        <v>1594</v>
      </c>
      <c r="B44" s="204" t="str">
        <f>B13</f>
        <v>Judicial Council of California</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250</v>
      </c>
      <c r="C74" s="203"/>
    </row>
    <row r="75" spans="1:4" ht="15.75" x14ac:dyDescent="0.25">
      <c r="A75" s="113" t="s">
        <v>1594</v>
      </c>
      <c r="B75" s="204" t="str">
        <f>B13</f>
        <v>Judicial Council of California</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S1" sqref="S1"/>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0250 Judicial Council of California</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Entries'!$K$19,0)+IF('Fund 0159 Journal Entries'!$F$7="Governmental Fund",'Fund 0159 Journal Entries'!$K$19,0)</f>
        <v>2382655</v>
      </c>
      <c r="H10" s="3">
        <f>IF('Fund 0001 Journal Entries'!$F$7="Governmental Fund",SUM('Fund 0001 Journal Entries'!$K$37,'Fund 0001 Journal Entries'!$K$85),0)+IF('Fund 0159 Journal Entries'!$F$7="Governmental Fund",SUM('Fund 0159 Journal Entries'!$K$37,'Fund 0159 Journal Entries'!$K$85),0)</f>
        <v>0</v>
      </c>
      <c r="J10" s="3">
        <f>IF('Fund 0001 Journal Entries'!$F$7="Governmental Fund",SUM('Fund 0001 Journal Entries'!$J$56,'Fund 0001 Journal Entries'!$J$76),0)+IF('Fund 0159 Journal Entries'!$F$7="Governmental Fund",SUM('Fund 0159 Journal Entries'!$J$56,'Fund 0159 Journal Entries'!$J$76),0)</f>
        <v>2236007</v>
      </c>
      <c r="L10" s="134">
        <f>SUM(F10+H10-J10)</f>
        <v>146648</v>
      </c>
      <c r="N10" s="3">
        <f>IF('Fund 0001 Journal Entries'!$F$7="Governmental Fund",'Fund 0001 Journal Entries'!$J$61,0)+IF('Fund 0159 Journal Entries'!$F$7="Governmental Fund",'Fund 0159 Journal Entries'!$J$61,0)</f>
        <v>146648</v>
      </c>
      <c r="P10" s="134">
        <f>L10-N10</f>
        <v>0</v>
      </c>
      <c r="Q10" s="129"/>
    </row>
    <row r="11" spans="2:17" ht="19.5" thickTop="1" thickBot="1" x14ac:dyDescent="0.3">
      <c r="B11" s="128"/>
      <c r="C11" s="208" t="s">
        <v>14</v>
      </c>
      <c r="D11" s="208"/>
      <c r="F11" s="135">
        <f>SUM(F10:F10)</f>
        <v>2382655</v>
      </c>
      <c r="H11" s="135">
        <f>SUM(H10:H10)</f>
        <v>0</v>
      </c>
      <c r="J11" s="135">
        <f>SUM(J10:J10)</f>
        <v>2236007</v>
      </c>
      <c r="L11" s="135">
        <f>SUM(L10:L10)</f>
        <v>146648</v>
      </c>
      <c r="N11" s="135">
        <f>SUM(N10:N10)</f>
        <v>146648</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B17" sqref="B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Entries'!$K$19,0),0)+IF('Fund 0159 Journal Entries'!$F$7="Governmental Fund",ROUND('Fund 0159 Journal Entries'!$K$19,0),0)</f>
        <v>2382655</v>
      </c>
      <c r="C17" s="21" t="s">
        <v>1551</v>
      </c>
      <c r="D17" s="10">
        <f>IF('Fund 0001 Journal Entries'!$F$7="Governmental Fund",ROUND('Fund 0001 Journal Entries'!$K$37,0),0)+IF('Fund 0159 Journal Entries'!$F$7="Governmental Fund",ROUND('Fund 0159 Journal Entries'!$K$37,0),0)</f>
        <v>0</v>
      </c>
      <c r="E17" s="22" t="s">
        <v>1553</v>
      </c>
      <c r="F17" s="10">
        <f>IF('Fund 0001 Journal Entries'!$F$7="Governmental Fund",ROUND('Fund 0001 Journal Entries'!$J$56,0),0)+IF('Fund 0159 Journal Entries'!$F$7="Governmental Fund",ROUND('Fund 0159 Journal Entries'!$J$56,0),0)</f>
        <v>2236007</v>
      </c>
      <c r="G17" s="22" t="s">
        <v>1553</v>
      </c>
      <c r="H17" s="10">
        <f>IF('Fund 0001 Journal Entries'!$F$7="Governmental Fund",ROUND('Fund 0001 Journal Entries'!$J$76,0),0)+IF('Fund 0159 Journal Entries'!$F$7="Governmental Fund",ROUND('Fund 0159 Journal Entries'!$J$76,0),0)</f>
        <v>0</v>
      </c>
      <c r="I17" s="22" t="s">
        <v>1551</v>
      </c>
      <c r="J17" s="10">
        <f>IF('Fund 0001 Journal Entries'!$F$7="Governmental Fund",ROUND('Fund 0001 Journal Entries'!$K$85,0),0)+IF('Fund 0159 Journal Entries'!$F$7="Governmental Fund",ROUND('Fund 0159 Journal Entries'!$K$85,0),0)</f>
        <v>0</v>
      </c>
      <c r="K17" s="22" t="s">
        <v>1555</v>
      </c>
      <c r="L17" s="11">
        <f>+B17+D17-F17-H17+J17</f>
        <v>146648</v>
      </c>
      <c r="M17" s="22"/>
      <c r="N17" s="12">
        <f>ROUND(SUM('Department Note Disclosure'!$B$16:$B$39),0)</f>
        <v>146648</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+B25+D25-F25-H25+J25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+B34+D34-F34-H34+J34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Entries'!$K$62,0),0)+IF('Fund 0159 Journal Entries'!$F$7="Governmental Fund",ROUND('Fund 0159 Journal Entries'!$K$62,0),0)</f>
        <v>146648</v>
      </c>
      <c r="C42" s="160"/>
      <c r="D42" s="159"/>
      <c r="E42" s="159"/>
      <c r="F42" s="159"/>
      <c r="G42" s="145"/>
      <c r="H42" s="159"/>
      <c r="I42" s="149"/>
      <c r="J42" s="159"/>
      <c r="K42" s="145"/>
      <c r="L42" s="158"/>
      <c r="M42" s="23"/>
      <c r="N42" s="12">
        <f>ROUND('Department Note Disclosure'!$B$16,0)</f>
        <v>146648</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2382655</v>
      </c>
      <c r="I64" s="25" t="s">
        <v>1555</v>
      </c>
      <c r="J64" s="14">
        <f>SUM(D64)</f>
        <v>2382655</v>
      </c>
      <c r="L64" s="164" t="str">
        <f>CONCATENATE("Balance July 1, ",LEFT('Department Note Disclosure'!$B$11,4))</f>
        <v>Balance July 1, 2023</v>
      </c>
      <c r="N64" s="14">
        <f>ROUND('SBITA Liabilities'!$F$10,0)</f>
        <v>2382655</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2236007</v>
      </c>
      <c r="E66" s="165" t="s">
        <v>1551</v>
      </c>
      <c r="F66" s="150" t="s">
        <v>1645</v>
      </c>
      <c r="H66" s="14">
        <f>H17</f>
        <v>0</v>
      </c>
      <c r="I66" s="25" t="s">
        <v>1555</v>
      </c>
      <c r="J66" s="14">
        <f>SUM(D66,H66)</f>
        <v>2236007</v>
      </c>
      <c r="L66" s="164" t="s">
        <v>10</v>
      </c>
      <c r="N66" s="14">
        <f>ROUND('SBITA Liabilities'!$J$10,0)</f>
        <v>2236007</v>
      </c>
      <c r="P66" s="13">
        <f>J66-N66</f>
        <v>0</v>
      </c>
    </row>
    <row r="67" spans="1:16383" x14ac:dyDescent="0.25">
      <c r="B67" s="162" t="s">
        <v>1558</v>
      </c>
      <c r="D67" s="14">
        <f>$B$42</f>
        <v>146648</v>
      </c>
      <c r="I67" s="25" t="s">
        <v>1555</v>
      </c>
      <c r="J67" s="14">
        <f>SUM(D67)</f>
        <v>146648</v>
      </c>
      <c r="L67" s="164" t="s">
        <v>11</v>
      </c>
      <c r="N67" s="14">
        <f>ROUND('SBITA Liabilities'!$N$10,0)</f>
        <v>146648</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8mrgR3FT9IGoG1tfZKyQR8LByXjzDPFbl3f02eQntG7DFwf3MbOlIsK4b1uwxF1cx0WoaRdIOhh+t/KGD2As5A==" saltValue="RshJZZsw/Lai5jEaGOB0P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Fund 0001 Journal Entries</vt:lpstr>
      <vt:lpstr>Fund 0159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'Fund 0159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2025-02-26T18:41:19Z</dcterms:modified>
</cp:coreProperties>
</file>