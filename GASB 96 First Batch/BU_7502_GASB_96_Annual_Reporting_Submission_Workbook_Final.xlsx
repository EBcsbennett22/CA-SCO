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05843BD3-526F-40C1-B4FA-C3744B51E5A2}" xr6:coauthVersionLast="47" xr6:coauthVersionMax="47" xr10:uidLastSave="{00000000-0000-0000-0000-000000000000}"/>
  <bookViews>
    <workbookView xWindow="39150" yWindow="-110" windowWidth="38620" windowHeight="21220" tabRatio="849" xr2:uid="{00000000-000D-0000-FFFF-FFFF00000000}"/>
  </bookViews>
  <sheets>
    <sheet name="Fund 0001 Journal Entries" sheetId="2" r:id="rId1"/>
    <sheet name="Fund 9730 Journal Entries " sheetId="11" r:id="rId2"/>
    <sheet name="Fund 9740 Journal Entries" sheetId="12" r:id="rId3"/>
    <sheet name="Department Note Disclosure" sheetId="3" r:id="rId4"/>
    <sheet name="SBITA Liabilities" sheetId="4" r:id="rId5"/>
    <sheet name="Check Figures " sheetId="9" r:id="rId6"/>
    <sheet name="Drop Down Menus" sheetId="1" state="hidden" r:id="rId7"/>
    <sheet name="GAAP02Aindex" sheetId="7" state="hidden"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'Department Note Disclosure'!$A$3:$D$101</definedName>
    <definedName name="_xlnm.Print_Area" localSheetId="0">'Fund 0001 Journal Entries'!$A$1:$K$99</definedName>
    <definedName name="_xlnm.Print_Area" localSheetId="1">'Fund 9730 Journal Entries '!$A$1:$K$99</definedName>
    <definedName name="_xlnm.Print_Area" localSheetId="2">'Fund 9740 Journal Entries'!$A$1:$K$99</definedName>
    <definedName name="_xlnm.Print_Area" localSheetId="4">'SBITA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12" l="1"/>
  <c r="B78" i="11"/>
  <c r="B78" i="2"/>
  <c r="B17" i="9"/>
  <c r="N14" i="4"/>
  <c r="J14" i="4"/>
  <c r="H14" i="4"/>
  <c r="F14" i="4"/>
  <c r="B42" i="9"/>
  <c r="F25" i="9" l="1"/>
  <c r="D25" i="9"/>
  <c r="B25" i="9"/>
  <c r="B49" i="9" l="1"/>
  <c r="F17" i="9" l="1"/>
  <c r="D17" i="9"/>
  <c r="K86" i="12" l="1"/>
  <c r="J86" i="12"/>
  <c r="L86" i="12" s="1"/>
  <c r="L81" i="12"/>
  <c r="K81" i="12"/>
  <c r="J81" i="12"/>
  <c r="K70" i="12"/>
  <c r="J70" i="12"/>
  <c r="J63" i="12"/>
  <c r="K97" i="12"/>
  <c r="J58" i="12"/>
  <c r="J53" i="12"/>
  <c r="K53" i="12"/>
  <c r="L53" i="12" s="1"/>
  <c r="B51" i="12"/>
  <c r="J47" i="12"/>
  <c r="K47" i="12"/>
  <c r="K39" i="12"/>
  <c r="J39" i="12"/>
  <c r="K31" i="12"/>
  <c r="J31" i="12"/>
  <c r="L31" i="12" s="1"/>
  <c r="A26" i="12"/>
  <c r="S21" i="12"/>
  <c r="Q20" i="12"/>
  <c r="S20" i="12" s="1"/>
  <c r="K20" i="12"/>
  <c r="S19" i="12"/>
  <c r="K19" i="12"/>
  <c r="S18" i="12"/>
  <c r="K18" i="12"/>
  <c r="K21" i="12" s="1"/>
  <c r="S17" i="12"/>
  <c r="P16" i="12"/>
  <c r="S16" i="12" s="1"/>
  <c r="J16" i="12"/>
  <c r="S15" i="12"/>
  <c r="J15" i="12"/>
  <c r="B14" i="12"/>
  <c r="A12" i="12"/>
  <c r="F8" i="12"/>
  <c r="C52" i="12" s="1"/>
  <c r="K86" i="11"/>
  <c r="J86" i="11"/>
  <c r="L86" i="11" s="1"/>
  <c r="K81" i="11"/>
  <c r="J81" i="11"/>
  <c r="L81" i="11" s="1"/>
  <c r="K70" i="11"/>
  <c r="J70" i="11"/>
  <c r="L70" i="11" s="1"/>
  <c r="J63" i="11"/>
  <c r="K62" i="11"/>
  <c r="K97" i="11" s="1"/>
  <c r="L57" i="11"/>
  <c r="K57" i="11"/>
  <c r="K58" i="11" s="1"/>
  <c r="J56" i="11"/>
  <c r="K53" i="11"/>
  <c r="J53" i="11"/>
  <c r="B51" i="11"/>
  <c r="L50" i="11"/>
  <c r="J47" i="11"/>
  <c r="K47" i="11"/>
  <c r="K39" i="11"/>
  <c r="J39" i="11"/>
  <c r="K31" i="11"/>
  <c r="J31" i="11"/>
  <c r="L31" i="11" s="1"/>
  <c r="A26" i="11"/>
  <c r="S21" i="11"/>
  <c r="Q20" i="11"/>
  <c r="S20" i="11" s="1"/>
  <c r="S19" i="11"/>
  <c r="K19" i="11"/>
  <c r="S18" i="11"/>
  <c r="K18" i="11"/>
  <c r="S17" i="11"/>
  <c r="P16" i="11"/>
  <c r="S16" i="11" s="1"/>
  <c r="S15" i="11"/>
  <c r="J15" i="11"/>
  <c r="K94" i="11" s="1"/>
  <c r="B14" i="11"/>
  <c r="A12" i="11"/>
  <c r="F8" i="11"/>
  <c r="N18" i="4"/>
  <c r="K19" i="2"/>
  <c r="K18" i="2"/>
  <c r="J15" i="2"/>
  <c r="K94" i="2" s="1"/>
  <c r="S21" i="2"/>
  <c r="S19" i="2"/>
  <c r="S18" i="2"/>
  <c r="S17" i="2"/>
  <c r="S15" i="2"/>
  <c r="L57" i="2"/>
  <c r="J58" i="11" l="1"/>
  <c r="L58" i="11" s="1"/>
  <c r="L53" i="11"/>
  <c r="K96" i="11"/>
  <c r="F10" i="4"/>
  <c r="J16" i="11"/>
  <c r="L39" i="11"/>
  <c r="L70" i="12"/>
  <c r="K63" i="12"/>
  <c r="L63" i="12" s="1"/>
  <c r="L50" i="12"/>
  <c r="K96" i="12"/>
  <c r="L39" i="12"/>
  <c r="C38" i="12"/>
  <c r="L47" i="12"/>
  <c r="K22" i="12"/>
  <c r="K58" i="12"/>
  <c r="L58" i="12" s="1"/>
  <c r="L57" i="12"/>
  <c r="C30" i="12"/>
  <c r="K94" i="12"/>
  <c r="J17" i="12"/>
  <c r="J22" i="12" s="1"/>
  <c r="L22" i="12" s="1"/>
  <c r="C80" i="12"/>
  <c r="K95" i="12"/>
  <c r="L63" i="11"/>
  <c r="L47" i="11"/>
  <c r="C38" i="11"/>
  <c r="C52" i="11"/>
  <c r="C80" i="11"/>
  <c r="K95" i="11"/>
  <c r="K63" i="11"/>
  <c r="K20" i="11"/>
  <c r="C30" i="11"/>
  <c r="L50" i="2"/>
  <c r="K21" i="11" l="1"/>
  <c r="K22" i="11" s="1"/>
  <c r="J17" i="11"/>
  <c r="J22" i="11" s="1"/>
  <c r="K96" i="2"/>
  <c r="H18" i="4"/>
  <c r="H10" i="4"/>
  <c r="L22" i="11" l="1"/>
  <c r="L84" i="9"/>
  <c r="L74" i="9"/>
  <c r="L64" i="9"/>
  <c r="H34" i="9"/>
  <c r="H86" i="9" s="1"/>
  <c r="J34" i="9"/>
  <c r="H85" i="9" s="1"/>
  <c r="J25" i="9"/>
  <c r="H75" i="9" s="1"/>
  <c r="H25" i="9"/>
  <c r="H76" i="9" s="1"/>
  <c r="H17" i="9"/>
  <c r="H66" i="9" s="1"/>
  <c r="J17" i="9"/>
  <c r="H65" i="9" s="1"/>
  <c r="K97" i="2"/>
  <c r="K95" i="2"/>
  <c r="J10" i="4" l="1"/>
  <c r="J18" i="4"/>
  <c r="Q20" i="2"/>
  <c r="P16" i="2"/>
  <c r="S16" i="2" l="1"/>
  <c r="J16" i="2"/>
  <c r="K20" i="2"/>
  <c r="S20" i="2"/>
  <c r="D89" i="3"/>
  <c r="D58" i="3"/>
  <c r="J17" i="2" l="1"/>
  <c r="J22" i="2" s="1"/>
  <c r="K21" i="2"/>
  <c r="K22" i="2" s="1"/>
  <c r="D27" i="3"/>
  <c r="B34" i="9" l="1"/>
  <c r="D34" i="9"/>
  <c r="F34" i="9"/>
  <c r="B56" i="9"/>
  <c r="N10" i="4"/>
  <c r="N74" i="9"/>
  <c r="F18" i="4"/>
  <c r="K53" i="2"/>
  <c r="C5" i="4" l="1"/>
  <c r="D86" i="3"/>
  <c r="D55" i="3"/>
  <c r="D24" i="3"/>
  <c r="D52" i="3" l="1"/>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<sst xmlns="http://schemas.openxmlformats.org/spreadsheetml/2006/main" count="7777" uniqueCount="1656">
  <si>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</si>
  <si>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</si>
  <si>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</si>
  <si>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</si>
  <si>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</si>
  <si>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</si>
  <si>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</si>
  <si>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</si>
  <si>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</si>
  <si>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</si>
  <si>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</si>
  <si>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</si>
  <si>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</si>
  <si>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</si>
  <si>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</si>
  <si>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</si>
  <si>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</si>
  <si>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</si>
  <si>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</si>
  <si>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</si>
  <si>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</si>
  <si>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</si>
  <si>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</si>
  <si>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</si>
  <si>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</si>
  <si>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</si>
  <si>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</si>
  <si>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</si>
  <si>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</si>
  <si>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</si>
  <si>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</si>
  <si>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</si>
  <si>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</si>
  <si>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</si>
  <si>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</si>
  <si>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</si>
  <si>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</si>
  <si>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</si>
  <si>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</si>
  <si>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</si>
  <si>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</si>
  <si>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</si>
  <si>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</si>
  <si>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</si>
  <si>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</si>
  <si>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</si>
  <si>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</si>
  <si>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</si>
  <si>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</si>
  <si>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</si>
  <si>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</si>
  <si>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</si>
  <si>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</si>
  <si>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</si>
  <si>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</si>
  <si>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</si>
  <si>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</si>
  <si>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</si>
  <si>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</si>
  <si>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</si>
  <si>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</si>
  <si>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</si>
  <si>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</si>
  <si>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</si>
  <si>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</si>
  <si>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</si>
  <si>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</si>
  <si>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</si>
  <si>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</si>
  <si>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</si>
  <si>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</si>
  <si>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</si>
  <si>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</si>
  <si>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</si>
  <si>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</si>
  <si>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</si>
  <si>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</si>
  <si>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</si>
  <si>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</si>
  <si>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</si>
  <si>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</si>
  <si>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</si>
  <si>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</si>
  <si>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</si>
  <si>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</si>
  <si>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</si>
  <si>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</si>
  <si>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</si>
  <si>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</si>
  <si>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</si>
  <si>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</si>
  <si>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</si>
  <si>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</si>
  <si>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</si>
  <si>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</si>
  <si>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</si>
  <si>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</si>
  <si>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</si>
  <si>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</si>
  <si>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</si>
  <si>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</si>
  <si>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</si>
  <si>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</si>
  <si>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</si>
  <si>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</si>
  <si>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</si>
  <si>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</si>
  <si>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</si>
  <si>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</si>
  <si>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</si>
  <si>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</si>
  <si>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</si>
  <si>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</si>
  <si>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</si>
  <si>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</si>
  <si>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</si>
  <si>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</si>
  <si>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</si>
  <si>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</si>
  <si>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</si>
  <si>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</si>
  <si>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</si>
  <si>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</si>
  <si>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</si>
  <si>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</si>
  <si>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</si>
  <si>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</si>
  <si>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</si>
  <si>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</si>
  <si>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</si>
  <si>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</si>
  <si>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</si>
  <si>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</si>
  <si>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</si>
  <si>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</si>
  <si>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</si>
  <si>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</si>
  <si>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</si>
  <si>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</si>
  <si>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</si>
  <si>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</si>
  <si>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</si>
  <si>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</si>
  <si>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</si>
  <si>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</si>
  <si>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</si>
  <si>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</si>
  <si>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</si>
  <si>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</si>
  <si>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</si>
  <si>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</si>
  <si>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</si>
  <si>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</si>
  <si>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</si>
  <si>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</si>
  <si>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</si>
  <si>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</si>
  <si>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</si>
  <si>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</si>
  <si>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</si>
  <si>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</si>
  <si>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</si>
  <si>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</si>
  <si>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</si>
  <si>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</si>
  <si>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</si>
  <si>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</si>
  <si>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</si>
  <si>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</si>
  <si>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</si>
  <si>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</si>
  <si>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</si>
  <si>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</si>
  <si>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</si>
  <si>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</si>
  <si>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</si>
  <si>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</si>
  <si>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</si>
  <si>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</si>
  <si>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</si>
  <si>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</si>
  <si>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</si>
  <si>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</si>
  <si>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</si>
  <si>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</si>
  <si>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</si>
  <si>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</si>
  <si>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</si>
  <si>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</si>
  <si>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</si>
  <si>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</si>
  <si>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</si>
  <si>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</si>
  <si>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</si>
  <si>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</si>
  <si>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</si>
  <si>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</si>
  <si>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</si>
  <si>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</si>
  <si>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</si>
  <si>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</si>
  <si>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</si>
  <si>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</si>
  <si>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</si>
  <si>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</si>
  <si>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</si>
  <si>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</si>
  <si>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</si>
  <si>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</si>
  <si>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</si>
  <si>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</si>
  <si>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</si>
  <si>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</si>
  <si>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</si>
  <si>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</si>
  <si>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</si>
  <si>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</si>
  <si>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</si>
  <si>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</si>
  <si>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</si>
  <si>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</si>
  <si>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</si>
  <si>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</si>
  <si>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</si>
  <si>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</si>
  <si>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</si>
  <si>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</si>
  <si>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</si>
  <si>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</si>
  <si>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</si>
  <si>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</si>
  <si>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</si>
  <si>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</si>
  <si>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</si>
  <si>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</si>
  <si>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</si>
  <si>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</si>
  <si>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</si>
  <si>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</si>
  <si>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</si>
  <si>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</si>
  <si>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</si>
  <si>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</si>
  <si>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</si>
  <si>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</si>
  <si>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</si>
  <si>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</si>
  <si>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</si>
  <si>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</si>
  <si>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</si>
  <si>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</si>
  <si>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</si>
  <si>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</si>
  <si>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</si>
  <si>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</si>
  <si>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</si>
  <si>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</si>
  <si>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</si>
  <si>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</si>
  <si>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</si>
  <si>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</si>
  <si>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</si>
  <si>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</si>
  <si>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</si>
  <si>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</si>
  <si>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</si>
  <si>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</si>
  <si>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</si>
  <si>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</si>
  <si>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</si>
  <si>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</si>
  <si>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</si>
  <si>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</si>
  <si>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</si>
  <si>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</si>
  <si>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</si>
  <si>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</si>
  <si>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</si>
  <si>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</si>
  <si>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</si>
  <si>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</si>
  <si>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</si>
  <si>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</si>
  <si>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</si>
  <si>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</si>
  <si>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</si>
  <si>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</si>
  <si>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</si>
  <si>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</si>
  <si>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</si>
  <si>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</si>
  <si>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</si>
  <si>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</si>
  <si>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</si>
  <si>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</si>
  <si>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</si>
  <si>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</si>
  <si>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</si>
  <si>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</si>
  <si>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</si>
  <si>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</si>
  <si>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</si>
  <si>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</si>
  <si>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</si>
  <si>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</si>
  <si>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</si>
  <si>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</si>
  <si>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</si>
  <si>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</si>
  <si>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</si>
  <si>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</si>
  <si>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</si>
  <si>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</si>
  <si>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</si>
  <si>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</si>
  <si>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</si>
  <si>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</si>
  <si>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</si>
  <si>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</si>
  <si>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</si>
  <si>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</si>
  <si>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</si>
  <si>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</si>
  <si>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</si>
  <si>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</si>
  <si>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</si>
  <si>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</si>
  <si>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</si>
  <si>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</si>
  <si>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</si>
  <si>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</si>
  <si>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</si>
  <si>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</si>
  <si>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</si>
  <si>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</si>
  <si>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</si>
  <si>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</si>
  <si>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</si>
  <si>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</si>
  <si>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</si>
  <si>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</si>
  <si>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</si>
  <si>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</si>
  <si>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</si>
  <si>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</si>
  <si>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</si>
  <si>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</si>
  <si>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</si>
  <si>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</si>
  <si>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</si>
  <si>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</si>
  <si>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</si>
  <si>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</si>
  <si>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</si>
  <si>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</si>
  <si>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</si>
  <si>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</si>
  <si>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</si>
  <si>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</si>
  <si>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</si>
  <si>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</si>
  <si>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</si>
  <si>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</si>
  <si>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</si>
  <si>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</si>
  <si>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</si>
  <si>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</si>
  <si>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</si>
  <si>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</si>
  <si>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</si>
  <si>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</si>
  <si>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</si>
  <si>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</si>
  <si>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</si>
  <si>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</si>
  <si>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</si>
  <si>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</si>
  <si>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</si>
  <si>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</si>
  <si>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</si>
  <si>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</si>
  <si>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</si>
  <si>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</si>
  <si>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</si>
  <si>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</si>
  <si>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</si>
  <si>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</si>
  <si>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</si>
  <si>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</si>
  <si>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</si>
  <si>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</si>
  <si>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</si>
  <si>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</si>
  <si>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</si>
  <si>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</si>
  <si>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</si>
  <si>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</si>
  <si>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</si>
  <si>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</si>
  <si>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</si>
  <si>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</si>
  <si>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</si>
  <si>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</si>
  <si>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</si>
  <si>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</si>
  <si>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</si>
  <si>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</si>
  <si>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</si>
  <si>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</si>
  <si>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</si>
  <si>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</si>
  <si>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</si>
  <si>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</si>
  <si>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</si>
  <si>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</si>
  <si>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</si>
  <si>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</si>
  <si>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</si>
  <si>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</si>
  <si>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</si>
  <si>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</si>
  <si>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</si>
  <si>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</si>
  <si>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</si>
  <si>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</si>
  <si>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</si>
  <si>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</si>
  <si>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</si>
  <si>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</si>
  <si>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</si>
  <si>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</si>
  <si>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</si>
  <si>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</si>
  <si>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</si>
  <si>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</si>
  <si>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</si>
  <si>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</si>
  <si>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</si>
  <si>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</si>
  <si>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</si>
  <si>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</si>
  <si>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</si>
  <si>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</si>
  <si>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</si>
  <si>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</si>
  <si>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</si>
  <si>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</si>
  <si>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</si>
  <si>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</si>
  <si>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</si>
  <si>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</si>
  <si>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</si>
  <si>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</si>
  <si>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</si>
  <si>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</si>
  <si>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</si>
  <si>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</si>
  <si>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</si>
  <si>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</si>
  <si>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</si>
  <si>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</si>
  <si>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</si>
  <si>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</si>
  <si>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</si>
  <si>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</si>
  <si>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</si>
  <si>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</si>
  <si>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</si>
  <si>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</si>
  <si>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</si>
  <si>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</si>
  <si>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</si>
  <si>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</si>
  <si>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</si>
  <si>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</si>
  <si>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</si>
  <si>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</si>
  <si>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</si>
  <si>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</si>
  <si>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</si>
  <si>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</si>
  <si>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</si>
  <si>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</si>
  <si>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</si>
  <si>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</si>
  <si>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</si>
  <si>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</si>
  <si>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</si>
  <si>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</si>
  <si>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</si>
  <si>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</si>
  <si>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</si>
  <si>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</si>
  <si>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</si>
  <si>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</si>
  <si>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</si>
  <si>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</si>
  <si>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</si>
  <si>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</si>
  <si>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</si>
  <si>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</si>
  <si>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</si>
  <si>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</si>
  <si>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</si>
  <si>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</si>
  <si>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</si>
  <si>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</si>
  <si>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</si>
  <si>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</si>
  <si>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</si>
  <si>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</si>
  <si>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</si>
  <si>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</si>
  <si>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</si>
  <si>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</si>
  <si>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</si>
  <si>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</si>
  <si>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</si>
  <si>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</si>
  <si>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</si>
  <si>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</si>
  <si>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</si>
  <si>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</si>
  <si>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</si>
  <si>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</si>
  <si>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</si>
  <si>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</si>
  <si>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</si>
  <si>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</si>
  <si>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</si>
  <si>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</si>
  <si>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</si>
  <si>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</si>
  <si>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</si>
  <si>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</si>
  <si>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</si>
  <si>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</si>
  <si>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</si>
  <si>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</si>
  <si>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</si>
  <si>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</si>
  <si>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</si>
  <si>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</si>
  <si>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</si>
  <si>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</si>
  <si>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</si>
  <si>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</si>
  <si>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</si>
  <si>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</si>
  <si>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</si>
  <si>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</si>
  <si>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</si>
  <si>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</si>
  <si>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</si>
  <si>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</si>
  <si>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</si>
  <si>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</si>
  <si>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</si>
  <si>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</si>
  <si>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</si>
  <si>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</si>
  <si>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</si>
  <si>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</si>
  <si>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</si>
  <si>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</si>
  <si>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</si>
  <si>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</si>
  <si>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</si>
  <si>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</si>
  <si>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</si>
  <si>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</si>
  <si>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</si>
  <si>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</si>
  <si>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</si>
  <si>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</si>
  <si>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</si>
  <si>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</si>
  <si>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</si>
  <si>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</si>
  <si>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</si>
  <si>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</si>
  <si>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</si>
  <si>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</si>
  <si>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</si>
  <si>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</si>
  <si>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</si>
  <si>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</si>
  <si>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</si>
  <si>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</si>
  <si>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</si>
  <si>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</si>
  <si>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</si>
  <si>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</si>
  <si>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</si>
  <si>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</si>
  <si>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</si>
  <si>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</si>
  <si>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</si>
  <si>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</si>
  <si>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</si>
  <si>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</si>
  <si>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</si>
  <si>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</si>
  <si>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</si>
  <si>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</si>
  <si>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</si>
  <si>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</si>
  <si>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</si>
  <si>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</si>
  <si>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</si>
  <si>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</si>
  <si>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</si>
  <si>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</si>
  <si>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</si>
  <si>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</si>
  <si>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</si>
  <si>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</si>
  <si>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</si>
  <si>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</si>
  <si>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</si>
  <si>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</si>
  <si>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</si>
  <si>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</si>
  <si>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</si>
  <si>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</si>
  <si>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</si>
  <si>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</si>
  <si>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</si>
  <si>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</si>
  <si>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</si>
  <si>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</si>
  <si>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</si>
  <si>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</si>
  <si>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</si>
  <si>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</si>
  <si>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</si>
  <si>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</si>
  <si>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</si>
  <si>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</si>
  <si>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</si>
  <si>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</si>
  <si>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</si>
  <si>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</si>
  <si>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</si>
  <si>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</si>
  <si>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</si>
  <si>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</si>
  <si>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</si>
  <si>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</si>
  <si>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</si>
  <si>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</si>
  <si>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</si>
  <si>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</si>
  <si>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</si>
  <si>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</si>
  <si>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</si>
  <si>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</si>
  <si>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</si>
  <si>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</si>
  <si>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</si>
  <si>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</si>
  <si>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</si>
  <si>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</si>
  <si>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</si>
  <si>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</si>
  <si>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</si>
  <si>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</si>
  <si>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</si>
  <si>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</si>
  <si>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</si>
  <si>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</si>
  <si>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</si>
  <si>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</si>
  <si>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</si>
  <si>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</si>
  <si>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</si>
  <si>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</si>
  <si>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</si>
  <si>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</si>
  <si>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</si>
  <si>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</si>
  <si>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</si>
  <si>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</si>
  <si>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</si>
  <si>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</si>
  <si>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</si>
  <si>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</si>
  <si>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</si>
  <si>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</si>
  <si>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</si>
  <si>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</si>
  <si>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</si>
  <si>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</si>
  <si>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</si>
  <si>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</si>
  <si>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</si>
  <si>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</si>
  <si>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</si>
  <si>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</si>
  <si>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</si>
  <si>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</si>
  <si>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</si>
  <si>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</si>
  <si>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</si>
  <si>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</si>
  <si>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</si>
  <si>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</si>
  <si>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</si>
  <si>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</si>
  <si>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</si>
  <si>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</si>
  <si>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</si>
  <si>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</si>
  <si>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</si>
  <si>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</si>
  <si>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</si>
  <si>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</si>
  <si>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</si>
  <si>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</si>
  <si>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</si>
  <si>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</si>
  <si>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</si>
  <si>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</si>
  <si>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</si>
  <si>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</si>
  <si>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</si>
  <si>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</si>
  <si>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</si>
  <si>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</si>
  <si>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</si>
  <si>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</si>
  <si>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</si>
  <si>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</si>
  <si>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</si>
  <si>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</si>
  <si>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</si>
  <si>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</si>
  <si>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</si>
  <si>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</si>
  <si>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</si>
  <si>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</si>
  <si>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</si>
  <si>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</si>
  <si>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</si>
  <si>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</si>
  <si>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</si>
  <si>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</si>
  <si>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</si>
  <si>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</si>
  <si>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</si>
  <si>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</si>
  <si>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</si>
  <si>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</si>
  <si>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</si>
  <si>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</si>
  <si>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</si>
  <si>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</si>
  <si>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</si>
  <si>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</si>
  <si>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</si>
  <si>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</si>
  <si>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</si>
  <si>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</si>
  <si>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</si>
  <si>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</si>
  <si>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</si>
  <si>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</si>
  <si>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</si>
  <si>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</si>
  <si>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</si>
  <si>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</si>
  <si>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</si>
  <si>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</si>
  <si>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</si>
  <si>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</si>
  <si>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</si>
  <si>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</si>
  <si>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</si>
  <si>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</si>
  <si>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</si>
  <si>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</si>
  <si>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</si>
  <si>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</si>
  <si>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</si>
  <si>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</si>
  <si>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</si>
  <si>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</si>
  <si>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</si>
  <si>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</si>
  <si>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</si>
  <si>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</si>
  <si>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</si>
  <si>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</si>
  <si>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</si>
  <si>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</si>
  <si>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</si>
  <si>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</si>
  <si>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</si>
  <si>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</si>
  <si>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</si>
  <si>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</si>
  <si>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</si>
  <si>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</si>
  <si>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</si>
  <si>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</si>
  <si>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</si>
  <si>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</si>
  <si>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</si>
  <si>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</si>
  <si>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</si>
  <si>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</si>
  <si>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</si>
  <si>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</si>
  <si>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</si>
  <si>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</si>
  <si>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</si>
  <si>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</si>
  <si>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</si>
  <si>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</si>
  <si>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</si>
  <si>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</si>
  <si>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</si>
  <si>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</si>
  <si>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</si>
  <si>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</si>
  <si>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</si>
  <si>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</si>
  <si>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</si>
  <si>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</si>
  <si>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</si>
  <si>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</si>
  <si>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</si>
  <si>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</si>
  <si>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</si>
  <si>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</si>
  <si>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</si>
  <si>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</si>
  <si>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</si>
  <si>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</si>
  <si>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</si>
  <si>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</si>
  <si>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</si>
  <si>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</si>
  <si>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</si>
  <si>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</si>
  <si>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</si>
  <si>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</si>
  <si>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</si>
  <si>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</si>
  <si>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</si>
  <si>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</si>
  <si>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</si>
  <si>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</si>
  <si>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</si>
  <si>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</si>
  <si>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</si>
  <si>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</si>
  <si>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</si>
  <si>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</si>
  <si>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</si>
  <si>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</si>
  <si>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</si>
  <si>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</si>
  <si>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</si>
  <si>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</si>
  <si>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</si>
  <si>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</si>
  <si>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</si>
  <si>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</si>
  <si>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</si>
  <si>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</si>
  <si>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</si>
  <si>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</si>
  <si>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</si>
  <si>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</si>
  <si>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</si>
  <si>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</si>
  <si>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</si>
  <si>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</si>
  <si>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</si>
  <si>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</si>
  <si>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</si>
  <si>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</si>
  <si>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</si>
  <si>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</si>
  <si>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</si>
  <si>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</si>
  <si>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</si>
  <si>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</si>
  <si>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</si>
  <si>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</si>
  <si>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</si>
  <si>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</si>
  <si>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</si>
  <si>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</si>
  <si>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</si>
  <si>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</si>
  <si>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</si>
  <si>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</si>
  <si>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</si>
  <si>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</si>
  <si>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</si>
  <si>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</si>
  <si>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</si>
  <si>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</si>
  <si>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</si>
  <si>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</si>
  <si>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</si>
  <si>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</si>
  <si>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</si>
  <si>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</si>
  <si>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</si>
  <si>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</si>
  <si>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</si>
  <si>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</si>
  <si>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</si>
  <si>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</si>
  <si>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</si>
  <si>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</si>
  <si>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</si>
  <si>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</si>
  <si>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</si>
  <si>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</si>
  <si>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</si>
  <si>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</si>
  <si>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</si>
  <si>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</si>
  <si>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</si>
  <si>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</si>
  <si>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</si>
  <si>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</si>
  <si>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</si>
  <si>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</si>
  <si>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</si>
  <si>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</si>
  <si>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</si>
  <si>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</si>
  <si>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</si>
  <si>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</si>
  <si>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</si>
  <si>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</si>
  <si>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</si>
  <si>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</si>
  <si>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</si>
  <si>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</si>
  <si>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</si>
  <si>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</si>
  <si>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</si>
  <si>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</si>
  <si>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</si>
  <si>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</si>
  <si>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</si>
  <si>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</si>
  <si>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</si>
  <si>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</si>
  <si>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</si>
  <si>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</si>
  <si>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</si>
  <si>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</si>
  <si>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</si>
  <si>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</si>
  <si>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</si>
  <si>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</si>
  <si>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</si>
  <si>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</si>
  <si>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</si>
  <si>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</si>
  <si>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</si>
  <si>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</si>
  <si>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</si>
  <si>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</si>
  <si>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</si>
  <si>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</si>
  <si>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</si>
  <si>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</si>
  <si>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</si>
  <si>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</si>
  <si>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</si>
  <si>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</si>
  <si>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</si>
  <si>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</si>
  <si>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</si>
  <si>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</si>
  <si>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</si>
  <si>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</si>
  <si>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</si>
  <si>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</si>
  <si>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</si>
  <si>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</si>
  <si>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</si>
  <si>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</si>
  <si>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</si>
  <si>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</si>
  <si>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</si>
  <si>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</si>
  <si>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</si>
  <si>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</si>
  <si>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</si>
  <si>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</si>
  <si>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</si>
  <si>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</si>
  <si>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</si>
  <si>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</si>
  <si>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</si>
  <si>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</si>
  <si>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</si>
  <si>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</si>
  <si>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</si>
  <si>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</si>
  <si>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</si>
  <si>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</si>
  <si>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</si>
  <si>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</si>
  <si>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</si>
  <si>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</si>
  <si>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</si>
  <si>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</si>
  <si>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</si>
  <si>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</si>
  <si>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</si>
  <si>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</si>
  <si>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</si>
  <si>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</si>
  <si>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</si>
  <si>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</si>
  <si>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</si>
  <si>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</si>
  <si>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</si>
  <si>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</si>
  <si>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</si>
  <si>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</si>
  <si>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</si>
  <si>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</si>
  <si>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</si>
  <si>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</si>
  <si>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</si>
  <si>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</si>
  <si>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</si>
  <si>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</si>
  <si>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</si>
  <si>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</si>
  <si>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</si>
  <si>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</si>
  <si>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</si>
  <si>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</si>
  <si>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</si>
  <si>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</si>
  <si>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</si>
  <si>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</si>
  <si>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</si>
  <si>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</si>
  <si>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</si>
  <si>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</si>
  <si>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</si>
  <si>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</si>
  <si>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</si>
  <si>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</si>
  <si>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</si>
  <si>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</si>
  <si>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</si>
  <si>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</si>
  <si>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</si>
  <si>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</si>
  <si>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</si>
  <si>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</si>
  <si>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</si>
  <si>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</si>
  <si>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</si>
  <si>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</si>
  <si>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</si>
  <si>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</si>
  <si>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</si>
  <si>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</si>
  <si>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</si>
  <si>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</si>
  <si>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</si>
  <si>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</si>
  <si>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</si>
  <si>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</si>
  <si>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</si>
  <si>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</si>
  <si>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</si>
  <si>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</si>
  <si>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</si>
  <si>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</si>
  <si>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</si>
  <si>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</si>
  <si>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</si>
  <si>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</si>
  <si>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</si>
  <si>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</si>
  <si>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</si>
  <si>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</si>
  <si>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</si>
  <si>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</si>
  <si>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</si>
  <si>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</si>
  <si>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</si>
  <si>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</si>
  <si>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</si>
  <si>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</si>
  <si>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</si>
  <si>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</si>
  <si>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</si>
  <si>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</si>
  <si>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</si>
  <si>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</si>
  <si>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</si>
  <si>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</si>
  <si>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</si>
  <si>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</si>
  <si>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</si>
  <si>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</si>
  <si>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</si>
  <si>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</si>
  <si>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</si>
  <si>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</si>
  <si>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</si>
  <si>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</si>
  <si>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</si>
  <si>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</si>
  <si>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</si>
  <si>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</si>
  <si>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</si>
  <si>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</si>
  <si>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</si>
  <si>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</si>
  <si>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</si>
  <si>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</si>
  <si>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</si>
  <si>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</si>
  <si>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</si>
  <si>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</si>
  <si>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</si>
  <si>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</si>
  <si>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</si>
  <si>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</si>
  <si>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</si>
  <si>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</si>
  <si>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</si>
  <si>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</si>
  <si>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</si>
  <si>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</si>
  <si>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</si>
  <si>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</si>
  <si>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</si>
  <si>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</si>
  <si>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</si>
  <si>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</si>
  <si>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</si>
  <si>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</si>
  <si>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</si>
  <si>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</si>
  <si>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</si>
  <si>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</si>
  <si>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</si>
  <si>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</si>
  <si>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</si>
  <si>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</si>
  <si>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</si>
  <si>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</si>
  <si>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</si>
  <si>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</si>
  <si>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</si>
  <si>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</si>
  <si>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</si>
  <si>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</si>
  <si>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</si>
  <si>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</si>
  <si>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</si>
  <si>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</si>
  <si>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</si>
  <si>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</si>
  <si>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</si>
  <si>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</si>
  <si>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</si>
  <si>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</si>
  <si>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</si>
  <si>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</si>
  <si>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</si>
  <si>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</si>
  <si>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</si>
  <si>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</si>
  <si>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</si>
  <si>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</si>
  <si>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</si>
  <si>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</si>
  <si>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</si>
  <si>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</si>
  <si>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</si>
  <si>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</si>
  <si>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</si>
  <si>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</si>
  <si>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</si>
  <si>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</si>
  <si>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</si>
  <si>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</si>
  <si>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</si>
  <si>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</si>
  <si>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</si>
  <si>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</si>
  <si>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</si>
  <si>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</si>
  <si>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</si>
  <si>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</si>
  <si>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</si>
  <si>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</si>
  <si>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</si>
  <si>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</si>
  <si>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</si>
  <si>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</si>
  <si>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</si>
  <si>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</si>
  <si>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</si>
  <si>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</si>
  <si>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</si>
  <si>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</si>
  <si>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</si>
  <si>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</si>
  <si>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</si>
  <si>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</si>
  <si>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</si>
  <si>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</si>
  <si>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</si>
  <si>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</si>
  <si>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</si>
  <si>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</si>
  <si>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</si>
  <si>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</si>
  <si>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</si>
  <si>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</si>
  <si>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</si>
  <si>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</si>
  <si>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</si>
  <si>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</si>
  <si>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</si>
  <si>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</si>
  <si>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</si>
  <si>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</si>
  <si>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</si>
  <si>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</si>
  <si>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</si>
  <si>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</si>
  <si>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</si>
  <si>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</si>
  <si>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</si>
  <si>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</si>
  <si>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</si>
  <si>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</si>
  <si>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</si>
  <si>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</si>
  <si>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</si>
  <si>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</si>
  <si>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</si>
  <si>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</si>
  <si>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</si>
  <si>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</si>
  <si>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</si>
  <si>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</si>
  <si>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</si>
  <si>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</si>
  <si>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</si>
  <si>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</si>
  <si>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</si>
  <si>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</si>
  <si>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</si>
  <si>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</si>
  <si>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</si>
  <si>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</si>
  <si>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</si>
  <si>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</si>
  <si>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</si>
  <si>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</si>
  <si>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</si>
  <si>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</si>
  <si>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</si>
  <si>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</si>
  <si>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</si>
  <si>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</si>
  <si>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</si>
  <si>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</si>
  <si>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</si>
  <si>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</si>
  <si>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</si>
  <si>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</si>
  <si>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</si>
  <si>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</si>
  <si>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</si>
  <si>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</si>
  <si>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</si>
  <si>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</si>
  <si>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</si>
  <si>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</si>
  <si>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</si>
  <si>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</si>
  <si>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</si>
  <si>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</si>
  <si>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</si>
  <si>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</si>
  <si>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</si>
  <si>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</si>
  <si>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</si>
  <si>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</si>
  <si>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</si>
  <si>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</si>
  <si>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</si>
  <si>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</si>
  <si>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</si>
  <si>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</si>
  <si>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</si>
  <si>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</si>
  <si>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</si>
  <si>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</si>
  <si>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</si>
  <si>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</si>
  <si>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</si>
  <si>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</si>
  <si>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</si>
  <si>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</si>
  <si>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</si>
  <si>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</si>
  <si>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</si>
  <si>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</si>
  <si>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</si>
  <si>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</si>
  <si>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</si>
  <si>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</si>
  <si>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</si>
  <si>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</si>
  <si>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</si>
  <si>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</si>
  <si>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</si>
  <si>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</si>
  <si>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</si>
  <si>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</si>
  <si>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</si>
  <si>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</si>
  <si>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</si>
  <si>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</si>
  <si>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</si>
  <si>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</si>
  <si>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</si>
  <si>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</si>
  <si>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</si>
  <si>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</si>
  <si>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</si>
  <si>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</si>
  <si>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</si>
  <si>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</si>
  <si>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</si>
  <si>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</si>
  <si>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</si>
  <si>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</si>
  <si>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</si>
  <si>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</si>
  <si>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</si>
  <si>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</si>
  <si>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</si>
  <si>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</si>
  <si>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</si>
  <si>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</si>
  <si>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</si>
  <si>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</si>
  <si>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</si>
  <si>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</si>
  <si>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</si>
  <si>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</si>
  <si>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</si>
  <si>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</si>
  <si>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</si>
  <si>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</si>
  <si>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</si>
  <si>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</si>
  <si>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</si>
  <si>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</si>
  <si>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</si>
  <si>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</si>
  <si>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</si>
  <si>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</si>
  <si>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</si>
  <si>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</si>
  <si>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</si>
  <si>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</si>
  <si>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</si>
  <si>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</si>
  <si>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</si>
  <si>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</si>
  <si>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</si>
  <si>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</si>
  <si>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</si>
  <si>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</si>
  <si>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</si>
  <si>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</si>
  <si>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</si>
  <si>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</si>
  <si>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</si>
  <si>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</si>
  <si>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</si>
  <si>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</si>
  <si>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</si>
  <si>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</si>
  <si>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</si>
  <si>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</si>
  <si>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</si>
  <si>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</si>
  <si>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</si>
  <si>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</si>
  <si>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</si>
  <si>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</si>
  <si>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</si>
  <si>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</si>
  <si>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</si>
  <si>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</si>
  <si>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</si>
  <si>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</si>
  <si>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</si>
  <si>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</si>
  <si>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</si>
  <si>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</si>
  <si>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</si>
  <si>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</si>
  <si>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</si>
  <si>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</si>
  <si>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</si>
  <si>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</si>
  <si>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</si>
  <si>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</si>
  <si>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</si>
  <si>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</si>
  <si>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</si>
  <si>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</si>
  <si>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</si>
  <si>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</si>
  <si>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</si>
  <si>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</si>
  <si>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</si>
  <si>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</si>
  <si>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</si>
  <si>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</si>
  <si>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</si>
  <si>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</si>
  <si>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</si>
  <si>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</si>
  <si>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</si>
  <si>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</si>
  <si>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</si>
  <si>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</si>
  <si>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</si>
  <si>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</si>
  <si>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</si>
  <si>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</si>
  <si>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</si>
  <si>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</si>
  <si>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</si>
  <si>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</si>
  <si>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</si>
  <si>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</si>
  <si>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</si>
  <si>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</si>
  <si>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</si>
  <si>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</si>
  <si>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</si>
  <si>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</si>
  <si>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</si>
  <si>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</si>
  <si>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</si>
  <si>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</si>
  <si>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</si>
  <si>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</si>
  <si>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</si>
  <si>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</si>
  <si>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</si>
  <si>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</si>
  <si>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</si>
  <si>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</si>
  <si>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</si>
  <si>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</si>
  <si>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</si>
  <si>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</si>
  <si>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</si>
  <si>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</si>
  <si>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</si>
  <si>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</si>
  <si>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</si>
  <si>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</si>
  <si>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</si>
  <si>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</si>
  <si>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</si>
  <si>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</si>
  <si>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</si>
  <si>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</si>
  <si>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</si>
  <si>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</si>
  <si>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</si>
  <si>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</si>
  <si>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</si>
  <si>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</si>
  <si>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</si>
  <si>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</si>
  <si>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</si>
  <si>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</si>
  <si>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</si>
  <si>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</si>
  <si>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</si>
  <si>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</si>
  <si>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</si>
  <si>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</si>
  <si>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</si>
  <si>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</si>
  <si>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</si>
  <si>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</si>
  <si>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</si>
  <si>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</si>
  <si>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</si>
  <si>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</si>
  <si>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</si>
  <si>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</si>
  <si>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</si>
  <si>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</si>
  <si>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</si>
  <si>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</si>
  <si>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</si>
  <si>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</si>
  <si>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</si>
  <si>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</si>
  <si>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</si>
  <si>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</si>
  <si>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</si>
  <si>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</si>
  <si>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</si>
  <si>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</si>
  <si>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</si>
  <si>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</si>
  <si>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</si>
  <si>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</si>
  <si>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</si>
  <si>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</si>
  <si>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</si>
  <si>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</si>
  <si>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</si>
  <si>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</si>
  <si>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</si>
  <si>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</si>
  <si>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</si>
  <si>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</si>
  <si>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</si>
  <si>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</si>
  <si>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</si>
  <si>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</si>
  <si>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</si>
  <si>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</si>
  <si>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</si>
  <si>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</si>
  <si>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</si>
  <si>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</si>
  <si>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</si>
  <si>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</si>
  <si>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</si>
  <si>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</si>
  <si>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</si>
  <si>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</si>
  <si>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</si>
  <si>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</si>
  <si>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</si>
  <si>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</si>
  <si>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</si>
  <si>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</si>
  <si>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</si>
  <si>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</si>
  <si>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</si>
  <si>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</si>
  <si>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</si>
  <si>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</si>
  <si>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</si>
  <si>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</si>
  <si>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</si>
  <si>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</si>
  <si>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</si>
  <si>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</si>
  <si>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</si>
  <si>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</si>
  <si>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</si>
  <si>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</si>
  <si>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</si>
  <si>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</si>
  <si>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</si>
  <si>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</si>
  <si>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</si>
  <si>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</si>
  <si>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</si>
  <si>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</si>
  <si>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</si>
  <si>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</si>
  <si>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</si>
  <si>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</si>
  <si>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</si>
  <si>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</si>
  <si>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</si>
  <si>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</si>
  <si>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</si>
  <si>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</si>
  <si>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</si>
  <si>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</si>
  <si>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</si>
  <si>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</si>
  <si>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</si>
  <si>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</si>
  <si>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</si>
  <si>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</si>
  <si>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</si>
  <si>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</si>
  <si>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</si>
  <si>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</si>
  <si>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</si>
  <si>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</si>
  <si>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</si>
  <si>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</si>
  <si>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</si>
  <si>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</si>
  <si>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</si>
  <si>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</si>
  <si>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</si>
  <si>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</si>
  <si>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</si>
  <si>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</si>
  <si>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</si>
  <si>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</si>
  <si>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</si>
  <si>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</si>
  <si>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</si>
  <si>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</si>
  <si>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</si>
  <si>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</si>
  <si>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</si>
  <si>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</si>
  <si>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</si>
  <si>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</si>
  <si>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</si>
  <si>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</si>
  <si>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</si>
  <si>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</si>
  <si>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</si>
  <si>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</si>
  <si>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</si>
  <si>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</si>
  <si>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</si>
  <si>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</si>
  <si>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</si>
  <si>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</si>
  <si>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</si>
  <si>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</si>
  <si>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</si>
  <si>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</si>
  <si>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</si>
  <si>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Technology</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</si>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</sst>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4" zoomScale="70" zoomScaleNormal="70" workbookViewId="0">
      <selection activeCell="K37" sqref="K3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8.42578125" style="27" customWidth="1"/>
    <col min="8" max="8" width="8.42578125" style="86" customWidth="1"/>
    <col min="9" max="9" width="21.28515625" style="27" customWidth="1"/>
    <col min="10" max="10" width="28.42578125" style="27" customWidth="1"/>
    <col min="11" max="11" width="27.4257812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1601</v>
      </c>
      <c r="B1" s="189"/>
      <c r="C1" s="189"/>
      <c r="D1" s="189"/>
      <c r="E1" s="189"/>
      <c r="F1" s="189"/>
      <c r="G1" s="189"/>
      <c r="H1" s="189"/>
      <c r="I1" s="189"/>
      <c r="J1" s="189"/>
      <c r="K1" s="189"/>
      <c r="L1" s="26"/>
      <c r="M1" s="26"/>
      <c r="N1" s="26"/>
      <c r="O1" s="26"/>
      <c r="P1" s="26"/>
      <c r="Q1" s="26"/>
      <c r="R1" s="26"/>
      <c r="S1" s="26"/>
      <c r="T1" s="26"/>
    </row>
    <row r="2" spans="1:25" ht="18" x14ac:dyDescent="0.25">
      <c r="A2" s="190" t="s">
        <v>1563</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1579</v>
      </c>
      <c r="B4" s="184"/>
      <c r="C4" s="184"/>
      <c r="D4" s="184"/>
      <c r="E4" s="184"/>
      <c r="F4" s="188" t="s">
        <v>1654</v>
      </c>
      <c r="G4" s="188"/>
      <c r="H4" s="188"/>
      <c r="I4" s="188"/>
    </row>
    <row r="5" spans="1:25" ht="15.75" x14ac:dyDescent="0.2">
      <c r="A5" s="184" t="s">
        <v>1595</v>
      </c>
      <c r="B5" s="184"/>
      <c r="C5" s="184"/>
      <c r="D5" s="184"/>
      <c r="E5" s="184"/>
      <c r="F5" s="191" t="s">
        <v>1129</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1567</v>
      </c>
      <c r="B7" s="184"/>
      <c r="C7" s="184"/>
      <c r="D7" s="184"/>
      <c r="E7" s="184"/>
      <c r="F7" s="188" t="s">
        <v>1564</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GENERAL GOVERNMENT</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1647</v>
      </c>
      <c r="N14" s="194"/>
      <c r="O14" s="37"/>
      <c r="P14" s="193" t="s">
        <v>1631</v>
      </c>
      <c r="Q14" s="194"/>
      <c r="R14" s="39"/>
      <c r="S14" s="40" t="s">
        <v>1632</v>
      </c>
    </row>
    <row r="15" spans="1:25" ht="16.5" customHeight="1" x14ac:dyDescent="0.2">
      <c r="B15" s="181" t="s">
        <v>1573</v>
      </c>
      <c r="C15" s="181"/>
      <c r="D15" s="181"/>
      <c r="E15" s="181"/>
      <c r="F15" s="181"/>
      <c r="G15" s="181"/>
      <c r="H15" s="181"/>
      <c r="I15" s="181"/>
      <c r="J15" s="41">
        <f>ROUND(M15,0)</f>
        <v>2907053</v>
      </c>
      <c r="K15" s="42"/>
      <c r="M15" s="105">
        <v>2907053</v>
      </c>
      <c r="P15" s="105">
        <v>2907053</v>
      </c>
      <c r="S15" s="43">
        <f>M15-P15</f>
        <v>0</v>
      </c>
      <c r="T15" s="44" t="s">
        <v>1633</v>
      </c>
    </row>
    <row r="16" spans="1:25" ht="16.5" customHeight="1" x14ac:dyDescent="0.2">
      <c r="A16" s="45"/>
      <c r="B16" s="181" t="s">
        <v>1581</v>
      </c>
      <c r="C16" s="181"/>
      <c r="D16" s="181"/>
      <c r="E16" s="181"/>
      <c r="F16" s="181"/>
      <c r="G16" s="181"/>
      <c r="H16" s="181"/>
      <c r="I16" s="181"/>
      <c r="J16" s="41">
        <f>ROUND(P16,0)</f>
        <v>0</v>
      </c>
      <c r="K16" s="42"/>
      <c r="M16" s="105"/>
      <c r="P16" s="46">
        <f>IF(SUM($Q$18:$Q$19)&gt;$P$15,SUM($Q$18:$Q$19)-$P$15,0)</f>
        <v>0</v>
      </c>
      <c r="S16" s="43">
        <f>M16-P16</f>
        <v>0</v>
      </c>
      <c r="T16" s="47" t="s">
        <v>1634</v>
      </c>
    </row>
    <row r="17" spans="1:25" ht="16.5" customHeight="1" x14ac:dyDescent="0.2">
      <c r="A17" s="45"/>
      <c r="B17" s="181" t="s">
        <v>1582</v>
      </c>
      <c r="C17" s="181"/>
      <c r="D17" s="181"/>
      <c r="E17" s="181"/>
      <c r="F17" s="181"/>
      <c r="G17" s="181"/>
      <c r="H17" s="181"/>
      <c r="I17" s="181"/>
      <c r="J17" s="41">
        <f>ROUND(IF(SUM($K$18:$K$20)&gt;SUM($J$15:$J$16),SUM($K$18:$K$20)-SUM($J$15:$J$16),0),0)</f>
        <v>0</v>
      </c>
      <c r="K17" s="42"/>
      <c r="M17" s="105"/>
      <c r="P17" s="48"/>
      <c r="S17" s="43">
        <f>M17-P17</f>
        <v>0</v>
      </c>
      <c r="T17" s="47" t="s">
        <v>1634</v>
      </c>
    </row>
    <row r="18" spans="1:25" ht="16.5" customHeight="1" x14ac:dyDescent="0.2">
      <c r="A18" s="45"/>
      <c r="B18" s="20"/>
      <c r="C18" s="181" t="s">
        <v>1580</v>
      </c>
      <c r="D18" s="181"/>
      <c r="E18" s="181"/>
      <c r="F18" s="181"/>
      <c r="G18" s="181"/>
      <c r="H18" s="181"/>
      <c r="I18" s="181"/>
      <c r="J18" s="42"/>
      <c r="K18" s="41">
        <f>ROUND(N18,0)</f>
        <v>845934</v>
      </c>
      <c r="N18" s="105">
        <v>845934</v>
      </c>
      <c r="Q18" s="105">
        <v>848552</v>
      </c>
      <c r="S18" s="43">
        <f>N18-Q18</f>
        <v>-2618</v>
      </c>
      <c r="T18" s="47" t="s">
        <v>1634</v>
      </c>
    </row>
    <row r="19" spans="1:25" ht="16.5" customHeight="1" x14ac:dyDescent="0.25">
      <c r="A19" s="45"/>
      <c r="B19" s="49"/>
      <c r="C19" s="181" t="s">
        <v>1617</v>
      </c>
      <c r="D19" s="181"/>
      <c r="E19" s="181"/>
      <c r="F19" s="181"/>
      <c r="G19" s="181"/>
      <c r="H19" s="181"/>
      <c r="I19" s="181"/>
      <c r="J19" s="42"/>
      <c r="K19" s="41">
        <f>ROUND(N19,0)</f>
        <v>1851094</v>
      </c>
      <c r="N19" s="105">
        <v>1851094</v>
      </c>
      <c r="Q19" s="105">
        <v>1851154</v>
      </c>
      <c r="S19" s="43">
        <f>N19-Q19</f>
        <v>-60</v>
      </c>
      <c r="T19" s="47" t="s">
        <v>1634</v>
      </c>
      <c r="X19" s="18"/>
    </row>
    <row r="20" spans="1:25" ht="16.5" customHeight="1" x14ac:dyDescent="0.25">
      <c r="A20" s="45"/>
      <c r="B20" s="49"/>
      <c r="C20" s="181" t="s">
        <v>1583</v>
      </c>
      <c r="D20" s="181"/>
      <c r="E20" s="181"/>
      <c r="F20" s="181"/>
      <c r="G20" s="181"/>
      <c r="H20" s="181"/>
      <c r="I20" s="181"/>
      <c r="K20" s="41">
        <f>ROUND(Q20,0)</f>
        <v>207347</v>
      </c>
      <c r="N20" s="105">
        <v>210025</v>
      </c>
      <c r="Q20" s="46">
        <f>IF(SUM($Q$18:$Q$19)&lt;$P$15,-SUM($Q$18:$Q$19)+$P$15,0)</f>
        <v>207347</v>
      </c>
      <c r="S20" s="43">
        <f>N20-Q20</f>
        <v>2678</v>
      </c>
      <c r="T20" s="47" t="s">
        <v>1634</v>
      </c>
      <c r="Y20" s="19"/>
    </row>
    <row r="21" spans="1:25" ht="16.5" customHeight="1" x14ac:dyDescent="0.25">
      <c r="A21" s="45"/>
      <c r="B21" s="49"/>
      <c r="C21" s="181" t="s">
        <v>1584</v>
      </c>
      <c r="D21" s="181"/>
      <c r="E21" s="181"/>
      <c r="F21" s="181"/>
      <c r="G21" s="181"/>
      <c r="H21" s="181"/>
      <c r="I21" s="181"/>
      <c r="J21" s="42"/>
      <c r="K21" s="41">
        <f>ROUND(IF(SUM($K$18:$K$20)&lt;SUM($J$15:$J$16),-SUM($K$18:$K$20)+SUM($J$15:$J$16),0),0)</f>
        <v>2678</v>
      </c>
      <c r="N21" s="105"/>
      <c r="S21" s="43">
        <f>N21-Q21</f>
        <v>0</v>
      </c>
      <c r="T21" s="47" t="s">
        <v>1634</v>
      </c>
      <c r="Y21" s="19"/>
    </row>
    <row r="22" spans="1:25" ht="16.5" customHeight="1" x14ac:dyDescent="0.2">
      <c r="A22" s="45"/>
      <c r="B22" s="50"/>
      <c r="C22" s="50"/>
      <c r="D22" s="50"/>
      <c r="E22" s="50"/>
      <c r="F22" s="50"/>
      <c r="G22" s="50"/>
      <c r="H22" s="50"/>
      <c r="I22" s="50"/>
      <c r="J22" s="51">
        <f>ROUND(SUM(J15:J17),0)</f>
        <v>2907053</v>
      </c>
      <c r="K22" s="51">
        <f>ROUND(SUM(K18:K21),0)</f>
        <v>2907053</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1598</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1599</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1570</v>
      </c>
      <c r="C28" s="181"/>
      <c r="D28" s="181"/>
      <c r="E28" s="181"/>
      <c r="F28" s="181"/>
      <c r="G28" s="181"/>
      <c r="H28" s="181"/>
      <c r="I28" s="181"/>
      <c r="J28" s="105">
        <v>313917</v>
      </c>
      <c r="K28" s="42"/>
      <c r="L28" s="37"/>
      <c r="M28" s="37"/>
      <c r="N28" s="37"/>
      <c r="O28" s="37"/>
      <c r="P28" s="37"/>
      <c r="Q28" s="37"/>
      <c r="R28" s="37"/>
      <c r="S28" s="37"/>
      <c r="T28" s="37"/>
    </row>
    <row r="29" spans="1:25" ht="16.5" customHeight="1" x14ac:dyDescent="0.25">
      <c r="A29" s="45"/>
      <c r="B29" s="49"/>
      <c r="C29" s="181" t="s">
        <v>1571</v>
      </c>
      <c r="D29" s="181"/>
      <c r="E29" s="181"/>
      <c r="F29" s="181"/>
      <c r="G29" s="181"/>
      <c r="H29" s="181"/>
      <c r="I29" s="181"/>
      <c r="J29" s="42"/>
      <c r="K29" s="105">
        <v>313917</v>
      </c>
      <c r="L29" s="37"/>
      <c r="M29" s="37"/>
      <c r="N29" s="37"/>
      <c r="O29" s="37"/>
      <c r="P29" s="37"/>
      <c r="Q29" s="37"/>
      <c r="R29" s="37"/>
      <c r="S29" s="37"/>
      <c r="T29" s="37"/>
    </row>
    <row r="30" spans="1:25" ht="16.5" customHeight="1" x14ac:dyDescent="0.25">
      <c r="A30" s="45"/>
      <c r="B30" s="49"/>
      <c r="C30" s="181" t="str">
        <f>VLOOKUP($F$8,'Drop Down Menus'!$D$2:$G$10,4,FALSE)</f>
        <v>Cr: Acct 0808 - GENERAL GOV.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313917</v>
      </c>
      <c r="K31" s="51">
        <f>ROUND(SUM(K28:K30),2)</f>
        <v>313917</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1600</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1573</v>
      </c>
      <c r="C34" s="181"/>
      <c r="D34" s="181"/>
      <c r="E34" s="181"/>
      <c r="F34" s="181"/>
      <c r="G34" s="181"/>
      <c r="H34" s="181"/>
      <c r="I34" s="181"/>
      <c r="J34" s="105">
        <v>313917</v>
      </c>
      <c r="K34" s="67"/>
      <c r="L34" s="37"/>
      <c r="M34" s="37"/>
      <c r="N34" s="37"/>
      <c r="O34" s="37"/>
      <c r="P34" s="37"/>
      <c r="Q34" s="37"/>
      <c r="R34" s="37"/>
      <c r="S34" s="37"/>
      <c r="T34" s="37"/>
    </row>
    <row r="35" spans="1:20" ht="16.5" customHeight="1" x14ac:dyDescent="0.2">
      <c r="B35" s="181" t="s">
        <v>1572</v>
      </c>
      <c r="C35" s="181"/>
      <c r="D35" s="181"/>
      <c r="E35" s="181"/>
      <c r="F35" s="181"/>
      <c r="G35" s="181"/>
      <c r="H35" s="181"/>
      <c r="I35" s="181"/>
      <c r="J35" s="105">
        <v>313917</v>
      </c>
      <c r="K35" s="68"/>
    </row>
    <row r="36" spans="1:20" ht="16.5" customHeight="1" x14ac:dyDescent="0.2">
      <c r="A36" s="45"/>
      <c r="B36" s="69"/>
      <c r="C36" s="181" t="s">
        <v>1574</v>
      </c>
      <c r="D36" s="181"/>
      <c r="E36" s="181"/>
      <c r="F36" s="181"/>
      <c r="G36" s="181"/>
      <c r="H36" s="181"/>
      <c r="I36" s="181"/>
      <c r="J36" s="68"/>
      <c r="K36" s="105"/>
    </row>
    <row r="37" spans="1:20" ht="16.5" customHeight="1" x14ac:dyDescent="0.2">
      <c r="A37" s="45"/>
      <c r="C37" s="181" t="s">
        <v>1617</v>
      </c>
      <c r="D37" s="181"/>
      <c r="E37" s="181"/>
      <c r="F37" s="181"/>
      <c r="G37" s="181"/>
      <c r="H37" s="181"/>
      <c r="I37" s="181"/>
      <c r="J37" s="68"/>
      <c r="K37" s="105">
        <v>313917</v>
      </c>
    </row>
    <row r="38" spans="1:20" ht="16.5" customHeight="1" x14ac:dyDescent="0.25">
      <c r="A38" s="45"/>
      <c r="B38" s="49"/>
      <c r="C38" s="181" t="str">
        <f>VLOOKUP($F$8,'Drop Down Menus'!$D$2:$G$10,4,FALSE)</f>
        <v>Cr: Acct 0808 - GENERAL GOV. (GAAP ADJ)</v>
      </c>
      <c r="D38" s="181"/>
      <c r="E38" s="181"/>
      <c r="F38" s="181"/>
      <c r="G38" s="181"/>
      <c r="H38" s="181"/>
      <c r="I38" s="181"/>
      <c r="J38" s="68"/>
      <c r="K38" s="105">
        <v>313917</v>
      </c>
    </row>
    <row r="39" spans="1:20" ht="16.5" customHeight="1" x14ac:dyDescent="0.2">
      <c r="A39" s="45"/>
      <c r="B39" s="70"/>
      <c r="C39" s="70"/>
      <c r="D39" s="70"/>
      <c r="E39" s="70"/>
      <c r="F39" s="70"/>
      <c r="G39" s="70"/>
      <c r="H39" s="70"/>
      <c r="I39" s="70"/>
      <c r="J39" s="51">
        <f>ROUND(SUM(J34:J35),2)</f>
        <v>627834</v>
      </c>
      <c r="K39" s="51">
        <f>ROUND(SUM(K36:K38),2)</f>
        <v>627834</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1602</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1575</v>
      </c>
      <c r="C45" s="181"/>
      <c r="D45" s="181"/>
      <c r="E45" s="181"/>
      <c r="F45" s="181"/>
      <c r="G45" s="181"/>
      <c r="H45" s="181"/>
      <c r="I45" s="181"/>
      <c r="J45" s="105">
        <v>924910.44067455071</v>
      </c>
      <c r="K45" s="78"/>
    </row>
    <row r="46" spans="1:20" ht="16.5" customHeight="1" x14ac:dyDescent="0.2">
      <c r="A46" s="45"/>
      <c r="B46" s="69"/>
      <c r="C46" s="181" t="s">
        <v>1580</v>
      </c>
      <c r="D46" s="181"/>
      <c r="E46" s="181"/>
      <c r="F46" s="181"/>
      <c r="G46" s="181"/>
      <c r="H46" s="181"/>
      <c r="I46" s="181"/>
      <c r="J46" s="68"/>
      <c r="K46" s="105">
        <v>924910.44067455071</v>
      </c>
    </row>
    <row r="47" spans="1:20" ht="16.5" customHeight="1" x14ac:dyDescent="0.2">
      <c r="A47" s="65"/>
      <c r="B47" s="50"/>
      <c r="C47" s="50"/>
      <c r="D47" s="50"/>
      <c r="E47" s="50"/>
      <c r="F47" s="50"/>
      <c r="G47" s="50"/>
      <c r="H47" s="50"/>
      <c r="I47" s="50"/>
      <c r="J47" s="79">
        <f>ROUND(SUM(J45:J45),2)</f>
        <v>924910.44</v>
      </c>
      <c r="K47" s="79">
        <f>ROUND(SUM(K46),2)</f>
        <v>924910.44</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1604</v>
      </c>
      <c r="C50" s="181"/>
      <c r="D50" s="181"/>
      <c r="E50" s="181"/>
      <c r="F50" s="181"/>
      <c r="G50" s="181"/>
      <c r="H50" s="181"/>
      <c r="I50" s="181"/>
      <c r="J50" s="106">
        <v>1169330</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43086</v>
      </c>
      <c r="K51" s="81"/>
    </row>
    <row r="52" spans="1:20" ht="16.5" customHeight="1" x14ac:dyDescent="0.25">
      <c r="A52" s="45"/>
      <c r="B52" s="49"/>
      <c r="C52" s="181" t="str">
        <f>VLOOKUP($F$8,'Drop Down Menus'!$D$2:$G$10,4,FALSE)</f>
        <v>Cr: Acct 0808 - GENERAL GOV. (GAAP ADJ)</v>
      </c>
      <c r="D52" s="181"/>
      <c r="E52" s="181"/>
      <c r="F52" s="181"/>
      <c r="G52" s="181"/>
      <c r="H52" s="181"/>
      <c r="I52" s="181"/>
      <c r="J52" s="81"/>
      <c r="K52" s="107">
        <v>1212416</v>
      </c>
    </row>
    <row r="53" spans="1:20" ht="16.5" customHeight="1" x14ac:dyDescent="0.2">
      <c r="A53" s="65"/>
      <c r="B53" s="50"/>
      <c r="C53" s="50"/>
      <c r="D53" s="50"/>
      <c r="E53" s="50"/>
      <c r="F53" s="50"/>
      <c r="G53" s="50"/>
      <c r="H53" s="50"/>
      <c r="I53" s="50"/>
      <c r="J53" s="79">
        <f>ROUND(SUM(J50:J51),2)</f>
        <v>1212416</v>
      </c>
      <c r="K53" s="79">
        <f>ROUND(SUM(K52,),2)</f>
        <v>1212416</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1618</v>
      </c>
      <c r="C56" s="181"/>
      <c r="D56" s="181"/>
      <c r="E56" s="181"/>
      <c r="F56" s="181"/>
      <c r="G56" s="181"/>
      <c r="H56" s="181"/>
      <c r="I56" s="181"/>
      <c r="J56" s="105">
        <v>1169330</v>
      </c>
      <c r="K56" s="68"/>
    </row>
    <row r="57" spans="1:20" ht="16.5" customHeight="1" x14ac:dyDescent="0.25">
      <c r="A57" s="45"/>
      <c r="B57" s="49"/>
      <c r="C57" s="181" t="s">
        <v>1606</v>
      </c>
      <c r="D57" s="181"/>
      <c r="E57" s="181"/>
      <c r="F57" s="181"/>
      <c r="G57" s="181"/>
      <c r="H57" s="181"/>
      <c r="I57" s="181"/>
      <c r="J57" s="68"/>
      <c r="K57" s="105">
        <v>1169330</v>
      </c>
      <c r="L57" s="27" t="str">
        <f>IF($J$50=$K$57,"","&lt;- Accts 0848 must agree")</f>
        <v/>
      </c>
    </row>
    <row r="58" spans="1:20" ht="16.5" customHeight="1" x14ac:dyDescent="0.2">
      <c r="A58" s="65"/>
      <c r="B58" s="50"/>
      <c r="C58" s="50"/>
      <c r="D58" s="50"/>
      <c r="E58" s="50"/>
      <c r="F58" s="50"/>
      <c r="G58" s="50"/>
      <c r="H58" s="50"/>
      <c r="I58" s="50"/>
      <c r="J58" s="79">
        <f>ROUND(SUM(J56:J56),2)</f>
        <v>1169330</v>
      </c>
      <c r="K58" s="79">
        <f>ROUND(SUM(K57),2)</f>
        <v>1169330</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81" t="s">
        <v>1618</v>
      </c>
      <c r="C61" s="181"/>
      <c r="D61" s="181"/>
      <c r="E61" s="181"/>
      <c r="F61" s="181"/>
      <c r="G61" s="181"/>
      <c r="H61" s="181"/>
      <c r="I61" s="181"/>
      <c r="J61" s="108">
        <v>889376</v>
      </c>
      <c r="K61" s="78"/>
    </row>
    <row r="62" spans="1:20" ht="16.5" customHeight="1" x14ac:dyDescent="0.25">
      <c r="A62" s="45"/>
      <c r="B62" s="49"/>
      <c r="C62" s="181" t="s">
        <v>1615</v>
      </c>
      <c r="D62" s="181"/>
      <c r="E62" s="181"/>
      <c r="F62" s="181"/>
      <c r="G62" s="181"/>
      <c r="H62" s="181"/>
      <c r="I62" s="181"/>
      <c r="J62" s="78"/>
      <c r="K62" s="105">
        <v>889376</v>
      </c>
    </row>
    <row r="63" spans="1:20" ht="16.5" customHeight="1" x14ac:dyDescent="0.2">
      <c r="A63" s="45"/>
      <c r="B63" s="176" t="s">
        <v>1614</v>
      </c>
      <c r="C63" s="176"/>
      <c r="D63" s="176"/>
      <c r="E63" s="176"/>
      <c r="F63" s="176"/>
      <c r="G63" s="176"/>
      <c r="H63" s="176"/>
      <c r="I63" s="176"/>
      <c r="J63" s="79">
        <f>ROUND(SUM(J61:J61),2)</f>
        <v>889376</v>
      </c>
      <c r="K63" s="79">
        <f>ROUND(SUM(K62),2)</f>
        <v>889376</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81" t="s">
        <v>1587</v>
      </c>
      <c r="C68" s="181"/>
      <c r="D68" s="181"/>
      <c r="E68" s="181"/>
      <c r="F68" s="181"/>
      <c r="G68" s="181"/>
      <c r="H68" s="181"/>
      <c r="I68" s="181"/>
      <c r="J68" s="108"/>
      <c r="K68" s="87"/>
      <c r="L68" s="37"/>
      <c r="M68" s="37"/>
      <c r="N68" s="37"/>
      <c r="O68" s="37"/>
      <c r="P68" s="37"/>
      <c r="Q68" s="37"/>
      <c r="R68" s="37"/>
      <c r="S68" s="37"/>
      <c r="T68" s="37"/>
    </row>
    <row r="69" spans="1:20" ht="16.5" customHeight="1" x14ac:dyDescent="0.2">
      <c r="A69" s="45"/>
      <c r="B69" s="88"/>
      <c r="C69" s="181" t="s">
        <v>1588</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1603</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1605</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1587</v>
      </c>
      <c r="C77" s="181"/>
      <c r="D77" s="181"/>
      <c r="E77" s="181"/>
      <c r="F77" s="181"/>
      <c r="G77" s="181"/>
      <c r="H77" s="181"/>
      <c r="I77" s="181"/>
      <c r="J77" s="108"/>
      <c r="K77" s="48"/>
    </row>
    <row r="78" spans="1:20" ht="16.5" customHeight="1" x14ac:dyDescent="0.2">
      <c r="B78" s="181" t="str">
        <f>VLOOKUP($F$8,'Drop Down Menus'!$D$2:$G$10,3,FALSE)</f>
        <v>Dr: Acct 0808 - GENERAL GOV. (GAAP ADJ)</v>
      </c>
      <c r="C78" s="181"/>
      <c r="D78" s="181"/>
      <c r="E78" s="181"/>
      <c r="F78" s="181"/>
      <c r="G78" s="181"/>
      <c r="H78" s="181"/>
      <c r="I78" s="181"/>
      <c r="J78" s="108"/>
      <c r="K78" s="48"/>
    </row>
    <row r="79" spans="1:20" ht="16.5" customHeight="1" x14ac:dyDescent="0.2">
      <c r="C79" s="181" t="s">
        <v>1588</v>
      </c>
      <c r="D79" s="181"/>
      <c r="E79" s="181"/>
      <c r="F79" s="181"/>
      <c r="G79" s="181"/>
      <c r="H79" s="181"/>
      <c r="I79" s="181"/>
      <c r="J79" s="48"/>
      <c r="K79" s="108"/>
    </row>
    <row r="80" spans="1:20" ht="16.5" customHeight="1" x14ac:dyDescent="0.2">
      <c r="C80" s="181" t="str">
        <f>VLOOKUP($F$8,'Drop Down Menus'!$D$2:$G$10,4,FALSE)</f>
        <v>Cr: Acct 0808 - GENERAL GOV.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1607</v>
      </c>
      <c r="C83" s="178"/>
      <c r="D83" s="178"/>
      <c r="E83" s="178"/>
      <c r="F83" s="178"/>
      <c r="G83" s="178"/>
      <c r="H83" s="178"/>
      <c r="I83" s="178"/>
      <c r="J83" s="178"/>
      <c r="K83" s="178"/>
    </row>
    <row r="84" spans="1:20" ht="16.5" customHeight="1" x14ac:dyDescent="0.2">
      <c r="B84" s="181" t="s">
        <v>1573</v>
      </c>
      <c r="C84" s="181"/>
      <c r="D84" s="181"/>
      <c r="E84" s="181"/>
      <c r="F84" s="181"/>
      <c r="G84" s="181"/>
      <c r="H84" s="181"/>
      <c r="I84" s="181"/>
      <c r="J84" s="108"/>
      <c r="K84" s="48"/>
    </row>
    <row r="85" spans="1:20" ht="16.5" customHeight="1" x14ac:dyDescent="0.2">
      <c r="C85" s="181" t="s">
        <v>1617</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1612</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3220970</v>
      </c>
      <c r="N94" s="104"/>
    </row>
    <row r="95" spans="1:20" ht="16.5" customHeight="1" x14ac:dyDescent="0.25">
      <c r="D95" s="49" t="s">
        <v>1630</v>
      </c>
      <c r="E95" s="100"/>
      <c r="F95" s="100"/>
      <c r="G95" s="100"/>
      <c r="H95" s="27"/>
      <c r="I95" s="100"/>
      <c r="J95" s="100"/>
      <c r="K95" s="103">
        <f>-K18-K46+J68+J77</f>
        <v>-1770844.4406745508</v>
      </c>
      <c r="N95" s="102"/>
    </row>
    <row r="96" spans="1:20" ht="16.5" customHeight="1" x14ac:dyDescent="0.25">
      <c r="D96" s="49" t="s">
        <v>1628</v>
      </c>
      <c r="E96" s="100"/>
      <c r="F96" s="100"/>
      <c r="G96" s="100"/>
      <c r="H96" s="27"/>
      <c r="I96" s="100"/>
      <c r="J96" s="100"/>
      <c r="K96" s="103">
        <f>-K19-K37+J56+J61+J76-K85</f>
        <v>-106305</v>
      </c>
    </row>
    <row r="97" spans="1:11" ht="16.5" customHeight="1" x14ac:dyDescent="0.25">
      <c r="D97" s="49" t="s">
        <v>1629</v>
      </c>
      <c r="E97" s="100"/>
      <c r="F97" s="100"/>
      <c r="G97" s="100"/>
      <c r="H97" s="27"/>
      <c r="I97" s="100"/>
      <c r="J97" s="100"/>
      <c r="K97" s="103">
        <f>-K62</f>
        <v>-889376</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Y1s+YGohBcZ58vb93lXsRKyDOVcQ56/9oSd8m9VzGjvKyqFEgXj3MLe8grGzAf/DZv07UMPsbftBOpIUI9aw9w==" saltValue="cy8zei++DA0t/mBcnP8dA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B219-8F2C-4D3F-A246-8FC0FD419685}">
  <sheetPr>
    <tabColor rgb="FF92D050"/>
    <pageSetUpPr fitToPage="1"/>
  </sheetPr>
  <dimension ref="A1:XFC115"/>
  <sheetViews>
    <sheetView zoomScale="70" zoomScaleNormal="70" workbookViewId="0">
      <selection activeCell="B77" sqref="B77:I7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4.85546875" style="86" customWidth="1"/>
    <col min="9" max="9" width="13" style="27" customWidth="1"/>
    <col min="10" max="10" width="30.42578125" style="27" customWidth="1"/>
    <col min="11" max="11" width="25.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1601</v>
      </c>
      <c r="B1" s="189"/>
      <c r="C1" s="189"/>
      <c r="D1" s="189"/>
      <c r="E1" s="189"/>
      <c r="F1" s="189"/>
      <c r="G1" s="189"/>
      <c r="H1" s="189"/>
      <c r="I1" s="189"/>
      <c r="J1" s="189"/>
      <c r="K1" s="189"/>
      <c r="L1" s="26"/>
      <c r="M1" s="26"/>
      <c r="N1" s="26"/>
      <c r="O1" s="26"/>
      <c r="P1" s="26"/>
      <c r="Q1" s="26"/>
      <c r="R1" s="26"/>
      <c r="S1" s="26"/>
      <c r="T1" s="26"/>
    </row>
    <row r="2" spans="1:25" ht="18" x14ac:dyDescent="0.25">
      <c r="A2" s="190" t="s">
        <v>1563</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1579</v>
      </c>
      <c r="B4" s="184"/>
      <c r="C4" s="184"/>
      <c r="D4" s="184"/>
      <c r="E4" s="184"/>
      <c r="F4" s="188" t="s">
        <v>1654</v>
      </c>
      <c r="G4" s="188"/>
      <c r="H4" s="188"/>
      <c r="I4" s="188"/>
    </row>
    <row r="5" spans="1:25" ht="15.75" x14ac:dyDescent="0.2">
      <c r="A5" s="184" t="s">
        <v>1595</v>
      </c>
      <c r="B5" s="184"/>
      <c r="C5" s="184"/>
      <c r="D5" s="184"/>
      <c r="E5" s="184"/>
      <c r="F5" s="191" t="s">
        <v>1129</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9730</v>
      </c>
      <c r="G6" s="186"/>
      <c r="H6" s="186"/>
      <c r="I6" s="186"/>
      <c r="L6" s="32"/>
      <c r="M6" s="32"/>
      <c r="N6" s="32"/>
      <c r="O6" s="32"/>
      <c r="P6" s="32"/>
      <c r="Q6" s="32"/>
      <c r="R6" s="32"/>
      <c r="S6" s="32"/>
      <c r="T6" s="32"/>
      <c r="U6" s="31"/>
      <c r="V6" s="31"/>
      <c r="X6" s="18"/>
    </row>
    <row r="7" spans="1:25" ht="15.75" x14ac:dyDescent="0.2">
      <c r="A7" s="184" t="s">
        <v>1567</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PROPRIETARY FUND</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1647</v>
      </c>
      <c r="N14" s="194"/>
      <c r="O14" s="37"/>
      <c r="P14" s="193" t="s">
        <v>1631</v>
      </c>
      <c r="Q14" s="194"/>
      <c r="R14" s="39"/>
      <c r="S14" s="40" t="s">
        <v>1632</v>
      </c>
    </row>
    <row r="15" spans="1:25" ht="16.5" customHeight="1" x14ac:dyDescent="0.2">
      <c r="B15" s="181" t="s">
        <v>1573</v>
      </c>
      <c r="C15" s="181"/>
      <c r="D15" s="181"/>
      <c r="E15" s="181"/>
      <c r="F15" s="181"/>
      <c r="G15" s="181"/>
      <c r="H15" s="181"/>
      <c r="I15" s="181"/>
      <c r="J15" s="41">
        <f>ROUND(M15,0)</f>
        <v>5451795</v>
      </c>
      <c r="K15" s="42"/>
      <c r="M15" s="105">
        <v>5451795</v>
      </c>
      <c r="P15" s="105">
        <v>7419442</v>
      </c>
      <c r="S15" s="43">
        <f>M15-P15</f>
        <v>-1967647</v>
      </c>
      <c r="T15" s="44" t="s">
        <v>1633</v>
      </c>
    </row>
    <row r="16" spans="1:25" ht="16.5" customHeight="1" x14ac:dyDescent="0.2">
      <c r="A16" s="45"/>
      <c r="B16" s="181" t="s">
        <v>1581</v>
      </c>
      <c r="C16" s="181"/>
      <c r="D16" s="181"/>
      <c r="E16" s="181"/>
      <c r="F16" s="181"/>
      <c r="G16" s="181"/>
      <c r="H16" s="181"/>
      <c r="I16" s="181"/>
      <c r="J16" s="41">
        <f>ROUND(P16,0)</f>
        <v>0</v>
      </c>
      <c r="K16" s="42"/>
      <c r="M16" s="105">
        <v>4070</v>
      </c>
      <c r="P16" s="46">
        <f>IF(SUM($Q$18:$Q$19)&gt;$P$15,SUM($Q$18:$Q$19)-$P$15,0)</f>
        <v>0</v>
      </c>
      <c r="S16" s="43">
        <f>M16-P16</f>
        <v>4070</v>
      </c>
      <c r="T16" s="47" t="s">
        <v>1634</v>
      </c>
    </row>
    <row r="17" spans="1:25" ht="16.5" customHeight="1" x14ac:dyDescent="0.2">
      <c r="A17" s="45"/>
      <c r="B17" s="181" t="s">
        <v>1582</v>
      </c>
      <c r="C17" s="181"/>
      <c r="D17" s="181"/>
      <c r="E17" s="181"/>
      <c r="F17" s="181"/>
      <c r="G17" s="181"/>
      <c r="H17" s="181"/>
      <c r="I17" s="181"/>
      <c r="J17" s="41">
        <f>ROUND(IF(SUM($K$18:$K$20)&gt;SUM($J$15:$J$16),SUM($K$18:$K$20)-SUM($J$15:$J$16),0),0)</f>
        <v>267869</v>
      </c>
      <c r="K17" s="42"/>
      <c r="M17" s="105"/>
      <c r="P17" s="48"/>
      <c r="S17" s="43">
        <f>M17-P17</f>
        <v>0</v>
      </c>
      <c r="T17" s="47" t="s">
        <v>1634</v>
      </c>
    </row>
    <row r="18" spans="1:25" ht="16.5" customHeight="1" x14ac:dyDescent="0.2">
      <c r="A18" s="45"/>
      <c r="B18" s="20"/>
      <c r="C18" s="181" t="s">
        <v>1580</v>
      </c>
      <c r="D18" s="181"/>
      <c r="E18" s="181"/>
      <c r="F18" s="181"/>
      <c r="G18" s="181"/>
      <c r="H18" s="181"/>
      <c r="I18" s="181"/>
      <c r="J18" s="42"/>
      <c r="K18" s="41">
        <f>ROUND(N18,0)</f>
        <v>2110204</v>
      </c>
      <c r="N18" s="105">
        <v>2110204</v>
      </c>
      <c r="Q18" s="105">
        <v>2838803</v>
      </c>
      <c r="S18" s="43">
        <f>N18-Q18</f>
        <v>-728599</v>
      </c>
      <c r="T18" s="47" t="s">
        <v>1634</v>
      </c>
    </row>
    <row r="19" spans="1:25" ht="16.5" customHeight="1" x14ac:dyDescent="0.25">
      <c r="A19" s="45"/>
      <c r="B19" s="49"/>
      <c r="C19" s="181" t="s">
        <v>1617</v>
      </c>
      <c r="D19" s="181"/>
      <c r="E19" s="181"/>
      <c r="F19" s="181"/>
      <c r="G19" s="181"/>
      <c r="H19" s="181"/>
      <c r="I19" s="181"/>
      <c r="J19" s="42"/>
      <c r="K19" s="41">
        <f>ROUND(N19,0)</f>
        <v>1717502</v>
      </c>
      <c r="N19" s="105">
        <v>1717502</v>
      </c>
      <c r="Q19" s="105">
        <v>2688681</v>
      </c>
      <c r="S19" s="43">
        <f>N19-Q19</f>
        <v>-971179</v>
      </c>
      <c r="T19" s="47" t="s">
        <v>1634</v>
      </c>
      <c r="X19" s="18"/>
    </row>
    <row r="20" spans="1:25" ht="16.5" customHeight="1" x14ac:dyDescent="0.25">
      <c r="A20" s="45"/>
      <c r="B20" s="49"/>
      <c r="C20" s="181" t="s">
        <v>1583</v>
      </c>
      <c r="D20" s="181"/>
      <c r="E20" s="181"/>
      <c r="F20" s="181"/>
      <c r="G20" s="181"/>
      <c r="H20" s="181"/>
      <c r="I20" s="181"/>
      <c r="K20" s="41">
        <f>ROUND(Q20,0)</f>
        <v>1891958</v>
      </c>
      <c r="N20" s="105">
        <v>1628159</v>
      </c>
      <c r="Q20" s="46">
        <f>IF(SUM($Q$18:$Q$19)&lt;$P$15,-SUM($Q$18:$Q$19)+$P$15,0)</f>
        <v>1891958</v>
      </c>
      <c r="S20" s="43">
        <f>N20-Q20</f>
        <v>-263799</v>
      </c>
      <c r="T20" s="47" t="s">
        <v>1634</v>
      </c>
      <c r="Y20" s="19"/>
    </row>
    <row r="21" spans="1:25" ht="16.5" customHeight="1" x14ac:dyDescent="0.25">
      <c r="A21" s="45"/>
      <c r="B21" s="49"/>
      <c r="C21" s="181" t="s">
        <v>1584</v>
      </c>
      <c r="D21" s="181"/>
      <c r="E21" s="181"/>
      <c r="F21" s="181"/>
      <c r="G21" s="181"/>
      <c r="H21" s="181"/>
      <c r="I21" s="181"/>
      <c r="J21" s="42"/>
      <c r="K21" s="41">
        <f>ROUND(IF(SUM($K$18:$K$20)&lt;SUM($J$15:$J$16),-SUM($K$18:$K$20)+SUM($J$15:$J$16),0),0)</f>
        <v>0</v>
      </c>
      <c r="N21" s="105"/>
      <c r="S21" s="43">
        <f>N21-Q21</f>
        <v>0</v>
      </c>
      <c r="T21" s="47" t="s">
        <v>1634</v>
      </c>
      <c r="Y21" s="19"/>
    </row>
    <row r="22" spans="1:25" ht="16.5" customHeight="1" x14ac:dyDescent="0.2">
      <c r="A22" s="45"/>
      <c r="B22" s="50"/>
      <c r="C22" s="50"/>
      <c r="D22" s="50"/>
      <c r="E22" s="50"/>
      <c r="F22" s="50"/>
      <c r="G22" s="50"/>
      <c r="H22" s="50"/>
      <c r="I22" s="50"/>
      <c r="J22" s="51">
        <f>ROUND(SUM(J15:J17),0)</f>
        <v>5719664</v>
      </c>
      <c r="K22" s="51">
        <f>ROUND(SUM(K18:K21),0)</f>
        <v>5719664</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1598</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1599</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1570</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1571</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0870 - SERVICES &amp; CHARGES (MG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1600</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1573</v>
      </c>
      <c r="C34" s="181"/>
      <c r="D34" s="181"/>
      <c r="E34" s="181"/>
      <c r="F34" s="181"/>
      <c r="G34" s="181"/>
      <c r="H34" s="181"/>
      <c r="I34" s="181"/>
      <c r="J34" s="105">
        <v>3902008</v>
      </c>
      <c r="K34" s="67"/>
      <c r="L34" s="37"/>
      <c r="M34" s="37"/>
      <c r="N34" s="37"/>
      <c r="O34" s="37"/>
      <c r="P34" s="37"/>
      <c r="Q34" s="37"/>
      <c r="R34" s="37"/>
      <c r="S34" s="37"/>
      <c r="T34" s="37"/>
    </row>
    <row r="35" spans="1:20" ht="16.5" customHeight="1" x14ac:dyDescent="0.2">
      <c r="B35" s="181" t="s">
        <v>1572</v>
      </c>
      <c r="C35" s="181"/>
      <c r="D35" s="181"/>
      <c r="E35" s="181"/>
      <c r="F35" s="181"/>
      <c r="G35" s="181"/>
      <c r="H35" s="181"/>
      <c r="I35" s="181"/>
      <c r="J35" s="105"/>
      <c r="K35" s="68"/>
    </row>
    <row r="36" spans="1:20" ht="16.5" customHeight="1" x14ac:dyDescent="0.2">
      <c r="A36" s="45"/>
      <c r="B36" s="69"/>
      <c r="C36" s="181" t="s">
        <v>1574</v>
      </c>
      <c r="D36" s="181"/>
      <c r="E36" s="181"/>
      <c r="F36" s="181"/>
      <c r="G36" s="181"/>
      <c r="H36" s="181"/>
      <c r="I36" s="181"/>
      <c r="J36" s="68"/>
      <c r="K36" s="105"/>
    </row>
    <row r="37" spans="1:20" ht="16.5" customHeight="1" x14ac:dyDescent="0.2">
      <c r="A37" s="45"/>
      <c r="C37" s="181" t="s">
        <v>1617</v>
      </c>
      <c r="D37" s="181"/>
      <c r="E37" s="181"/>
      <c r="F37" s="181"/>
      <c r="G37" s="181"/>
      <c r="H37" s="181"/>
      <c r="I37" s="181"/>
      <c r="J37" s="68"/>
      <c r="K37" s="105">
        <v>3902008</v>
      </c>
    </row>
    <row r="38" spans="1:20" ht="16.5" customHeight="1" x14ac:dyDescent="0.25">
      <c r="A38" s="45"/>
      <c r="B38" s="49"/>
      <c r="C38" s="181" t="str">
        <f>VLOOKUP($F$8,'Drop Down Menus'!$D$2:$G$10,4,FALSE)</f>
        <v>Cr: Acct 0870 - SERVICES &amp; CHARGES (MG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3902008</v>
      </c>
      <c r="K39" s="51">
        <f>ROUND(SUM(K36:K38),2)</f>
        <v>3902008</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1602</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1575</v>
      </c>
      <c r="C45" s="181"/>
      <c r="D45" s="181"/>
      <c r="E45" s="181"/>
      <c r="F45" s="181"/>
      <c r="G45" s="181"/>
      <c r="H45" s="181"/>
      <c r="I45" s="181"/>
      <c r="J45" s="105">
        <v>2900632</v>
      </c>
      <c r="K45" s="78"/>
    </row>
    <row r="46" spans="1:20" ht="16.5" customHeight="1" x14ac:dyDescent="0.2">
      <c r="A46" s="45"/>
      <c r="B46" s="69"/>
      <c r="C46" s="181" t="s">
        <v>1580</v>
      </c>
      <c r="D46" s="181"/>
      <c r="E46" s="181"/>
      <c r="F46" s="181"/>
      <c r="G46" s="181"/>
      <c r="H46" s="181"/>
      <c r="I46" s="181"/>
      <c r="J46" s="68"/>
      <c r="K46" s="105">
        <v>2900632</v>
      </c>
    </row>
    <row r="47" spans="1:20" ht="16.5" customHeight="1" x14ac:dyDescent="0.2">
      <c r="A47" s="65"/>
      <c r="B47" s="50"/>
      <c r="C47" s="50"/>
      <c r="D47" s="50"/>
      <c r="E47" s="50"/>
      <c r="F47" s="50"/>
      <c r="G47" s="50"/>
      <c r="H47" s="50"/>
      <c r="I47" s="50"/>
      <c r="J47" s="79">
        <f>ROUND(SUM(J45:J45),2)</f>
        <v>2900632</v>
      </c>
      <c r="K47" s="79">
        <f>ROUND(SUM(K46),2)</f>
        <v>2900632</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1604</v>
      </c>
      <c r="C50" s="181"/>
      <c r="D50" s="181"/>
      <c r="E50" s="181"/>
      <c r="F50" s="181"/>
      <c r="G50" s="181"/>
      <c r="H50" s="181"/>
      <c r="I50" s="181"/>
      <c r="J50" s="106">
        <v>3046699.842538232</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0894 - INTEREST EXPENSE AND FISCAL CHARGES</v>
      </c>
      <c r="C51" s="181"/>
      <c r="D51" s="181"/>
      <c r="E51" s="181"/>
      <c r="F51" s="181"/>
      <c r="G51" s="181"/>
      <c r="H51" s="181"/>
      <c r="I51" s="181"/>
      <c r="J51" s="106">
        <v>78931.877461768046</v>
      </c>
      <c r="K51" s="81"/>
    </row>
    <row r="52" spans="1:20" ht="16.5" customHeight="1" x14ac:dyDescent="0.25">
      <c r="A52" s="45"/>
      <c r="B52" s="49"/>
      <c r="C52" s="181" t="str">
        <f>VLOOKUP($F$8,'Drop Down Menus'!$D$2:$G$10,4,FALSE)</f>
        <v>Cr: Acct 0870 - SERVICES &amp; CHARGES (MG ADJ)</v>
      </c>
      <c r="D52" s="181"/>
      <c r="E52" s="181"/>
      <c r="F52" s="181"/>
      <c r="G52" s="181"/>
      <c r="H52" s="181"/>
      <c r="I52" s="181"/>
      <c r="J52" s="81"/>
      <c r="K52" s="107">
        <v>3125631.72</v>
      </c>
    </row>
    <row r="53" spans="1:20" ht="16.5" customHeight="1" x14ac:dyDescent="0.2">
      <c r="A53" s="65"/>
      <c r="B53" s="50"/>
      <c r="C53" s="50"/>
      <c r="D53" s="50"/>
      <c r="E53" s="50"/>
      <c r="F53" s="50"/>
      <c r="G53" s="50"/>
      <c r="H53" s="50"/>
      <c r="I53" s="50"/>
      <c r="J53" s="79">
        <f>ROUND(SUM(J50:J51),2)</f>
        <v>3125631.72</v>
      </c>
      <c r="K53" s="79">
        <f>ROUND(SUM(K52,),2)</f>
        <v>3125631.72</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1618</v>
      </c>
      <c r="C56" s="181"/>
      <c r="D56" s="181"/>
      <c r="E56" s="181"/>
      <c r="F56" s="181"/>
      <c r="G56" s="181"/>
      <c r="H56" s="181"/>
      <c r="I56" s="181"/>
      <c r="J56" s="105">
        <f>K57</f>
        <v>3046699.842538232</v>
      </c>
      <c r="K56" s="68"/>
    </row>
    <row r="57" spans="1:20" ht="16.5" customHeight="1" x14ac:dyDescent="0.25">
      <c r="A57" s="45"/>
      <c r="B57" s="49"/>
      <c r="C57" s="181" t="s">
        <v>1606</v>
      </c>
      <c r="D57" s="181"/>
      <c r="E57" s="181"/>
      <c r="F57" s="181"/>
      <c r="G57" s="181"/>
      <c r="H57" s="181"/>
      <c r="I57" s="181"/>
      <c r="J57" s="68"/>
      <c r="K57" s="105">
        <f>J50</f>
        <v>3046699.842538232</v>
      </c>
      <c r="L57" s="27" t="str">
        <f>IF($J$50=$K$57,"","&lt;- Accts 0848 must agree")</f>
        <v/>
      </c>
    </row>
    <row r="58" spans="1:20" ht="16.5" customHeight="1" x14ac:dyDescent="0.2">
      <c r="A58" s="65"/>
      <c r="B58" s="50"/>
      <c r="C58" s="50"/>
      <c r="D58" s="50"/>
      <c r="E58" s="50"/>
      <c r="F58" s="50"/>
      <c r="G58" s="50"/>
      <c r="H58" s="50"/>
      <c r="I58" s="50"/>
      <c r="J58" s="79">
        <f>ROUND(SUM(J56:J56),2)</f>
        <v>3046699.84</v>
      </c>
      <c r="K58" s="79">
        <f>ROUND(SUM(K57),2)</f>
        <v>3046699.84</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81" t="s">
        <v>1618</v>
      </c>
      <c r="C61" s="181"/>
      <c r="D61" s="181"/>
      <c r="E61" s="181"/>
      <c r="F61" s="181"/>
      <c r="G61" s="181"/>
      <c r="H61" s="181"/>
      <c r="I61" s="181"/>
      <c r="J61" s="108">
        <v>1433244</v>
      </c>
      <c r="K61" s="78"/>
    </row>
    <row r="62" spans="1:20" ht="16.5" customHeight="1" x14ac:dyDescent="0.25">
      <c r="A62" s="45"/>
      <c r="B62" s="49"/>
      <c r="C62" s="181" t="s">
        <v>1615</v>
      </c>
      <c r="D62" s="181"/>
      <c r="E62" s="181"/>
      <c r="F62" s="181"/>
      <c r="G62" s="181"/>
      <c r="H62" s="181"/>
      <c r="I62" s="181"/>
      <c r="J62" s="78"/>
      <c r="K62" s="105">
        <f>J61</f>
        <v>1433244</v>
      </c>
    </row>
    <row r="63" spans="1:20" ht="16.5" customHeight="1" x14ac:dyDescent="0.2">
      <c r="A63" s="45"/>
      <c r="B63" s="176" t="s">
        <v>1614</v>
      </c>
      <c r="C63" s="176"/>
      <c r="D63" s="176"/>
      <c r="E63" s="176"/>
      <c r="F63" s="176"/>
      <c r="G63" s="176"/>
      <c r="H63" s="176"/>
      <c r="I63" s="176"/>
      <c r="J63" s="79">
        <f>ROUND(SUM(J61:J61),2)</f>
        <v>1433244</v>
      </c>
      <c r="K63" s="79">
        <f>ROUND(SUM(K62),2)</f>
        <v>1433244</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81" t="s">
        <v>1587</v>
      </c>
      <c r="C68" s="181"/>
      <c r="D68" s="181"/>
      <c r="E68" s="181"/>
      <c r="F68" s="181"/>
      <c r="G68" s="181"/>
      <c r="H68" s="181"/>
      <c r="I68" s="181"/>
      <c r="J68" s="108">
        <v>722762</v>
      </c>
      <c r="K68" s="87"/>
      <c r="L68" s="37"/>
      <c r="M68" s="37"/>
      <c r="N68" s="37"/>
      <c r="O68" s="37"/>
      <c r="P68" s="37"/>
      <c r="Q68" s="37"/>
      <c r="R68" s="37"/>
      <c r="S68" s="37"/>
      <c r="T68" s="37"/>
    </row>
    <row r="69" spans="1:20" ht="16.5" customHeight="1" x14ac:dyDescent="0.2">
      <c r="A69" s="45"/>
      <c r="B69" s="88"/>
      <c r="C69" s="181" t="s">
        <v>1588</v>
      </c>
      <c r="D69" s="181"/>
      <c r="E69" s="181"/>
      <c r="F69" s="181"/>
      <c r="G69" s="181"/>
      <c r="H69" s="181"/>
      <c r="I69" s="181"/>
      <c r="J69" s="89"/>
      <c r="K69" s="108">
        <v>722762</v>
      </c>
    </row>
    <row r="70" spans="1:20" ht="16.5" customHeight="1" x14ac:dyDescent="0.2">
      <c r="B70" s="50"/>
      <c r="H70" s="27"/>
      <c r="J70" s="51">
        <f>SUM(J68)</f>
        <v>722762</v>
      </c>
      <c r="K70" s="51">
        <f>SUM(K69)</f>
        <v>722762</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1603</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1605</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1587</v>
      </c>
      <c r="C77" s="181"/>
      <c r="D77" s="181"/>
      <c r="E77" s="181"/>
      <c r="F77" s="181"/>
      <c r="G77" s="181"/>
      <c r="H77" s="181"/>
      <c r="I77" s="181"/>
      <c r="J77" s="108"/>
      <c r="K77" s="48"/>
    </row>
    <row r="78" spans="1:20" ht="16.5" customHeight="1" x14ac:dyDescent="0.2">
      <c r="B78" s="181" t="str">
        <f>VLOOKUP($F$8,'Drop Down Menus'!$D$2:$G$10,3,FALSE)</f>
        <v>Dr: Acct 0870 - SERVICES &amp; CHARGES (MG ADJ)</v>
      </c>
      <c r="C78" s="181"/>
      <c r="D78" s="181"/>
      <c r="E78" s="181"/>
      <c r="F78" s="181"/>
      <c r="G78" s="181"/>
      <c r="H78" s="181"/>
      <c r="I78" s="181"/>
      <c r="J78" s="108"/>
      <c r="K78" s="48"/>
    </row>
    <row r="79" spans="1:20" ht="16.5" customHeight="1" x14ac:dyDescent="0.2">
      <c r="C79" s="181" t="s">
        <v>1588</v>
      </c>
      <c r="D79" s="181"/>
      <c r="E79" s="181"/>
      <c r="F79" s="181"/>
      <c r="G79" s="181"/>
      <c r="H79" s="181"/>
      <c r="I79" s="181"/>
      <c r="J79" s="48"/>
      <c r="K79" s="108"/>
    </row>
    <row r="80" spans="1:20" ht="16.5" customHeight="1" x14ac:dyDescent="0.2">
      <c r="C80" s="181" t="str">
        <f>VLOOKUP($F$8,'Drop Down Menus'!$D$2:$G$10,4,FALSE)</f>
        <v>Cr: Acct 0870 - SERVICES &amp; CHARGES (MG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1607</v>
      </c>
      <c r="C83" s="178"/>
      <c r="D83" s="178"/>
      <c r="E83" s="178"/>
      <c r="F83" s="178"/>
      <c r="G83" s="178"/>
      <c r="H83" s="178"/>
      <c r="I83" s="178"/>
      <c r="J83" s="178"/>
      <c r="K83" s="178"/>
    </row>
    <row r="84" spans="1:20" ht="16.5" customHeight="1" x14ac:dyDescent="0.2">
      <c r="B84" s="181" t="s">
        <v>1573</v>
      </c>
      <c r="C84" s="181"/>
      <c r="D84" s="181"/>
      <c r="E84" s="181"/>
      <c r="F84" s="181"/>
      <c r="G84" s="181"/>
      <c r="H84" s="181"/>
      <c r="I84" s="181"/>
      <c r="J84" s="108"/>
      <c r="K84" s="48"/>
    </row>
    <row r="85" spans="1:20" ht="16.5" customHeight="1" x14ac:dyDescent="0.2">
      <c r="C85" s="181" t="s">
        <v>1617</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1612</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8631041</v>
      </c>
      <c r="N94" s="104"/>
    </row>
    <row r="95" spans="1:20" ht="16.5" customHeight="1" x14ac:dyDescent="0.25">
      <c r="D95" s="49" t="s">
        <v>1630</v>
      </c>
      <c r="E95" s="100"/>
      <c r="F95" s="100"/>
      <c r="G95" s="100"/>
      <c r="H95" s="27"/>
      <c r="I95" s="100"/>
      <c r="J95" s="100"/>
      <c r="K95" s="103">
        <f>-K18-K46+J68+J77</f>
        <v>-4288074</v>
      </c>
      <c r="N95" s="102"/>
    </row>
    <row r="96" spans="1:20" ht="16.5" customHeight="1" x14ac:dyDescent="0.25">
      <c r="D96" s="49" t="s">
        <v>1628</v>
      </c>
      <c r="E96" s="100"/>
      <c r="F96" s="100"/>
      <c r="G96" s="100"/>
      <c r="H96" s="27"/>
      <c r="I96" s="100"/>
      <c r="J96" s="100"/>
      <c r="K96" s="103">
        <f>-K19-K37+J56+J61+J76-K85</f>
        <v>-1139566.157461768</v>
      </c>
    </row>
    <row r="97" spans="1:11" ht="16.5" customHeight="1" x14ac:dyDescent="0.25">
      <c r="D97" s="49" t="s">
        <v>1629</v>
      </c>
      <c r="E97" s="100"/>
      <c r="F97" s="100"/>
      <c r="G97" s="100"/>
      <c r="H97" s="27"/>
      <c r="I97" s="100"/>
      <c r="J97" s="100"/>
      <c r="K97" s="103">
        <f>-K62</f>
        <v>-1433244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5NVNMuHip/rXzWs/0uaD7inIR0wHZujOZXnfU73KvAKXvrvvpIp2xD5J8S0hZpjSTD1yd/C8IlvW4t/Ka0hrbw==" saltValue="7pP9x5DyGmUwvdzx1zrS7Q=="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987C5C64-63AF-4831-9483-31FD3676E202}">
      <formula1>0</formula1>
    </dataValidation>
    <dataValidation type="whole" operator="greaterThanOrEqual" allowBlank="1" showErrorMessage="1" errorTitle="Whole Numbers Only" error="Enter amounts as whole numbers only." promptTitle="Whole Numbers" prompt="Enter whole numbers only." sqref="J15:J17 K18:K21" xr:uid="{A7A67F29-4EB5-4704-A6FD-0D09B1BD2A56}">
      <formula1>0</formula1>
    </dataValidation>
    <dataValidation type="textLength" operator="equal" allowBlank="1" showInputMessage="1" showErrorMessage="1" errorTitle="4-Digit Org Code" error="Enter the Org Code/BU as 4 digits." sqref="F5" xr:uid="{93EFD75E-882C-4F11-8616-29D166A5307F}">
      <formula1>4</formula1>
    </dataValidation>
    <dataValidation type="textLength" operator="lessThan" allowBlank="1" showInputMessage="1" showErrorMessage="1" sqref="E11 A6:A8" xr:uid="{080F5CBC-E06E-497F-BD90-FB4785CD368F}">
      <formula1>0</formula1>
    </dataValidation>
    <dataValidation operator="lessThan" allowBlank="1" showInputMessage="1" showErrorMessage="1" sqref="A3:A5 A7:A8 A11" xr:uid="{BBAE3866-42D7-4BA6-8FC5-9C719EBF3DFB}"/>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08E5E91-6B59-4FEB-9C01-06E8765816A6}">
          <x14:formula1>
            <xm:f>'Drop Down Menus'!$B$1:$B$3</xm:f>
          </x14:formula1>
          <xm:sqref>F7</xm:sqref>
        </x14:dataValidation>
        <x14:dataValidation type="list" allowBlank="1" showInputMessage="1" showErrorMessage="1" xr:uid="{8FE01960-5082-4B1E-8F0B-B7BFA9555E1C}">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859D9-72AD-4715-A525-445222A06248}">
  <sheetPr>
    <tabColor rgb="FF92D050"/>
    <pageSetUpPr fitToPage="1"/>
  </sheetPr>
  <dimension ref="A1:XFC115"/>
  <sheetViews>
    <sheetView topLeftCell="A2" zoomScale="70" zoomScaleNormal="70" workbookViewId="0">
      <selection activeCell="B77" sqref="B77:I7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1601</v>
      </c>
      <c r="B1" s="189"/>
      <c r="C1" s="189"/>
      <c r="D1" s="189"/>
      <c r="E1" s="189"/>
      <c r="F1" s="189"/>
      <c r="G1" s="189"/>
      <c r="H1" s="189"/>
      <c r="I1" s="189"/>
      <c r="J1" s="189"/>
      <c r="K1" s="189"/>
      <c r="L1" s="26"/>
      <c r="M1" s="26"/>
      <c r="N1" s="26"/>
      <c r="O1" s="26"/>
      <c r="P1" s="26"/>
      <c r="Q1" s="26"/>
      <c r="R1" s="26"/>
      <c r="S1" s="26"/>
      <c r="T1" s="26"/>
    </row>
    <row r="2" spans="1:25" ht="18" x14ac:dyDescent="0.25">
      <c r="A2" s="190" t="s">
        <v>1563</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1579</v>
      </c>
      <c r="B4" s="184"/>
      <c r="C4" s="184"/>
      <c r="D4" s="184"/>
      <c r="E4" s="184"/>
      <c r="F4" s="188" t="s">
        <v>1654</v>
      </c>
      <c r="G4" s="188"/>
      <c r="H4" s="188"/>
      <c r="I4" s="188"/>
    </row>
    <row r="5" spans="1:25" ht="15.75" x14ac:dyDescent="0.2">
      <c r="A5" s="184" t="s">
        <v>1595</v>
      </c>
      <c r="B5" s="184"/>
      <c r="C5" s="184"/>
      <c r="D5" s="184"/>
      <c r="E5" s="184"/>
      <c r="F5" s="191" t="s">
        <v>1129</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9740</v>
      </c>
      <c r="G6" s="186"/>
      <c r="H6" s="186"/>
      <c r="I6" s="186"/>
      <c r="L6" s="32"/>
      <c r="M6" s="32"/>
      <c r="N6" s="32"/>
      <c r="O6" s="32"/>
      <c r="P6" s="32"/>
      <c r="Q6" s="32"/>
      <c r="R6" s="32"/>
      <c r="S6" s="32"/>
      <c r="T6" s="32"/>
      <c r="U6" s="31"/>
      <c r="V6" s="31"/>
      <c r="X6" s="18"/>
    </row>
    <row r="7" spans="1:25" ht="15.75" x14ac:dyDescent="0.2">
      <c r="A7" s="184" t="s">
        <v>1567</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PROPRIETARY FUND</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1647</v>
      </c>
      <c r="N14" s="194"/>
      <c r="O14" s="37"/>
      <c r="P14" s="193" t="s">
        <v>1631</v>
      </c>
      <c r="Q14" s="194"/>
      <c r="R14" s="39"/>
      <c r="S14" s="40" t="s">
        <v>1632</v>
      </c>
    </row>
    <row r="15" spans="1:25" ht="16.5" customHeight="1" x14ac:dyDescent="0.2">
      <c r="B15" s="181" t="s">
        <v>1573</v>
      </c>
      <c r="C15" s="181"/>
      <c r="D15" s="181"/>
      <c r="E15" s="181"/>
      <c r="F15" s="181"/>
      <c r="G15" s="181"/>
      <c r="H15" s="181"/>
      <c r="I15" s="181"/>
      <c r="J15" s="41">
        <f>ROUND(M15,0)</f>
        <v>0</v>
      </c>
      <c r="K15" s="42"/>
      <c r="M15" s="105"/>
      <c r="P15" s="105"/>
      <c r="S15" s="43">
        <f>M15-P15</f>
        <v>0</v>
      </c>
      <c r="T15" s="44" t="s">
        <v>1633</v>
      </c>
    </row>
    <row r="16" spans="1:25" ht="16.5" customHeight="1" x14ac:dyDescent="0.2">
      <c r="A16" s="45"/>
      <c r="B16" s="181" t="s">
        <v>1581</v>
      </c>
      <c r="C16" s="181"/>
      <c r="D16" s="181"/>
      <c r="E16" s="181"/>
      <c r="F16" s="181"/>
      <c r="G16" s="181"/>
      <c r="H16" s="181"/>
      <c r="I16" s="181"/>
      <c r="J16" s="41">
        <f>ROUND(P16,0)</f>
        <v>0</v>
      </c>
      <c r="K16" s="42"/>
      <c r="M16" s="105"/>
      <c r="P16" s="46">
        <f>IF(SUM($Q$18:$Q$19)&gt;$P$15,SUM($Q$18:$Q$19)-$P$15,0)</f>
        <v>0</v>
      </c>
      <c r="S16" s="43">
        <f>M16-P16</f>
        <v>0</v>
      </c>
      <c r="T16" s="47" t="s">
        <v>1634</v>
      </c>
    </row>
    <row r="17" spans="1:25" ht="16.5" customHeight="1" x14ac:dyDescent="0.2">
      <c r="A17" s="45"/>
      <c r="B17" s="181" t="s">
        <v>1582</v>
      </c>
      <c r="C17" s="181"/>
      <c r="D17" s="181"/>
      <c r="E17" s="181"/>
      <c r="F17" s="181"/>
      <c r="G17" s="181"/>
      <c r="H17" s="181"/>
      <c r="I17" s="181"/>
      <c r="J17" s="41">
        <f>ROUND(IF(SUM($K$18:$K$20)&gt;SUM($J$15:$J$16),SUM($K$18:$K$20)-SUM($J$15:$J$16),0),0)</f>
        <v>0</v>
      </c>
      <c r="K17" s="42"/>
      <c r="M17" s="105"/>
      <c r="P17" s="48"/>
      <c r="S17" s="43">
        <f>M17-P17</f>
        <v>0</v>
      </c>
      <c r="T17" s="47" t="s">
        <v>1634</v>
      </c>
    </row>
    <row r="18" spans="1:25" ht="16.5" customHeight="1" x14ac:dyDescent="0.2">
      <c r="A18" s="45"/>
      <c r="B18" s="20"/>
      <c r="C18" s="181" t="s">
        <v>1580</v>
      </c>
      <c r="D18" s="181"/>
      <c r="E18" s="181"/>
      <c r="F18" s="181"/>
      <c r="G18" s="181"/>
      <c r="H18" s="181"/>
      <c r="I18" s="181"/>
      <c r="J18" s="42"/>
      <c r="K18" s="41">
        <f>ROUND(N18,0)</f>
        <v>0</v>
      </c>
      <c r="N18" s="105"/>
      <c r="Q18" s="105"/>
      <c r="S18" s="43">
        <f>N18-Q18</f>
        <v>0</v>
      </c>
      <c r="T18" s="47" t="s">
        <v>1634</v>
      </c>
    </row>
    <row r="19" spans="1:25" ht="16.5" customHeight="1" x14ac:dyDescent="0.25">
      <c r="A19" s="45"/>
      <c r="B19" s="49"/>
      <c r="C19" s="181" t="s">
        <v>1617</v>
      </c>
      <c r="D19" s="181"/>
      <c r="E19" s="181"/>
      <c r="F19" s="181"/>
      <c r="G19" s="181"/>
      <c r="H19" s="181"/>
      <c r="I19" s="181"/>
      <c r="J19" s="42"/>
      <c r="K19" s="41">
        <f>ROUND(N19,0)</f>
        <v>0</v>
      </c>
      <c r="N19" s="105"/>
      <c r="Q19" s="105"/>
      <c r="S19" s="43">
        <f>N19-Q19</f>
        <v>0</v>
      </c>
      <c r="T19" s="47" t="s">
        <v>1634</v>
      </c>
      <c r="X19" s="18"/>
    </row>
    <row r="20" spans="1:25" ht="16.5" customHeight="1" x14ac:dyDescent="0.25">
      <c r="A20" s="45"/>
      <c r="B20" s="49"/>
      <c r="C20" s="181" t="s">
        <v>1583</v>
      </c>
      <c r="D20" s="181"/>
      <c r="E20" s="181"/>
      <c r="F20" s="181"/>
      <c r="G20" s="181"/>
      <c r="H20" s="181"/>
      <c r="I20" s="181"/>
      <c r="K20" s="41">
        <f>ROUND(Q20,0)</f>
        <v>0</v>
      </c>
      <c r="N20" s="105"/>
      <c r="Q20" s="46">
        <f>IF(SUM($Q$18:$Q$19)&lt;$P$15,-SUM($Q$18:$Q$19)+$P$15,0)</f>
        <v>0</v>
      </c>
      <c r="S20" s="43">
        <f>N20-Q20</f>
        <v>0</v>
      </c>
      <c r="T20" s="47" t="s">
        <v>1634</v>
      </c>
      <c r="Y20" s="19"/>
    </row>
    <row r="21" spans="1:25" ht="16.5" customHeight="1" x14ac:dyDescent="0.25">
      <c r="A21" s="45"/>
      <c r="B21" s="49"/>
      <c r="C21" s="181" t="s">
        <v>1584</v>
      </c>
      <c r="D21" s="181"/>
      <c r="E21" s="181"/>
      <c r="F21" s="181"/>
      <c r="G21" s="181"/>
      <c r="H21" s="181"/>
      <c r="I21" s="181"/>
      <c r="J21" s="42"/>
      <c r="K21" s="41">
        <f>ROUND(IF(SUM($K$18:$K$20)&lt;SUM($J$15:$J$16),-SUM($K$18:$K$20)+SUM($J$15:$J$16),0),0)</f>
        <v>0</v>
      </c>
      <c r="N21" s="105"/>
      <c r="S21" s="43">
        <f>N21-Q21</f>
        <v>0</v>
      </c>
      <c r="T21" s="47" t="s">
        <v>1634</v>
      </c>
      <c r="Y21" s="19"/>
    </row>
    <row r="22" spans="1:25" ht="16.5" customHeight="1" x14ac:dyDescent="0.2">
      <c r="A22" s="45"/>
      <c r="B22" s="50"/>
      <c r="C22" s="50"/>
      <c r="D22" s="50"/>
      <c r="E22" s="50"/>
      <c r="F22" s="50"/>
      <c r="G22" s="50"/>
      <c r="H22" s="50"/>
      <c r="I22" s="50"/>
      <c r="J22" s="51">
        <f>ROUND(SUM(J15:J17),0)</f>
        <v>0</v>
      </c>
      <c r="K22" s="51">
        <f>ROUND(SUM(K18:K21),0)</f>
        <v>0</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1598</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1599</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1570</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1571</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0870 - SERVICES &amp; CHARGES (MG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1600</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1573</v>
      </c>
      <c r="C34" s="181"/>
      <c r="D34" s="181"/>
      <c r="E34" s="181"/>
      <c r="F34" s="181"/>
      <c r="G34" s="181"/>
      <c r="H34" s="181"/>
      <c r="I34" s="181"/>
      <c r="J34" s="105">
        <v>218725.80549202813</v>
      </c>
      <c r="K34" s="67"/>
      <c r="L34" s="37"/>
      <c r="M34" s="37"/>
      <c r="N34" s="37"/>
      <c r="O34" s="37"/>
      <c r="P34" s="37"/>
      <c r="Q34" s="37"/>
      <c r="R34" s="37"/>
      <c r="S34" s="37"/>
      <c r="T34" s="37"/>
    </row>
    <row r="35" spans="1:20" ht="16.5" customHeight="1" x14ac:dyDescent="0.2">
      <c r="B35" s="181" t="s">
        <v>1572</v>
      </c>
      <c r="C35" s="181"/>
      <c r="D35" s="181"/>
      <c r="E35" s="181"/>
      <c r="F35" s="181"/>
      <c r="G35" s="181"/>
      <c r="H35" s="181"/>
      <c r="I35" s="181"/>
      <c r="J35" s="105"/>
      <c r="K35" s="68"/>
    </row>
    <row r="36" spans="1:20" ht="16.5" customHeight="1" x14ac:dyDescent="0.2">
      <c r="A36" s="45"/>
      <c r="B36" s="69"/>
      <c r="C36" s="181" t="s">
        <v>1574</v>
      </c>
      <c r="D36" s="181"/>
      <c r="E36" s="181"/>
      <c r="F36" s="181"/>
      <c r="G36" s="181"/>
      <c r="H36" s="181"/>
      <c r="I36" s="181"/>
      <c r="J36" s="68"/>
      <c r="K36" s="105"/>
    </row>
    <row r="37" spans="1:20" ht="16.5" customHeight="1" x14ac:dyDescent="0.2">
      <c r="A37" s="45"/>
      <c r="C37" s="181" t="s">
        <v>1617</v>
      </c>
      <c r="D37" s="181"/>
      <c r="E37" s="181"/>
      <c r="F37" s="181"/>
      <c r="G37" s="181"/>
      <c r="H37" s="181"/>
      <c r="I37" s="181"/>
      <c r="J37" s="68"/>
      <c r="K37" s="105">
        <v>218725.80549202813</v>
      </c>
    </row>
    <row r="38" spans="1:20" ht="16.5" customHeight="1" x14ac:dyDescent="0.25">
      <c r="A38" s="45"/>
      <c r="B38" s="49"/>
      <c r="C38" s="181" t="str">
        <f>VLOOKUP($F$8,'Drop Down Menus'!$D$2:$G$10,4,FALSE)</f>
        <v>Cr: Acct 0870 - SERVICES &amp; CHARGES (MG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218725.81</v>
      </c>
      <c r="K39" s="51">
        <f>ROUND(SUM(K36:K38),2)</f>
        <v>218725.81</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1602</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1575</v>
      </c>
      <c r="C45" s="181"/>
      <c r="D45" s="181"/>
      <c r="E45" s="181"/>
      <c r="F45" s="181"/>
      <c r="G45" s="181"/>
      <c r="H45" s="181"/>
      <c r="I45" s="181"/>
      <c r="J45" s="105">
        <v>53203.574308871699</v>
      </c>
      <c r="K45" s="78"/>
    </row>
    <row r="46" spans="1:20" ht="16.5" customHeight="1" x14ac:dyDescent="0.2">
      <c r="A46" s="45"/>
      <c r="B46" s="69"/>
      <c r="C46" s="181" t="s">
        <v>1580</v>
      </c>
      <c r="D46" s="181"/>
      <c r="E46" s="181"/>
      <c r="F46" s="181"/>
      <c r="G46" s="181"/>
      <c r="H46" s="181"/>
      <c r="I46" s="181"/>
      <c r="J46" s="68"/>
      <c r="K46" s="105">
        <v>53203.574308871699</v>
      </c>
    </row>
    <row r="47" spans="1:20" ht="16.5" customHeight="1" x14ac:dyDescent="0.2">
      <c r="A47" s="65"/>
      <c r="B47" s="50"/>
      <c r="C47" s="50"/>
      <c r="D47" s="50"/>
      <c r="E47" s="50"/>
      <c r="F47" s="50"/>
      <c r="G47" s="50"/>
      <c r="H47" s="50"/>
      <c r="I47" s="50"/>
      <c r="J47" s="79">
        <f>ROUND(SUM(J45:J45),2)</f>
        <v>53203.57</v>
      </c>
      <c r="K47" s="79">
        <f>ROUND(SUM(K46),2)</f>
        <v>53203.57</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1604</v>
      </c>
      <c r="C50" s="181"/>
      <c r="D50" s="181"/>
      <c r="E50" s="181"/>
      <c r="F50" s="181"/>
      <c r="G50" s="181"/>
      <c r="H50" s="181"/>
      <c r="I50" s="181"/>
      <c r="J50" s="106">
        <v>72342.280660464457</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0894 - INTEREST EXPENSE AND FISCAL CHARGES</v>
      </c>
      <c r="C51" s="181"/>
      <c r="D51" s="181"/>
      <c r="E51" s="181"/>
      <c r="F51" s="181"/>
      <c r="G51" s="181"/>
      <c r="H51" s="181"/>
      <c r="I51" s="181"/>
      <c r="J51" s="106">
        <v>2321.1969287020329</v>
      </c>
      <c r="K51" s="81"/>
    </row>
    <row r="52" spans="1:20" ht="16.5" customHeight="1" x14ac:dyDescent="0.25">
      <c r="A52" s="45"/>
      <c r="B52" s="49"/>
      <c r="C52" s="181" t="str">
        <f>VLOOKUP($F$8,'Drop Down Menus'!$D$2:$G$10,4,FALSE)</f>
        <v>Cr: Acct 0870 - SERVICES &amp; CHARGES (MG ADJ)</v>
      </c>
      <c r="D52" s="181"/>
      <c r="E52" s="181"/>
      <c r="F52" s="181"/>
      <c r="G52" s="181"/>
      <c r="H52" s="181"/>
      <c r="I52" s="181"/>
      <c r="J52" s="81"/>
      <c r="K52" s="107">
        <v>74663.47758916649</v>
      </c>
    </row>
    <row r="53" spans="1:20" ht="16.5" customHeight="1" x14ac:dyDescent="0.2">
      <c r="A53" s="65"/>
      <c r="B53" s="50"/>
      <c r="C53" s="50"/>
      <c r="D53" s="50"/>
      <c r="E53" s="50"/>
      <c r="F53" s="50"/>
      <c r="G53" s="50"/>
      <c r="H53" s="50"/>
      <c r="I53" s="50"/>
      <c r="J53" s="79">
        <f>ROUND(SUM(J50:J51),2)</f>
        <v>74663.48</v>
      </c>
      <c r="K53" s="79">
        <f>ROUND(SUM(K52,),2)</f>
        <v>74663.48</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1618</v>
      </c>
      <c r="C56" s="181"/>
      <c r="D56" s="181"/>
      <c r="E56" s="181"/>
      <c r="F56" s="181"/>
      <c r="G56" s="181"/>
      <c r="H56" s="181"/>
      <c r="I56" s="181"/>
      <c r="J56" s="105">
        <v>72342.280660464457</v>
      </c>
      <c r="K56" s="68"/>
    </row>
    <row r="57" spans="1:20" ht="16.5" customHeight="1" x14ac:dyDescent="0.25">
      <c r="A57" s="45"/>
      <c r="B57" s="49"/>
      <c r="C57" s="181" t="s">
        <v>1606</v>
      </c>
      <c r="D57" s="181"/>
      <c r="E57" s="181"/>
      <c r="F57" s="181"/>
      <c r="G57" s="181"/>
      <c r="H57" s="181"/>
      <c r="I57" s="181"/>
      <c r="J57" s="68"/>
      <c r="K57" s="105">
        <v>72342.280660464457</v>
      </c>
      <c r="L57" s="27" t="str">
        <f>IF($J$50=$K$57,"","&lt;- Accts 0848 must agree")</f>
        <v/>
      </c>
    </row>
    <row r="58" spans="1:20" ht="16.5" customHeight="1" x14ac:dyDescent="0.2">
      <c r="A58" s="65"/>
      <c r="B58" s="50"/>
      <c r="C58" s="50"/>
      <c r="D58" s="50"/>
      <c r="E58" s="50"/>
      <c r="F58" s="50"/>
      <c r="G58" s="50"/>
      <c r="H58" s="50"/>
      <c r="I58" s="50"/>
      <c r="J58" s="79">
        <f>ROUND(SUM(J56:J56),2)</f>
        <v>72342.28</v>
      </c>
      <c r="K58" s="79">
        <f>ROUND(SUM(K57),2)</f>
        <v>72342.28</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81" t="s">
        <v>1618</v>
      </c>
      <c r="C61" s="181"/>
      <c r="D61" s="181"/>
      <c r="E61" s="181"/>
      <c r="F61" s="181"/>
      <c r="G61" s="181"/>
      <c r="H61" s="181"/>
      <c r="I61" s="181"/>
      <c r="J61" s="108">
        <v>72314.380428485238</v>
      </c>
      <c r="K61" s="78"/>
    </row>
    <row r="62" spans="1:20" ht="16.5" customHeight="1" x14ac:dyDescent="0.25">
      <c r="A62" s="45"/>
      <c r="B62" s="49"/>
      <c r="C62" s="181" t="s">
        <v>1615</v>
      </c>
      <c r="D62" s="181"/>
      <c r="E62" s="181"/>
      <c r="F62" s="181"/>
      <c r="G62" s="181"/>
      <c r="H62" s="181"/>
      <c r="I62" s="181"/>
      <c r="J62" s="78"/>
      <c r="K62" s="105">
        <v>72314.380428485238</v>
      </c>
    </row>
    <row r="63" spans="1:20" ht="16.5" customHeight="1" x14ac:dyDescent="0.2">
      <c r="A63" s="45"/>
      <c r="B63" s="176" t="s">
        <v>1614</v>
      </c>
      <c r="C63" s="176"/>
      <c r="D63" s="176"/>
      <c r="E63" s="176"/>
      <c r="F63" s="176"/>
      <c r="G63" s="176"/>
      <c r="H63" s="176"/>
      <c r="I63" s="176"/>
      <c r="J63" s="79">
        <f>ROUND(SUM(J61:J61),2)</f>
        <v>72314.38</v>
      </c>
      <c r="K63" s="79">
        <f>ROUND(SUM(K62),2)</f>
        <v>72314.38</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81" t="s">
        <v>1587</v>
      </c>
      <c r="C68" s="181"/>
      <c r="D68" s="181"/>
      <c r="E68" s="181"/>
      <c r="F68" s="181"/>
      <c r="G68" s="181"/>
      <c r="H68" s="181"/>
      <c r="I68" s="181"/>
      <c r="J68" s="108"/>
      <c r="K68" s="87"/>
      <c r="L68" s="37"/>
      <c r="M68" s="37"/>
      <c r="N68" s="37"/>
      <c r="O68" s="37"/>
      <c r="P68" s="37"/>
      <c r="Q68" s="37"/>
      <c r="R68" s="37"/>
      <c r="S68" s="37"/>
      <c r="T68" s="37"/>
    </row>
    <row r="69" spans="1:20" ht="16.5" customHeight="1" x14ac:dyDescent="0.2">
      <c r="A69" s="45"/>
      <c r="B69" s="88"/>
      <c r="C69" s="181" t="s">
        <v>1588</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1603</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1605</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1587</v>
      </c>
      <c r="C77" s="181"/>
      <c r="D77" s="181"/>
      <c r="E77" s="181"/>
      <c r="F77" s="181"/>
      <c r="G77" s="181"/>
      <c r="H77" s="181"/>
      <c r="I77" s="181"/>
      <c r="J77" s="108"/>
      <c r="K77" s="48"/>
    </row>
    <row r="78" spans="1:20" ht="16.5" customHeight="1" x14ac:dyDescent="0.2">
      <c r="B78" s="181" t="str">
        <f>VLOOKUP($F$8,'Drop Down Menus'!$D$2:$G$10,3,FALSE)</f>
        <v>Dr: Acct 0870 - SERVICES &amp; CHARGES (MG ADJ)</v>
      </c>
      <c r="C78" s="181"/>
      <c r="D78" s="181"/>
      <c r="E78" s="181"/>
      <c r="F78" s="181"/>
      <c r="G78" s="181"/>
      <c r="H78" s="181"/>
      <c r="I78" s="181"/>
      <c r="J78" s="108"/>
      <c r="K78" s="48"/>
    </row>
    <row r="79" spans="1:20" ht="16.5" customHeight="1" x14ac:dyDescent="0.2">
      <c r="C79" s="181" t="s">
        <v>1588</v>
      </c>
      <c r="D79" s="181"/>
      <c r="E79" s="181"/>
      <c r="F79" s="181"/>
      <c r="G79" s="181"/>
      <c r="H79" s="181"/>
      <c r="I79" s="181"/>
      <c r="J79" s="48"/>
      <c r="K79" s="108"/>
    </row>
    <row r="80" spans="1:20" ht="16.5" customHeight="1" x14ac:dyDescent="0.2">
      <c r="C80" s="181" t="str">
        <f>VLOOKUP($F$8,'Drop Down Menus'!$D$2:$G$10,4,FALSE)</f>
        <v>Cr: Acct 0870 - SERVICES &amp; CHARGES (MG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1607</v>
      </c>
      <c r="C83" s="178"/>
      <c r="D83" s="178"/>
      <c r="E83" s="178"/>
      <c r="F83" s="178"/>
      <c r="G83" s="178"/>
      <c r="H83" s="178"/>
      <c r="I83" s="178"/>
      <c r="J83" s="178"/>
      <c r="K83" s="178"/>
    </row>
    <row r="84" spans="1:20" ht="16.5" customHeight="1" x14ac:dyDescent="0.2">
      <c r="B84" s="181" t="s">
        <v>1573</v>
      </c>
      <c r="C84" s="181"/>
      <c r="D84" s="181"/>
      <c r="E84" s="181"/>
      <c r="F84" s="181"/>
      <c r="G84" s="181"/>
      <c r="H84" s="181"/>
      <c r="I84" s="181"/>
      <c r="J84" s="108"/>
      <c r="K84" s="48"/>
    </row>
    <row r="85" spans="1:20" ht="16.5" customHeight="1" x14ac:dyDescent="0.2">
      <c r="C85" s="181" t="s">
        <v>1617</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1612</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218725.80549202813</v>
      </c>
      <c r="N94" s="104"/>
    </row>
    <row r="95" spans="1:20" ht="16.5" customHeight="1" x14ac:dyDescent="0.25">
      <c r="D95" s="49" t="s">
        <v>1630</v>
      </c>
      <c r="E95" s="100"/>
      <c r="F95" s="100"/>
      <c r="G95" s="100"/>
      <c r="H95" s="27"/>
      <c r="I95" s="100"/>
      <c r="J95" s="100"/>
      <c r="K95" s="103">
        <f>-K18-K46+J68+J77</f>
        <v>-53203.574308871699</v>
      </c>
      <c r="N95" s="102"/>
    </row>
    <row r="96" spans="1:20" ht="16.5" customHeight="1" x14ac:dyDescent="0.25">
      <c r="D96" s="49" t="s">
        <v>1628</v>
      </c>
      <c r="E96" s="100"/>
      <c r="F96" s="100"/>
      <c r="G96" s="100"/>
      <c r="H96" s="27"/>
      <c r="I96" s="100"/>
      <c r="J96" s="100"/>
      <c r="K96" s="103">
        <f>-K19-K37+J56+J61+J76-K85</f>
        <v>-74069.144403078433</v>
      </c>
    </row>
    <row r="97" spans="1:11" ht="16.5" customHeight="1" x14ac:dyDescent="0.25">
      <c r="D97" s="49" t="s">
        <v>1629</v>
      </c>
      <c r="E97" s="100"/>
      <c r="F97" s="100"/>
      <c r="G97" s="100"/>
      <c r="H97" s="27"/>
      <c r="I97" s="100"/>
      <c r="J97" s="100"/>
      <c r="K97" s="103">
        <f>-K62</f>
        <v>-72314.380428485238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operator="lessThan" allowBlank="1" showInputMessage="1" showErrorMessage="1" sqref="A3:A5 A7:A8 A11" xr:uid="{D7D75865-82DA-45A8-AD3B-09E7E5AD052C}"/>
    <dataValidation type="textLength" operator="lessThan" allowBlank="1" showInputMessage="1" showErrorMessage="1" sqref="E11 A6:A8" xr:uid="{36570894-2212-44F6-9AAE-55B551204138}">
      <formula1>0</formula1>
    </dataValidation>
    <dataValidation type="textLength" operator="equal" allowBlank="1" showInputMessage="1" showErrorMessage="1" errorTitle="4-Digit Org Code" error="Enter the Org Code/BU as 4 digits." sqref="F5" xr:uid="{CCA4E1FC-290F-454A-8555-6DCAB8797C55}">
      <formula1>4</formula1>
    </dataValidation>
    <dataValidation type="whole" operator="greaterThanOrEqual" allowBlank="1" showErrorMessage="1" errorTitle="Whole Numbers Only" error="Enter amounts as whole numbers only." promptTitle="Whole Numbers" prompt="Enter whole numbers only." sqref="J15:J17 K18:K21" xr:uid="{3056D180-79C6-4FAC-8C70-4064354432D0}">
      <formula1>0</formula1>
    </dataValidation>
    <dataValidation type="whole" operator="greaterThanOrEqual" allowBlank="1" showInputMessage="1" showErrorMessage="1" sqref="M15:M17 N18:N21 P15 Q18:Q19 J28 K85 K29:K30 J34:J35 J45 K46 J50:J51 K52 J56 K57 J61 K62 J68 K69 J76:J78 K79:K80 J84 K36:K38" xr:uid="{E1631EE0-0073-4766-9406-0937E06987F7}">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CC995C7-19C1-4B48-9AC2-63CF80FF942C}">
          <x14:formula1>
            <xm:f>'Drop Down Menus'!$A$1:$A$101</xm:f>
          </x14:formula1>
          <xm:sqref>F3</xm:sqref>
        </x14:dataValidation>
        <x14:dataValidation type="list" allowBlank="1" showInputMessage="1" showErrorMessage="1" xr:uid="{545B8FB9-9387-4117-80B2-051D568556C4}">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12" zoomScale="80" zoomScaleNormal="80" workbookViewId="0">
      <selection activeCell="C60" sqref="C6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1610</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1608</v>
      </c>
      <c r="B3" s="204"/>
      <c r="C3" s="204"/>
      <c r="D3" s="204"/>
      <c r="E3" s="110"/>
      <c r="F3" s="110"/>
      <c r="G3" s="110"/>
      <c r="H3" s="110"/>
      <c r="I3" s="110"/>
      <c r="J3" s="110"/>
      <c r="K3" s="110"/>
    </row>
    <row r="4" spans="1:11" ht="15.75" customHeight="1" x14ac:dyDescent="0.25">
      <c r="A4" s="205" t="s">
        <v>1609</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1592</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1594</v>
      </c>
      <c r="B12" s="207">
        <v>7502</v>
      </c>
      <c r="C12" s="207"/>
    </row>
    <row r="13" spans="1:11" ht="15.75" x14ac:dyDescent="0.25">
      <c r="A13" s="113" t="s">
        <v>1593</v>
      </c>
      <c r="B13" s="202" t="s">
        <v>1654</v>
      </c>
      <c r="C13" s="202"/>
      <c r="E13" s="114"/>
      <c r="F13" s="114"/>
      <c r="G13" s="114"/>
      <c r="H13" s="114"/>
      <c r="I13" s="114"/>
      <c r="J13" s="114"/>
      <c r="K13" s="114"/>
    </row>
    <row r="14" spans="1:11" ht="32.25" customHeight="1" x14ac:dyDescent="0.2">
      <c r="A14" s="195" t="s">
        <v>1646</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889376</v>
      </c>
      <c r="C16" s="2">
        <v>22434</v>
      </c>
      <c r="D16" s="199" t="s">
        <v>1535</v>
      </c>
      <c r="E16" s="118"/>
      <c r="F16" s="118"/>
      <c r="G16" s="118"/>
      <c r="H16" s="118"/>
      <c r="I16" s="118"/>
      <c r="J16" s="118"/>
      <c r="K16" s="118"/>
    </row>
    <row r="17" spans="1:11" ht="15" customHeight="1" x14ac:dyDescent="0.2">
      <c r="A17" s="115" t="str">
        <f>LEFT(A16,4)+1&amp;"–"&amp;RIGHT(A16,4)+1</f>
        <v>2025–2026</v>
      </c>
      <c r="B17" s="2">
        <v>106305</v>
      </c>
      <c r="C17" s="2">
        <v>853</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t="s">
        <v>1655</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1624</v>
      </c>
    </row>
    <row r="42" spans="1:11" ht="15.75" x14ac:dyDescent="0.25">
      <c r="A42" s="113" t="s">
        <v>8</v>
      </c>
      <c r="B42" s="197" t="str">
        <f>B11</f>
        <v>2023–2024</v>
      </c>
      <c r="C42" s="197"/>
    </row>
    <row r="43" spans="1:11" ht="15.75" customHeight="1" x14ac:dyDescent="0.25">
      <c r="A43" s="113" t="s">
        <v>1594</v>
      </c>
      <c r="B43" s="198">
        <f>B12</f>
        <v>7502</v>
      </c>
      <c r="C43" s="198"/>
    </row>
    <row r="44" spans="1:11" ht="15.75" x14ac:dyDescent="0.25">
      <c r="A44" s="113" t="s">
        <v>1593</v>
      </c>
      <c r="B44" s="197" t="str">
        <f>B13</f>
        <v>Department of Technology</v>
      </c>
      <c r="C44" s="197"/>
    </row>
    <row r="45" spans="1:11" ht="32.25" customHeight="1" x14ac:dyDescent="0.2">
      <c r="A45" s="195" t="s">
        <v>1646</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v>1505558.1903490368</v>
      </c>
      <c r="C47" s="2">
        <v>42277.287240129699</v>
      </c>
      <c r="D47" s="200" t="s">
        <v>1535</v>
      </c>
    </row>
    <row r="48" spans="1:11" ht="15" customHeight="1" x14ac:dyDescent="0.2">
      <c r="A48" s="115" t="str">
        <f>LEFT(A47,4)+1&amp;"–"&amp;RIGHT(A47,4)+1</f>
        <v>2025–2026</v>
      </c>
      <c r="B48" s="2">
        <v>1213636.2775128742</v>
      </c>
      <c r="C48" s="2">
        <v>6257.2000762921989</v>
      </c>
      <c r="D48" s="200"/>
    </row>
    <row r="49" spans="1:4" x14ac:dyDescent="0.2">
      <c r="A49" s="115" t="str">
        <f>LEFT(A48,4)+1&amp;"–"&amp;RIGHT(A48,4)+1</f>
        <v>2026–2027</v>
      </c>
      <c r="B49" s="2"/>
      <c r="C49" s="2"/>
      <c r="D49" s="17" t="s">
        <v>115</v>
      </c>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v>0</v>
      </c>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v>0</v>
      </c>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t="s">
        <v>1655</v>
      </c>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t="s">
        <v>1655</v>
      </c>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v>0</v>
      </c>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1576</v>
      </c>
    </row>
    <row r="73" spans="1:4" ht="15.75" x14ac:dyDescent="0.25">
      <c r="A73" s="113" t="s">
        <v>8</v>
      </c>
      <c r="B73" s="197" t="str">
        <f>B11</f>
        <v>2023–2024</v>
      </c>
      <c r="C73" s="197"/>
    </row>
    <row r="74" spans="1:4" ht="15.75" customHeight="1" x14ac:dyDescent="0.25">
      <c r="A74" s="113" t="s">
        <v>1594</v>
      </c>
      <c r="B74" s="198">
        <f>B12</f>
        <v>7502</v>
      </c>
      <c r="C74" s="198"/>
    </row>
    <row r="75" spans="1:4" ht="15.75" x14ac:dyDescent="0.25">
      <c r="A75" s="113" t="s">
        <v>1593</v>
      </c>
      <c r="B75" s="197" t="str">
        <f>B13</f>
        <v>Department of Technology</v>
      </c>
      <c r="C75" s="197"/>
    </row>
    <row r="76" spans="1:4" ht="32.25" customHeight="1" x14ac:dyDescent="0.2">
      <c r="A76" s="195" t="s">
        <v>1646</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1535</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topLeftCell="A3" zoomScale="85" zoomScaleNormal="85" workbookViewId="0">
      <selection activeCell="N10" sqref="N10"/>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7502 Department of Technology</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1648</v>
      </c>
      <c r="G8" s="131"/>
      <c r="H8" s="173" t="s">
        <v>1649</v>
      </c>
      <c r="I8" s="131"/>
      <c r="J8" s="173" t="s">
        <v>1650</v>
      </c>
      <c r="K8" s="131"/>
      <c r="L8" s="173"/>
      <c r="M8" s="131"/>
      <c r="N8" s="173" t="s">
        <v>1651</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1851094</v>
      </c>
      <c r="H10" s="3">
        <f>IF('Fund 0001 Journal Entries'!$F$7="Governmental Fund",SUM('Fund 0001 Journal Entries'!$K$37,'Fund 0001 Journal Entries'!$K$85),0)</f>
        <v>313917</v>
      </c>
      <c r="J10" s="3">
        <f>IF('Fund 0001 Journal Entries'!$F$7="Governmental Fund",SUM('Fund 0001 Journal Entries'!$J$56,'Fund 0001 Journal Entries'!$J$76),0)</f>
        <v>1169330</v>
      </c>
      <c r="L10" s="134">
        <f>SUM(F10+H10-J10)</f>
        <v>995681</v>
      </c>
      <c r="N10" s="3">
        <f>IF('Fund 0001 Journal Entries'!$F$7="Governmental Fund",'Fund 0001 Journal Entries'!$J$61,0)</f>
        <v>889376</v>
      </c>
      <c r="P10" s="134">
        <f>L10-N10</f>
        <v>106305</v>
      </c>
      <c r="Q10" s="129"/>
    </row>
    <row r="11" spans="2:17" ht="19.5" thickTop="1" thickBot="1" x14ac:dyDescent="0.3">
      <c r="B11" s="128"/>
      <c r="C11" s="208" t="s">
        <v>14</v>
      </c>
      <c r="D11" s="208"/>
      <c r="F11" s="135">
        <f>SUM(F10:F10)</f>
        <v>1851094</v>
      </c>
      <c r="H11" s="135">
        <f>SUM(H10:H10)</f>
        <v>313917</v>
      </c>
      <c r="J11" s="135">
        <f>SUM(J10:J10)</f>
        <v>1169330</v>
      </c>
      <c r="L11" s="135">
        <f>SUM(L10:L10)</f>
        <v>995681</v>
      </c>
      <c r="N11" s="135">
        <f>SUM(N10:N10)</f>
        <v>889376</v>
      </c>
      <c r="P11" s="135">
        <f>SUM(P10:P10)</f>
        <v>106305</v>
      </c>
      <c r="Q11" s="129"/>
    </row>
    <row r="12" spans="2:17" ht="18.75" thickTop="1" x14ac:dyDescent="0.25">
      <c r="B12" s="128"/>
      <c r="G12" s="136"/>
      <c r="Q12" s="129"/>
    </row>
    <row r="13" spans="2:17" x14ac:dyDescent="0.25">
      <c r="B13" s="128"/>
      <c r="C13" s="208" t="s">
        <v>1568</v>
      </c>
      <c r="D13" s="208"/>
      <c r="Q13" s="129"/>
    </row>
    <row r="14" spans="2:17" ht="18.75" thickBot="1" x14ac:dyDescent="0.3">
      <c r="B14" s="128"/>
      <c r="D14" s="122" t="s">
        <v>117</v>
      </c>
      <c r="F14" s="3">
        <f>'Fund 9730 Journal Entries '!K19+'Fund 9740 Journal Entries'!K19</f>
        <v>1717502</v>
      </c>
      <c r="H14" s="3">
        <f>'Fund 9730 Journal Entries '!J34+'Fund 9740 Journal Entries'!J34+'Fund 9730 Journal Entries '!J84+'Fund 9740 Journal Entries'!J84</f>
        <v>4120733.8054920281</v>
      </c>
      <c r="J14" s="3">
        <f>'Fund 9730 Journal Entries '!J56+'Fund 9730 Journal Entries '!J76+'Fund 9740 Journal Entries'!J56+'Fund 9740 Journal Entries'!J76</f>
        <v>3119042.1231986964</v>
      </c>
      <c r="L14" s="134">
        <f>SUM(F14+H14-J14)</f>
        <v>2719193.6822933322</v>
      </c>
      <c r="N14" s="3">
        <f>'Fund 9730 Journal Entries '!J61+'Fund 9740 Journal Entries'!J61</f>
        <v>1505558.3804284853</v>
      </c>
      <c r="P14" s="134">
        <f>L14-N14</f>
        <v>1213635.3018648468</v>
      </c>
      <c r="Q14" s="129"/>
    </row>
    <row r="15" spans="2:17" ht="19.5" thickTop="1" thickBot="1" x14ac:dyDescent="0.3">
      <c r="B15" s="128"/>
      <c r="C15" s="208" t="s">
        <v>1577</v>
      </c>
      <c r="D15" s="208"/>
      <c r="F15" s="135">
        <f>SUM(F14:F14)</f>
        <v>1717502</v>
      </c>
      <c r="H15" s="135">
        <f>SUM(H14:H14)</f>
        <v>4120733.8054920281</v>
      </c>
      <c r="J15" s="135">
        <f>SUM(J14:J14)</f>
        <v>3119042.1231986964</v>
      </c>
      <c r="L15" s="135">
        <f>SUM(L14:L14)</f>
        <v>2719193.6822933322</v>
      </c>
      <c r="N15" s="135">
        <f>SUM(N14:N14)</f>
        <v>1505558.3804284853</v>
      </c>
      <c r="P15" s="135">
        <f>SUM(P14:P14)</f>
        <v>1213635.3018648468</v>
      </c>
      <c r="Q15" s="129"/>
    </row>
    <row r="16" spans="2:17" ht="18.75" thickTop="1" x14ac:dyDescent="0.25">
      <c r="B16" s="128"/>
      <c r="C16" s="133"/>
      <c r="D16" s="133"/>
      <c r="F16" s="134"/>
      <c r="H16" s="134"/>
      <c r="J16" s="134"/>
      <c r="L16" s="134"/>
      <c r="N16" s="134"/>
      <c r="P16" s="134"/>
      <c r="Q16" s="129"/>
    </row>
    <row r="17" spans="2:17" x14ac:dyDescent="0.25">
      <c r="B17" s="128"/>
      <c r="C17" s="208" t="s">
        <v>1569</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1578</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1653</v>
      </c>
    </row>
    <row r="23" spans="2:17" x14ac:dyDescent="0.25">
      <c r="B23" s="174" t="s">
        <v>1652</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D25" sqref="D25"/>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1547</v>
      </c>
      <c r="B1" s="212"/>
      <c r="C1" s="212"/>
      <c r="D1" s="212"/>
      <c r="E1" s="212"/>
      <c r="F1" s="212"/>
      <c r="G1" s="212"/>
      <c r="H1" s="212"/>
      <c r="I1" s="212"/>
      <c r="J1" s="212"/>
      <c r="K1" s="212"/>
      <c r="L1" s="212"/>
      <c r="M1" s="212"/>
      <c r="N1" s="212"/>
      <c r="O1" s="212"/>
      <c r="P1" s="212"/>
      <c r="Q1" s="212"/>
    </row>
    <row r="2" spans="1:17" s="141" customFormat="1" ht="15.75" x14ac:dyDescent="0.25">
      <c r="A2" s="212" t="s">
        <v>1549</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1548</v>
      </c>
      <c r="B4" s="213"/>
      <c r="C4" s="213"/>
      <c r="D4" s="213"/>
      <c r="E4" s="213"/>
      <c r="F4" s="213"/>
      <c r="G4" s="213"/>
      <c r="H4" s="213"/>
      <c r="I4" s="213"/>
      <c r="J4" s="213"/>
      <c r="K4" s="213"/>
      <c r="L4" s="213"/>
      <c r="M4" s="213"/>
      <c r="N4" s="213"/>
      <c r="O4" s="213"/>
      <c r="P4" s="213"/>
      <c r="Q4" s="213"/>
    </row>
    <row r="5" spans="1:17" ht="15" customHeight="1" x14ac:dyDescent="0.25">
      <c r="A5" s="218" t="s">
        <v>1561</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1613</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1558</v>
      </c>
      <c r="B11" s="213"/>
      <c r="C11" s="213"/>
      <c r="D11" s="213"/>
      <c r="E11" s="213"/>
      <c r="F11" s="213"/>
      <c r="G11" s="213"/>
      <c r="H11" s="213"/>
      <c r="I11" s="213"/>
      <c r="J11" s="213"/>
      <c r="K11" s="213"/>
      <c r="L11" s="213"/>
      <c r="M11" s="213"/>
      <c r="N11" s="213"/>
      <c r="O11" s="213"/>
      <c r="P11" s="213"/>
      <c r="Q11" s="213"/>
    </row>
    <row r="12" spans="1:17" x14ac:dyDescent="0.25">
      <c r="A12" s="211" t="s">
        <v>1641</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1616</v>
      </c>
      <c r="C14" s="216"/>
      <c r="D14" s="216"/>
      <c r="E14" s="216"/>
      <c r="F14" s="216"/>
      <c r="G14" s="216"/>
      <c r="H14" s="216"/>
      <c r="I14" s="216"/>
      <c r="J14" s="216"/>
      <c r="K14" s="216"/>
      <c r="L14" s="216"/>
      <c r="M14" s="145"/>
      <c r="N14" s="146" t="s">
        <v>1555</v>
      </c>
      <c r="O14" s="147"/>
      <c r="P14" s="148"/>
      <c r="Q14" s="144"/>
    </row>
    <row r="15" spans="1:17" ht="15" customHeight="1" x14ac:dyDescent="0.25">
      <c r="A15" s="144"/>
      <c r="B15" s="149" t="s">
        <v>1635</v>
      </c>
      <c r="C15" s="149"/>
      <c r="D15" s="149" t="s">
        <v>9</v>
      </c>
      <c r="E15" s="149"/>
      <c r="F15" s="149" t="s">
        <v>10</v>
      </c>
      <c r="G15" s="149"/>
      <c r="H15" s="149" t="s">
        <v>1636</v>
      </c>
      <c r="I15" s="149"/>
      <c r="J15" s="149" t="s">
        <v>1637</v>
      </c>
      <c r="K15" s="149"/>
      <c r="L15" s="149" t="s">
        <v>1639</v>
      </c>
      <c r="M15" s="145"/>
      <c r="N15" s="147"/>
      <c r="O15" s="147"/>
      <c r="P15" s="148"/>
      <c r="Q15" s="144"/>
    </row>
    <row r="16" spans="1:17" ht="15" customHeight="1" x14ac:dyDescent="0.25">
      <c r="A16" s="144"/>
      <c r="B16" s="150" t="s">
        <v>1551</v>
      </c>
      <c r="C16" s="151" t="s">
        <v>1550</v>
      </c>
      <c r="D16" s="150" t="s">
        <v>1619</v>
      </c>
      <c r="E16" s="150" t="s">
        <v>1552</v>
      </c>
      <c r="F16" s="150" t="s">
        <v>1553</v>
      </c>
      <c r="G16" s="150" t="s">
        <v>1552</v>
      </c>
      <c r="H16" s="150" t="s">
        <v>1644</v>
      </c>
      <c r="I16" s="151" t="s">
        <v>1550</v>
      </c>
      <c r="J16" s="150" t="s">
        <v>1645</v>
      </c>
      <c r="K16" s="152"/>
      <c r="L16" s="153"/>
      <c r="M16" s="152"/>
      <c r="N16" s="154" t="s">
        <v>1556</v>
      </c>
      <c r="O16" s="147"/>
      <c r="P16" s="147" t="s">
        <v>1562</v>
      </c>
      <c r="Q16" s="144"/>
    </row>
    <row r="17" spans="1:16383" ht="15" customHeight="1" x14ac:dyDescent="0.25">
      <c r="A17" s="155"/>
      <c r="B17" s="10">
        <f>'Fund 0001 Journal Entries'!K19</f>
        <v>1851094</v>
      </c>
      <c r="C17" s="21" t="s">
        <v>1550</v>
      </c>
      <c r="D17" s="10">
        <f>'Fund 0001 Journal Entries'!K37</f>
        <v>313917</v>
      </c>
      <c r="E17" s="22" t="s">
        <v>1552</v>
      </c>
      <c r="F17" s="10">
        <f>'Fund 0001 Journal Entries'!J56</f>
        <v>1169330</v>
      </c>
      <c r="G17" s="22" t="s">
        <v>1552</v>
      </c>
      <c r="H17" s="10">
        <f>IF('Fund 0001 Journal Entries'!$F$7="Governmental Fund",ROUND('Fund 0001 Journal Entries'!$J$76,0),0)</f>
        <v>0</v>
      </c>
      <c r="I17" s="22" t="s">
        <v>1550</v>
      </c>
      <c r="J17" s="10">
        <f>IF('Fund 0001 Journal Entries'!$F$7="Governmental Fund",ROUND('Fund 0001 Journal Entries'!$K$85,0),0)</f>
        <v>0</v>
      </c>
      <c r="K17" s="22" t="s">
        <v>1554</v>
      </c>
      <c r="L17" s="11">
        <f>+B17+D17-F17</f>
        <v>995681</v>
      </c>
      <c r="M17" s="22"/>
      <c r="N17" s="12">
        <f>ROUND(SUM('Department Note Disclosure'!$B$16:$B$39),0)</f>
        <v>995681</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1642</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1616</v>
      </c>
      <c r="C22" s="217"/>
      <c r="D22" s="217"/>
      <c r="E22" s="217"/>
      <c r="F22" s="217"/>
      <c r="G22" s="217"/>
      <c r="H22" s="217"/>
      <c r="I22" s="217"/>
      <c r="J22" s="217"/>
      <c r="K22" s="217"/>
      <c r="L22" s="217"/>
      <c r="M22" s="145"/>
      <c r="N22" s="146" t="s">
        <v>1555</v>
      </c>
      <c r="O22" s="147"/>
      <c r="P22" s="148"/>
      <c r="Q22" s="144"/>
    </row>
    <row r="23" spans="1:16383" ht="15" customHeight="1" x14ac:dyDescent="0.25">
      <c r="A23" s="144"/>
      <c r="B23" s="149" t="s">
        <v>1635</v>
      </c>
      <c r="C23" s="149"/>
      <c r="D23" s="149" t="s">
        <v>9</v>
      </c>
      <c r="E23" s="149"/>
      <c r="F23" s="149" t="s">
        <v>10</v>
      </c>
      <c r="G23" s="149"/>
      <c r="H23" s="149" t="s">
        <v>1636</v>
      </c>
      <c r="I23" s="149"/>
      <c r="J23" s="149" t="s">
        <v>1637</v>
      </c>
      <c r="K23" s="149"/>
      <c r="L23" s="149" t="s">
        <v>1639</v>
      </c>
      <c r="M23" s="145"/>
      <c r="N23" s="147"/>
      <c r="O23" s="147"/>
      <c r="P23" s="148"/>
      <c r="Q23" s="144"/>
    </row>
    <row r="24" spans="1:16383" ht="15" customHeight="1" x14ac:dyDescent="0.25">
      <c r="A24" s="144"/>
      <c r="B24" s="150" t="s">
        <v>1551</v>
      </c>
      <c r="C24" s="151" t="s">
        <v>1550</v>
      </c>
      <c r="D24" s="150" t="s">
        <v>1619</v>
      </c>
      <c r="E24" s="150" t="s">
        <v>1552</v>
      </c>
      <c r="F24" s="150" t="s">
        <v>1553</v>
      </c>
      <c r="G24" s="150" t="s">
        <v>1552</v>
      </c>
      <c r="H24" s="150" t="s">
        <v>1644</v>
      </c>
      <c r="I24" s="151" t="s">
        <v>1550</v>
      </c>
      <c r="J24" s="150" t="s">
        <v>1645</v>
      </c>
      <c r="K24" s="152"/>
      <c r="L24" s="153"/>
      <c r="M24" s="152"/>
      <c r="N24" s="154" t="s">
        <v>1556</v>
      </c>
      <c r="O24" s="147"/>
      <c r="P24" s="147" t="s">
        <v>1562</v>
      </c>
      <c r="Q24" s="144"/>
    </row>
    <row r="25" spans="1:16383" ht="15" customHeight="1" x14ac:dyDescent="0.25">
      <c r="A25" s="155"/>
      <c r="B25" s="10">
        <f>'Fund 9730 Journal Entries '!K19+'Fund 9740 Journal Entries'!K19</f>
        <v>1717502</v>
      </c>
      <c r="C25" s="21" t="s">
        <v>1550</v>
      </c>
      <c r="D25" s="10">
        <f>'Fund 9730 Journal Entries '!J34+'Fund 9740 Journal Entries'!J34</f>
        <v>4120733.8054920281</v>
      </c>
      <c r="E25" s="22" t="s">
        <v>1552</v>
      </c>
      <c r="F25" s="10">
        <f>'Fund 9730 Journal Entries '!J56+'Fund 9740 Journal Entries'!J56</f>
        <v>3119042.1231986964</v>
      </c>
      <c r="G25" s="22" t="s">
        <v>1552</v>
      </c>
      <c r="H25" s="10">
        <f>IF('Fund 0001 Journal Entries'!$F$7="Proprietary - Internal Service Fund",ROUND('Fund 0001 Journal Entries'!$J$76,0),0)</f>
        <v>0</v>
      </c>
      <c r="I25" s="22" t="s">
        <v>1550</v>
      </c>
      <c r="J25" s="10">
        <f>IF('Fund 0001 Journal Entries'!$F$7="Proprietary - Internal Service Fund",ROUND('Fund 0001 Journal Entries'!$K$85,0),0)</f>
        <v>0</v>
      </c>
      <c r="K25" s="22" t="s">
        <v>1554</v>
      </c>
      <c r="L25" s="11">
        <f>+B25+D25-F25</f>
        <v>2719193.6822933322</v>
      </c>
      <c r="M25" s="22"/>
      <c r="N25" s="12">
        <f>ROUND(SUM('Department Note Disclosure'!$B$47:$B$70),0)</f>
        <v>2719194</v>
      </c>
      <c r="O25" s="21"/>
      <c r="P25" s="13">
        <f>L25-N25</f>
        <v>-0.31770666781812906</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1643</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1616</v>
      </c>
      <c r="C31" s="217"/>
      <c r="D31" s="217"/>
      <c r="E31" s="217"/>
      <c r="F31" s="217"/>
      <c r="G31" s="217"/>
      <c r="H31" s="217"/>
      <c r="I31" s="217"/>
      <c r="J31" s="217"/>
      <c r="K31" s="217"/>
      <c r="L31" s="217"/>
      <c r="M31" s="145"/>
      <c r="N31" s="146" t="s">
        <v>1555</v>
      </c>
      <c r="O31" s="147"/>
      <c r="P31" s="148"/>
      <c r="Q31" s="144"/>
    </row>
    <row r="32" spans="1:16383" ht="15" customHeight="1" x14ac:dyDescent="0.25">
      <c r="A32" s="144"/>
      <c r="B32" s="149" t="s">
        <v>1635</v>
      </c>
      <c r="C32" s="149"/>
      <c r="D32" s="149" t="s">
        <v>9</v>
      </c>
      <c r="E32" s="149"/>
      <c r="F32" s="149" t="s">
        <v>10</v>
      </c>
      <c r="G32" s="149"/>
      <c r="H32" s="149" t="s">
        <v>1636</v>
      </c>
      <c r="I32" s="149"/>
      <c r="J32" s="149" t="s">
        <v>1637</v>
      </c>
      <c r="K32" s="149"/>
      <c r="L32" s="149" t="s">
        <v>1639</v>
      </c>
      <c r="M32" s="145"/>
      <c r="N32" s="147"/>
      <c r="O32" s="147"/>
      <c r="P32" s="148"/>
      <c r="Q32" s="144"/>
    </row>
    <row r="33" spans="1:17" ht="15" customHeight="1" x14ac:dyDescent="0.25">
      <c r="A33" s="144"/>
      <c r="B33" s="150" t="s">
        <v>1551</v>
      </c>
      <c r="C33" s="151" t="s">
        <v>1550</v>
      </c>
      <c r="D33" s="150" t="s">
        <v>1619</v>
      </c>
      <c r="E33" s="150" t="s">
        <v>1552</v>
      </c>
      <c r="F33" s="150" t="s">
        <v>1553</v>
      </c>
      <c r="G33" s="150" t="s">
        <v>1552</v>
      </c>
      <c r="H33" s="150" t="s">
        <v>1644</v>
      </c>
      <c r="I33" s="151" t="s">
        <v>1550</v>
      </c>
      <c r="J33" s="150" t="s">
        <v>1645</v>
      </c>
      <c r="K33" s="152"/>
      <c r="L33" s="153"/>
      <c r="M33" s="152"/>
      <c r="N33" s="154" t="s">
        <v>1556</v>
      </c>
      <c r="O33" s="147"/>
      <c r="P33" s="147" t="s">
        <v>1562</v>
      </c>
      <c r="Q33" s="144"/>
    </row>
    <row r="34" spans="1:17" ht="15" customHeight="1" x14ac:dyDescent="0.25">
      <c r="A34" s="155"/>
      <c r="B34" s="10">
        <f>IF('Fund 0001 Journal Entries'!$F$7="Proprietary - Enterprise Fund",ROUND('Fund 0001 Journal Entries'!$K$19,0),0)</f>
        <v>0</v>
      </c>
      <c r="C34" s="21" t="s">
        <v>1550</v>
      </c>
      <c r="D34" s="10">
        <f>IF('Fund 0001 Journal Entries'!$F$7="Proprietary - Enterprise Fund",ROUND('Fund 0001 Journal Entries'!$K$37,0),0)</f>
        <v>0</v>
      </c>
      <c r="E34" s="22" t="s">
        <v>1552</v>
      </c>
      <c r="F34" s="10">
        <f>IF('Fund 0001 Journal Entries'!$F$7="Proprietary - Enterprise Fund",ROUND('Fund 0001 Journal Entries'!$J$56,0),0)</f>
        <v>0</v>
      </c>
      <c r="G34" s="22" t="s">
        <v>1552</v>
      </c>
      <c r="H34" s="10">
        <f>IF('Fund 0001 Journal Entries'!$F$7="Proprietary - Enterprise Fund",ROUND('Fund 0001 Journal Entries'!$J$76,0),0)</f>
        <v>0</v>
      </c>
      <c r="I34" s="22" t="s">
        <v>1550</v>
      </c>
      <c r="J34" s="10">
        <f>IF('Fund 0001 Journal Entries'!$F$7="Proprietary - Enterprise Fund",ROUND('Fund 0001 Journal Entries'!$K$85,0),0)</f>
        <v>0</v>
      </c>
      <c r="K34" s="22" t="s">
        <v>1554</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1559</v>
      </c>
      <c r="B37" s="213"/>
      <c r="C37" s="213"/>
      <c r="D37" s="213"/>
      <c r="E37" s="213"/>
      <c r="F37" s="213"/>
      <c r="G37" s="213"/>
      <c r="H37" s="213"/>
      <c r="I37" s="213"/>
      <c r="J37" s="213"/>
      <c r="K37" s="213"/>
      <c r="L37" s="213"/>
      <c r="M37" s="213"/>
      <c r="N37" s="213"/>
      <c r="O37" s="213"/>
      <c r="P37" s="213"/>
      <c r="Q37" s="213"/>
    </row>
    <row r="38" spans="1:17" ht="15" customHeight="1" x14ac:dyDescent="0.25">
      <c r="A38" s="211" t="s">
        <v>1641</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1616</v>
      </c>
      <c r="C40" s="215"/>
      <c r="D40" s="215"/>
      <c r="E40" s="215"/>
      <c r="F40" s="215"/>
      <c r="G40" s="215"/>
      <c r="H40" s="144"/>
      <c r="I40" s="145"/>
      <c r="J40" s="144"/>
      <c r="K40" s="145"/>
      <c r="L40" s="144"/>
      <c r="M40" s="145"/>
      <c r="N40" s="146" t="s">
        <v>1555</v>
      </c>
      <c r="O40" s="147"/>
      <c r="P40" s="148"/>
      <c r="Q40" s="144"/>
    </row>
    <row r="41" spans="1:17" ht="15" customHeight="1" x14ac:dyDescent="0.25">
      <c r="A41" s="144"/>
      <c r="B41" s="150" t="s">
        <v>1557</v>
      </c>
      <c r="C41" s="219" t="s">
        <v>1638</v>
      </c>
      <c r="D41" s="219"/>
      <c r="E41" s="219"/>
      <c r="G41" s="145"/>
      <c r="H41" s="159"/>
      <c r="I41" s="149"/>
      <c r="J41" s="159"/>
      <c r="K41" s="145"/>
      <c r="L41" s="144"/>
      <c r="M41" s="152"/>
      <c r="N41" s="154" t="str">
        <f>'Department Note Disclosure'!$A$16&amp;" Principal Payments"</f>
        <v>2024–2025 Principal Payments</v>
      </c>
      <c r="O41" s="147"/>
      <c r="P41" s="147" t="s">
        <v>1562</v>
      </c>
      <c r="Q41" s="144"/>
    </row>
    <row r="42" spans="1:17" ht="15" customHeight="1" x14ac:dyDescent="0.25">
      <c r="A42" s="144"/>
      <c r="B42" s="10">
        <f>'Fund 0001 Journal Entries'!J61</f>
        <v>889376</v>
      </c>
      <c r="C42" s="160"/>
      <c r="D42" s="159"/>
      <c r="E42" s="159"/>
      <c r="F42" s="159"/>
      <c r="G42" s="145"/>
      <c r="H42" s="159"/>
      <c r="I42" s="149"/>
      <c r="J42" s="159"/>
      <c r="K42" s="145"/>
      <c r="L42" s="158"/>
      <c r="M42" s="23"/>
      <c r="N42" s="12">
        <f>ROUND('Department Note Disclosure'!$B$16,0)</f>
        <v>889376</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1642</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1616</v>
      </c>
      <c r="C47" s="215"/>
      <c r="D47" s="215"/>
      <c r="E47" s="215"/>
      <c r="F47" s="215"/>
      <c r="G47" s="215"/>
      <c r="H47" s="144"/>
      <c r="I47" s="145"/>
      <c r="J47" s="144"/>
      <c r="K47" s="145"/>
      <c r="L47" s="144"/>
      <c r="M47" s="145"/>
      <c r="N47" s="146" t="s">
        <v>1555</v>
      </c>
      <c r="O47" s="147"/>
      <c r="P47" s="148"/>
      <c r="Q47" s="144"/>
    </row>
    <row r="48" spans="1:17" ht="15" customHeight="1" x14ac:dyDescent="0.25">
      <c r="A48" s="144"/>
      <c r="B48" s="150" t="s">
        <v>1557</v>
      </c>
      <c r="C48" s="219" t="s">
        <v>1638</v>
      </c>
      <c r="D48" s="219"/>
      <c r="E48" s="219"/>
      <c r="G48" s="145"/>
      <c r="H48" s="159"/>
      <c r="I48" s="149"/>
      <c r="J48" s="159"/>
      <c r="K48" s="145"/>
      <c r="L48" s="144"/>
      <c r="M48" s="145"/>
      <c r="N48" s="147"/>
      <c r="O48" s="147"/>
      <c r="P48" s="148"/>
      <c r="Q48" s="144"/>
    </row>
    <row r="49" spans="1:16383" ht="15" customHeight="1" x14ac:dyDescent="0.25">
      <c r="A49" s="144"/>
      <c r="B49" s="10">
        <f>'Fund 9730 Journal Entries '!J61+'Fund 9740 Journal Entries'!J61</f>
        <v>1505558.3804284853</v>
      </c>
      <c r="C49" s="145"/>
      <c r="E49" s="145"/>
      <c r="G49" s="145"/>
      <c r="H49" s="159"/>
      <c r="I49" s="149"/>
      <c r="J49" s="159"/>
      <c r="K49" s="145"/>
      <c r="L49" s="144"/>
      <c r="M49" s="152"/>
      <c r="N49" s="154" t="str">
        <f>'Department Note Disclosure'!$A$47&amp;" Principal Payments"</f>
        <v>2024–2025 Principal Payments</v>
      </c>
      <c r="O49" s="147"/>
      <c r="P49" s="147" t="s">
        <v>1562</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1505558</v>
      </c>
      <c r="O50" s="24"/>
      <c r="P50" s="13">
        <f>B49-N50</f>
        <v>0.38042848533950746</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1643</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1616</v>
      </c>
      <c r="C54" s="215"/>
      <c r="D54" s="215"/>
      <c r="E54" s="215"/>
      <c r="F54" s="215"/>
      <c r="G54" s="215"/>
      <c r="H54" s="159"/>
      <c r="I54" s="159"/>
      <c r="J54" s="159"/>
      <c r="K54" s="159"/>
      <c r="L54" s="159"/>
      <c r="M54" s="145"/>
      <c r="N54" s="146" t="s">
        <v>1555</v>
      </c>
      <c r="O54" s="147"/>
      <c r="P54" s="148"/>
      <c r="Q54" s="144"/>
    </row>
    <row r="55" spans="1:16383" x14ac:dyDescent="0.25">
      <c r="A55" s="144"/>
      <c r="B55" s="150" t="s">
        <v>1557</v>
      </c>
      <c r="C55" s="219" t="s">
        <v>1638</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1562</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1560</v>
      </c>
      <c r="B59" s="213"/>
      <c r="C59" s="213"/>
      <c r="D59" s="213"/>
      <c r="E59" s="213"/>
      <c r="F59" s="213"/>
      <c r="G59" s="213"/>
      <c r="H59" s="213"/>
      <c r="I59" s="213"/>
      <c r="J59" s="213"/>
      <c r="K59" s="213"/>
      <c r="L59" s="213"/>
      <c r="M59" s="213"/>
      <c r="N59" s="213"/>
      <c r="O59" s="213"/>
      <c r="P59" s="213"/>
      <c r="Q59" s="213"/>
    </row>
    <row r="60" spans="1:16383" ht="15" customHeight="1" x14ac:dyDescent="0.25">
      <c r="A60" s="211" t="s">
        <v>1641</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1616</v>
      </c>
      <c r="C62" s="216"/>
      <c r="D62" s="216"/>
      <c r="E62" s="216"/>
      <c r="F62" s="216"/>
      <c r="G62" s="216"/>
      <c r="H62" s="216"/>
      <c r="I62" s="147"/>
      <c r="J62" s="146" t="s">
        <v>1640</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1562</v>
      </c>
      <c r="Q63" s="144"/>
    </row>
    <row r="64" spans="1:16383" x14ac:dyDescent="0.25">
      <c r="B64" s="162" t="s">
        <v>1551</v>
      </c>
      <c r="D64" s="14">
        <f>$B$17</f>
        <v>1851094</v>
      </c>
      <c r="I64" s="25" t="s">
        <v>1554</v>
      </c>
      <c r="J64" s="14">
        <f>SUM(D64)</f>
        <v>1851094</v>
      </c>
      <c r="L64" s="164" t="str">
        <f>CONCATENATE("Balance July 1, ",LEFT('Department Note Disclosure'!$B$11,4))</f>
        <v>Balance July 1, 2023</v>
      </c>
      <c r="N64" s="14">
        <f>ROUND('SBITA Liabilities'!$F$10,0)</f>
        <v>1851094</v>
      </c>
      <c r="P64" s="13">
        <f>J64-N64</f>
        <v>0</v>
      </c>
    </row>
    <row r="65" spans="1:16383" x14ac:dyDescent="0.25">
      <c r="B65" s="162" t="s">
        <v>1619</v>
      </c>
      <c r="D65" s="14">
        <f>$D$17</f>
        <v>313917</v>
      </c>
      <c r="E65" s="165" t="s">
        <v>1550</v>
      </c>
      <c r="F65" s="150" t="s">
        <v>1645</v>
      </c>
      <c r="H65" s="14">
        <f>J17</f>
        <v>0</v>
      </c>
      <c r="I65" s="25" t="s">
        <v>1554</v>
      </c>
      <c r="J65" s="14">
        <f>SUM(D65,H65)</f>
        <v>313917</v>
      </c>
      <c r="L65" s="164" t="s">
        <v>9</v>
      </c>
      <c r="N65" s="14">
        <f>ROUND('SBITA Liabilities'!$H$10,0)</f>
        <v>313917</v>
      </c>
      <c r="P65" s="13">
        <f>J65-N65</f>
        <v>0</v>
      </c>
    </row>
    <row r="66" spans="1:16383" x14ac:dyDescent="0.25">
      <c r="B66" s="162" t="s">
        <v>1553</v>
      </c>
      <c r="D66" s="14">
        <f>$F$17</f>
        <v>1169330</v>
      </c>
      <c r="E66" s="165" t="s">
        <v>1550</v>
      </c>
      <c r="F66" s="150" t="s">
        <v>1644</v>
      </c>
      <c r="H66" s="14">
        <f>H17</f>
        <v>0</v>
      </c>
      <c r="I66" s="25" t="s">
        <v>1554</v>
      </c>
      <c r="J66" s="14">
        <f>SUM(D66,H66)</f>
        <v>1169330</v>
      </c>
      <c r="L66" s="164" t="s">
        <v>10</v>
      </c>
      <c r="N66" s="14">
        <f>ROUND('SBITA Liabilities'!$J$10,0)</f>
        <v>1169330</v>
      </c>
      <c r="P66" s="13">
        <f>J66-N66</f>
        <v>0</v>
      </c>
    </row>
    <row r="67" spans="1:16383" x14ac:dyDescent="0.25">
      <c r="B67" s="162" t="s">
        <v>1557</v>
      </c>
      <c r="D67" s="14">
        <f>$B$42</f>
        <v>889376</v>
      </c>
      <c r="I67" s="25" t="s">
        <v>1554</v>
      </c>
      <c r="J67" s="14">
        <f>SUM(D67)</f>
        <v>889376</v>
      </c>
      <c r="L67" s="164" t="s">
        <v>11</v>
      </c>
      <c r="N67" s="14">
        <f>ROUND('SBITA Liabilities'!$N$10,0)</f>
        <v>889376</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1642</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1616</v>
      </c>
      <c r="C72" s="216"/>
      <c r="D72" s="216"/>
      <c r="E72" s="216"/>
      <c r="F72" s="216"/>
      <c r="G72" s="216"/>
      <c r="H72" s="216"/>
      <c r="I72" s="147"/>
      <c r="J72" s="146" t="s">
        <v>1640</v>
      </c>
      <c r="K72" s="147"/>
      <c r="L72" s="216" t="s">
        <v>118</v>
      </c>
      <c r="M72" s="216"/>
      <c r="N72" s="216"/>
    </row>
    <row r="73" spans="1:16383" x14ac:dyDescent="0.25">
      <c r="I73" s="147"/>
      <c r="J73" s="144"/>
      <c r="L73" s="144"/>
      <c r="M73" s="145"/>
      <c r="N73" s="144"/>
      <c r="O73" s="145"/>
      <c r="P73" s="147" t="s">
        <v>1562</v>
      </c>
    </row>
    <row r="74" spans="1:16383" x14ac:dyDescent="0.25">
      <c r="B74" s="162" t="s">
        <v>1551</v>
      </c>
      <c r="D74" s="14">
        <f>$B$25</f>
        <v>1717502</v>
      </c>
      <c r="I74" s="25" t="s">
        <v>1554</v>
      </c>
      <c r="J74" s="14">
        <f>SUM(D74)</f>
        <v>1717502</v>
      </c>
      <c r="L74" s="164" t="str">
        <f>CONCATENATE("Balance July 1, ",LEFT('Department Note Disclosure'!$B$11,4))</f>
        <v>Balance July 1, 2023</v>
      </c>
      <c r="N74" s="14">
        <f>ROUND('SBITA Liabilities'!$F$14,0)</f>
        <v>1717502</v>
      </c>
      <c r="P74" s="13">
        <f>J74-N74</f>
        <v>0</v>
      </c>
    </row>
    <row r="75" spans="1:16383" x14ac:dyDescent="0.25">
      <c r="B75" s="162" t="s">
        <v>1619</v>
      </c>
      <c r="D75" s="14">
        <f>D25</f>
        <v>4120733.8054920281</v>
      </c>
      <c r="E75" s="165" t="s">
        <v>1550</v>
      </c>
      <c r="F75" s="150" t="s">
        <v>1645</v>
      </c>
      <c r="H75" s="14">
        <f>J25</f>
        <v>0</v>
      </c>
      <c r="I75" s="25" t="s">
        <v>1554</v>
      </c>
      <c r="J75" s="14">
        <f>SUM(D75,H75)</f>
        <v>4120733.8054920281</v>
      </c>
      <c r="L75" s="164" t="s">
        <v>9</v>
      </c>
      <c r="N75" s="14">
        <f>ROUND('SBITA Liabilities'!$H$14,0)</f>
        <v>4120734</v>
      </c>
      <c r="P75" s="13">
        <f>J75-N75</f>
        <v>-0.19450797187164426</v>
      </c>
    </row>
    <row r="76" spans="1:16383" x14ac:dyDescent="0.25">
      <c r="B76" s="162" t="s">
        <v>1553</v>
      </c>
      <c r="D76" s="14">
        <f>F25</f>
        <v>3119042.1231986964</v>
      </c>
      <c r="E76" s="165" t="s">
        <v>1550</v>
      </c>
      <c r="F76" s="150" t="s">
        <v>1644</v>
      </c>
      <c r="H76" s="14">
        <f>H25</f>
        <v>0</v>
      </c>
      <c r="I76" s="25" t="s">
        <v>1554</v>
      </c>
      <c r="J76" s="14">
        <f>SUM(D76,H76)</f>
        <v>3119042.1231986964</v>
      </c>
      <c r="L76" s="164" t="s">
        <v>10</v>
      </c>
      <c r="N76" s="14">
        <f>ROUND('SBITA Liabilities'!$J$14,0)</f>
        <v>3119042</v>
      </c>
      <c r="P76" s="13">
        <f>J76-N76</f>
        <v>0.12319869641214609</v>
      </c>
    </row>
    <row r="77" spans="1:16383" x14ac:dyDescent="0.25">
      <c r="B77" s="162" t="s">
        <v>1557</v>
      </c>
      <c r="D77" s="14">
        <f>B49</f>
        <v>1505558.3804284853</v>
      </c>
      <c r="I77" s="25" t="s">
        <v>1554</v>
      </c>
      <c r="J77" s="14">
        <f>SUM(D77)</f>
        <v>1505558.3804284853</v>
      </c>
      <c r="L77" s="164" t="s">
        <v>11</v>
      </c>
      <c r="N77" s="14">
        <f>ROUND('SBITA Liabilities'!$N$14,0)</f>
        <v>1505558</v>
      </c>
      <c r="P77" s="13">
        <f>J77-N77</f>
        <v>0.38042848533950746</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1643</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1616</v>
      </c>
      <c r="C82" s="216"/>
      <c r="D82" s="216"/>
      <c r="E82" s="216"/>
      <c r="F82" s="216"/>
      <c r="G82" s="216"/>
      <c r="H82" s="216"/>
      <c r="I82" s="147"/>
      <c r="J82" s="146" t="s">
        <v>1640</v>
      </c>
      <c r="K82" s="147"/>
      <c r="L82" s="217" t="s">
        <v>118</v>
      </c>
      <c r="M82" s="217"/>
      <c r="N82" s="217"/>
    </row>
    <row r="83" spans="1:17" x14ac:dyDescent="0.25">
      <c r="I83" s="147"/>
      <c r="J83" s="144"/>
      <c r="L83" s="144"/>
      <c r="M83" s="145"/>
      <c r="N83" s="144"/>
      <c r="O83" s="145"/>
      <c r="P83" s="147" t="s">
        <v>1562</v>
      </c>
    </row>
    <row r="84" spans="1:17" x14ac:dyDescent="0.25">
      <c r="B84" s="162" t="s">
        <v>1551</v>
      </c>
      <c r="D84" s="14">
        <f>$B$34</f>
        <v>0</v>
      </c>
      <c r="I84" s="25" t="s">
        <v>1554</v>
      </c>
      <c r="J84" s="14">
        <f>SUM(D84)</f>
        <v>0</v>
      </c>
      <c r="L84" s="164" t="str">
        <f>CONCATENATE("Balance July 1, ",LEFT('Department Note Disclosure'!$B$11,4))</f>
        <v>Balance July 1, 2023</v>
      </c>
      <c r="N84" s="14">
        <f>ROUND('SBITA Liabilities'!$F$18,0)</f>
        <v>0</v>
      </c>
      <c r="P84" s="13">
        <f>J84-N84</f>
        <v>0</v>
      </c>
    </row>
    <row r="85" spans="1:17" x14ac:dyDescent="0.25">
      <c r="B85" s="162" t="s">
        <v>1619</v>
      </c>
      <c r="D85" s="14">
        <f>D34</f>
        <v>0</v>
      </c>
      <c r="E85" s="165" t="s">
        <v>1550</v>
      </c>
      <c r="F85" s="150" t="s">
        <v>1645</v>
      </c>
      <c r="H85" s="14">
        <f>J34</f>
        <v>0</v>
      </c>
      <c r="I85" s="25" t="s">
        <v>1554</v>
      </c>
      <c r="J85" s="14">
        <f>SUM(D85,H85)</f>
        <v>0</v>
      </c>
      <c r="L85" s="164" t="s">
        <v>9</v>
      </c>
      <c r="N85" s="14">
        <f>ROUND('SBITA Liabilities'!$H$18,0)</f>
        <v>0</v>
      </c>
      <c r="P85" s="13">
        <f>J85-N85</f>
        <v>0</v>
      </c>
    </row>
    <row r="86" spans="1:17" x14ac:dyDescent="0.25">
      <c r="B86" s="162" t="s">
        <v>1553</v>
      </c>
      <c r="D86" s="14">
        <f>F34</f>
        <v>0</v>
      </c>
      <c r="E86" s="165" t="s">
        <v>1550</v>
      </c>
      <c r="F86" s="150" t="s">
        <v>1644</v>
      </c>
      <c r="H86" s="14">
        <f>H34</f>
        <v>0</v>
      </c>
      <c r="I86" s="25" t="s">
        <v>1554</v>
      </c>
      <c r="J86" s="14">
        <f>SUM(D86,H86)</f>
        <v>0</v>
      </c>
      <c r="L86" s="164" t="s">
        <v>10</v>
      </c>
      <c r="N86" s="14">
        <f>ROUND('SBITA Liabilities'!$J$18,0)</f>
        <v>0</v>
      </c>
      <c r="P86" s="13">
        <f>J86-N86</f>
        <v>0</v>
      </c>
    </row>
    <row r="87" spans="1:17" x14ac:dyDescent="0.25">
      <c r="B87" s="162" t="s">
        <v>1557</v>
      </c>
      <c r="D87" s="14">
        <f>B56</f>
        <v>0</v>
      </c>
      <c r="I87" s="25" t="s">
        <v>1554</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F10" sqref="F10"/>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1564</v>
      </c>
      <c r="C1" s="1" t="s">
        <v>116</v>
      </c>
      <c r="D1" s="7" t="s">
        <v>134</v>
      </c>
      <c r="E1" s="1" t="s">
        <v>1512</v>
      </c>
      <c r="F1" s="1" t="s">
        <v>1513</v>
      </c>
      <c r="G1" s="1" t="s">
        <v>1512</v>
      </c>
      <c r="I1" s="6"/>
      <c r="J1"/>
      <c r="K1"/>
    </row>
    <row r="2" spans="1:11" ht="15.75" x14ac:dyDescent="0.25">
      <c r="A2" s="1" t="s">
        <v>16</v>
      </c>
      <c r="B2" s="1" t="s">
        <v>1565</v>
      </c>
      <c r="C2" s="1" t="s">
        <v>115</v>
      </c>
      <c r="D2" s="7" t="s">
        <v>142</v>
      </c>
      <c r="E2" s="1" t="s">
        <v>1514</v>
      </c>
      <c r="F2" s="1" t="s">
        <v>1515</v>
      </c>
      <c r="G2" s="1" t="s">
        <v>1516</v>
      </c>
      <c r="I2"/>
      <c r="J2"/>
      <c r="K2"/>
    </row>
    <row r="3" spans="1:11" ht="15.75" x14ac:dyDescent="0.25">
      <c r="A3" s="1" t="s">
        <v>17</v>
      </c>
      <c r="B3" s="1" t="s">
        <v>1566</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1596</v>
      </c>
      <c r="E9" s="1" t="s">
        <v>1590</v>
      </c>
      <c r="F9" s="1" t="s">
        <v>1590</v>
      </c>
      <c r="G9" s="1" t="s">
        <v>1591</v>
      </c>
      <c r="I9"/>
      <c r="J9"/>
      <c r="K9"/>
    </row>
    <row r="10" spans="1:11" x14ac:dyDescent="0.2">
      <c r="A10" s="1" t="s">
        <v>24</v>
      </c>
      <c r="D10" s="7" t="s">
        <v>1597</v>
      </c>
      <c r="E10" s="1" t="s">
        <v>1546</v>
      </c>
      <c r="F10" s="1" t="s">
        <v>1546</v>
      </c>
      <c r="G10" s="1" t="s">
        <v>1545</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1536</v>
      </c>
      <c r="B112" s="5" t="s">
        <v>1537</v>
      </c>
      <c r="C112" s="5" t="s">
        <v>226</v>
      </c>
      <c r="D112" s="5" t="s">
        <v>227</v>
      </c>
      <c r="E112" s="5" t="s">
        <v>134</v>
      </c>
      <c r="F112" s="5" t="s">
        <v>131</v>
      </c>
      <c r="G112" s="5" t="s">
        <v>131</v>
      </c>
      <c r="H112" s="5" t="s">
        <v>131</v>
      </c>
      <c r="I112" s="5" t="s">
        <v>131</v>
      </c>
      <c r="J112" s="5" t="s">
        <v>1538</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1539</v>
      </c>
      <c r="B172" s="5" t="s">
        <v>1540</v>
      </c>
      <c r="C172" s="5" t="s">
        <v>226</v>
      </c>
      <c r="D172" s="5" t="s">
        <v>1541</v>
      </c>
      <c r="E172" s="5" t="s">
        <v>134</v>
      </c>
      <c r="F172" s="5" t="s">
        <v>131</v>
      </c>
      <c r="G172" s="5" t="s">
        <v>131</v>
      </c>
      <c r="H172" s="5" t="s">
        <v>131</v>
      </c>
      <c r="I172" s="5" t="s">
        <v>131</v>
      </c>
      <c r="J172" s="5" t="s">
        <v>1542</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1543</v>
      </c>
      <c r="B235" s="5" t="s">
        <v>1544</v>
      </c>
      <c r="C235" s="5" t="s">
        <v>241</v>
      </c>
      <c r="D235" s="5" t="s">
        <v>242</v>
      </c>
      <c r="E235" s="5" t="s">
        <v>134</v>
      </c>
      <c r="F235" s="5" t="s">
        <v>131</v>
      </c>
      <c r="G235" s="5" t="s">
        <v>131</v>
      </c>
      <c r="H235" s="5" t="s">
        <v>131</v>
      </c>
      <c r="I235" s="5" t="s">
        <v>131</v>
      </c>
      <c r="J235" s="5" t="s">
        <v>1538</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C50C585DAF734499FECC6F30D0E109" ma:contentTypeVersion="14" ma:contentTypeDescription="Create a new document." ma:contentTypeScope="" ma:versionID="b33c0479ad57e0c9d3188eab6205015c">
  <xsd:schema xmlns:xsd="http://www.w3.org/2001/XMLSchema" xmlns:xs="http://www.w3.org/2001/XMLSchema" xmlns:p="http://schemas.microsoft.com/office/2006/metadata/properties" xmlns:ns2="07b14582-3ec2-40f7-bdf0-a4267022b86f" xmlns:ns3="7272d36e-9ec1-49a7-a6ed-2e405223a2b7" targetNamespace="http://schemas.microsoft.com/office/2006/metadata/properties" ma:root="true" ma:fieldsID="d8cbaf62a5cad8a0549c4eb9523f8584" ns2:_="" ns3:_="">
    <xsd:import namespace="07b14582-3ec2-40f7-bdf0-a4267022b86f"/>
    <xsd:import namespace="7272d36e-9ec1-49a7-a6ed-2e405223a2b7"/>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b14582-3ec2-40f7-bdf0-a4267022b8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72d36e-9ec1-49a7-a6ed-2e405223a2b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55856421-0231-4093-9f93-20cd6c385445}" ma:internalName="TaxCatchAll" ma:showField="CatchAllData" ma:web="7272d36e-9ec1-49a7-a6ed-2e405223a2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b14582-3ec2-40f7-bdf0-a4267022b86f">
      <Terms xmlns="http://schemas.microsoft.com/office/infopath/2007/PartnerControls"/>
    </lcf76f155ced4ddcb4097134ff3c332f>
    <TaxCatchAll xmlns="7272d36e-9ec1-49a7-a6ed-2e405223a2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DC62AB-9246-4DED-8CEB-6C81873C9F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b14582-3ec2-40f7-bdf0-a4267022b86f"/>
    <ds:schemaRef ds:uri="7272d36e-9ec1-49a7-a6ed-2e405223a2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4B7C8E-72A8-4BF6-AD6E-B661B030A4EC}">
  <ds:schemaRefs>
    <ds:schemaRef ds:uri="http://schemas.microsoft.com/office/2006/metadata/properties"/>
    <ds:schemaRef ds:uri="http://schemas.microsoft.com/office/infopath/2007/PartnerControls"/>
    <ds:schemaRef ds:uri="07b14582-3ec2-40f7-bdf0-a4267022b86f"/>
    <ds:schemaRef ds:uri="7272d36e-9ec1-49a7-a6ed-2e405223a2b7"/>
  </ds:schemaRefs>
</ds:datastoreItem>
</file>

<file path=customXml/itemProps3.xml><?xml version="1.0" encoding="utf-8"?>
<ds:datastoreItem xmlns:ds="http://schemas.openxmlformats.org/officeDocument/2006/customXml" ds:itemID="{409DE661-5EF3-4E49-BAA3-5229E31480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Fund 0001 Journal Entries</vt:lpstr>
      <vt:lpstr>Fund 9730 Journal Entries </vt:lpstr>
      <vt:lpstr>Fund 9740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9730 Journal Entries '!Print_Area</vt:lpstr>
      <vt:lpstr>'Fund 9740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0x010100B9C50C585DAF734499FECC6F30D0E109</vt:lpwstr>
  </property>
  <property fmtid="{D5CDD505-2E9C-101B-9397-08002B2CF9AE}" pid="3" name="MediaServiceImageTags">
    <vt:lpwstr/>
  </property>
</Properties>
</file>