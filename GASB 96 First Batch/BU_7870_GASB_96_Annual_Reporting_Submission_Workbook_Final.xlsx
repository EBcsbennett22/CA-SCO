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8B05A387-A7C2-4BD0-99BA-858029462784}" xr6:coauthVersionLast="47" xr6:coauthVersionMax="47" xr10:uidLastSave="{00000000-0000-0000-0000-000000000000}"/>
  <bookViews>
    <workbookView xWindow="39150" yWindow="-110" windowWidth="38620" windowHeight="21220" xr2:uid="{00000000-000D-0000-FFFF-FFFF00000000}"/>
  </bookViews>
  <sheets>
    <sheet name="Fund 021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0214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N18" i="4"/>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<sst xmlns="http://schemas.openxmlformats.org/spreadsheetml/2006/main" count="7631" uniqueCount="1657">
  <si>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</si>
  <si>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</si>
  <si>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</si>
  <si>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</si>
  <si>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</si>
  <si>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</si>
  <si>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</si>
  <si>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</si>
  <si>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</si>
  <si>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</si>
  <si>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</si>
  <si>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</si>
  <si>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</si>
  <si>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</si>
  <si>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</si>
  <si>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</si>
  <si>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</si>
  <si>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</si>
  <si>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</si>
  <si>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</si>
  <si>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</si>
  <si>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</si>
  <si>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</si>
  <si>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</si>
  <si>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</si>
  <si>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</si>
  <si>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</si>
  <si>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</si>
  <si>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</si>
  <si>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</si>
  <si>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</si>
  <si>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</si>
  <si>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</si>
  <si>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</si>
  <si>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</si>
  <si>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</si>
  <si>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</si>
  <si>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</si>
  <si>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</si>
  <si>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</si>
  <si>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</si>
  <si>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</si>
  <si>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</si>
  <si>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</si>
  <si>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</si>
  <si>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</si>
  <si>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</si>
  <si>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</si>
  <si>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</si>
  <si>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</si>
  <si>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</si>
  <si>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</si>
  <si>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</si>
  <si>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</si>
  <si>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</si>
  <si>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</si>
  <si>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</si>
  <si>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</si>
  <si>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</si>
  <si>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</si>
  <si>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</si>
  <si>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</si>
  <si>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</si>
  <si>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</si>
  <si>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</si>
  <si>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</si>
  <si>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</si>
  <si>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</si>
  <si>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</si>
  <si>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</si>
  <si>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</si>
  <si>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</si>
  <si>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</si>
  <si>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</si>
  <si>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</si>
  <si>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</si>
  <si>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</si>
  <si>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</si>
  <si>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</si>
  <si>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</si>
  <si>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</si>
  <si>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</si>
  <si>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</si>
  <si>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</si>
  <si>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</si>
  <si>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</si>
  <si>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</si>
  <si>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</si>
  <si>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</si>
  <si>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</si>
  <si>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</si>
  <si>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</si>
  <si>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</si>
  <si>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</si>
  <si>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</si>
  <si>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</si>
  <si>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</si>
  <si>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</si>
  <si>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</si>
  <si>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</si>
  <si>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</si>
  <si>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</si>
  <si>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</si>
  <si>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</si>
  <si>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</si>
  <si>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</si>
  <si>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</si>
  <si>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</si>
  <si>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</si>
  <si>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</si>
  <si>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</si>
  <si>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</si>
  <si>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</si>
  <si>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</si>
  <si>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</si>
  <si>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</si>
  <si>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</si>
  <si>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</si>
  <si>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</si>
  <si>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</si>
  <si>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</si>
  <si>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</si>
  <si>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</si>
  <si>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</si>
  <si>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</si>
  <si>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</si>
  <si>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</si>
  <si>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</si>
  <si>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</si>
  <si>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</si>
  <si>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</si>
  <si>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</si>
  <si>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</si>
  <si>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</si>
  <si>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</si>
  <si>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</si>
  <si>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</si>
  <si>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</si>
  <si>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</si>
  <si>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</si>
  <si>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</si>
  <si>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</si>
  <si>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</si>
  <si>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</si>
  <si>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</si>
  <si>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</si>
  <si>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</si>
  <si>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</si>
  <si>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</si>
  <si>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</si>
  <si>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</si>
  <si>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</si>
  <si>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</si>
  <si>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</si>
  <si>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</si>
  <si>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</si>
  <si>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</si>
  <si>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</si>
  <si>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</si>
  <si>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</si>
  <si>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</si>
  <si>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</si>
  <si>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</si>
  <si>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</si>
  <si>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</si>
  <si>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</si>
  <si>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</si>
  <si>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</si>
  <si>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</si>
  <si>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</si>
  <si>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</si>
  <si>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</si>
  <si>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</si>
  <si>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</si>
  <si>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</si>
  <si>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</si>
  <si>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</si>
  <si>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</si>
  <si>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</si>
  <si>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</si>
  <si>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</si>
  <si>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</si>
  <si>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</si>
  <si>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</si>
  <si>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</si>
  <si>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</si>
  <si>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</si>
  <si>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</si>
  <si>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</si>
  <si>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</si>
  <si>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</si>
  <si>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</si>
  <si>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</si>
  <si>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</si>
  <si>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</si>
  <si>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</si>
  <si>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</si>
  <si>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</si>
  <si>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</si>
  <si>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</si>
  <si>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</si>
  <si>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</si>
  <si>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</si>
  <si>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</si>
  <si>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</si>
  <si>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</si>
  <si>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</si>
  <si>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</si>
  <si>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</si>
  <si>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</si>
  <si>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</si>
  <si>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</si>
  <si>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</si>
  <si>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</si>
  <si>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</si>
  <si>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</si>
  <si>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</si>
  <si>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</si>
  <si>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</si>
  <si>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</si>
  <si>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</si>
  <si>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</si>
  <si>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</si>
  <si>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</si>
  <si>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</si>
  <si>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</si>
  <si>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</si>
  <si>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</si>
  <si>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</si>
  <si>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</si>
  <si>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</si>
  <si>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</si>
  <si>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</si>
  <si>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</si>
  <si>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</si>
  <si>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</si>
  <si>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</si>
  <si>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</si>
  <si>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</si>
  <si>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</si>
  <si>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</si>
  <si>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</si>
  <si>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</si>
  <si>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</si>
  <si>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</si>
  <si>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</si>
  <si>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</si>
  <si>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</si>
  <si>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</si>
  <si>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</si>
  <si>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</si>
  <si>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</si>
  <si>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</si>
  <si>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</si>
  <si>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</si>
  <si>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</si>
  <si>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</si>
  <si>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</si>
  <si>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</si>
  <si>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</si>
  <si>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</si>
  <si>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</si>
  <si>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</si>
  <si>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</si>
  <si>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</si>
  <si>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</si>
  <si>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</si>
  <si>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</si>
  <si>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</si>
  <si>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</si>
  <si>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</si>
  <si>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</si>
  <si>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</si>
  <si>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</si>
  <si>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</si>
  <si>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</si>
  <si>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</si>
  <si>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</si>
  <si>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</si>
  <si>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</si>
  <si>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</si>
  <si>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</si>
  <si>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</si>
  <si>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</si>
  <si>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</si>
  <si>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</si>
  <si>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</si>
  <si>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</si>
  <si>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</si>
  <si>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</si>
  <si>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</si>
  <si>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</si>
  <si>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</si>
  <si>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</si>
  <si>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</si>
  <si>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</si>
  <si>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</si>
  <si>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</si>
  <si>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</si>
  <si>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</si>
  <si>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</si>
  <si>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</si>
  <si>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</si>
  <si>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</si>
  <si>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</si>
  <si>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</si>
  <si>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</si>
  <si>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</si>
  <si>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</si>
  <si>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</si>
  <si>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</si>
  <si>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</si>
  <si>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</si>
  <si>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</si>
  <si>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</si>
  <si>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</si>
  <si>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</si>
  <si>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</si>
  <si>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</si>
  <si>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</si>
  <si>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</si>
  <si>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</si>
  <si>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</si>
  <si>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</si>
  <si>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</si>
  <si>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</si>
  <si>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</si>
  <si>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</si>
  <si>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</si>
  <si>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</si>
  <si>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</si>
  <si>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</si>
  <si>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</si>
  <si>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</si>
  <si>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</si>
  <si>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</si>
  <si>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</si>
  <si>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</si>
  <si>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</si>
  <si>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</si>
  <si>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</si>
  <si>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</si>
  <si>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</si>
  <si>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</si>
  <si>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</si>
  <si>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</si>
  <si>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</si>
  <si>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</si>
  <si>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</si>
  <si>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</si>
  <si>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</si>
  <si>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</si>
  <si>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</si>
  <si>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</si>
  <si>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</si>
  <si>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</si>
  <si>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</si>
  <si>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</si>
  <si>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</si>
  <si>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</si>
  <si>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</si>
  <si>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</si>
  <si>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</si>
  <si>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</si>
  <si>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</si>
  <si>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</si>
  <si>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</si>
  <si>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</si>
  <si>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</si>
  <si>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</si>
  <si>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</si>
  <si>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</si>
  <si>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</si>
  <si>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</si>
  <si>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</si>
  <si>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</si>
  <si>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</si>
  <si>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</si>
  <si>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</si>
  <si>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</si>
  <si>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</si>
  <si>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</si>
  <si>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</si>
  <si>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</si>
  <si>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</si>
  <si>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</si>
  <si>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</si>
  <si>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</si>
  <si>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</si>
  <si>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</si>
  <si>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</si>
  <si>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</si>
  <si>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</si>
  <si>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</si>
  <si>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</si>
  <si>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</si>
  <si>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</si>
  <si>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</si>
  <si>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</si>
  <si>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</si>
  <si>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</si>
  <si>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</si>
  <si>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</si>
  <si>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</si>
  <si>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</si>
  <si>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</si>
  <si>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</si>
  <si>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</si>
  <si>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</si>
  <si>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</si>
  <si>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</si>
  <si>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</si>
  <si>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</si>
  <si>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</si>
  <si>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</si>
  <si>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</si>
  <si>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</si>
  <si>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</si>
  <si>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</si>
  <si>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</si>
  <si>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</si>
  <si>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</si>
  <si>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</si>
  <si>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</si>
  <si>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</si>
  <si>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</si>
  <si>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</si>
  <si>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</si>
  <si>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</si>
  <si>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</si>
  <si>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</si>
  <si>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</si>
  <si>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</si>
  <si>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</si>
  <si>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</si>
  <si>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</si>
  <si>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</si>
  <si>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</si>
  <si>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</si>
  <si>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</si>
  <si>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</si>
  <si>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</si>
  <si>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</si>
  <si>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</si>
  <si>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</si>
  <si>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</si>
  <si>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</si>
  <si>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</si>
  <si>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</si>
  <si>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</si>
  <si>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</si>
  <si>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</si>
  <si>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</si>
  <si>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</si>
  <si>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</si>
  <si>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</si>
  <si>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</si>
  <si>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</si>
  <si>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</si>
  <si>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</si>
  <si>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</si>
  <si>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</si>
  <si>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</si>
  <si>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</si>
  <si>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</si>
  <si>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</si>
  <si>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</si>
  <si>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</si>
  <si>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</si>
  <si>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</si>
  <si>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</si>
  <si>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</si>
  <si>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</si>
  <si>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</si>
  <si>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</si>
  <si>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</si>
  <si>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</si>
  <si>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</si>
  <si>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</si>
  <si>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</si>
  <si>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</si>
  <si>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</si>
  <si>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</si>
  <si>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</si>
  <si>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</si>
  <si>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</si>
  <si>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</si>
  <si>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</si>
  <si>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</si>
  <si>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</si>
  <si>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</si>
  <si>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</si>
  <si>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</si>
  <si>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</si>
  <si>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</si>
  <si>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</si>
  <si>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</si>
  <si>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</si>
  <si>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</si>
  <si>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</si>
  <si>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</si>
  <si>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</si>
  <si>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</si>
  <si>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</si>
  <si>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</si>
  <si>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</si>
  <si>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</si>
  <si>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</si>
  <si>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</si>
  <si>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</si>
  <si>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</si>
  <si>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</si>
  <si>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</si>
  <si>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</si>
  <si>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</si>
  <si>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</si>
  <si>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</si>
  <si>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</si>
  <si>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</si>
  <si>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</si>
  <si>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</si>
  <si>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</si>
  <si>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</si>
  <si>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</si>
  <si>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</si>
  <si>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</si>
  <si>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</si>
  <si>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</si>
  <si>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</si>
  <si>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</si>
  <si>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</si>
  <si>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</si>
  <si>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</si>
  <si>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</si>
  <si>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</si>
  <si>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</si>
  <si>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</si>
  <si>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</si>
  <si>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</si>
  <si>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</si>
  <si>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</si>
  <si>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</si>
  <si>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</si>
  <si>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</si>
  <si>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</si>
  <si>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</si>
  <si>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</si>
  <si>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</si>
  <si>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</si>
  <si>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</si>
  <si>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</si>
  <si>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</si>
  <si>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</si>
  <si>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</si>
  <si>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</si>
  <si>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</si>
  <si>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</si>
  <si>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</si>
  <si>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</si>
  <si>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</si>
  <si>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</si>
  <si>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</si>
  <si>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</si>
  <si>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</si>
  <si>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</si>
  <si>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</si>
  <si>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</si>
  <si>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</si>
  <si>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</si>
  <si>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</si>
  <si>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</si>
  <si>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</si>
  <si>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</si>
  <si>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</si>
  <si>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</si>
  <si>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</si>
  <si>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</si>
  <si>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</si>
  <si>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</si>
  <si>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</si>
  <si>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</si>
  <si>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</si>
  <si>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</si>
  <si>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</si>
  <si>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</si>
  <si>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</si>
  <si>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</si>
  <si>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</si>
  <si>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</si>
  <si>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</si>
  <si>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</si>
  <si>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</si>
  <si>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</si>
  <si>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</si>
  <si>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</si>
  <si>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</si>
  <si>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</si>
  <si>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</si>
  <si>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</si>
  <si>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</si>
  <si>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</si>
  <si>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</si>
  <si>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</si>
  <si>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</si>
  <si>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</si>
  <si>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</si>
  <si>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</si>
  <si>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</si>
  <si>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</si>
  <si>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</si>
  <si>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</si>
  <si>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</si>
  <si>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</si>
  <si>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</si>
  <si>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</si>
  <si>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</si>
  <si>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</si>
  <si>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</si>
  <si>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</si>
  <si>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</si>
  <si>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</si>
  <si>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</si>
  <si>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</si>
  <si>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</si>
  <si>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</si>
  <si>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</si>
  <si>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</si>
  <si>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</si>
  <si>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</si>
  <si>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</si>
  <si>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</si>
  <si>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</si>
  <si>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</si>
  <si>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</si>
  <si>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</si>
  <si>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</si>
  <si>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</si>
  <si>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</si>
  <si>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</si>
  <si>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</si>
  <si>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</si>
  <si>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</si>
  <si>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</si>
  <si>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</si>
  <si>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</si>
  <si>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</si>
  <si>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</si>
  <si>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</si>
  <si>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</si>
  <si>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</si>
  <si>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</si>
  <si>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</si>
  <si>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</si>
  <si>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</si>
  <si>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</si>
  <si>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</si>
  <si>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</si>
  <si>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</si>
  <si>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</si>
  <si>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</si>
  <si>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</si>
  <si>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</si>
  <si>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</si>
  <si>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</si>
  <si>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</si>
  <si>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</si>
  <si>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</si>
  <si>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</si>
  <si>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</si>
  <si>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</si>
  <si>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</si>
  <si>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</si>
  <si>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</si>
  <si>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</si>
  <si>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</si>
  <si>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</si>
  <si>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</si>
  <si>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</si>
  <si>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</si>
  <si>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</si>
  <si>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</si>
  <si>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</si>
  <si>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</si>
  <si>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</si>
  <si>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</si>
  <si>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</si>
  <si>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</si>
  <si>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</si>
  <si>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</si>
  <si>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</si>
  <si>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</si>
  <si>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</si>
  <si>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</si>
  <si>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</si>
  <si>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</si>
  <si>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</si>
  <si>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</si>
  <si>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</si>
  <si>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</si>
  <si>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</si>
  <si>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</si>
  <si>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</si>
  <si>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</si>
  <si>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</si>
  <si>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</si>
  <si>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</si>
  <si>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</si>
  <si>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</si>
  <si>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</si>
  <si>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</si>
  <si>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</si>
  <si>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</si>
  <si>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</si>
  <si>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</si>
  <si>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</si>
  <si>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</si>
  <si>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</si>
  <si>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</si>
  <si>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</si>
  <si>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</si>
  <si>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</si>
  <si>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</si>
  <si>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</si>
  <si>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</si>
  <si>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</si>
  <si>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</si>
  <si>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</si>
  <si>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</si>
  <si>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</si>
  <si>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</si>
  <si>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</si>
  <si>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</si>
  <si>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</si>
  <si>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</si>
  <si>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</si>
  <si>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</si>
  <si>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</si>
  <si>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</si>
  <si>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</si>
  <si>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</si>
  <si>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</si>
  <si>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</si>
  <si>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</si>
  <si>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</si>
  <si>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</si>
  <si>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</si>
  <si>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</si>
  <si>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</si>
  <si>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</si>
  <si>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</si>
  <si>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</si>
  <si>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</si>
  <si>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</si>
  <si>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</si>
  <si>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</si>
  <si>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</si>
  <si>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</si>
  <si>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</si>
  <si>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</si>
  <si>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</si>
  <si>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</si>
  <si>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</si>
  <si>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</si>
  <si>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</si>
  <si>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</si>
  <si>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</si>
  <si>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</si>
  <si>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</si>
  <si>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</si>
  <si>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</si>
  <si>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</si>
  <si>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</si>
  <si>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</si>
  <si>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</si>
  <si>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</si>
  <si>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</si>
  <si>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</si>
  <si>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</si>
  <si>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</si>
  <si>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</si>
  <si>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</si>
  <si>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</si>
  <si>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</si>
  <si>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</si>
  <si>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</si>
  <si>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</si>
  <si>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</si>
  <si>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</si>
  <si>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</si>
  <si>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</si>
  <si>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</si>
  <si>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</si>
  <si>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</si>
  <si>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</si>
  <si>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</si>
  <si>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</si>
  <si>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</si>
  <si>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</si>
  <si>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</si>
  <si>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</si>
  <si>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</si>
  <si>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</si>
  <si>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</si>
  <si>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</si>
  <si>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</si>
  <si>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</si>
  <si>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</si>
  <si>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</si>
  <si>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</si>
  <si>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</si>
  <si>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</si>
  <si>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</si>
  <si>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</si>
  <si>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</si>
  <si>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</si>
  <si>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</si>
  <si>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</si>
  <si>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</si>
  <si>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</si>
  <si>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</si>
  <si>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</si>
  <si>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</si>
  <si>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</si>
  <si>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</si>
  <si>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</si>
  <si>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</si>
  <si>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</si>
  <si>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</si>
  <si>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</si>
  <si>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</si>
  <si>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</si>
  <si>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</si>
  <si>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</si>
  <si>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</si>
  <si>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</si>
  <si>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</si>
  <si>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</si>
  <si>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</si>
  <si>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</si>
  <si>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</si>
  <si>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</si>
  <si>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</si>
  <si>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</si>
  <si>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</si>
  <si>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</si>
  <si>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</si>
  <si>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</si>
  <si>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</si>
  <si>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</si>
  <si>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</si>
  <si>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</si>
  <si>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</si>
  <si>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</si>
  <si>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</si>
  <si>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</si>
  <si>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</si>
  <si>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</si>
  <si>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</si>
  <si>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</si>
  <si>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</si>
  <si>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</si>
  <si>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</si>
  <si>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</si>
  <si>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</si>
  <si>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</si>
  <si>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</si>
  <si>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</si>
  <si>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</si>
  <si>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</si>
  <si>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</si>
  <si>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</si>
  <si>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</si>
  <si>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</si>
  <si>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</si>
  <si>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</si>
  <si>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</si>
  <si>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</si>
  <si>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</si>
  <si>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</si>
  <si>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</si>
  <si>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</si>
  <si>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</si>
  <si>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</si>
  <si>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</si>
  <si>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</si>
  <si>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</si>
  <si>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</si>
  <si>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</si>
  <si>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</si>
  <si>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</si>
  <si>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</si>
  <si>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</si>
  <si>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</si>
  <si>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</si>
  <si>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</si>
  <si>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</si>
  <si>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</si>
  <si>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</si>
  <si>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</si>
  <si>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</si>
  <si>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</si>
  <si>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</si>
  <si>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</si>
  <si>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</si>
  <si>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</si>
  <si>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</si>
  <si>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</si>
  <si>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</si>
  <si>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</si>
  <si>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</si>
  <si>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</si>
  <si>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</si>
  <si>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</si>
  <si>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</si>
  <si>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</si>
  <si>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</si>
  <si>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</si>
  <si>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</si>
  <si>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</si>
  <si>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</si>
  <si>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</si>
  <si>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</si>
  <si>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</si>
  <si>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</si>
  <si>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</si>
  <si>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</si>
  <si>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</si>
  <si>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</si>
  <si>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</si>
  <si>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</si>
  <si>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</si>
  <si>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</si>
  <si>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</si>
  <si>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</si>
  <si>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</si>
  <si>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</si>
  <si>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</si>
  <si>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</si>
  <si>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</si>
  <si>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</si>
  <si>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</si>
  <si>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</si>
  <si>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</si>
  <si>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</si>
  <si>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</si>
  <si>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</si>
  <si>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</si>
  <si>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</si>
  <si>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</si>
  <si>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</si>
  <si>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</si>
  <si>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</si>
  <si>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</si>
  <si>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</si>
  <si>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</si>
  <si>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</si>
  <si>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</si>
  <si>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</si>
  <si>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</si>
  <si>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</si>
  <si>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</si>
  <si>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</si>
  <si>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</si>
  <si>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</si>
  <si>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</si>
  <si>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</si>
  <si>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</si>
  <si>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</si>
  <si>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</si>
  <si>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</si>
  <si>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</si>
  <si>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</si>
  <si>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</si>
  <si>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</si>
  <si>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</si>
  <si>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</si>
  <si>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</si>
  <si>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</si>
  <si>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</si>
  <si>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</si>
  <si>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</si>
  <si>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</si>
  <si>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</si>
  <si>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</si>
  <si>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</si>
  <si>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</si>
  <si>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</si>
  <si>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</si>
  <si>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</si>
  <si>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</si>
  <si>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</si>
  <si>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</si>
  <si>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</si>
  <si>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</si>
  <si>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</si>
  <si>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</si>
  <si>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</si>
  <si>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</si>
  <si>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</si>
  <si>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</si>
  <si>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</si>
  <si>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</si>
  <si>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</si>
  <si>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</si>
  <si>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</si>
  <si>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</si>
  <si>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</si>
  <si>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</si>
  <si>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</si>
  <si>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</si>
  <si>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</si>
  <si>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</si>
  <si>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</si>
  <si>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</si>
  <si>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</si>
  <si>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</si>
  <si>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</si>
  <si>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</si>
  <si>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</si>
  <si>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</si>
  <si>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</si>
  <si>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</si>
  <si>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</si>
  <si>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</si>
  <si>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</si>
  <si>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</si>
  <si>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</si>
  <si>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</si>
  <si>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</si>
  <si>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</si>
  <si>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</si>
  <si>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</si>
  <si>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</si>
  <si>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</si>
  <si>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</si>
  <si>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</si>
  <si>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</si>
  <si>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</si>
  <si>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</si>
  <si>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</si>
  <si>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</si>
  <si>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</si>
  <si>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</si>
  <si>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</si>
  <si>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</si>
  <si>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</si>
  <si>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</si>
  <si>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</si>
  <si>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</si>
  <si>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</si>
  <si>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</si>
  <si>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</si>
  <si>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</si>
  <si>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</si>
  <si>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</si>
  <si>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</si>
  <si>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</si>
  <si>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</si>
  <si>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</si>
  <si>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</si>
  <si>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</si>
  <si>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</si>
  <si>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</si>
  <si>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</si>
  <si>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</si>
  <si>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</si>
  <si>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</si>
  <si>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</si>
  <si>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</si>
  <si>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</si>
  <si>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</si>
  <si>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</si>
  <si>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</si>
  <si>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</si>
  <si>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</si>
  <si>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</si>
  <si>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</si>
  <si>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</si>
  <si>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</si>
  <si>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</si>
  <si>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</si>
  <si>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</si>
  <si>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</si>
  <si>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</si>
  <si>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</si>
  <si>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</si>
  <si>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</si>
  <si>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</si>
  <si>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</si>
  <si>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</si>
  <si>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</si>
  <si>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</si>
  <si>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</si>
  <si>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</si>
  <si>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</si>
  <si>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</si>
  <si>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</si>
  <si>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</si>
  <si>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</si>
  <si>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</si>
  <si>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</si>
  <si>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</si>
  <si>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</si>
  <si>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</si>
  <si>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</si>
  <si>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</si>
  <si>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</si>
  <si>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</si>
  <si>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</si>
  <si>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</si>
  <si>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</si>
  <si>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</si>
  <si>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</si>
  <si>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</si>
  <si>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</si>
  <si>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</si>
  <si>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</si>
  <si>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</si>
  <si>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</si>
  <si>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</si>
  <si>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</si>
  <si>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</si>
  <si>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</si>
  <si>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</si>
  <si>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</si>
  <si>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</si>
  <si>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</si>
  <si>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</si>
  <si>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</si>
  <si>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</si>
  <si>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</si>
  <si>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</si>
  <si>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</si>
  <si>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</si>
  <si>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</si>
  <si>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</si>
  <si>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</si>
  <si>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</si>
  <si>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</si>
  <si>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</si>
  <si>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</si>
  <si>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</si>
  <si>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</si>
  <si>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</si>
  <si>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</si>
  <si>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</si>
  <si>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</si>
  <si>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</si>
  <si>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</si>
  <si>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</si>
  <si>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</si>
  <si>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</si>
  <si>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</si>
  <si>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</si>
  <si>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</si>
  <si>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</si>
  <si>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</si>
  <si>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</si>
  <si>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</si>
  <si>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</si>
  <si>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</si>
  <si>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</si>
  <si>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</si>
  <si>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</si>
  <si>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</si>
  <si>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</si>
  <si>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</si>
  <si>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</si>
  <si>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</si>
  <si>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</si>
  <si>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</si>
  <si>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</si>
  <si>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</si>
  <si>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</si>
  <si>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</si>
  <si>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</si>
  <si>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</si>
  <si>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</si>
  <si>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</si>
  <si>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</si>
  <si>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</si>
  <si>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</si>
  <si>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</si>
  <si>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</si>
  <si>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</si>
  <si>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</si>
  <si>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</si>
  <si>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</si>
  <si>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</si>
  <si>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</si>
  <si>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</si>
  <si>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</si>
  <si>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</si>
  <si>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</si>
  <si>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</si>
  <si>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</si>
  <si>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</si>
  <si>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</si>
  <si>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</si>
  <si>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</si>
  <si>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</si>
  <si>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</si>
  <si>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</si>
  <si>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</si>
  <si>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</si>
  <si>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</si>
  <si>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</si>
  <si>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</si>
  <si>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</si>
  <si>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</si>
  <si>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</si>
  <si>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</si>
  <si>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</si>
  <si>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</si>
  <si>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</si>
  <si>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</si>
  <si>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</si>
  <si>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</si>
  <si>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</si>
  <si>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</si>
  <si>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</si>
  <si>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</si>
  <si>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</si>
  <si>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</si>
  <si>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</si>
  <si>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</si>
  <si>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</si>
  <si>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</si>
  <si>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</si>
  <si>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</si>
  <si>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</si>
  <si>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</si>
  <si>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</si>
  <si>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</si>
  <si>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</si>
  <si>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</si>
  <si>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</si>
  <si>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</si>
  <si>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</si>
  <si>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</si>
  <si>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</si>
  <si>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</si>
  <si>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</si>
  <si>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</si>
  <si>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</si>
  <si>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</si>
  <si>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</si>
  <si>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</si>
  <si>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</si>
  <si>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</si>
  <si>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</si>
  <si>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</si>
  <si>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</si>
  <si>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</si>
  <si>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</si>
  <si>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</si>
  <si>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</si>
  <si>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</si>
  <si>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</si>
  <si>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</si>
  <si>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</si>
  <si>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</si>
  <si>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</si>
  <si>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</si>
  <si>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</si>
  <si>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</si>
  <si>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</si>
  <si>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</si>
  <si>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</si>
  <si>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</si>
  <si>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</si>
  <si>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</si>
  <si>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</si>
  <si>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</si>
  <si>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</si>
  <si>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</si>
  <si>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</si>
  <si>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</si>
  <si>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</si>
  <si>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</si>
  <si>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</si>
  <si>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</si>
  <si>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</si>
  <si>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</si>
  <si>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</si>
  <si>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</si>
  <si>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</si>
  <si>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</si>
  <si>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</si>
  <si>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</si>
  <si>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</si>
  <si>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</si>
  <si>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</si>
  <si>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</si>
  <si>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</si>
  <si>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</si>
  <si>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</si>
  <si>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</si>
  <si>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</si>
  <si>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</si>
  <si>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</si>
  <si>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</si>
  <si>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</si>
  <si>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</si>
  <si>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</si>
  <si>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</si>
  <si>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</si>
  <si>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</si>
  <si>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</si>
  <si>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</si>
  <si>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</si>
  <si>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</si>
  <si>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</si>
  <si>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</si>
  <si>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</si>
  <si>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</si>
  <si>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</si>
  <si>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</si>
  <si>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</si>
  <si>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</si>
  <si>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</si>
  <si>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</si>
  <si>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</si>
  <si>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</si>
  <si>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</si>
  <si>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</si>
  <si>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</si>
  <si>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</si>
  <si>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</si>
  <si>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</si>
  <si>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</si>
  <si>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</si>
  <si>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</si>
  <si>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</si>
  <si>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</si>
  <si>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</si>
  <si>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</si>
  <si>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</si>
  <si>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</si>
  <si>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</si>
  <si>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</si>
  <si>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</si>
  <si>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</si>
  <si>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</si>
  <si>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</si>
  <si>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</si>
  <si>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</si>
  <si>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</si>
  <si>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</si>
  <si>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</si>
  <si>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</si>
  <si>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</si>
  <si>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</si>
  <si>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</si>
  <si>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</si>
  <si>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</si>
  <si>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</si>
  <si>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</si>
  <si>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</si>
  <si>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</si>
  <si>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</si>
  <si>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</si>
  <si>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</si>
  <si>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</si>
  <si>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</si>
  <si>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</si>
  <si>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</si>
  <si>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</si>
  <si>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</si>
  <si>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</si>
  <si>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</si>
  <si>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</si>
  <si>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</si>
  <si>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</si>
  <si>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</si>
  <si>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</si>
  <si>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</si>
  <si>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</si>
  <si>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</si>
  <si>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</si>
  <si>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</si>
  <si>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</si>
  <si>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</si>
  <si>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</si>
  <si>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</si>
  <si>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</si>
  <si>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</si>
  <si>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</si>
  <si>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</si>
  <si>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</si>
  <si>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</si>
  <si>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</si>
  <si>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</si>
  <si>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</si>
  <si>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</si>
  <si>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</si>
  <si>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</si>
  <si>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</si>
  <si>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</si>
  <si>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</si>
  <si>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</si>
  <si>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</si>
  <si>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</si>
  <si>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</si>
  <si>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</si>
  <si>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</si>
  <si>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</si>
  <si>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</si>
  <si>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</si>
  <si>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</si>
  <si>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</si>
  <si>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</si>
  <si>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</si>
  <si>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</si>
  <si>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</si>
  <si>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</si>
  <si>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</si>
  <si>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</si>
  <si>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</si>
  <si>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</si>
  <si>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</si>
  <si>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</si>
  <si>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</si>
  <si>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</si>
  <si>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</si>
  <si>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</si>
  <si>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</si>
  <si>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</si>
  <si>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</si>
  <si>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</si>
  <si>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</si>
  <si>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</si>
  <si>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</si>
  <si>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</si>
  <si>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</si>
  <si>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</si>
  <si>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</si>
  <si>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</si>
  <si>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</si>
  <si>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</si>
  <si>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</si>
  <si>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</si>
  <si>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</si>
  <si>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</si>
  <si>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</si>
  <si>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</si>
  <si>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</si>
  <si>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</si>
  <si>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</si>
  <si>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</si>
  <si>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</si>
  <si>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</si>
  <si>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</si>
  <si>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</si>
  <si>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</si>
  <si>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</si>
  <si>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</si>
  <si>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</si>
  <si>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</si>
  <si>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</si>
  <si>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</si>
  <si>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</si>
  <si>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</si>
  <si>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</si>
  <si>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</si>
  <si>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</si>
  <si>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</si>
  <si>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</si>
  <si>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</si>
  <si>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</si>
  <si>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</si>
  <si>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</si>
  <si>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</si>
  <si>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</si>
  <si>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</si>
  <si>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</si>
  <si>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</si>
  <si>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</si>
  <si>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</si>
  <si>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</si>
  <si>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</si>
  <si>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</si>
  <si>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</si>
  <si>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</si>
  <si>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</si>
  <si>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</si>
  <si>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</si>
  <si>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</si>
  <si>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</si>
  <si>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</si>
  <si>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</si>
  <si>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</si>
  <si>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</si>
  <si>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</si>
  <si>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</si>
  <si>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</si>
  <si>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</si>
  <si>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</si>
  <si>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</si>
  <si>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</si>
  <si>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</si>
  <si>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</si>
  <si>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</si>
  <si>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</si>
  <si>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</si>
  <si>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</si>
  <si>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</si>
  <si>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</si>
  <si>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</si>
  <si>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</si>
  <si>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</si>
  <si>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</si>
  <si>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</si>
  <si>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</si>
  <si>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</si>
  <si>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</si>
  <si>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</si>
  <si>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</si>
  <si>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</si>
  <si>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</si>
  <si>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</si>
  <si>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</si>
  <si>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</si>
  <si>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</si>
  <si>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</si>
  <si>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</si>
  <si>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</si>
  <si>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</si>
  <si>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</si>
  <si>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</si>
  <si>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</si>
  <si>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</si>
  <si>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</si>
  <si>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</si>
  <si>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</si>
  <si>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</si>
  <si>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</si>
  <si>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</si>
  <si>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</si>
  <si>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</si>
  <si>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</si>
  <si>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</si>
  <si>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</si>
  <si>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</si>
  <si>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</si>
  <si>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</si>
  <si>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</si>
  <si>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</si>
  <si>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</si>
  <si>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</si>
  <si>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</si>
  <si>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</si>
  <si>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</si>
  <si>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</si>
  <si>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</si>
  <si>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</si>
  <si>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</si>
  <si>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</si>
  <si>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</si>
  <si>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</si>
  <si>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</si>
  <si>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</si>
  <si>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</si>
  <si>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</si>
  <si>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</si>
  <si>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</si>
  <si>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</si>
  <si>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</si>
  <si>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</si>
  <si>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</si>
  <si>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</si>
  <si>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</si>
  <si>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</si>
  <si>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</si>
  <si>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</si>
  <si>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</si>
  <si>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</si>
  <si>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</si>
  <si>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</si>
  <si>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</si>
  <si>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</si>
  <si>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</si>
  <si>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</si>
  <si>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</si>
  <si>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</si>
  <si>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</si>
  <si>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</si>
  <si>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</si>
  <si>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</si>
  <si>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</si>
  <si>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</si>
  <si>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</si>
  <si>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</si>
  <si>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</si>
  <si>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</si>
  <si>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</si>
  <si>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</si>
  <si>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</si>
  <si>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</si>
  <si>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</si>
  <si>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</si>
  <si>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</si>
  <si>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</si>
  <si>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</si>
  <si>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</si>
  <si>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</si>
  <si>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</si>
  <si>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</si>
  <si>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</si>
  <si>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</si>
  <si>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</si>
  <si>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</si>
  <si>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</si>
  <si>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</si>
  <si>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</si>
  <si>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</si>
  <si>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</si>
  <si>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</si>
  <si>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</si>
  <si>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</si>
  <si>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</si>
  <si>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</si>
  <si>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</si>
  <si>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</si>
  <si>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</si>
  <si>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</si>
  <si>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</si>
  <si>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</si>
  <si>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</si>
  <si>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</si>
  <si>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</si>
  <si>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</si>
  <si>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</si>
  <si>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</si>
  <si>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</si>
  <si>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</si>
  <si>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</si>
  <si>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</si>
  <si>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</si>
  <si>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</si>
  <si>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</si>
  <si>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</si>
  <si>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</si>
  <si>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</si>
  <si>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</si>
  <si>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</si>
  <si>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</si>
  <si>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</si>
  <si>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</si>
  <si>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</si>
  <si>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</si>
  <si>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</si>
  <si>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</si>
  <si>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</si>
  <si>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</si>
  <si>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Victim Compensation Board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</si>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</sst>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7" sqref="K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1137</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214</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326522</v>
      </c>
      <c r="K15" s="42"/>
      <c r="M15" s="105">
        <v>326521.7</v>
      </c>
      <c r="P15" s="105">
        <v>312415</v>
      </c>
      <c r="S15" s="43">
        <f>M15-P15</f>
        <v>14106.700000000012</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120935</v>
      </c>
      <c r="N18" s="105">
        <v>120935</v>
      </c>
      <c r="Q18" s="105">
        <v>120935</v>
      </c>
      <c r="S18" s="43">
        <f>N18-Q18</f>
        <v>0</v>
      </c>
      <c r="T18" s="47" t="s">
        <v>1635</v>
      </c>
    </row>
    <row r="19" spans="1:25" ht="16.5" customHeight="1" x14ac:dyDescent="0.25">
      <c r="A19" s="45"/>
      <c r="B19" s="49"/>
      <c r="C19" s="178" t="s">
        <v>1618</v>
      </c>
      <c r="D19" s="178"/>
      <c r="E19" s="178"/>
      <c r="F19" s="178"/>
      <c r="G19" s="178"/>
      <c r="H19" s="178"/>
      <c r="I19" s="178"/>
      <c r="J19" s="42"/>
      <c r="K19" s="41">
        <f>ROUND(N19,0)</f>
        <v>129930</v>
      </c>
      <c r="N19" s="105">
        <v>129930</v>
      </c>
      <c r="Q19" s="105">
        <v>129930</v>
      </c>
      <c r="S19" s="43">
        <f>N19-Q19</f>
        <v>0</v>
      </c>
      <c r="T19" s="47" t="s">
        <v>1635</v>
      </c>
      <c r="X19" s="18"/>
    </row>
    <row r="20" spans="1:25" ht="16.5" customHeight="1" x14ac:dyDescent="0.25">
      <c r="A20" s="45"/>
      <c r="B20" s="49"/>
      <c r="C20" s="178" t="s">
        <v>1584</v>
      </c>
      <c r="D20" s="178"/>
      <c r="E20" s="178"/>
      <c r="F20" s="178"/>
      <c r="G20" s="178"/>
      <c r="H20" s="178"/>
      <c r="I20" s="178"/>
      <c r="K20" s="41">
        <f>ROUND(Q20,0)</f>
        <v>61550</v>
      </c>
      <c r="N20" s="105">
        <v>61550</v>
      </c>
      <c r="Q20" s="46">
        <f>IF(SUM($Q$18:$Q$19)&lt;$P$15,-SUM($Q$18:$Q$19)+$P$15,0)</f>
        <v>61550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14107</v>
      </c>
      <c r="N21" s="105"/>
      <c r="S21" s="43">
        <f>N21-Q21</f>
        <v>0</v>
      </c>
      <c r="T21" s="47" t="s">
        <v>1635</v>
      </c>
      <c r="Y21" s="19"/>
    </row>
    <row r="22" spans="1:25" ht="16.5" customHeight="1" x14ac:dyDescent="0.2">
      <c r="A22" s="45"/>
      <c r="B22" s="50"/>
      <c r="C22" s="50"/>
      <c r="D22" s="50"/>
      <c r="E22" s="50"/>
      <c r="F22" s="50"/>
      <c r="G22" s="50"/>
      <c r="H22" s="50"/>
      <c r="I22" s="50"/>
      <c r="J22" s="51">
        <f>ROUND(SUM(J15:J17),0)</f>
        <v>326522</v>
      </c>
      <c r="K22" s="51">
        <f>ROUND(SUM(K18:K21),0)</f>
        <v>326522</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120935</v>
      </c>
      <c r="K45" s="78"/>
    </row>
    <row r="46" spans="1:20" ht="16.5" customHeight="1" x14ac:dyDescent="0.2">
      <c r="A46" s="45"/>
      <c r="B46" s="69"/>
      <c r="C46" s="178" t="s">
        <v>1581</v>
      </c>
      <c r="D46" s="178"/>
      <c r="E46" s="178"/>
      <c r="F46" s="178"/>
      <c r="G46" s="178"/>
      <c r="H46" s="178"/>
      <c r="I46" s="178"/>
      <c r="J46" s="68"/>
      <c r="K46" s="105">
        <f>J45</f>
        <v>120935</v>
      </c>
    </row>
    <row r="47" spans="1:20" ht="16.5" customHeight="1" x14ac:dyDescent="0.2">
      <c r="A47" s="65"/>
      <c r="B47" s="50"/>
      <c r="C47" s="50"/>
      <c r="D47" s="50"/>
      <c r="E47" s="50"/>
      <c r="F47" s="50"/>
      <c r="G47" s="50"/>
      <c r="H47" s="50"/>
      <c r="I47" s="50"/>
      <c r="J47" s="79">
        <f>ROUND(SUM(J45:J45),2)</f>
        <v>120935</v>
      </c>
      <c r="K47" s="79">
        <f>ROUND(SUM(K46),2)</f>
        <v>120935</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129930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2358</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132288</v>
      </c>
    </row>
    <row r="53" spans="1:20" ht="16.5" customHeight="1" x14ac:dyDescent="0.2">
      <c r="A53" s="65"/>
      <c r="B53" s="50"/>
      <c r="C53" s="50"/>
      <c r="D53" s="50"/>
      <c r="E53" s="50"/>
      <c r="F53" s="50"/>
      <c r="G53" s="50"/>
      <c r="H53" s="50"/>
      <c r="I53" s="50"/>
      <c r="J53" s="79">
        <f>ROUND(SUM(J50:J51),2)</f>
        <v>132288</v>
      </c>
      <c r="K53" s="79">
        <f>ROUND(SUM(K52,),2)</f>
        <v>132288</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129930</v>
      </c>
      <c r="K56" s="68"/>
    </row>
    <row r="57" spans="1:20" ht="16.5" customHeight="1" x14ac:dyDescent="0.25">
      <c r="A57" s="45"/>
      <c r="B57" s="49"/>
      <c r="C57" s="178" t="s">
        <v>1607</v>
      </c>
      <c r="D57" s="178"/>
      <c r="E57" s="178"/>
      <c r="F57" s="178"/>
      <c r="G57" s="178"/>
      <c r="H57" s="178"/>
      <c r="I57" s="178"/>
      <c r="J57" s="68"/>
      <c r="K57" s="105">
        <f>J50</f>
        <v>129930</v>
      </c>
      <c r="L57" s="27" t="str">
        <f>IF($J$50=$K$57,"","&lt;- Accts 0848 must agree")</f>
        <v/>
      </c>
    </row>
    <row r="58" spans="1:20" ht="16.5" customHeight="1" x14ac:dyDescent="0.2">
      <c r="A58" s="65"/>
      <c r="B58" s="50"/>
      <c r="C58" s="50"/>
      <c r="D58" s="50"/>
      <c r="E58" s="50"/>
      <c r="F58" s="50"/>
      <c r="G58" s="50"/>
      <c r="H58" s="50"/>
      <c r="I58" s="50"/>
      <c r="J58" s="79">
        <f>ROUND(SUM(J56:J56),2)</f>
        <v>129930</v>
      </c>
      <c r="K58" s="79">
        <f>ROUND(SUM(K57),2)</f>
        <v>129930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326522</v>
      </c>
      <c r="N94" s="104"/>
    </row>
    <row r="95" spans="1:20" ht="16.5" customHeight="1" x14ac:dyDescent="0.25">
      <c r="D95" s="49" t="s">
        <v>1631</v>
      </c>
      <c r="E95" s="100"/>
      <c r="F95" s="100"/>
      <c r="G95" s="100"/>
      <c r="H95" s="27"/>
      <c r="I95" s="100"/>
      <c r="J95" s="100"/>
      <c r="K95" s="103">
        <f>-K18-K46+J68+J77</f>
        <v>-241870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GVJbkZ1+oYERX/2mGkEopmZ046qwCvAcDTGQDJBB5EWhLyhEuGLSbNsiOFRvqaRhooFcXTsMjM6O6o7HXvUvQg==" saltValue="SMapfKIt945QWbGXRUex2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70" zoomScaleNormal="70" workbookViewId="0">
      <selection activeCell="D35" sqref="D3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7870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0</v>
      </c>
      <c r="C16" s="2">
        <v>0</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t="s">
        <v>1656</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1656</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t="s">
        <v>1656</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7870</v>
      </c>
      <c r="C43" s="203"/>
    </row>
    <row r="44" spans="1:11" ht="15.75" x14ac:dyDescent="0.25">
      <c r="A44" s="113" t="s">
        <v>1594</v>
      </c>
      <c r="B44" s="204" t="str">
        <f>B13</f>
        <v>California Victim Compensation Board</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7870</v>
      </c>
      <c r="C74" s="203"/>
    </row>
    <row r="75" spans="1:4" ht="15.75" x14ac:dyDescent="0.25">
      <c r="A75" s="113" t="s">
        <v>1594</v>
      </c>
      <c r="B75" s="204" t="str">
        <f>B13</f>
        <v>California Victim Compensation Board</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K11" sqref="K11"/>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0214 Journal Entries'!$F$5&amp;" "&amp;'Fund 0214 Journal Entries'!$F$4</f>
        <v>Business Unit 7870 California Victim Compensation Board</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0214 Journal Entries'!$F$3,4)</f>
        <v>Balance
July 1, 2023</v>
      </c>
      <c r="G7" s="131"/>
      <c r="H7" s="132" t="s">
        <v>9</v>
      </c>
      <c r="I7" s="131"/>
      <c r="J7" s="132" t="s">
        <v>10</v>
      </c>
      <c r="K7" s="131"/>
      <c r="L7" s="130" t="str">
        <f>"Balance
June 30, "&amp;RIGHT('Fund 0214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0214 Journal Entries'!$F$7="Governmental Fund",'Fund 0214 Journal Entries'!$K$19,0)</f>
        <v>129930</v>
      </c>
      <c r="H10" s="3">
        <f>IF('Fund 0214 Journal Entries'!$F$7="Governmental Fund",SUM('Fund 0214 Journal Entries'!$K$37,'Fund 0214 Journal Entries'!$K$85),0)</f>
        <v>0</v>
      </c>
      <c r="J10" s="3">
        <f>IF('Fund 0214 Journal Entries'!$F$7="Governmental Fund",SUM('Fund 0214 Journal Entries'!$J$56,'Fund 0214 Journal Entries'!$J$76),0)</f>
        <v>129930</v>
      </c>
      <c r="L10" s="134">
        <f>SUM(F10+H10-J10)</f>
        <v>0</v>
      </c>
      <c r="N10" s="3">
        <f>IF('Fund 0214 Journal Entries'!$F$7="Governmental Fund",'Fund 0214 Journal Entries'!$J$61,0)</f>
        <v>0</v>
      </c>
      <c r="P10" s="134">
        <f>L10-N10</f>
        <v>0</v>
      </c>
      <c r="Q10" s="129"/>
    </row>
    <row r="11" spans="2:17" ht="19.5" thickTop="1" thickBot="1" x14ac:dyDescent="0.3">
      <c r="B11" s="128"/>
      <c r="C11" s="208" t="s">
        <v>14</v>
      </c>
      <c r="D11" s="208"/>
      <c r="F11" s="135">
        <f>SUM(F10:F10)</f>
        <v>129930</v>
      </c>
      <c r="H11" s="135">
        <f>SUM(H10:H10)</f>
        <v>0</v>
      </c>
      <c r="J11" s="135">
        <f>SUM(J10:J10)</f>
        <v>129930</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0214 Journal Entries'!$F$7="Proprietary - Internal Service Fund",'Fund 0214 Journal Entries'!$K$19,0)</f>
        <v>0</v>
      </c>
      <c r="H14" s="3">
        <f>IF('Fund 0214 Journal Entries'!$F$7="Proprietary - Internal Service Fund",SUM('Fund 0214 Journal Entries'!$K$37,'Fund 0214 Journal Entries'!$K$85),0)</f>
        <v>0</v>
      </c>
      <c r="J14" s="3">
        <f>IF('Fund 0214 Journal Entries'!$F$7="Proprietary - Internal Service Fund",SUM('Fund 0214 Journal Entries'!$J$56,'Fund 0214 Journal Entries'!$J$76),0)</f>
        <v>0</v>
      </c>
      <c r="L14" s="134">
        <f>SUM(F14+H14-J14)</f>
        <v>0</v>
      </c>
      <c r="N14" s="3">
        <f>IF('Fund 0214 Journal Entries'!$F$7="Proprietary - Internal Service Fund",'Fund 0214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0214 Journal Entries'!$F$7="Proprietary - Enterprise Fund",'Fund 0214 Journal Entries'!$K$19,0)</f>
        <v>0</v>
      </c>
      <c r="H18" s="3">
        <f>IF('Fund 0214 Journal Entries'!$F$7="Proprietary - Enterprise Fund",SUM('Fund 0214 Journal Entries'!$K$37,'Fund 0214 Journal Entries'!$K$85),0)</f>
        <v>0</v>
      </c>
      <c r="J18" s="3">
        <f>IF('Fund 0214 Journal Entries'!$F$7="Proprietary - Enterprise Fund",SUM('Fund 0214 Journal Entries'!$J$56,'Fund 0214 Journal Entries'!$J$76),0)</f>
        <v>0</v>
      </c>
      <c r="L18" s="134">
        <f>SUM(F18+H18-J18)</f>
        <v>0</v>
      </c>
      <c r="N18" s="3">
        <f>IF('Fund 0214 Journal Entries'!$F$7="Proprietary - Enterprise Fund",'Fund 0214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85" zoomScaleNormal="85" workbookViewId="0">
      <selection activeCell="A3" sqref="A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0214 Journal Entries'!$F$7="Governmental Fund",ROUND('Fund 0214 Journal Entries'!$K$19,0),0)</f>
        <v>129930</v>
      </c>
      <c r="C17" s="21" t="s">
        <v>1551</v>
      </c>
      <c r="D17" s="10">
        <f>IF('Fund 0214 Journal Entries'!$F$7="Governmental Fund",ROUND('Fund 0214 Journal Entries'!$K$37,0),0)</f>
        <v>0</v>
      </c>
      <c r="E17" s="22" t="s">
        <v>1553</v>
      </c>
      <c r="F17" s="10">
        <f>IF('Fund 0214 Journal Entries'!$F$7="Governmental Fund",ROUND('Fund 0214 Journal Entries'!$J$56,0),0)</f>
        <v>129930</v>
      </c>
      <c r="G17" s="22" t="s">
        <v>1553</v>
      </c>
      <c r="H17" s="10">
        <f>IF('Fund 0214 Journal Entries'!$F$7="Governmental Fund",ROUND('Fund 0214 Journal Entries'!$J$76,0),0)</f>
        <v>0</v>
      </c>
      <c r="I17" s="22" t="s">
        <v>1551</v>
      </c>
      <c r="J17" s="10">
        <f>IF('Fund 0214 Journal Entries'!$F$7="Governmental Fund",ROUND('Fund 0214 Journal Entries'!$K$85,0),0)</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0214 Journal Entries'!$F$7="Proprietary - Internal Service Fund",ROUND('Fund 0214 Journal Entries'!$K$19,0),0)</f>
        <v>0</v>
      </c>
      <c r="C25" s="21" t="s">
        <v>1551</v>
      </c>
      <c r="D25" s="10">
        <f>IF('Fund 0214 Journal Entries'!$F$7="Proprietary - Internal Service Fund",ROUND('Fund 0214 Journal Entries'!$K$37,0),0)</f>
        <v>0</v>
      </c>
      <c r="E25" s="22" t="s">
        <v>1553</v>
      </c>
      <c r="F25" s="10">
        <f>IF('Fund 0214 Journal Entries'!$F$7="Proprietary - Internal Service Fund",ROUND('Fund 0214 Journal Entries'!$J$56,0),0)</f>
        <v>0</v>
      </c>
      <c r="G25" s="22" t="s">
        <v>1553</v>
      </c>
      <c r="H25" s="10">
        <f>IF('Fund 0214 Journal Entries'!$F$7="Proprietary - Internal Service Fund",ROUND('Fund 0214 Journal Entries'!$J$76,0),0)</f>
        <v>0</v>
      </c>
      <c r="I25" s="22" t="s">
        <v>1551</v>
      </c>
      <c r="J25" s="10">
        <f>IF('Fund 0214 Journal Entries'!$F$7="Proprietary - Internal Service Fund",ROUND('Fund 0214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0214 Journal Entries'!$F$7="Proprietary - Enterprise Fund",ROUND('Fund 0214 Journal Entries'!$K$19,0),0)</f>
        <v>0</v>
      </c>
      <c r="C34" s="21" t="s">
        <v>1551</v>
      </c>
      <c r="D34" s="10">
        <f>IF('Fund 0214 Journal Entries'!$F$7="Proprietary - Enterprise Fund",ROUND('Fund 0214 Journal Entries'!$K$37,0),0)</f>
        <v>0</v>
      </c>
      <c r="E34" s="22" t="s">
        <v>1553</v>
      </c>
      <c r="F34" s="10">
        <f>IF('Fund 0214 Journal Entries'!$F$7="Proprietary - Enterprise Fund",ROUND('Fund 0214 Journal Entries'!$J$56,0),0)</f>
        <v>0</v>
      </c>
      <c r="G34" s="22" t="s">
        <v>1553</v>
      </c>
      <c r="H34" s="10">
        <f>IF('Fund 0214 Journal Entries'!$F$7="Proprietary - Enterprise Fund",ROUND('Fund 0214 Journal Entries'!$J$76,0),0)</f>
        <v>0</v>
      </c>
      <c r="I34" s="22" t="s">
        <v>1551</v>
      </c>
      <c r="J34" s="10">
        <f>IF('Fund 0214 Journal Entries'!$F$7="Proprietary - Enterprise Fund",ROUND('Fund 0214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0214 Journal Entries'!$F$7="Governmental Fund",ROUND('Fund 0214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0214 Journal Entries'!$F$7="Proprietary - Internal Service Fund",ROUND('Fund 0214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0214 Journal Entries'!$F$7="Proprietary - Enterprise Fund",ROUND('Fund 0214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129930</v>
      </c>
      <c r="I64" s="25" t="s">
        <v>1555</v>
      </c>
      <c r="J64" s="14">
        <f>SUM(D64)</f>
        <v>129930</v>
      </c>
      <c r="L64" s="164" t="str">
        <f>CONCATENATE("Balance July 1, ",LEFT('Department Note Disclosure'!$B$11,4))</f>
        <v>Balance July 1, 2023</v>
      </c>
      <c r="N64" s="14">
        <f>ROUND('SBITA Liabilities'!$F$10,0)</f>
        <v>129930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129930</v>
      </c>
      <c r="E66" s="165" t="s">
        <v>1551</v>
      </c>
      <c r="F66" s="150" t="s">
        <v>1645</v>
      </c>
      <c r="H66" s="14">
        <f>H17</f>
        <v>0</v>
      </c>
      <c r="I66" s="25" t="s">
        <v>1555</v>
      </c>
      <c r="J66" s="14">
        <f>SUM(D66,H66)</f>
        <v>129930</v>
      </c>
      <c r="L66" s="164" t="s">
        <v>10</v>
      </c>
      <c r="N66" s="14">
        <f>ROUND('SBITA Liabilities'!$J$10,0)</f>
        <v>129930</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0214 Journal Entries</vt:lpstr>
      <vt:lpstr>Department Note Disclosure</vt:lpstr>
      <vt:lpstr>SBITA Liabilities</vt:lpstr>
      <vt:lpstr>Check Figures </vt:lpstr>
      <vt:lpstr>Drop Down Menus</vt:lpstr>
      <vt:lpstr>GAAP02Aindex</vt:lpstr>
      <vt:lpstr>'Department Note Disclosure'!Print_Area</vt:lpstr>
      <vt:lpstr>'Fund 0214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2025-02-26T22:36:52Z</dcterms:modified>
</cp:coreProperties>
</file>