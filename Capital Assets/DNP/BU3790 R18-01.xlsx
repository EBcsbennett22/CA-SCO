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3790\"/>
    </mc:Choice>
  </mc:AlternateContent>
  <xr:revisionPtr revIDLastSave="0" documentId="13_ncr:1_{A08F6B2A-5F82-43E6-B679-070934E77B61}" xr6:coauthVersionLast="47" xr6:coauthVersionMax="47" xr10:uidLastSave="{00000000-0000-0000-0000-000000000000}"/>
  <bookViews>
    <workbookView xWindow="-24120" yWindow="-120" windowWidth="24240" windowHeight="13140" xr2:uid="{5F449026-C7BC-426E-8EA5-EA5C8DF86277}"/>
  </bookViews>
  <sheets>
    <sheet name="F0140" sheetId="2" r:id="rId1"/>
    <sheet name="F0156" sheetId="1" r:id="rId2"/>
    <sheet name="F0392" sheetId="3" r:id="rId3"/>
    <sheet name="F0516" sheetId="4" r:id="rId4"/>
    <sheet name="F0786" sheetId="5" r:id="rId5"/>
    <sheet name="F0952" sheetId="6" r:id="rId6"/>
    <sheet name="F6029" sheetId="7" r:id="rId7"/>
    <sheet name="F0005" sheetId="8" r:id="rId8"/>
    <sheet name="F0235" sheetId="10" r:id="rId9"/>
    <sheet name="F0262" sheetId="11" r:id="rId10"/>
  </sheets>
  <definedNames>
    <definedName name="_xlnm.Print_Area" localSheetId="7">'F0005'!$A$1:$J$29</definedName>
    <definedName name="_xlnm.Print_Area" localSheetId="3">'F0516'!$A$1:$K$25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1" l="1"/>
  <c r="J24" i="11" s="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D24" i="11"/>
  <c r="F24" i="11"/>
  <c r="H24" i="11"/>
  <c r="J9" i="10"/>
  <c r="J10" i="10"/>
  <c r="J11" i="10"/>
  <c r="J12" i="10"/>
  <c r="J13" i="10"/>
  <c r="J24" i="10" s="1"/>
  <c r="J14" i="10"/>
  <c r="J15" i="10"/>
  <c r="J16" i="10"/>
  <c r="J17" i="10"/>
  <c r="J18" i="10"/>
  <c r="J19" i="10"/>
  <c r="J20" i="10"/>
  <c r="J21" i="10"/>
  <c r="J22" i="10"/>
  <c r="J23" i="10"/>
  <c r="D24" i="10"/>
  <c r="F24" i="10"/>
  <c r="H24" i="10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4" i="8" s="1"/>
  <c r="J22" i="8"/>
  <c r="J23" i="8"/>
  <c r="D24" i="8"/>
  <c r="F24" i="8"/>
  <c r="H24" i="8"/>
  <c r="J9" i="7" l="1"/>
  <c r="J10" i="7"/>
  <c r="J11" i="7"/>
  <c r="J12" i="7"/>
  <c r="J13" i="7"/>
  <c r="J14" i="7"/>
  <c r="J24" i="7" s="1"/>
  <c r="J15" i="7"/>
  <c r="J16" i="7"/>
  <c r="J17" i="7"/>
  <c r="J18" i="7"/>
  <c r="J19" i="7"/>
  <c r="J20" i="7"/>
  <c r="J21" i="7"/>
  <c r="J22" i="7"/>
  <c r="J23" i="7"/>
  <c r="D24" i="7"/>
  <c r="F24" i="7"/>
  <c r="H24" i="7"/>
  <c r="J9" i="6"/>
  <c r="J10" i="6"/>
  <c r="J11" i="6"/>
  <c r="J12" i="6"/>
  <c r="J13" i="6"/>
  <c r="J14" i="6"/>
  <c r="J24" i="6" s="1"/>
  <c r="J15" i="6"/>
  <c r="J16" i="6"/>
  <c r="J17" i="6"/>
  <c r="J18" i="6"/>
  <c r="J19" i="6"/>
  <c r="J20" i="6"/>
  <c r="J21" i="6"/>
  <c r="J22" i="6"/>
  <c r="J23" i="6"/>
  <c r="D24" i="6"/>
  <c r="F24" i="6"/>
  <c r="H24" i="6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D24" i="5"/>
  <c r="F24" i="5"/>
  <c r="H24" i="5"/>
  <c r="J24" i="5"/>
  <c r="J9" i="4"/>
  <c r="J10" i="4"/>
  <c r="J11" i="4"/>
  <c r="J12" i="4"/>
  <c r="J13" i="4"/>
  <c r="J14" i="4"/>
  <c r="J24" i="4" s="1"/>
  <c r="J15" i="4"/>
  <c r="J16" i="4"/>
  <c r="J17" i="4"/>
  <c r="J18" i="4"/>
  <c r="J19" i="4"/>
  <c r="J20" i="4"/>
  <c r="J21" i="4"/>
  <c r="J22" i="4"/>
  <c r="J23" i="4"/>
  <c r="D24" i="4"/>
  <c r="F24" i="4"/>
  <c r="H24" i="4"/>
  <c r="J9" i="3"/>
  <c r="J10" i="3"/>
  <c r="J11" i="3"/>
  <c r="J24" i="3" s="1"/>
  <c r="J12" i="3"/>
  <c r="J13" i="3"/>
  <c r="J14" i="3"/>
  <c r="J15" i="3"/>
  <c r="J16" i="3"/>
  <c r="J17" i="3"/>
  <c r="J18" i="3"/>
  <c r="J19" i="3"/>
  <c r="J20" i="3"/>
  <c r="J21" i="3"/>
  <c r="J22" i="3"/>
  <c r="J23" i="3"/>
  <c r="D24" i="3"/>
  <c r="F24" i="3"/>
  <c r="H24" i="3"/>
  <c r="J9" i="2"/>
  <c r="J10" i="2"/>
  <c r="J11" i="2"/>
  <c r="J12" i="2"/>
  <c r="J24" i="2" s="1"/>
  <c r="J13" i="2"/>
  <c r="J14" i="2"/>
  <c r="J15" i="2"/>
  <c r="J16" i="2"/>
  <c r="J17" i="2"/>
  <c r="J18" i="2"/>
  <c r="J19" i="2"/>
  <c r="J20" i="2"/>
  <c r="J21" i="2"/>
  <c r="J22" i="2"/>
  <c r="J23" i="2"/>
  <c r="D24" i="2"/>
  <c r="F24" i="2"/>
  <c r="H24" i="2"/>
  <c r="H24" i="1"/>
  <c r="F24" i="1"/>
  <c r="D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24" i="1" s="1"/>
</calcChain>
</file>

<file path=xl/sharedStrings.xml><?xml version="1.0" encoding="utf-8"?>
<sst xmlns="http://schemas.openxmlformats.org/spreadsheetml/2006/main" count="260" uniqueCount="39">
  <si>
    <t>Department of Parks and Recreation (3790)</t>
  </si>
  <si>
    <t>Statement of Changes in Capital Assets Group of Accounts - Report 18</t>
  </si>
  <si>
    <t xml:space="preserve"> California Heritage Fund (0156)</t>
  </si>
  <si>
    <t>CAPITAL ASSETS</t>
  </si>
  <si>
    <t>Beginning Balance</t>
  </si>
  <si>
    <t>Additions</t>
  </si>
  <si>
    <t>Deductions</t>
  </si>
  <si>
    <t>Tangible Assets</t>
  </si>
  <si>
    <t xml:space="preserve">Land 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</si>
  <si>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</si>
  <si>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</si>
  <si>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</si>
  <si>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</si>
  <si>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</si>
  <si>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</si>
  <si>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</si>
  <si>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</si>
  <si>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</si>
  <si>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</si>
  <si>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</si>
  <si>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</si>
  <si>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</si>
  <si>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</si>
  <si>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</si>
  <si>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As of June 30, 2024</t>
  </si>
  <si>
    <t>Balance June 30, 2024</t>
  </si>
  <si>
    <t>California Environmental License Plate Fund (0140)</t>
  </si>
  <si>
    <t>State Parks and Recreation Fund (0392)</t>
  </si>
  <si>
    <t>Harbors and Watercraft Revolving Fund (0516001)</t>
  </si>
  <si>
    <t>California Wildlife, Coastal, and Park Land Conservation Fund of 1988 (0786)</t>
  </si>
  <si>
    <t>State Park Contingent Fund (0952)</t>
  </si>
  <si>
    <r>
      <t>Balance</t>
    </r>
    <r>
      <rPr>
        <b/>
        <vertAlign val="superscript"/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June 30, 2024</t>
    </r>
  </si>
  <si>
    <t>California Clean Water, Clean Air, Safe Neighborhood Parks, and Coastal Protection Fund (6029)</t>
  </si>
  <si>
    <r>
      <t>Balance</t>
    </r>
    <r>
      <rPr>
        <b/>
        <vertAlign val="superscript"/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June 30, 2018</t>
    </r>
  </si>
  <si>
    <t>Safe Neighborhood Parks, Clean Water, Clean Air, and Coastal Protection Bond Fund (0005)</t>
  </si>
  <si>
    <t>Balance June 30, 2022</t>
  </si>
  <si>
    <t>As of June 30, 2023</t>
  </si>
  <si>
    <t>Public Resources Account, Cigarette and Tobacco Products Surtax Fund (0235)</t>
  </si>
  <si>
    <t>Habitat Conservation Fund (0262)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</si>
</sst>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&quot;$&quot;#,##0.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 applyProtection="1">
      <protection locked="0"/>
    </xf>
    <xf numFmtId="43" fontId="4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43" fontId="4" fillId="0" borderId="0" xfId="0" applyNumberFormat="1" applyFont="1" applyAlignment="1" applyProtection="1">
      <alignment horizontal="center"/>
      <protection locked="0"/>
    </xf>
    <xf numFmtId="43" fontId="3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44" fontId="0" fillId="0" borderId="0" xfId="0" applyNumberFormat="1" applyProtection="1">
      <protection locked="0"/>
    </xf>
    <xf numFmtId="44" fontId="0" fillId="0" borderId="0" xfId="0" applyNumberFormat="1"/>
    <xf numFmtId="164" fontId="4" fillId="0" borderId="0" xfId="0" applyNumberFormat="1" applyFont="1" applyProtection="1">
      <protection locked="0"/>
    </xf>
    <xf numFmtId="43" fontId="0" fillId="0" borderId="0" xfId="0" applyNumberFormat="1"/>
    <xf numFmtId="4" fontId="0" fillId="0" borderId="0" xfId="0" applyNumberFormat="1"/>
    <xf numFmtId="43" fontId="4" fillId="0" borderId="1" xfId="0" applyNumberFormat="1" applyFont="1" applyBorder="1" applyProtection="1">
      <protection locked="0"/>
    </xf>
    <xf numFmtId="43" fontId="0" fillId="0" borderId="1" xfId="0" applyNumberFormat="1" applyBorder="1" applyProtection="1">
      <protection locked="0"/>
    </xf>
    <xf numFmtId="44" fontId="3" fillId="0" borderId="2" xfId="0" applyNumberFormat="1" applyFont="1" applyBorder="1"/>
    <xf numFmtId="44" fontId="2" fillId="0" borderId="2" xfId="0" applyNumberFormat="1" applyFont="1" applyBorder="1"/>
    <xf numFmtId="0" fontId="5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/>
    <xf numFmtId="43" fontId="4" fillId="0" borderId="0" xfId="0" applyNumberFormat="1" applyFont="1"/>
    <xf numFmtId="0" fontId="6" fillId="0" borderId="0" xfId="0" applyFont="1" applyProtection="1">
      <protection locked="0"/>
    </xf>
    <xf numFmtId="44" fontId="4" fillId="0" borderId="0" xfId="0" applyNumberFormat="1" applyFont="1"/>
    <xf numFmtId="0" fontId="6" fillId="0" borderId="0" xfId="0" applyFont="1" applyAlignment="1" applyProtection="1">
      <alignment horizontal="left"/>
      <protection locked="0"/>
    </xf>
    <xf numFmtId="44" fontId="4" fillId="0" borderId="0" xfId="0" applyNumberFormat="1" applyFont="1" applyProtection="1">
      <protection locked="0"/>
    </xf>
    <xf numFmtId="0" fontId="4" fillId="0" borderId="0" xfId="0" applyFont="1" applyAlignment="1">
      <alignment horizontal="center"/>
    </xf>
    <xf numFmtId="164" fontId="2" fillId="0" borderId="2" xfId="0" applyNumberFormat="1" applyFont="1" applyBorder="1"/>
    <xf numFmtId="0" fontId="7" fillId="0" borderId="0" xfId="0" applyFont="1"/>
    <xf numFmtId="0" fontId="3" fillId="0" borderId="0" xfId="0" applyFont="1"/>
    <xf numFmtId="43" fontId="0" fillId="0" borderId="0" xfId="0" applyNumberFormat="1" applyAlignment="1" applyProtection="1">
      <alignment horizontal="center"/>
      <protection locked="0"/>
    </xf>
    <xf numFmtId="43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75B2-E0C6-4BE4-972E-FD75225532D7}">
  <dimension ref="A1:L32"/>
  <sheetViews>
    <sheetView tabSelected="1" workbookViewId="0">
      <selection activeCell="J7" sqref="J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</cols>
  <sheetData>
    <row r="1" spans="1:12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2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2" x14ac:dyDescent="0.25">
      <c r="A3" s="22" t="s">
        <v>26</v>
      </c>
      <c r="B3" s="22"/>
      <c r="C3" s="22"/>
      <c r="D3" s="22"/>
      <c r="E3" s="22"/>
      <c r="F3" s="22"/>
      <c r="G3" s="22"/>
      <c r="H3" s="22"/>
      <c r="I3" s="22"/>
      <c r="J3" s="22"/>
    </row>
    <row r="4" spans="1:12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2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2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25</v>
      </c>
      <c r="K6" s="7"/>
      <c r="L6" s="8"/>
    </row>
    <row r="7" spans="1:12" x14ac:dyDescent="0.25">
      <c r="A7" s="9"/>
      <c r="B7" s="9"/>
      <c r="C7" s="9"/>
      <c r="D7" s="10"/>
      <c r="E7" s="10"/>
      <c r="F7" s="10"/>
      <c r="G7" s="10"/>
      <c r="H7" s="10"/>
      <c r="I7" s="10"/>
      <c r="J7" s="10"/>
      <c r="L7" s="8"/>
    </row>
    <row r="8" spans="1:12" x14ac:dyDescent="0.25">
      <c r="A8" s="11" t="s">
        <v>7</v>
      </c>
      <c r="B8" s="9"/>
      <c r="C8" s="9"/>
      <c r="D8" s="10"/>
      <c r="E8" s="10"/>
      <c r="F8" s="10"/>
      <c r="G8" s="10"/>
      <c r="H8" s="10"/>
      <c r="I8" s="10"/>
      <c r="J8" s="10"/>
      <c r="L8" s="8"/>
    </row>
    <row r="9" spans="1:12" x14ac:dyDescent="0.25">
      <c r="A9" s="9"/>
      <c r="B9" s="9" t="s">
        <v>8</v>
      </c>
      <c r="C9" s="9"/>
      <c r="D9" s="12">
        <v>390613</v>
      </c>
      <c r="E9" s="12"/>
      <c r="F9" s="12"/>
      <c r="G9" s="12"/>
      <c r="H9" s="12"/>
      <c r="I9" s="12"/>
      <c r="J9" s="13">
        <f>D9+F9-H9</f>
        <v>390613</v>
      </c>
      <c r="L9" s="8"/>
    </row>
    <row r="10" spans="1:12" x14ac:dyDescent="0.25">
      <c r="A10" s="9"/>
      <c r="B10" s="9" t="s">
        <v>9</v>
      </c>
      <c r="C10" s="9"/>
      <c r="D10" s="10">
        <v>15000</v>
      </c>
      <c r="E10" s="10"/>
      <c r="F10" s="10"/>
      <c r="G10" s="10"/>
      <c r="H10" s="10"/>
      <c r="I10" s="10"/>
      <c r="J10" s="15">
        <f>D10+F10-H10</f>
        <v>15000</v>
      </c>
    </row>
    <row r="11" spans="1:12" x14ac:dyDescent="0.25">
      <c r="A11" s="9"/>
      <c r="B11" s="9" t="s">
        <v>10</v>
      </c>
      <c r="C11" s="9"/>
      <c r="D11" s="10"/>
      <c r="E11" s="10"/>
      <c r="F11" s="10"/>
      <c r="G11" s="10"/>
      <c r="H11" s="10"/>
      <c r="I11" s="10"/>
      <c r="J11" s="15">
        <f>D11+F11-H11</f>
        <v>0</v>
      </c>
    </row>
    <row r="12" spans="1:12" x14ac:dyDescent="0.25">
      <c r="A12" s="9"/>
      <c r="B12" s="9" t="s">
        <v>11</v>
      </c>
      <c r="C12" s="9"/>
      <c r="D12" s="10">
        <v>16451.25</v>
      </c>
      <c r="E12" s="10"/>
      <c r="F12" s="10"/>
      <c r="G12" s="10"/>
      <c r="H12" s="10"/>
      <c r="I12" s="10"/>
      <c r="J12" s="15">
        <f>D12+F12-H12</f>
        <v>16451.25</v>
      </c>
    </row>
    <row r="13" spans="1:12" x14ac:dyDescent="0.25">
      <c r="A13" s="9"/>
      <c r="B13" s="9" t="s">
        <v>12</v>
      </c>
      <c r="C13" s="9"/>
      <c r="D13" s="10"/>
      <c r="E13" s="10"/>
      <c r="F13" s="10"/>
      <c r="G13" s="10"/>
      <c r="H13" s="10"/>
      <c r="I13" s="10"/>
      <c r="J13" s="15">
        <f>D13+F13-H13</f>
        <v>0</v>
      </c>
    </row>
    <row r="14" spans="1:12" x14ac:dyDescent="0.25">
      <c r="A14" s="9"/>
      <c r="B14" s="9" t="s">
        <v>13</v>
      </c>
      <c r="C14" s="9"/>
      <c r="D14" s="10"/>
      <c r="E14" s="10"/>
      <c r="F14" s="10"/>
      <c r="G14" s="10"/>
      <c r="H14" s="10"/>
      <c r="I14" s="10"/>
      <c r="J14" s="15">
        <f>D14+F14-H14</f>
        <v>0</v>
      </c>
    </row>
    <row r="15" spans="1:12" x14ac:dyDescent="0.25">
      <c r="A15" s="11" t="s">
        <v>14</v>
      </c>
      <c r="B15" s="9"/>
      <c r="C15" s="9"/>
      <c r="D15" s="10"/>
      <c r="E15" s="10"/>
      <c r="F15" s="10"/>
      <c r="G15" s="10"/>
      <c r="H15" s="10"/>
      <c r="I15" s="10"/>
      <c r="J15" s="15">
        <f>D15+F15-H15</f>
        <v>0</v>
      </c>
    </row>
    <row r="16" spans="1:12" x14ac:dyDescent="0.25">
      <c r="A16" s="9"/>
      <c r="B16" s="9" t="s">
        <v>15</v>
      </c>
      <c r="C16" s="9"/>
      <c r="D16" s="10"/>
      <c r="E16" s="10"/>
      <c r="F16" s="10"/>
      <c r="G16" s="10"/>
      <c r="H16" s="10"/>
      <c r="I16" s="10"/>
      <c r="J16" s="15">
        <f>D16+F16-H16</f>
        <v>0</v>
      </c>
    </row>
    <row r="17" spans="1:10" x14ac:dyDescent="0.25">
      <c r="A17" s="9"/>
      <c r="B17" s="9" t="s">
        <v>16</v>
      </c>
      <c r="C17" s="9"/>
      <c r="D17" s="10"/>
      <c r="E17" s="10"/>
      <c r="F17" s="10"/>
      <c r="G17" s="10"/>
      <c r="H17" s="10"/>
      <c r="I17" s="10"/>
      <c r="J17" s="15">
        <f>D17+F17-H17</f>
        <v>0</v>
      </c>
    </row>
    <row r="18" spans="1:10" x14ac:dyDescent="0.25">
      <c r="A18" s="9"/>
      <c r="B18" s="9" t="s">
        <v>17</v>
      </c>
      <c r="C18" s="9"/>
      <c r="D18" s="10"/>
      <c r="E18" s="10"/>
      <c r="F18" s="10"/>
      <c r="G18" s="10"/>
      <c r="H18" s="10"/>
      <c r="I18" s="10"/>
      <c r="J18" s="15">
        <f>D18+F18-H18</f>
        <v>0</v>
      </c>
    </row>
    <row r="19" spans="1:10" x14ac:dyDescent="0.25">
      <c r="A19" s="9"/>
      <c r="B19" s="9" t="s">
        <v>18</v>
      </c>
      <c r="C19" s="9"/>
      <c r="D19" s="10"/>
      <c r="E19" s="10"/>
      <c r="F19" s="10"/>
      <c r="G19" s="10"/>
      <c r="H19" s="10"/>
      <c r="I19" s="10"/>
      <c r="J19" s="15">
        <f>D19+F19-H19</f>
        <v>0</v>
      </c>
    </row>
    <row r="20" spans="1:10" x14ac:dyDescent="0.25">
      <c r="A20" s="9"/>
      <c r="B20" s="9" t="s">
        <v>19</v>
      </c>
      <c r="C20" s="9"/>
      <c r="D20" s="10"/>
      <c r="E20" s="10"/>
      <c r="F20" s="10"/>
      <c r="G20" s="10"/>
      <c r="H20" s="10"/>
      <c r="I20" s="10"/>
      <c r="J20" s="15">
        <f>D20+F20-H20</f>
        <v>0</v>
      </c>
    </row>
    <row r="21" spans="1:10" x14ac:dyDescent="0.25">
      <c r="A21" s="9"/>
      <c r="B21" s="9" t="s">
        <v>20</v>
      </c>
      <c r="C21" s="9"/>
      <c r="D21" s="10"/>
      <c r="E21" s="10"/>
      <c r="F21" s="10"/>
      <c r="G21" s="10"/>
      <c r="H21" s="10"/>
      <c r="I21" s="10"/>
      <c r="J21" s="15">
        <f>D21+F21-H21</f>
        <v>0</v>
      </c>
    </row>
    <row r="22" spans="1:10" x14ac:dyDescent="0.25">
      <c r="A22" s="9"/>
      <c r="B22" s="9" t="s">
        <v>21</v>
      </c>
      <c r="C22" s="9"/>
      <c r="D22" s="10"/>
      <c r="E22" s="10"/>
      <c r="F22" s="10"/>
      <c r="G22" s="10"/>
      <c r="H22" s="10"/>
      <c r="I22" s="10"/>
      <c r="J22" s="15">
        <f>D22+F22-H22</f>
        <v>0</v>
      </c>
    </row>
    <row r="23" spans="1:10" x14ac:dyDescent="0.25">
      <c r="A23" s="9"/>
      <c r="B23" s="9" t="s">
        <v>22</v>
      </c>
      <c r="C23" s="9"/>
      <c r="D23" s="18"/>
      <c r="E23" s="10"/>
      <c r="F23" s="18"/>
      <c r="G23" s="10"/>
      <c r="H23" s="18"/>
      <c r="I23" s="10"/>
      <c r="J23" s="15">
        <f>D23+F23-H23</f>
        <v>0</v>
      </c>
    </row>
    <row r="24" spans="1:10" ht="15.75" thickBot="1" x14ac:dyDescent="0.3">
      <c r="A24" s="11" t="s">
        <v>23</v>
      </c>
      <c r="B24" s="9"/>
      <c r="C24" s="9"/>
      <c r="D24" s="20">
        <f>SUM(D9:D23)</f>
        <v>422064.25</v>
      </c>
      <c r="E24" s="13"/>
      <c r="F24" s="20">
        <f>SUM(F9:F23)</f>
        <v>0</v>
      </c>
      <c r="G24" s="13"/>
      <c r="H24" s="20">
        <f>SUM(H9:H23)</f>
        <v>0</v>
      </c>
      <c r="I24" s="13"/>
      <c r="J24" s="20">
        <f>SUM(J9:J23)</f>
        <v>422064.25</v>
      </c>
    </row>
    <row r="25" spans="1:10" ht="15.75" thickTop="1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</row>
    <row r="26" spans="1:10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</row>
    <row r="27" spans="1:10" ht="16.5" x14ac:dyDescent="0.25">
      <c r="A27" s="21"/>
      <c r="B27" s="9"/>
      <c r="C27" s="9"/>
      <c r="D27" s="10"/>
      <c r="E27" s="10"/>
      <c r="F27" s="10"/>
      <c r="G27" s="10"/>
      <c r="H27" s="10"/>
      <c r="I27" s="10"/>
      <c r="J27" s="10"/>
    </row>
    <row r="28" spans="1:10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</row>
    <row r="29" spans="1:10" ht="16.5" x14ac:dyDescent="0.25">
      <c r="A29" s="21"/>
      <c r="B29" s="9"/>
      <c r="C29" s="9"/>
      <c r="D29" s="10"/>
      <c r="E29" s="10"/>
      <c r="F29" s="10"/>
      <c r="G29" s="10"/>
      <c r="H29" s="10"/>
      <c r="I29" s="10"/>
      <c r="J29" s="10"/>
    </row>
    <row r="30" spans="1:10" x14ac:dyDescent="0.25">
      <c r="A30" s="9"/>
      <c r="B30" s="9"/>
      <c r="C30" s="9"/>
      <c r="D30" s="10"/>
      <c r="E30" s="10"/>
      <c r="F30" s="10"/>
      <c r="G30" s="10"/>
      <c r="H30" s="10"/>
      <c r="I30" s="10"/>
      <c r="J30" s="10"/>
    </row>
    <row r="31" spans="1:10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</row>
    <row r="32" spans="1:10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380B-CD2D-4084-9EF5-CACCB5E20B68}">
  <dimension ref="A1:O32"/>
  <sheetViews>
    <sheetView workbookViewId="0">
      <selection activeCell="O24" sqref="O24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  <col min="15" max="15" width="12.7109375" bestFit="1" customWidth="1"/>
  </cols>
  <sheetData>
    <row r="1" spans="1:1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5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5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</row>
    <row r="4" spans="1:15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5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5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25</v>
      </c>
      <c r="K6" s="7"/>
      <c r="L6" s="8"/>
    </row>
    <row r="7" spans="1:15" x14ac:dyDescent="0.25">
      <c r="A7" s="9"/>
      <c r="B7" s="9"/>
      <c r="C7" s="9"/>
      <c r="D7" s="10"/>
      <c r="E7" s="10"/>
      <c r="F7" s="10"/>
      <c r="G7" s="10"/>
      <c r="H7" s="10"/>
      <c r="I7" s="10"/>
      <c r="J7" s="10"/>
      <c r="L7" s="8"/>
    </row>
    <row r="8" spans="1:15" x14ac:dyDescent="0.25">
      <c r="A8" s="11" t="s">
        <v>7</v>
      </c>
      <c r="B8" s="9"/>
      <c r="C8" s="9"/>
      <c r="D8" s="10"/>
      <c r="E8" s="10"/>
      <c r="F8" s="10"/>
      <c r="G8" s="10"/>
      <c r="H8" s="10"/>
      <c r="I8" s="10"/>
      <c r="J8" s="10"/>
      <c r="L8" s="8"/>
    </row>
    <row r="9" spans="1:15" x14ac:dyDescent="0.25">
      <c r="A9" s="9"/>
      <c r="B9" s="9" t="s">
        <v>8</v>
      </c>
      <c r="C9" s="9"/>
      <c r="D9" s="12">
        <v>15419481</v>
      </c>
      <c r="E9" s="12"/>
      <c r="F9" s="12"/>
      <c r="G9" s="12"/>
      <c r="H9" s="12"/>
      <c r="I9" s="12"/>
      <c r="J9" s="13">
        <f>D9+F9-H9</f>
        <v>15419481</v>
      </c>
      <c r="L9" s="8"/>
    </row>
    <row r="10" spans="1:15" x14ac:dyDescent="0.25">
      <c r="A10" s="9"/>
      <c r="B10" s="9" t="s">
        <v>9</v>
      </c>
      <c r="C10" s="9"/>
      <c r="D10" s="14"/>
      <c r="E10" s="10"/>
      <c r="F10" s="10"/>
      <c r="G10" s="10"/>
      <c r="H10" s="10"/>
      <c r="I10" s="10"/>
      <c r="J10" s="15">
        <f t="shared" ref="J10:J23" si="0">D10+F10-H10</f>
        <v>0</v>
      </c>
      <c r="L10" s="8"/>
    </row>
    <row r="11" spans="1:15" x14ac:dyDescent="0.25">
      <c r="A11" s="9"/>
      <c r="B11" s="9" t="s">
        <v>10</v>
      </c>
      <c r="C11" s="9"/>
      <c r="D11" s="14"/>
      <c r="E11" s="10"/>
      <c r="F11" s="10"/>
      <c r="G11" s="10"/>
      <c r="H11" s="10"/>
      <c r="I11" s="10"/>
      <c r="J11" s="15">
        <f t="shared" si="0"/>
        <v>0</v>
      </c>
    </row>
    <row r="12" spans="1:15" x14ac:dyDescent="0.25">
      <c r="A12" s="9"/>
      <c r="B12" s="9" t="s">
        <v>11</v>
      </c>
      <c r="C12" s="9"/>
      <c r="D12" s="10">
        <v>68765</v>
      </c>
      <c r="E12" s="10"/>
      <c r="F12" s="10"/>
      <c r="G12" s="10"/>
      <c r="H12" s="10"/>
      <c r="I12" s="10"/>
      <c r="J12" s="15">
        <f t="shared" si="0"/>
        <v>68765</v>
      </c>
      <c r="O12" s="16"/>
    </row>
    <row r="13" spans="1:15" x14ac:dyDescent="0.25">
      <c r="A13" s="9"/>
      <c r="B13" s="9" t="s">
        <v>12</v>
      </c>
      <c r="C13" s="9"/>
      <c r="D13" s="14"/>
      <c r="E13" s="10"/>
      <c r="F13" s="10"/>
      <c r="G13" s="10"/>
      <c r="H13" s="10"/>
      <c r="I13" s="10"/>
      <c r="J13" s="15">
        <f t="shared" si="0"/>
        <v>0</v>
      </c>
    </row>
    <row r="14" spans="1:15" x14ac:dyDescent="0.25">
      <c r="A14" s="9"/>
      <c r="B14" s="9" t="s">
        <v>13</v>
      </c>
      <c r="C14" s="9"/>
      <c r="D14" s="14"/>
      <c r="E14" s="10"/>
      <c r="F14" s="10"/>
      <c r="G14" s="10"/>
      <c r="H14" s="10"/>
      <c r="I14" s="10"/>
      <c r="J14" s="15">
        <f t="shared" si="0"/>
        <v>0</v>
      </c>
    </row>
    <row r="15" spans="1:15" x14ac:dyDescent="0.25">
      <c r="A15" s="11" t="s">
        <v>14</v>
      </c>
      <c r="B15" s="9"/>
      <c r="C15" s="9"/>
      <c r="D15" s="14"/>
      <c r="E15" s="10"/>
      <c r="F15" s="10"/>
      <c r="G15" s="10"/>
      <c r="H15" s="10"/>
      <c r="I15" s="10"/>
      <c r="J15" s="15">
        <f t="shared" si="0"/>
        <v>0</v>
      </c>
    </row>
    <row r="16" spans="1:15" x14ac:dyDescent="0.25">
      <c r="A16" s="9"/>
      <c r="B16" s="9" t="s">
        <v>15</v>
      </c>
      <c r="C16" s="9"/>
      <c r="D16" s="14"/>
      <c r="E16" s="10"/>
      <c r="F16" s="10"/>
      <c r="G16" s="10"/>
      <c r="H16" s="10"/>
      <c r="I16" s="10"/>
      <c r="J16" s="15">
        <f t="shared" si="0"/>
        <v>0</v>
      </c>
    </row>
    <row r="17" spans="1:10" x14ac:dyDescent="0.25">
      <c r="A17" s="9"/>
      <c r="B17" s="9" t="s">
        <v>16</v>
      </c>
      <c r="C17" s="9"/>
      <c r="D17" s="14"/>
      <c r="E17" s="10"/>
      <c r="F17" s="10"/>
      <c r="G17" s="10"/>
      <c r="H17" s="10"/>
      <c r="I17" s="10"/>
      <c r="J17" s="15">
        <f t="shared" si="0"/>
        <v>0</v>
      </c>
    </row>
    <row r="18" spans="1:10" x14ac:dyDescent="0.25">
      <c r="A18" s="9"/>
      <c r="B18" s="9" t="s">
        <v>17</v>
      </c>
      <c r="C18" s="9"/>
      <c r="D18" s="14"/>
      <c r="E18" s="10"/>
      <c r="F18" s="10"/>
      <c r="G18" s="10"/>
      <c r="H18" s="10"/>
      <c r="I18" s="10"/>
      <c r="J18" s="15">
        <f t="shared" si="0"/>
        <v>0</v>
      </c>
    </row>
    <row r="19" spans="1:10" x14ac:dyDescent="0.25">
      <c r="A19" s="9"/>
      <c r="B19" s="9" t="s">
        <v>18</v>
      </c>
      <c r="C19" s="9"/>
      <c r="D19" s="14"/>
      <c r="E19" s="10"/>
      <c r="F19" s="10"/>
      <c r="G19" s="10"/>
      <c r="H19" s="10"/>
      <c r="I19" s="10"/>
      <c r="J19" s="15">
        <f t="shared" si="0"/>
        <v>0</v>
      </c>
    </row>
    <row r="20" spans="1:10" x14ac:dyDescent="0.25">
      <c r="A20" s="9"/>
      <c r="B20" s="9" t="s">
        <v>19</v>
      </c>
      <c r="C20" s="9"/>
      <c r="D20" s="14"/>
      <c r="E20" s="10"/>
      <c r="F20" s="10"/>
      <c r="G20" s="10"/>
      <c r="H20" s="10"/>
      <c r="I20" s="10"/>
      <c r="J20" s="15">
        <f t="shared" si="0"/>
        <v>0</v>
      </c>
    </row>
    <row r="21" spans="1:10" x14ac:dyDescent="0.25">
      <c r="A21" s="9"/>
      <c r="B21" s="9" t="s">
        <v>20</v>
      </c>
      <c r="C21" s="9"/>
      <c r="D21" s="14"/>
      <c r="E21" s="10"/>
      <c r="F21" s="10"/>
      <c r="G21" s="10"/>
      <c r="H21" s="10"/>
      <c r="I21" s="10"/>
      <c r="J21" s="15">
        <f t="shared" si="0"/>
        <v>0</v>
      </c>
    </row>
    <row r="22" spans="1:10" x14ac:dyDescent="0.25">
      <c r="A22" s="9"/>
      <c r="B22" s="9" t="s">
        <v>21</v>
      </c>
      <c r="C22" s="9"/>
      <c r="D22" s="14"/>
      <c r="E22" s="10"/>
      <c r="F22" s="10"/>
      <c r="G22" s="10"/>
      <c r="H22" s="10"/>
      <c r="I22" s="10"/>
      <c r="J22" s="15">
        <f t="shared" si="0"/>
        <v>0</v>
      </c>
    </row>
    <row r="23" spans="1:10" x14ac:dyDescent="0.25">
      <c r="A23" s="9"/>
      <c r="B23" s="9" t="s">
        <v>22</v>
      </c>
      <c r="C23" s="9"/>
      <c r="D23" s="17"/>
      <c r="E23" s="10"/>
      <c r="F23" s="18"/>
      <c r="G23" s="10"/>
      <c r="H23" s="18"/>
      <c r="I23" s="10"/>
      <c r="J23" s="15">
        <f t="shared" si="0"/>
        <v>0</v>
      </c>
    </row>
    <row r="24" spans="1:10" ht="15.75" thickBot="1" x14ac:dyDescent="0.3">
      <c r="A24" s="11" t="s">
        <v>23</v>
      </c>
      <c r="B24" s="9"/>
      <c r="C24" s="9"/>
      <c r="D24" s="19">
        <f>SUM(D9:D23)</f>
        <v>15488246</v>
      </c>
      <c r="E24" s="13"/>
      <c r="F24" s="20">
        <f>SUM(F9:F23)</f>
        <v>0</v>
      </c>
      <c r="G24" s="13"/>
      <c r="H24" s="20">
        <f>SUM(H9:H23)</f>
        <v>0</v>
      </c>
      <c r="I24" s="13"/>
      <c r="J24" s="20">
        <f>SUM(J9:J23)</f>
        <v>15488246</v>
      </c>
    </row>
    <row r="25" spans="1:10" ht="15.75" thickTop="1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</row>
    <row r="26" spans="1:10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</row>
    <row r="27" spans="1:10" ht="16.5" x14ac:dyDescent="0.25">
      <c r="A27" s="21"/>
      <c r="B27" s="9"/>
      <c r="C27" s="9"/>
      <c r="D27" s="10"/>
      <c r="E27" s="10"/>
      <c r="F27" s="10"/>
      <c r="G27" s="10"/>
      <c r="H27" s="10"/>
      <c r="I27" s="10"/>
      <c r="J27" s="10"/>
    </row>
    <row r="28" spans="1:10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</row>
    <row r="29" spans="1:10" ht="16.5" x14ac:dyDescent="0.25">
      <c r="A29" s="21"/>
      <c r="B29" s="9"/>
      <c r="C29" s="9"/>
      <c r="D29" s="10"/>
      <c r="E29" s="10"/>
      <c r="F29" s="10"/>
      <c r="G29" s="10"/>
      <c r="H29" s="10"/>
      <c r="I29" s="10"/>
      <c r="J29" s="10"/>
    </row>
    <row r="30" spans="1:10" x14ac:dyDescent="0.25">
      <c r="A30" s="9"/>
      <c r="B30" s="9"/>
      <c r="C30" s="9"/>
      <c r="D30" s="10"/>
      <c r="E30" s="10"/>
      <c r="F30" s="10"/>
      <c r="G30" s="10"/>
      <c r="H30" s="10"/>
      <c r="I30" s="10"/>
      <c r="J30" s="10"/>
    </row>
    <row r="31" spans="1:10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</row>
    <row r="32" spans="1:10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0A16-BE7C-494D-99E3-4178EE4A06AF}">
  <sheetPr>
    <pageSetUpPr fitToPage="1"/>
  </sheetPr>
  <dimension ref="A1:K33"/>
  <sheetViews>
    <sheetView workbookViewId="0">
      <selection activeCell="J7" sqref="J7"/>
    </sheetView>
  </sheetViews>
  <sheetFormatPr defaultRowHeight="15" x14ac:dyDescent="0.25"/>
  <cols>
    <col min="1" max="1" width="2.7109375" style="24" customWidth="1"/>
    <col min="2" max="2" width="50.85546875" style="24" customWidth="1"/>
    <col min="3" max="3" width="2.7109375" style="24" customWidth="1"/>
    <col min="4" max="4" width="17.28515625" style="25" customWidth="1"/>
    <col min="5" max="5" width="2.7109375" style="25" customWidth="1"/>
    <col min="6" max="6" width="15.7109375" style="25" customWidth="1"/>
    <col min="7" max="7" width="2.7109375" style="25" customWidth="1"/>
    <col min="8" max="8" width="15.7109375" style="25" customWidth="1"/>
    <col min="9" max="9" width="2.7109375" style="25" customWidth="1"/>
    <col min="10" max="10" width="20.7109375" style="25" customWidth="1"/>
    <col min="11" max="16384" width="9.140625" style="24"/>
  </cols>
  <sheetData>
    <row r="1" spans="1:1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x14ac:dyDescent="0.25">
      <c r="A3" s="22" t="s">
        <v>27</v>
      </c>
      <c r="B3" s="22"/>
      <c r="C3" s="22"/>
      <c r="D3" s="22"/>
      <c r="E3" s="22"/>
      <c r="F3" s="22"/>
      <c r="G3" s="22"/>
      <c r="H3" s="22"/>
      <c r="I3" s="22"/>
      <c r="J3" s="22"/>
    </row>
    <row r="4" spans="1:11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25</v>
      </c>
      <c r="K6" s="30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7</v>
      </c>
      <c r="B8" s="1"/>
      <c r="C8" s="1"/>
      <c r="D8" s="2"/>
      <c r="E8" s="2"/>
      <c r="F8" s="2"/>
      <c r="G8" s="2"/>
      <c r="H8" s="2"/>
      <c r="I8" s="2"/>
      <c r="J8" s="2"/>
    </row>
    <row r="9" spans="1:11" x14ac:dyDescent="0.25">
      <c r="A9" s="1"/>
      <c r="B9" s="1" t="s">
        <v>8</v>
      </c>
      <c r="C9" s="1"/>
      <c r="D9" s="29">
        <v>25958335.27</v>
      </c>
      <c r="E9" s="29"/>
      <c r="F9" s="29"/>
      <c r="G9" s="29"/>
      <c r="H9" s="29"/>
      <c r="I9" s="29"/>
      <c r="J9" s="27">
        <f>D9+F9-H9</f>
        <v>25958335.27</v>
      </c>
    </row>
    <row r="10" spans="1:11" x14ac:dyDescent="0.25">
      <c r="A10" s="1"/>
      <c r="B10" s="1" t="s">
        <v>9</v>
      </c>
      <c r="C10" s="1"/>
      <c r="D10" s="2">
        <v>2110900</v>
      </c>
      <c r="E10" s="2"/>
      <c r="F10" s="2"/>
      <c r="G10" s="2"/>
      <c r="H10" s="2"/>
      <c r="I10" s="2"/>
      <c r="J10" s="25">
        <f>D10+F10-H10</f>
        <v>2110900</v>
      </c>
    </row>
    <row r="11" spans="1:11" x14ac:dyDescent="0.25">
      <c r="A11" s="1"/>
      <c r="B11" s="1" t="s">
        <v>10</v>
      </c>
      <c r="C11" s="1"/>
      <c r="D11" s="2">
        <v>667754</v>
      </c>
      <c r="E11" s="2"/>
      <c r="F11" s="2"/>
      <c r="G11" s="2"/>
      <c r="H11" s="2"/>
      <c r="I11" s="2"/>
      <c r="J11" s="25">
        <f>D11+F11-H11</f>
        <v>667754</v>
      </c>
    </row>
    <row r="12" spans="1:11" ht="16.5" x14ac:dyDescent="0.25">
      <c r="A12" s="1"/>
      <c r="B12" s="1" t="s">
        <v>11</v>
      </c>
      <c r="C12" s="1"/>
      <c r="D12" s="2">
        <v>6079632.6699999999</v>
      </c>
      <c r="E12" s="28"/>
      <c r="F12" s="2"/>
      <c r="G12" s="2"/>
      <c r="H12" s="2"/>
      <c r="I12" s="28"/>
      <c r="J12" s="25">
        <f>D12+F12-H12</f>
        <v>6079632.6699999999</v>
      </c>
    </row>
    <row r="13" spans="1:11" x14ac:dyDescent="0.25">
      <c r="A13" s="1"/>
      <c r="B13" s="1" t="s">
        <v>12</v>
      </c>
      <c r="C13" s="1"/>
      <c r="D13" s="2">
        <v>0</v>
      </c>
      <c r="E13" s="2"/>
      <c r="F13" s="2"/>
      <c r="G13" s="2"/>
      <c r="H13" s="2"/>
      <c r="I13" s="2"/>
      <c r="J13" s="25">
        <f>D13+F13-H13</f>
        <v>0</v>
      </c>
    </row>
    <row r="14" spans="1:11" ht="16.5" x14ac:dyDescent="0.25">
      <c r="A14" s="1"/>
      <c r="B14" s="1" t="s">
        <v>13</v>
      </c>
      <c r="C14" s="1"/>
      <c r="D14" s="2">
        <v>324518.83000000007</v>
      </c>
      <c r="E14" s="28"/>
      <c r="F14" s="2"/>
      <c r="G14" s="2"/>
      <c r="H14" s="2"/>
      <c r="I14" s="2"/>
      <c r="J14" s="25">
        <f>D14+F14-H14</f>
        <v>324518.83000000007</v>
      </c>
    </row>
    <row r="15" spans="1:11" x14ac:dyDescent="0.25">
      <c r="A15" s="3" t="s">
        <v>14</v>
      </c>
      <c r="B15" s="1"/>
      <c r="C15" s="1"/>
      <c r="D15" s="2">
        <v>0</v>
      </c>
      <c r="E15" s="2"/>
      <c r="F15" s="2"/>
      <c r="G15" s="2"/>
      <c r="H15" s="2"/>
      <c r="I15" s="2"/>
      <c r="J15" s="25">
        <f>D15+F15-H15</f>
        <v>0</v>
      </c>
    </row>
    <row r="16" spans="1:11" x14ac:dyDescent="0.25">
      <c r="A16" s="1"/>
      <c r="B16" s="1" t="s">
        <v>15</v>
      </c>
      <c r="C16" s="1"/>
      <c r="D16" s="2">
        <v>762926.07</v>
      </c>
      <c r="E16" s="2"/>
      <c r="F16" s="2"/>
      <c r="G16" s="2"/>
      <c r="H16" s="2"/>
      <c r="I16" s="2"/>
      <c r="J16" s="25">
        <f>D16+F16-H16</f>
        <v>762926.07</v>
      </c>
    </row>
    <row r="17" spans="1:10" x14ac:dyDescent="0.25">
      <c r="A17" s="1"/>
      <c r="B17" s="1" t="s">
        <v>16</v>
      </c>
      <c r="C17" s="1"/>
      <c r="D17" s="2">
        <v>0</v>
      </c>
      <c r="E17" s="2"/>
      <c r="F17" s="2"/>
      <c r="G17" s="2"/>
      <c r="H17" s="2"/>
      <c r="I17" s="2"/>
      <c r="J17" s="25">
        <f>D17+F17-H17</f>
        <v>0</v>
      </c>
    </row>
    <row r="18" spans="1:10" x14ac:dyDescent="0.25">
      <c r="A18" s="1"/>
      <c r="B18" s="1" t="s">
        <v>17</v>
      </c>
      <c r="C18" s="1"/>
      <c r="D18" s="2">
        <v>5750</v>
      </c>
      <c r="E18" s="2"/>
      <c r="F18" s="2"/>
      <c r="G18" s="2"/>
      <c r="H18" s="2"/>
      <c r="I18" s="2"/>
      <c r="J18" s="25">
        <f>D18+F18-H18</f>
        <v>5750</v>
      </c>
    </row>
    <row r="19" spans="1:10" x14ac:dyDescent="0.25">
      <c r="A19" s="1"/>
      <c r="B19" s="1" t="s">
        <v>18</v>
      </c>
      <c r="C19" s="1"/>
      <c r="D19" s="2"/>
      <c r="E19" s="2"/>
      <c r="F19" s="2"/>
      <c r="G19" s="2"/>
      <c r="H19" s="2"/>
      <c r="I19" s="2"/>
      <c r="J19" s="25">
        <f>D19+F19-H19</f>
        <v>0</v>
      </c>
    </row>
    <row r="20" spans="1:10" x14ac:dyDescent="0.25">
      <c r="A20" s="1"/>
      <c r="B20" s="1" t="s">
        <v>19</v>
      </c>
      <c r="C20" s="1"/>
      <c r="D20" s="2"/>
      <c r="E20" s="2"/>
      <c r="F20" s="2"/>
      <c r="G20" s="2"/>
      <c r="H20" s="2"/>
      <c r="I20" s="2"/>
      <c r="J20" s="25">
        <f>D20+F20-H20</f>
        <v>0</v>
      </c>
    </row>
    <row r="21" spans="1:10" x14ac:dyDescent="0.25">
      <c r="A21" s="1"/>
      <c r="B21" s="1" t="s">
        <v>20</v>
      </c>
      <c r="C21" s="1"/>
      <c r="D21" s="2"/>
      <c r="E21" s="2"/>
      <c r="F21" s="2"/>
      <c r="G21" s="2"/>
      <c r="H21" s="2"/>
      <c r="I21" s="2"/>
      <c r="J21" s="25">
        <f>D21+F21-H21</f>
        <v>0</v>
      </c>
    </row>
    <row r="22" spans="1:10" x14ac:dyDescent="0.25">
      <c r="A22" s="1"/>
      <c r="B22" s="1" t="s">
        <v>21</v>
      </c>
      <c r="C22" s="1"/>
      <c r="D22" s="2"/>
      <c r="E22" s="2"/>
      <c r="F22" s="2"/>
      <c r="G22" s="2"/>
      <c r="H22" s="2"/>
      <c r="I22" s="2"/>
      <c r="J22" s="25">
        <f>D22+F22-H22</f>
        <v>0</v>
      </c>
    </row>
    <row r="23" spans="1:10" x14ac:dyDescent="0.25">
      <c r="A23" s="1"/>
      <c r="B23" s="1" t="s">
        <v>22</v>
      </c>
      <c r="C23" s="1"/>
      <c r="D23" s="17"/>
      <c r="E23" s="2"/>
      <c r="F23" s="17"/>
      <c r="G23" s="2"/>
      <c r="H23" s="17"/>
      <c r="I23" s="2"/>
      <c r="J23" s="25">
        <f>D23+F23-H23</f>
        <v>0</v>
      </c>
    </row>
    <row r="24" spans="1:10" ht="15.75" thickBot="1" x14ac:dyDescent="0.3">
      <c r="A24" s="3" t="s">
        <v>23</v>
      </c>
      <c r="B24" s="1"/>
      <c r="C24" s="1"/>
      <c r="D24" s="19">
        <f>SUM(D9:D23)</f>
        <v>35909816.839999996</v>
      </c>
      <c r="E24" s="27"/>
      <c r="F24" s="19">
        <f>SUM(F9:F23)</f>
        <v>0</v>
      </c>
      <c r="G24" s="27"/>
      <c r="H24" s="19">
        <f>SUM(H9:H23)</f>
        <v>0</v>
      </c>
      <c r="I24" s="27"/>
      <c r="J24" s="19">
        <f>SUM(J9:J23)</f>
        <v>35909816.839999996</v>
      </c>
    </row>
    <row r="25" spans="1:10" ht="15.75" thickTop="1" x14ac:dyDescent="0.25">
      <c r="A25" s="1"/>
      <c r="B25" s="1"/>
      <c r="C25" s="1"/>
      <c r="D25" s="2"/>
      <c r="E25" s="2"/>
      <c r="F25" s="2"/>
      <c r="G25" s="2"/>
      <c r="H25" s="2"/>
      <c r="I25" s="2"/>
      <c r="J25" s="2"/>
    </row>
    <row r="26" spans="1:10" x14ac:dyDescent="0.25">
      <c r="A26" s="1"/>
      <c r="B26" s="1"/>
      <c r="C26" s="1"/>
      <c r="D26" s="2"/>
      <c r="E26" s="2"/>
      <c r="F26" s="2"/>
      <c r="G26" s="2"/>
      <c r="H26" s="2"/>
      <c r="I26" s="2"/>
      <c r="J26" s="2"/>
    </row>
    <row r="27" spans="1:10" ht="16.5" x14ac:dyDescent="0.25">
      <c r="A27" s="26"/>
      <c r="B27" s="1"/>
      <c r="C27" s="1"/>
      <c r="D27" s="2"/>
      <c r="E27" s="2"/>
      <c r="F27" s="2"/>
      <c r="G27" s="2"/>
      <c r="H27" s="2"/>
      <c r="I27" s="2"/>
      <c r="J27" s="2"/>
    </row>
    <row r="28" spans="1:10" x14ac:dyDescent="0.25">
      <c r="A28" s="1"/>
      <c r="B28" s="1"/>
      <c r="C28" s="1"/>
      <c r="D28" s="2"/>
      <c r="E28" s="2"/>
      <c r="F28" s="2"/>
      <c r="G28" s="2"/>
      <c r="H28" s="2"/>
      <c r="I28" s="2"/>
      <c r="J28" s="2"/>
    </row>
    <row r="29" spans="1:10" ht="16.5" x14ac:dyDescent="0.25">
      <c r="A29" s="26"/>
      <c r="B29" s="1"/>
      <c r="C29" s="1"/>
      <c r="D29" s="2"/>
      <c r="E29" s="2"/>
      <c r="F29" s="2"/>
      <c r="G29" s="2"/>
      <c r="H29" s="2"/>
      <c r="I29" s="2"/>
      <c r="J29" s="2"/>
    </row>
    <row r="30" spans="1:10" ht="16.5" x14ac:dyDescent="0.25">
      <c r="A30" s="26"/>
      <c r="B30" s="1"/>
      <c r="C30" s="1"/>
      <c r="D30" s="2"/>
      <c r="E30" s="2"/>
      <c r="F30" s="2"/>
      <c r="G30" s="2"/>
      <c r="H30" s="2"/>
      <c r="I30" s="2"/>
      <c r="J30" s="2"/>
    </row>
    <row r="31" spans="1:10" ht="16.5" x14ac:dyDescent="0.25">
      <c r="A31" s="26"/>
      <c r="C31" s="1"/>
      <c r="D31" s="2"/>
      <c r="E31" s="2"/>
      <c r="F31" s="2"/>
      <c r="G31" s="2"/>
      <c r="H31" s="2"/>
      <c r="I31" s="2"/>
      <c r="J31" s="2"/>
    </row>
    <row r="32" spans="1:10" x14ac:dyDescent="0.25">
      <c r="B32" s="1"/>
      <c r="C32" s="1"/>
      <c r="D32" s="2"/>
      <c r="E32" s="2"/>
      <c r="F32" s="2"/>
      <c r="G32" s="2"/>
      <c r="H32" s="2"/>
      <c r="I32" s="2"/>
      <c r="J32" s="2"/>
    </row>
    <row r="33" spans="1:2" ht="16.5" x14ac:dyDescent="0.25">
      <c r="A33" s="26"/>
      <c r="B33" s="1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scale="97" orientation="landscape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60A4-DDF7-486D-A4C2-B3B259B97C3C}">
  <dimension ref="A1:K32"/>
  <sheetViews>
    <sheetView zoomScaleNormal="100" workbookViewId="0">
      <selection activeCell="N17" sqref="N1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</cols>
  <sheetData>
    <row r="1" spans="1:1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x14ac:dyDescent="0.25">
      <c r="A3" s="22" t="s">
        <v>28</v>
      </c>
      <c r="B3" s="22"/>
      <c r="C3" s="22"/>
      <c r="D3" s="22"/>
      <c r="E3" s="22"/>
      <c r="F3" s="22"/>
      <c r="G3" s="22"/>
      <c r="H3" s="22"/>
      <c r="I3" s="22"/>
      <c r="J3" s="22"/>
    </row>
    <row r="4" spans="1:11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25</v>
      </c>
      <c r="K6" s="7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7</v>
      </c>
      <c r="B8" s="1"/>
      <c r="C8" s="1"/>
      <c r="D8" s="2"/>
      <c r="E8" s="2"/>
      <c r="F8" s="2"/>
      <c r="G8" s="2"/>
      <c r="H8" s="2"/>
      <c r="I8" s="2"/>
      <c r="J8" s="2"/>
    </row>
    <row r="9" spans="1:11" x14ac:dyDescent="0.25">
      <c r="A9" s="1"/>
      <c r="B9" s="1" t="s">
        <v>8</v>
      </c>
      <c r="C9" s="1"/>
      <c r="D9" s="29">
        <v>605417</v>
      </c>
      <c r="E9" s="29"/>
      <c r="F9" s="29"/>
      <c r="G9" s="29"/>
      <c r="H9" s="29"/>
      <c r="I9" s="29"/>
      <c r="J9" s="27">
        <f>D9+F9-H9</f>
        <v>605417</v>
      </c>
    </row>
    <row r="10" spans="1:11" x14ac:dyDescent="0.25">
      <c r="A10" s="1"/>
      <c r="B10" s="1" t="s">
        <v>9</v>
      </c>
      <c r="C10" s="1"/>
      <c r="D10" s="2">
        <v>226357</v>
      </c>
      <c r="E10" s="2"/>
      <c r="F10" s="2"/>
      <c r="G10" s="2"/>
      <c r="H10" s="2"/>
      <c r="I10" s="2"/>
      <c r="J10" s="25">
        <f>D10+F10-H10</f>
        <v>226357</v>
      </c>
    </row>
    <row r="11" spans="1:11" x14ac:dyDescent="0.25">
      <c r="A11" s="1"/>
      <c r="B11" s="1" t="s">
        <v>10</v>
      </c>
      <c r="C11" s="1"/>
      <c r="D11" s="2">
        <v>3163253.4</v>
      </c>
      <c r="E11" s="2"/>
      <c r="F11" s="2"/>
      <c r="G11" s="2"/>
      <c r="H11" s="2"/>
      <c r="I11" s="2"/>
      <c r="J11" s="25">
        <f>D11+F11-H11</f>
        <v>3163253.4</v>
      </c>
    </row>
    <row r="12" spans="1:11" ht="16.5" x14ac:dyDescent="0.25">
      <c r="A12" s="1"/>
      <c r="B12" s="1" t="s">
        <v>11</v>
      </c>
      <c r="C12" s="1"/>
      <c r="D12" s="2">
        <v>586390.81999999995</v>
      </c>
      <c r="E12" s="28"/>
      <c r="F12" s="2"/>
      <c r="G12" s="2"/>
      <c r="H12" s="2"/>
      <c r="I12" s="2"/>
      <c r="J12" s="25">
        <f>D12+F12-H12</f>
        <v>586390.81999999995</v>
      </c>
    </row>
    <row r="13" spans="1:11" x14ac:dyDescent="0.25">
      <c r="A13" s="1"/>
      <c r="B13" s="1" t="s">
        <v>12</v>
      </c>
      <c r="C13" s="1"/>
      <c r="D13" s="2">
        <v>0</v>
      </c>
      <c r="E13" s="2"/>
      <c r="F13" s="2"/>
      <c r="G13" s="2"/>
      <c r="H13" s="2"/>
      <c r="I13" s="2"/>
      <c r="J13" s="25">
        <f>D13+F13-H13</f>
        <v>0</v>
      </c>
    </row>
    <row r="14" spans="1:11" ht="16.5" x14ac:dyDescent="0.25">
      <c r="A14" s="1"/>
      <c r="B14" s="1" t="s">
        <v>13</v>
      </c>
      <c r="C14" s="1"/>
      <c r="D14" s="2">
        <v>21188.35</v>
      </c>
      <c r="E14" s="28"/>
      <c r="F14" s="2"/>
      <c r="G14" s="2"/>
      <c r="H14" s="2"/>
      <c r="I14" s="2"/>
      <c r="J14" s="25">
        <f>D14+F14-H14</f>
        <v>21188.35</v>
      </c>
    </row>
    <row r="15" spans="1:11" x14ac:dyDescent="0.25">
      <c r="A15" s="3" t="s">
        <v>14</v>
      </c>
      <c r="B15" s="1"/>
      <c r="C15" s="1"/>
      <c r="D15" s="2"/>
      <c r="E15" s="2"/>
      <c r="F15" s="2"/>
      <c r="G15" s="2"/>
      <c r="H15" s="2"/>
      <c r="I15" s="2"/>
      <c r="J15" s="25">
        <f>D15+F15-H15</f>
        <v>0</v>
      </c>
    </row>
    <row r="16" spans="1:11" x14ac:dyDescent="0.25">
      <c r="A16" s="1"/>
      <c r="B16" s="1" t="s">
        <v>15</v>
      </c>
      <c r="C16" s="1"/>
      <c r="D16" s="2"/>
      <c r="E16" s="2"/>
      <c r="F16" s="2"/>
      <c r="G16" s="2"/>
      <c r="H16" s="2"/>
      <c r="I16" s="2"/>
      <c r="J16" s="25">
        <f>D16+F16-H16</f>
        <v>0</v>
      </c>
    </row>
    <row r="17" spans="1:10" x14ac:dyDescent="0.25">
      <c r="A17" s="1"/>
      <c r="B17" s="1" t="s">
        <v>16</v>
      </c>
      <c r="C17" s="1"/>
      <c r="D17" s="2"/>
      <c r="E17" s="2"/>
      <c r="F17" s="2"/>
      <c r="G17" s="2"/>
      <c r="H17" s="2"/>
      <c r="I17" s="2"/>
      <c r="J17" s="25">
        <f>D17+F17-H17</f>
        <v>0</v>
      </c>
    </row>
    <row r="18" spans="1:10" x14ac:dyDescent="0.25">
      <c r="A18" s="1"/>
      <c r="B18" s="1" t="s">
        <v>17</v>
      </c>
      <c r="C18" s="1"/>
      <c r="D18" s="2"/>
      <c r="E18" s="2"/>
      <c r="F18" s="2"/>
      <c r="G18" s="2"/>
      <c r="H18" s="2"/>
      <c r="I18" s="2"/>
      <c r="J18" s="25">
        <f>D18+F18-H18</f>
        <v>0</v>
      </c>
    </row>
    <row r="19" spans="1:10" x14ac:dyDescent="0.25">
      <c r="A19" s="1"/>
      <c r="B19" s="1" t="s">
        <v>18</v>
      </c>
      <c r="C19" s="1"/>
      <c r="D19" s="2"/>
      <c r="E19" s="2"/>
      <c r="F19" s="2"/>
      <c r="G19" s="2"/>
      <c r="H19" s="2"/>
      <c r="I19" s="2"/>
      <c r="J19" s="25">
        <f>D19+F19-H19</f>
        <v>0</v>
      </c>
    </row>
    <row r="20" spans="1:10" x14ac:dyDescent="0.25">
      <c r="A20" s="1"/>
      <c r="B20" s="1" t="s">
        <v>19</v>
      </c>
      <c r="C20" s="1"/>
      <c r="D20" s="2"/>
      <c r="E20" s="2"/>
      <c r="F20" s="2"/>
      <c r="G20" s="2"/>
      <c r="H20" s="2"/>
      <c r="I20" s="2"/>
      <c r="J20" s="25">
        <f>D20+F20-H20</f>
        <v>0</v>
      </c>
    </row>
    <row r="21" spans="1:10" x14ac:dyDescent="0.25">
      <c r="A21" s="1"/>
      <c r="B21" s="1" t="s">
        <v>20</v>
      </c>
      <c r="C21" s="1"/>
      <c r="D21" s="2"/>
      <c r="E21" s="2"/>
      <c r="F21" s="2"/>
      <c r="G21" s="2"/>
      <c r="H21" s="2"/>
      <c r="I21" s="2"/>
      <c r="J21" s="25">
        <f>D21+F21-H21</f>
        <v>0</v>
      </c>
    </row>
    <row r="22" spans="1:10" x14ac:dyDescent="0.25">
      <c r="A22" s="1"/>
      <c r="B22" s="1" t="s">
        <v>21</v>
      </c>
      <c r="C22" s="1"/>
      <c r="D22" s="2"/>
      <c r="E22" s="2"/>
      <c r="F22" s="2"/>
      <c r="G22" s="2"/>
      <c r="H22" s="2"/>
      <c r="I22" s="2"/>
      <c r="J22" s="25">
        <f>D22+F22-H22</f>
        <v>0</v>
      </c>
    </row>
    <row r="23" spans="1:10" x14ac:dyDescent="0.25">
      <c r="A23" s="1"/>
      <c r="B23" s="1" t="s">
        <v>22</v>
      </c>
      <c r="C23" s="1"/>
      <c r="D23" s="17"/>
      <c r="E23" s="2"/>
      <c r="F23" s="17"/>
      <c r="G23" s="2"/>
      <c r="H23" s="17"/>
      <c r="I23" s="2"/>
      <c r="J23" s="25">
        <f>D23+F23-H23</f>
        <v>0</v>
      </c>
    </row>
    <row r="24" spans="1:10" ht="15.75" thickBot="1" x14ac:dyDescent="0.3">
      <c r="A24" s="3" t="s">
        <v>23</v>
      </c>
      <c r="B24" s="1"/>
      <c r="C24" s="1"/>
      <c r="D24" s="19">
        <f>SUM(D9:D23)</f>
        <v>4602606.5699999994</v>
      </c>
      <c r="E24" s="27"/>
      <c r="F24" s="19">
        <f>SUM(F9:F23)</f>
        <v>0</v>
      </c>
      <c r="G24" s="27"/>
      <c r="H24" s="19">
        <f>SUM(H9:H23)</f>
        <v>0</v>
      </c>
      <c r="I24" s="27"/>
      <c r="J24" s="19">
        <f>SUM(J9:J23)</f>
        <v>4602606.5699999994</v>
      </c>
    </row>
    <row r="25" spans="1:10" ht="15.75" thickTop="1" x14ac:dyDescent="0.25">
      <c r="A25" s="1"/>
      <c r="B25" s="1"/>
      <c r="C25" s="1"/>
      <c r="D25" s="2"/>
      <c r="E25" s="2"/>
      <c r="F25" s="2"/>
      <c r="G25" s="2"/>
      <c r="H25" s="2"/>
      <c r="I25" s="2"/>
      <c r="J25" s="2"/>
    </row>
    <row r="26" spans="1:10" x14ac:dyDescent="0.25">
      <c r="A26" s="1"/>
      <c r="B26" s="1"/>
      <c r="C26" s="1"/>
      <c r="D26" s="2"/>
      <c r="E26" s="2"/>
      <c r="F26" s="2"/>
      <c r="G26" s="2"/>
      <c r="H26" s="2"/>
      <c r="I26" s="2"/>
      <c r="J26" s="2"/>
    </row>
    <row r="27" spans="1:10" ht="16.5" x14ac:dyDescent="0.25">
      <c r="A27" s="26"/>
      <c r="B27" s="1"/>
      <c r="C27" s="1"/>
      <c r="D27" s="2"/>
      <c r="E27" s="2"/>
      <c r="F27" s="2"/>
      <c r="G27" s="2"/>
      <c r="H27" s="2"/>
      <c r="I27" s="2"/>
      <c r="J27" s="2"/>
    </row>
    <row r="28" spans="1:10" x14ac:dyDescent="0.25">
      <c r="A28" s="1"/>
      <c r="B28" s="1"/>
      <c r="C28" s="1"/>
      <c r="D28" s="2"/>
      <c r="E28" s="2"/>
      <c r="F28" s="2"/>
      <c r="G28" s="2"/>
      <c r="H28" s="2"/>
      <c r="I28" s="2"/>
      <c r="J28" s="2"/>
    </row>
    <row r="29" spans="1:10" ht="16.5" x14ac:dyDescent="0.25">
      <c r="A29" s="26"/>
      <c r="B29" s="1"/>
      <c r="C29" s="1"/>
      <c r="D29" s="2"/>
      <c r="E29" s="2"/>
      <c r="F29" s="2"/>
      <c r="G29" s="2"/>
      <c r="H29" s="2"/>
      <c r="I29" s="2"/>
      <c r="J29" s="2"/>
    </row>
    <row r="30" spans="1:10" ht="16.5" x14ac:dyDescent="0.25">
      <c r="A30" s="26"/>
      <c r="B30" s="1"/>
      <c r="C30" s="1"/>
      <c r="D30" s="2"/>
      <c r="E30" s="2"/>
      <c r="F30" s="2"/>
      <c r="G30" s="2"/>
      <c r="H30" s="2"/>
      <c r="I30" s="2"/>
      <c r="J30" s="2"/>
    </row>
    <row r="31" spans="1:10" ht="16.5" x14ac:dyDescent="0.25">
      <c r="A31" s="26"/>
      <c r="B31" s="24"/>
      <c r="C31" s="1"/>
      <c r="D31" s="2"/>
      <c r="E31" s="2"/>
      <c r="F31" s="2"/>
      <c r="G31" s="2"/>
      <c r="H31" s="2"/>
      <c r="I31" s="2"/>
      <c r="J31" s="2"/>
    </row>
    <row r="32" spans="1:10" x14ac:dyDescent="0.25">
      <c r="A32" s="1"/>
      <c r="B32" s="1"/>
      <c r="C32" s="1"/>
      <c r="D32" s="2"/>
      <c r="E32" s="2"/>
      <c r="F32" s="2"/>
      <c r="G32" s="2"/>
      <c r="H32" s="2"/>
      <c r="I32" s="2"/>
      <c r="J32" s="2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scale="95" orientation="landscape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789B-8B79-433D-8A56-2659E2D4B2F1}">
  <sheetPr>
    <pageSetUpPr fitToPage="1"/>
  </sheetPr>
  <dimension ref="A1:L32"/>
  <sheetViews>
    <sheetView workbookViewId="0">
      <selection activeCell="M13" sqref="M13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</cols>
  <sheetData>
    <row r="1" spans="1:12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2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2" x14ac:dyDescent="0.25">
      <c r="A3" s="22" t="s">
        <v>29</v>
      </c>
      <c r="B3" s="22"/>
      <c r="C3" s="22"/>
      <c r="D3" s="22"/>
      <c r="E3" s="22"/>
      <c r="F3" s="22"/>
      <c r="G3" s="22"/>
      <c r="H3" s="22"/>
      <c r="I3" s="22"/>
      <c r="J3" s="22"/>
    </row>
    <row r="4" spans="1:12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2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2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25</v>
      </c>
      <c r="K6" s="7"/>
      <c r="L6" s="8"/>
    </row>
    <row r="7" spans="1:12" x14ac:dyDescent="0.25">
      <c r="A7" s="9"/>
      <c r="B7" s="9"/>
      <c r="C7" s="9"/>
      <c r="D7" s="10"/>
      <c r="E7" s="10"/>
      <c r="F7" s="10"/>
      <c r="G7" s="10"/>
      <c r="H7" s="10"/>
      <c r="I7" s="10"/>
      <c r="J7" s="10"/>
      <c r="L7" s="8"/>
    </row>
    <row r="8" spans="1:12" x14ac:dyDescent="0.25">
      <c r="A8" s="11" t="s">
        <v>7</v>
      </c>
      <c r="B8" s="9"/>
      <c r="C8" s="9"/>
      <c r="D8" s="10"/>
      <c r="E8" s="10"/>
      <c r="F8" s="10"/>
      <c r="G8" s="10"/>
      <c r="H8" s="10"/>
      <c r="I8" s="10"/>
      <c r="J8" s="10"/>
      <c r="L8" s="8"/>
    </row>
    <row r="9" spans="1:12" x14ac:dyDescent="0.25">
      <c r="A9" s="9"/>
      <c r="B9" s="9" t="s">
        <v>8</v>
      </c>
      <c r="C9" s="9"/>
      <c r="D9" s="12">
        <v>83441724.680000007</v>
      </c>
      <c r="E9" s="12"/>
      <c r="F9" s="12"/>
      <c r="G9" s="12"/>
      <c r="H9" s="12"/>
      <c r="I9" s="12"/>
      <c r="J9" s="13">
        <f>D9+F9-H9</f>
        <v>83441724.680000007</v>
      </c>
      <c r="L9" s="8"/>
    </row>
    <row r="10" spans="1:12" x14ac:dyDescent="0.25">
      <c r="A10" s="9"/>
      <c r="B10" s="9" t="s">
        <v>9</v>
      </c>
      <c r="C10" s="9"/>
      <c r="D10" s="10">
        <v>700000</v>
      </c>
      <c r="E10" s="10"/>
      <c r="F10" s="10"/>
      <c r="G10" s="10"/>
      <c r="H10" s="10"/>
      <c r="I10" s="10"/>
      <c r="J10" s="15">
        <f>D10+F10-H10</f>
        <v>700000</v>
      </c>
      <c r="L10" s="8"/>
    </row>
    <row r="11" spans="1:12" x14ac:dyDescent="0.25">
      <c r="A11" s="9"/>
      <c r="B11" s="9" t="s">
        <v>10</v>
      </c>
      <c r="C11" s="9"/>
      <c r="D11" s="10">
        <v>1891601.06</v>
      </c>
      <c r="E11" s="10"/>
      <c r="F11" s="10"/>
      <c r="G11" s="10"/>
      <c r="H11" s="10"/>
      <c r="I11" s="10"/>
      <c r="J11" s="15">
        <f>D11+F11-H11</f>
        <v>1891601.06</v>
      </c>
    </row>
    <row r="12" spans="1:12" x14ac:dyDescent="0.25">
      <c r="A12" s="9"/>
      <c r="B12" s="9" t="s">
        <v>11</v>
      </c>
      <c r="C12" s="9"/>
      <c r="D12" s="10">
        <v>33960.400000000001</v>
      </c>
      <c r="E12" s="10"/>
      <c r="F12" s="10"/>
      <c r="G12" s="10"/>
      <c r="H12" s="10"/>
      <c r="I12" s="10"/>
      <c r="J12" s="15">
        <f>D12+F12-H12</f>
        <v>33960.400000000001</v>
      </c>
    </row>
    <row r="13" spans="1:12" x14ac:dyDescent="0.25">
      <c r="A13" s="9"/>
      <c r="B13" s="9" t="s">
        <v>12</v>
      </c>
      <c r="C13" s="9"/>
      <c r="D13" s="10"/>
      <c r="E13" s="10"/>
      <c r="F13" s="10"/>
      <c r="G13" s="10"/>
      <c r="H13" s="10"/>
      <c r="I13" s="10"/>
      <c r="J13" s="15">
        <f>D13+F13-H13</f>
        <v>0</v>
      </c>
    </row>
    <row r="14" spans="1:12" x14ac:dyDescent="0.25">
      <c r="A14" s="9"/>
      <c r="B14" s="9" t="s">
        <v>13</v>
      </c>
      <c r="C14" s="9"/>
      <c r="D14" s="10"/>
      <c r="E14" s="10"/>
      <c r="F14" s="10"/>
      <c r="G14" s="10"/>
      <c r="H14" s="10"/>
      <c r="I14" s="10"/>
      <c r="J14" s="15">
        <f>D14+F14-H14</f>
        <v>0</v>
      </c>
    </row>
    <row r="15" spans="1:12" x14ac:dyDescent="0.25">
      <c r="A15" s="11" t="s">
        <v>14</v>
      </c>
      <c r="B15" s="9"/>
      <c r="C15" s="9"/>
      <c r="D15" s="10"/>
      <c r="E15" s="10"/>
      <c r="F15" s="10"/>
      <c r="G15" s="10"/>
      <c r="H15" s="10"/>
      <c r="I15" s="10"/>
      <c r="J15" s="15">
        <f>D15+F15-H15</f>
        <v>0</v>
      </c>
    </row>
    <row r="16" spans="1:12" x14ac:dyDescent="0.25">
      <c r="A16" s="9"/>
      <c r="B16" s="9" t="s">
        <v>15</v>
      </c>
      <c r="C16" s="9"/>
      <c r="D16" s="10"/>
      <c r="E16" s="10"/>
      <c r="F16" s="10"/>
      <c r="G16" s="10"/>
      <c r="H16" s="10"/>
      <c r="I16" s="10"/>
      <c r="J16" s="15">
        <f>D16+F16-H16</f>
        <v>0</v>
      </c>
    </row>
    <row r="17" spans="1:10" x14ac:dyDescent="0.25">
      <c r="A17" s="9"/>
      <c r="B17" s="9" t="s">
        <v>16</v>
      </c>
      <c r="C17" s="9"/>
      <c r="D17" s="10"/>
      <c r="E17" s="10"/>
      <c r="F17" s="10"/>
      <c r="G17" s="10"/>
      <c r="H17" s="10"/>
      <c r="I17" s="10"/>
      <c r="J17" s="15">
        <f>D17+F17-H17</f>
        <v>0</v>
      </c>
    </row>
    <row r="18" spans="1:10" x14ac:dyDescent="0.25">
      <c r="A18" s="9"/>
      <c r="B18" s="9" t="s">
        <v>17</v>
      </c>
      <c r="C18" s="9"/>
      <c r="D18" s="10"/>
      <c r="E18" s="10"/>
      <c r="F18" s="10"/>
      <c r="G18" s="10"/>
      <c r="H18" s="10"/>
      <c r="I18" s="10"/>
      <c r="J18" s="15">
        <f>D18+F18-H18</f>
        <v>0</v>
      </c>
    </row>
    <row r="19" spans="1:10" x14ac:dyDescent="0.25">
      <c r="A19" s="9"/>
      <c r="B19" s="9" t="s">
        <v>18</v>
      </c>
      <c r="C19" s="9"/>
      <c r="D19" s="10"/>
      <c r="E19" s="10"/>
      <c r="F19" s="10"/>
      <c r="G19" s="10"/>
      <c r="H19" s="10"/>
      <c r="I19" s="10"/>
      <c r="J19" s="15">
        <f>D19+F19-H19</f>
        <v>0</v>
      </c>
    </row>
    <row r="20" spans="1:10" x14ac:dyDescent="0.25">
      <c r="A20" s="9"/>
      <c r="B20" s="9" t="s">
        <v>19</v>
      </c>
      <c r="C20" s="9"/>
      <c r="D20" s="10"/>
      <c r="E20" s="10"/>
      <c r="F20" s="10"/>
      <c r="G20" s="10"/>
      <c r="H20" s="10"/>
      <c r="I20" s="10"/>
      <c r="J20" s="15">
        <f>D20+F20-H20</f>
        <v>0</v>
      </c>
    </row>
    <row r="21" spans="1:10" x14ac:dyDescent="0.25">
      <c r="A21" s="9"/>
      <c r="B21" s="9" t="s">
        <v>20</v>
      </c>
      <c r="C21" s="9"/>
      <c r="D21" s="10"/>
      <c r="E21" s="10"/>
      <c r="F21" s="10"/>
      <c r="G21" s="10"/>
      <c r="H21" s="10"/>
      <c r="I21" s="10"/>
      <c r="J21" s="15">
        <f>D21+F21-H21</f>
        <v>0</v>
      </c>
    </row>
    <row r="22" spans="1:10" x14ac:dyDescent="0.25">
      <c r="A22" s="9"/>
      <c r="B22" s="9" t="s">
        <v>21</v>
      </c>
      <c r="C22" s="9"/>
      <c r="D22" s="10"/>
      <c r="E22" s="10"/>
      <c r="F22" s="10"/>
      <c r="G22" s="10"/>
      <c r="H22" s="10"/>
      <c r="I22" s="10"/>
      <c r="J22" s="15">
        <f>D22+F22-H22</f>
        <v>0</v>
      </c>
    </row>
    <row r="23" spans="1:10" x14ac:dyDescent="0.25">
      <c r="A23" s="9"/>
      <c r="B23" s="9" t="s">
        <v>22</v>
      </c>
      <c r="C23" s="9"/>
      <c r="D23" s="18"/>
      <c r="E23" s="10"/>
      <c r="F23" s="18"/>
      <c r="G23" s="10"/>
      <c r="H23" s="18"/>
      <c r="I23" s="10"/>
      <c r="J23" s="15">
        <f>D23+F23-H23</f>
        <v>0</v>
      </c>
    </row>
    <row r="24" spans="1:10" ht="15.75" thickBot="1" x14ac:dyDescent="0.3">
      <c r="A24" s="11" t="s">
        <v>23</v>
      </c>
      <c r="B24" s="9"/>
      <c r="C24" s="9"/>
      <c r="D24" s="31">
        <f>SUM(D9:D23)</f>
        <v>86067286.140000015</v>
      </c>
      <c r="E24" s="13"/>
      <c r="F24" s="20">
        <f>SUM(F9:F23)</f>
        <v>0</v>
      </c>
      <c r="G24" s="13"/>
      <c r="H24" s="20">
        <f>SUM(H9:H23)</f>
        <v>0</v>
      </c>
      <c r="I24" s="13"/>
      <c r="J24" s="20">
        <f>SUM(J9:J23)</f>
        <v>86067286.140000015</v>
      </c>
    </row>
    <row r="25" spans="1:10" ht="15.75" thickTop="1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</row>
    <row r="26" spans="1:10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</row>
    <row r="27" spans="1:10" ht="16.5" x14ac:dyDescent="0.25">
      <c r="A27" s="21"/>
      <c r="B27" s="9"/>
      <c r="C27" s="9"/>
      <c r="D27" s="10"/>
      <c r="E27" s="10"/>
      <c r="F27" s="10"/>
      <c r="G27" s="10"/>
      <c r="H27" s="10"/>
      <c r="I27" s="10"/>
      <c r="J27" s="10"/>
    </row>
    <row r="28" spans="1:10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</row>
    <row r="29" spans="1:10" ht="16.5" x14ac:dyDescent="0.25">
      <c r="A29" s="21"/>
      <c r="B29" s="9"/>
      <c r="C29" s="9"/>
      <c r="D29" s="10"/>
      <c r="E29" s="10"/>
      <c r="F29" s="10"/>
      <c r="G29" s="10"/>
      <c r="H29" s="10"/>
      <c r="I29" s="10"/>
      <c r="J29" s="10"/>
    </row>
    <row r="30" spans="1:10" x14ac:dyDescent="0.25">
      <c r="A30" s="9"/>
      <c r="B30" s="9"/>
      <c r="C30" s="9"/>
      <c r="D30" s="10"/>
      <c r="E30" s="10"/>
      <c r="F30" s="10"/>
      <c r="G30" s="10"/>
      <c r="H30" s="10"/>
      <c r="I30" s="10"/>
      <c r="J30" s="10"/>
    </row>
    <row r="31" spans="1:10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</row>
    <row r="32" spans="1:10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A675-7837-428D-AE68-D0E0FDCBF1CF}">
  <dimension ref="A1:L32"/>
  <sheetViews>
    <sheetView workbookViewId="0">
      <selection activeCell="B25" sqref="B25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</cols>
  <sheetData>
    <row r="1" spans="1:12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2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2" x14ac:dyDescent="0.25">
      <c r="A3" s="22" t="s">
        <v>30</v>
      </c>
      <c r="B3" s="22"/>
      <c r="C3" s="22"/>
      <c r="D3" s="22"/>
      <c r="E3" s="22"/>
      <c r="F3" s="22"/>
      <c r="G3" s="22"/>
      <c r="H3" s="22"/>
      <c r="I3" s="22"/>
      <c r="J3" s="22"/>
    </row>
    <row r="4" spans="1:12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2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2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25</v>
      </c>
      <c r="K6" s="7"/>
      <c r="L6" s="8"/>
    </row>
    <row r="7" spans="1:12" x14ac:dyDescent="0.25">
      <c r="A7" s="9"/>
      <c r="B7" s="9"/>
      <c r="C7" s="9"/>
      <c r="D7" s="10"/>
      <c r="E7" s="10"/>
      <c r="F7" s="10"/>
      <c r="G7" s="10"/>
      <c r="H7" s="10"/>
      <c r="I7" s="10"/>
      <c r="J7" s="10"/>
      <c r="L7" s="8"/>
    </row>
    <row r="8" spans="1:12" x14ac:dyDescent="0.25">
      <c r="A8" s="11" t="s">
        <v>7</v>
      </c>
      <c r="B8" s="9"/>
      <c r="C8" s="9"/>
      <c r="D8" s="10"/>
      <c r="E8" s="10"/>
      <c r="F8" s="10"/>
      <c r="G8" s="10"/>
      <c r="H8" s="10"/>
      <c r="I8" s="10"/>
      <c r="J8" s="10"/>
      <c r="L8" s="8"/>
    </row>
    <row r="9" spans="1:12" x14ac:dyDescent="0.25">
      <c r="A9" s="9"/>
      <c r="B9" s="9" t="s">
        <v>8</v>
      </c>
      <c r="C9" s="9"/>
      <c r="D9" s="12">
        <v>23472034.870000001</v>
      </c>
      <c r="E9" s="12"/>
      <c r="F9" s="12"/>
      <c r="G9" s="12"/>
      <c r="H9" s="12"/>
      <c r="I9" s="12"/>
      <c r="J9" s="13">
        <f>D9+F9-H9</f>
        <v>23472034.870000001</v>
      </c>
      <c r="L9" s="8"/>
    </row>
    <row r="10" spans="1:12" x14ac:dyDescent="0.25">
      <c r="A10" s="9"/>
      <c r="B10" s="9" t="s">
        <v>9</v>
      </c>
      <c r="C10" s="9"/>
      <c r="D10" s="10">
        <v>321300</v>
      </c>
      <c r="E10" s="10"/>
      <c r="F10" s="10"/>
      <c r="G10" s="10"/>
      <c r="H10" s="10"/>
      <c r="I10" s="10"/>
      <c r="J10" s="15">
        <f>D10+F10-H10</f>
        <v>321300</v>
      </c>
      <c r="L10" s="8"/>
    </row>
    <row r="11" spans="1:12" x14ac:dyDescent="0.25">
      <c r="A11" s="9"/>
      <c r="B11" s="9" t="s">
        <v>10</v>
      </c>
      <c r="C11" s="9"/>
      <c r="D11" s="10"/>
      <c r="E11" s="10"/>
      <c r="F11" s="10"/>
      <c r="G11" s="10"/>
      <c r="H11" s="10"/>
      <c r="I11" s="10"/>
      <c r="J11" s="15">
        <f>D11+F11-H11</f>
        <v>0</v>
      </c>
    </row>
    <row r="12" spans="1:12" x14ac:dyDescent="0.25">
      <c r="A12" s="9"/>
      <c r="B12" s="9" t="s">
        <v>11</v>
      </c>
      <c r="C12" s="9"/>
      <c r="D12" s="10">
        <v>163782.39000000001</v>
      </c>
      <c r="E12" s="10"/>
      <c r="F12" s="10"/>
      <c r="G12" s="10"/>
      <c r="H12" s="10"/>
      <c r="I12" s="10"/>
      <c r="J12" s="15">
        <f>D12+F12-H12</f>
        <v>163782.39000000001</v>
      </c>
    </row>
    <row r="13" spans="1:12" x14ac:dyDescent="0.25">
      <c r="A13" s="9"/>
      <c r="B13" s="9" t="s">
        <v>12</v>
      </c>
      <c r="C13" s="9"/>
      <c r="D13" s="10"/>
      <c r="E13" s="10"/>
      <c r="F13" s="10"/>
      <c r="G13" s="10"/>
      <c r="H13" s="10"/>
      <c r="I13" s="10"/>
      <c r="J13" s="15">
        <f>D13+F13-H13</f>
        <v>0</v>
      </c>
    </row>
    <row r="14" spans="1:12" x14ac:dyDescent="0.25">
      <c r="A14" s="9"/>
      <c r="B14" s="9" t="s">
        <v>13</v>
      </c>
      <c r="C14" s="9"/>
      <c r="D14" s="10"/>
      <c r="E14" s="10"/>
      <c r="F14" s="10"/>
      <c r="G14" s="10"/>
      <c r="H14" s="10"/>
      <c r="I14" s="10"/>
      <c r="J14" s="15">
        <f>D14+F14-H14</f>
        <v>0</v>
      </c>
    </row>
    <row r="15" spans="1:12" x14ac:dyDescent="0.25">
      <c r="A15" s="11" t="s">
        <v>14</v>
      </c>
      <c r="B15" s="9"/>
      <c r="C15" s="9"/>
      <c r="D15" s="10"/>
      <c r="E15" s="10"/>
      <c r="F15" s="10"/>
      <c r="G15" s="10"/>
      <c r="H15" s="10"/>
      <c r="I15" s="10"/>
      <c r="J15" s="15">
        <f>D15+F15-H15</f>
        <v>0</v>
      </c>
    </row>
    <row r="16" spans="1:12" x14ac:dyDescent="0.25">
      <c r="A16" s="9"/>
      <c r="B16" s="9" t="s">
        <v>15</v>
      </c>
      <c r="C16" s="9"/>
      <c r="D16" s="10"/>
      <c r="E16" s="10"/>
      <c r="F16" s="10"/>
      <c r="G16" s="10"/>
      <c r="H16" s="10"/>
      <c r="I16" s="10"/>
      <c r="J16" s="15">
        <f>D16+F16-H16</f>
        <v>0</v>
      </c>
    </row>
    <row r="17" spans="1:10" x14ac:dyDescent="0.25">
      <c r="A17" s="9"/>
      <c r="B17" s="9" t="s">
        <v>16</v>
      </c>
      <c r="C17" s="9"/>
      <c r="D17" s="10"/>
      <c r="E17" s="10"/>
      <c r="F17" s="10"/>
      <c r="G17" s="10"/>
      <c r="H17" s="10"/>
      <c r="I17" s="10"/>
      <c r="J17" s="15">
        <f>D17+F17-H17</f>
        <v>0</v>
      </c>
    </row>
    <row r="18" spans="1:10" x14ac:dyDescent="0.25">
      <c r="A18" s="9"/>
      <c r="B18" s="9" t="s">
        <v>17</v>
      </c>
      <c r="C18" s="9"/>
      <c r="D18" s="10"/>
      <c r="E18" s="10"/>
      <c r="F18" s="10"/>
      <c r="G18" s="10"/>
      <c r="H18" s="10"/>
      <c r="I18" s="10"/>
      <c r="J18" s="15">
        <f>D18+F18-H18</f>
        <v>0</v>
      </c>
    </row>
    <row r="19" spans="1:10" x14ac:dyDescent="0.25">
      <c r="A19" s="9"/>
      <c r="B19" s="9" t="s">
        <v>18</v>
      </c>
      <c r="C19" s="9"/>
      <c r="D19" s="10"/>
      <c r="E19" s="10"/>
      <c r="F19" s="10"/>
      <c r="G19" s="10"/>
      <c r="H19" s="10"/>
      <c r="I19" s="10"/>
      <c r="J19" s="15">
        <f>D19+F19-H19</f>
        <v>0</v>
      </c>
    </row>
    <row r="20" spans="1:10" x14ac:dyDescent="0.25">
      <c r="A20" s="9"/>
      <c r="B20" s="9" t="s">
        <v>19</v>
      </c>
      <c r="C20" s="9"/>
      <c r="D20" s="10"/>
      <c r="E20" s="10"/>
      <c r="F20" s="10"/>
      <c r="G20" s="10"/>
      <c r="H20" s="10"/>
      <c r="I20" s="10"/>
      <c r="J20" s="15">
        <f>D20+F20-H20</f>
        <v>0</v>
      </c>
    </row>
    <row r="21" spans="1:10" x14ac:dyDescent="0.25">
      <c r="A21" s="9"/>
      <c r="B21" s="9" t="s">
        <v>20</v>
      </c>
      <c r="C21" s="9"/>
      <c r="D21" s="10"/>
      <c r="E21" s="10"/>
      <c r="F21" s="10"/>
      <c r="G21" s="10"/>
      <c r="H21" s="10"/>
      <c r="I21" s="10"/>
      <c r="J21" s="15">
        <f>D21+F21-H21</f>
        <v>0</v>
      </c>
    </row>
    <row r="22" spans="1:10" x14ac:dyDescent="0.25">
      <c r="A22" s="9"/>
      <c r="B22" s="9" t="s">
        <v>21</v>
      </c>
      <c r="C22" s="9"/>
      <c r="D22" s="10"/>
      <c r="E22" s="10"/>
      <c r="F22" s="10"/>
      <c r="G22" s="10"/>
      <c r="H22" s="10"/>
      <c r="I22" s="10"/>
      <c r="J22" s="15">
        <f>D22+F22-H22</f>
        <v>0</v>
      </c>
    </row>
    <row r="23" spans="1:10" x14ac:dyDescent="0.25">
      <c r="A23" s="9"/>
      <c r="B23" s="9" t="s">
        <v>22</v>
      </c>
      <c r="C23" s="9"/>
      <c r="D23" s="18"/>
      <c r="E23" s="10"/>
      <c r="F23" s="18"/>
      <c r="G23" s="10"/>
      <c r="H23" s="18"/>
      <c r="I23" s="10"/>
      <c r="J23" s="15">
        <f>D23+F23-H23</f>
        <v>0</v>
      </c>
    </row>
    <row r="24" spans="1:10" ht="15.75" thickBot="1" x14ac:dyDescent="0.3">
      <c r="A24" s="11" t="s">
        <v>23</v>
      </c>
      <c r="B24" s="9"/>
      <c r="C24" s="9"/>
      <c r="D24" s="20">
        <f>SUM(D9:D23)</f>
        <v>23957117.260000002</v>
      </c>
      <c r="E24" s="13"/>
      <c r="F24" s="20">
        <f>SUM(F9:F23)</f>
        <v>0</v>
      </c>
      <c r="G24" s="13"/>
      <c r="H24" s="20">
        <f>SUM(H9:H23)</f>
        <v>0</v>
      </c>
      <c r="I24" s="13"/>
      <c r="J24" s="20">
        <f>SUM(J9:J23)</f>
        <v>23957117.260000002</v>
      </c>
    </row>
    <row r="25" spans="1:10" ht="15.75" thickTop="1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</row>
    <row r="26" spans="1:10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</row>
    <row r="27" spans="1:10" ht="16.5" x14ac:dyDescent="0.25">
      <c r="A27" s="21"/>
      <c r="B27" s="9"/>
      <c r="C27" s="9"/>
      <c r="D27" s="10"/>
      <c r="E27" s="10"/>
      <c r="F27" s="10"/>
      <c r="G27" s="10"/>
      <c r="H27" s="10"/>
      <c r="I27" s="10"/>
      <c r="J27" s="10"/>
    </row>
    <row r="28" spans="1:10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</row>
    <row r="29" spans="1:10" ht="16.5" x14ac:dyDescent="0.25">
      <c r="A29" s="21"/>
      <c r="B29" s="9"/>
      <c r="C29" s="9"/>
      <c r="D29" s="10"/>
      <c r="E29" s="10"/>
      <c r="F29" s="10"/>
      <c r="G29" s="10"/>
      <c r="H29" s="10"/>
      <c r="I29" s="10"/>
      <c r="J29" s="10"/>
    </row>
    <row r="30" spans="1:10" x14ac:dyDescent="0.25">
      <c r="A30" s="9"/>
      <c r="B30" s="9"/>
      <c r="C30" s="9"/>
      <c r="D30" s="10"/>
      <c r="E30" s="10"/>
      <c r="F30" s="10"/>
      <c r="G30" s="10"/>
      <c r="H30" s="10"/>
      <c r="I30" s="10"/>
      <c r="J30" s="10"/>
    </row>
    <row r="31" spans="1:10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</row>
    <row r="32" spans="1:10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BFA1-A122-4FE8-98C5-E076FF7246AF}">
  <dimension ref="A1:L32"/>
  <sheetViews>
    <sheetView workbookViewId="0">
      <selection activeCell="S19" sqref="S19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</cols>
  <sheetData>
    <row r="1" spans="1:12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2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2" x14ac:dyDescent="0.25">
      <c r="A3" s="22" t="s">
        <v>32</v>
      </c>
      <c r="B3" s="22"/>
      <c r="C3" s="22"/>
      <c r="D3" s="22"/>
      <c r="E3" s="22"/>
      <c r="F3" s="22"/>
      <c r="G3" s="22"/>
      <c r="H3" s="22"/>
      <c r="I3" s="22"/>
      <c r="J3" s="22"/>
    </row>
    <row r="4" spans="1:12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2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2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31</v>
      </c>
      <c r="K6" s="7"/>
      <c r="L6" s="8"/>
    </row>
    <row r="7" spans="1:12" x14ac:dyDescent="0.25">
      <c r="A7" s="9"/>
      <c r="B7" s="9"/>
      <c r="C7" s="9"/>
      <c r="D7" s="10"/>
      <c r="E7" s="10"/>
      <c r="F7" s="10"/>
      <c r="G7" s="10"/>
      <c r="H7" s="10"/>
      <c r="I7" s="10"/>
      <c r="J7" s="10"/>
      <c r="L7" s="8"/>
    </row>
    <row r="8" spans="1:12" x14ac:dyDescent="0.25">
      <c r="A8" s="11" t="s">
        <v>7</v>
      </c>
      <c r="B8" s="9"/>
      <c r="C8" s="9"/>
      <c r="D8" s="10"/>
      <c r="E8" s="10"/>
      <c r="F8" s="10"/>
      <c r="G8" s="10"/>
      <c r="H8" s="10"/>
      <c r="I8" s="10"/>
      <c r="J8" s="10"/>
      <c r="L8" s="8"/>
    </row>
    <row r="9" spans="1:12" x14ac:dyDescent="0.25">
      <c r="A9" s="9"/>
      <c r="B9" s="9" t="s">
        <v>8</v>
      </c>
      <c r="C9" s="9"/>
      <c r="D9" s="12">
        <v>128807194.61</v>
      </c>
      <c r="E9" s="12"/>
      <c r="F9" s="12"/>
      <c r="G9" s="12"/>
      <c r="H9" s="12"/>
      <c r="I9" s="12"/>
      <c r="J9" s="13">
        <f>D9+F9-H9</f>
        <v>128807194.61</v>
      </c>
      <c r="L9" s="8"/>
    </row>
    <row r="10" spans="1:12" x14ac:dyDescent="0.25">
      <c r="A10" s="9"/>
      <c r="B10" s="9" t="s">
        <v>9</v>
      </c>
      <c r="C10" s="9"/>
      <c r="D10" s="10">
        <v>0</v>
      </c>
      <c r="E10" s="10"/>
      <c r="F10" s="10"/>
      <c r="G10" s="10"/>
      <c r="H10" s="10"/>
      <c r="I10" s="10"/>
      <c r="J10" s="15">
        <f>D10+F10-H10</f>
        <v>0</v>
      </c>
    </row>
    <row r="11" spans="1:12" x14ac:dyDescent="0.25">
      <c r="A11" s="9"/>
      <c r="B11" s="9" t="s">
        <v>10</v>
      </c>
      <c r="C11" s="9"/>
      <c r="D11" s="10">
        <v>0</v>
      </c>
      <c r="E11" s="10"/>
      <c r="F11" s="10"/>
      <c r="G11" s="10"/>
      <c r="H11" s="10"/>
      <c r="I11" s="10"/>
      <c r="J11" s="15">
        <f>D11+F11-H11</f>
        <v>0</v>
      </c>
      <c r="L11" s="8"/>
    </row>
    <row r="12" spans="1:12" s="24" customFormat="1" ht="15" customHeight="1" x14ac:dyDescent="0.25">
      <c r="A12" s="1"/>
      <c r="B12" s="1" t="s">
        <v>11</v>
      </c>
      <c r="C12" s="1"/>
      <c r="D12" s="2">
        <v>37717.14</v>
      </c>
      <c r="E12" s="28"/>
      <c r="F12" s="2"/>
      <c r="G12" s="2"/>
      <c r="H12" s="2"/>
      <c r="I12" s="2"/>
      <c r="J12" s="25">
        <f>D12+F12-H12</f>
        <v>37717.14</v>
      </c>
      <c r="L12" s="33"/>
    </row>
    <row r="13" spans="1:12" x14ac:dyDescent="0.25">
      <c r="A13" s="9"/>
      <c r="B13" s="9" t="s">
        <v>12</v>
      </c>
      <c r="C13" s="9"/>
      <c r="D13" s="10">
        <v>0</v>
      </c>
      <c r="E13" s="10"/>
      <c r="F13" s="10"/>
      <c r="G13" s="10"/>
      <c r="H13" s="10"/>
      <c r="I13" s="10"/>
      <c r="J13" s="15">
        <f>D13+F13-H13</f>
        <v>0</v>
      </c>
      <c r="L13" s="32"/>
    </row>
    <row r="14" spans="1:12" x14ac:dyDescent="0.25">
      <c r="A14" s="9"/>
      <c r="B14" s="9" t="s">
        <v>13</v>
      </c>
      <c r="C14" s="9"/>
      <c r="D14" s="10">
        <v>0</v>
      </c>
      <c r="E14" s="10"/>
      <c r="F14" s="10"/>
      <c r="G14" s="10"/>
      <c r="H14" s="10"/>
      <c r="I14" s="10"/>
      <c r="J14" s="15">
        <f>D14+F14-H14</f>
        <v>0</v>
      </c>
    </row>
    <row r="15" spans="1:12" x14ac:dyDescent="0.25">
      <c r="A15" s="11" t="s">
        <v>14</v>
      </c>
      <c r="B15" s="9"/>
      <c r="C15" s="9"/>
      <c r="D15" s="10">
        <v>0</v>
      </c>
      <c r="E15" s="10"/>
      <c r="F15" s="10"/>
      <c r="G15" s="10"/>
      <c r="H15" s="10"/>
      <c r="I15" s="10"/>
      <c r="J15" s="15">
        <f>D15+F15-H15</f>
        <v>0</v>
      </c>
    </row>
    <row r="16" spans="1:12" x14ac:dyDescent="0.25">
      <c r="A16" s="9"/>
      <c r="B16" s="9" t="s">
        <v>15</v>
      </c>
      <c r="C16" s="9"/>
      <c r="D16" s="10">
        <v>3548.92</v>
      </c>
      <c r="E16" s="10"/>
      <c r="F16" s="10"/>
      <c r="G16" s="10"/>
      <c r="H16" s="10"/>
      <c r="I16" s="10"/>
      <c r="J16" s="15">
        <f>D16+F16-H16</f>
        <v>3548.92</v>
      </c>
    </row>
    <row r="17" spans="1:10" x14ac:dyDescent="0.25">
      <c r="A17" s="9"/>
      <c r="B17" s="9" t="s">
        <v>16</v>
      </c>
      <c r="C17" s="9"/>
      <c r="D17" s="10"/>
      <c r="E17" s="10"/>
      <c r="F17" s="10"/>
      <c r="G17" s="10"/>
      <c r="H17" s="10"/>
      <c r="I17" s="10"/>
      <c r="J17" s="15">
        <f>D17+F17-H17</f>
        <v>0</v>
      </c>
    </row>
    <row r="18" spans="1:10" x14ac:dyDescent="0.25">
      <c r="A18" s="9"/>
      <c r="B18" s="9" t="s">
        <v>17</v>
      </c>
      <c r="C18" s="9"/>
      <c r="D18" s="10"/>
      <c r="E18" s="10"/>
      <c r="F18" s="10"/>
      <c r="G18" s="10"/>
      <c r="H18" s="10"/>
      <c r="I18" s="10"/>
      <c r="J18" s="15">
        <f>D18+F18-H18</f>
        <v>0</v>
      </c>
    </row>
    <row r="19" spans="1:10" x14ac:dyDescent="0.25">
      <c r="A19" s="9"/>
      <c r="B19" s="9" t="s">
        <v>18</v>
      </c>
      <c r="C19" s="9"/>
      <c r="D19" s="10"/>
      <c r="E19" s="10"/>
      <c r="F19" s="10"/>
      <c r="G19" s="10"/>
      <c r="H19" s="10"/>
      <c r="I19" s="10"/>
      <c r="J19" s="15">
        <f>D19+F19-H19</f>
        <v>0</v>
      </c>
    </row>
    <row r="20" spans="1:10" x14ac:dyDescent="0.25">
      <c r="A20" s="9"/>
      <c r="B20" s="9" t="s">
        <v>19</v>
      </c>
      <c r="C20" s="9"/>
      <c r="D20" s="10"/>
      <c r="E20" s="10"/>
      <c r="F20" s="10"/>
      <c r="G20" s="10"/>
      <c r="H20" s="10"/>
      <c r="I20" s="10"/>
      <c r="J20" s="15">
        <f>D20+F20-H20</f>
        <v>0</v>
      </c>
    </row>
    <row r="21" spans="1:10" x14ac:dyDescent="0.25">
      <c r="A21" s="9"/>
      <c r="B21" s="9" t="s">
        <v>20</v>
      </c>
      <c r="C21" s="9"/>
      <c r="D21" s="10"/>
      <c r="E21" s="10"/>
      <c r="F21" s="10"/>
      <c r="G21" s="10"/>
      <c r="H21" s="10"/>
      <c r="I21" s="10"/>
      <c r="J21" s="15">
        <f>D21+F21-H21</f>
        <v>0</v>
      </c>
    </row>
    <row r="22" spans="1:10" x14ac:dyDescent="0.25">
      <c r="A22" s="9"/>
      <c r="B22" s="9" t="s">
        <v>21</v>
      </c>
      <c r="C22" s="9"/>
      <c r="D22" s="10"/>
      <c r="E22" s="10"/>
      <c r="F22" s="10"/>
      <c r="G22" s="10"/>
      <c r="H22" s="10"/>
      <c r="I22" s="10"/>
      <c r="J22" s="15">
        <f>D22+F22-H22</f>
        <v>0</v>
      </c>
    </row>
    <row r="23" spans="1:10" x14ac:dyDescent="0.25">
      <c r="A23" s="9"/>
      <c r="B23" s="9" t="s">
        <v>22</v>
      </c>
      <c r="C23" s="9"/>
      <c r="D23" s="18"/>
      <c r="E23" s="10"/>
      <c r="F23" s="18"/>
      <c r="G23" s="10"/>
      <c r="H23" s="18"/>
      <c r="I23" s="10"/>
      <c r="J23" s="15">
        <f>D23+F23-H23</f>
        <v>0</v>
      </c>
    </row>
    <row r="24" spans="1:10" ht="15.75" thickBot="1" x14ac:dyDescent="0.3">
      <c r="A24" s="11" t="s">
        <v>23</v>
      </c>
      <c r="B24" s="9"/>
      <c r="C24" s="9"/>
      <c r="D24" s="20">
        <f>SUM(D9:D23)</f>
        <v>128848460.67</v>
      </c>
      <c r="E24" s="13"/>
      <c r="F24" s="20">
        <f>SUM(F9:F23)</f>
        <v>0</v>
      </c>
      <c r="G24" s="13"/>
      <c r="H24" s="20">
        <f>SUM(H9:H23)</f>
        <v>0</v>
      </c>
      <c r="I24" s="13"/>
      <c r="J24" s="20">
        <f>SUM(J9:J23)</f>
        <v>128848460.67</v>
      </c>
    </row>
    <row r="25" spans="1:10" ht="15.75" thickTop="1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</row>
    <row r="26" spans="1:10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</row>
    <row r="27" spans="1:10" ht="16.5" x14ac:dyDescent="0.25">
      <c r="A27" s="21"/>
      <c r="B27" s="9"/>
      <c r="C27" s="9"/>
      <c r="D27" s="10"/>
      <c r="E27" s="10"/>
      <c r="F27" s="10"/>
      <c r="G27" s="10"/>
      <c r="H27" s="10"/>
      <c r="I27" s="10"/>
      <c r="J27" s="10"/>
    </row>
    <row r="28" spans="1:10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</row>
    <row r="29" spans="1:10" ht="16.5" x14ac:dyDescent="0.25">
      <c r="A29" s="21"/>
      <c r="B29" s="9"/>
      <c r="C29" s="9"/>
      <c r="D29" s="10"/>
      <c r="E29" s="10"/>
      <c r="F29" s="10"/>
      <c r="G29" s="10"/>
      <c r="H29" s="10"/>
      <c r="I29" s="10"/>
      <c r="J29" s="10"/>
    </row>
    <row r="30" spans="1:10" ht="16.5" x14ac:dyDescent="0.25">
      <c r="A30" s="21"/>
      <c r="B30" s="9"/>
      <c r="C30" s="9"/>
      <c r="D30" s="10"/>
      <c r="E30" s="10"/>
      <c r="F30" s="10"/>
      <c r="G30" s="10"/>
      <c r="H30" s="10"/>
      <c r="I30" s="10"/>
      <c r="J30" s="10"/>
    </row>
    <row r="31" spans="1:10" ht="16.5" x14ac:dyDescent="0.25">
      <c r="A31" s="21"/>
      <c r="B31" s="9"/>
      <c r="C31" s="9"/>
      <c r="D31" s="10"/>
      <c r="E31" s="10"/>
      <c r="F31" s="10"/>
      <c r="G31" s="10"/>
      <c r="H31" s="10"/>
      <c r="I31" s="10"/>
      <c r="J31" s="10"/>
    </row>
    <row r="32" spans="1:10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39DA-5EC8-4F7A-8B73-60168ABFB158}">
  <dimension ref="A1:K32"/>
  <sheetViews>
    <sheetView zoomScaleNormal="100" workbookViewId="0">
      <selection sqref="A1:J1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</cols>
  <sheetData>
    <row r="1" spans="1:1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x14ac:dyDescent="0.25">
      <c r="A3" s="22" t="s">
        <v>34</v>
      </c>
      <c r="B3" s="22"/>
      <c r="C3" s="22"/>
      <c r="D3" s="22"/>
      <c r="E3" s="22"/>
      <c r="F3" s="22"/>
      <c r="G3" s="22"/>
      <c r="H3" s="22"/>
      <c r="I3" s="22"/>
      <c r="J3" s="22"/>
    </row>
    <row r="4" spans="1:11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33</v>
      </c>
      <c r="K6" s="7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7</v>
      </c>
      <c r="B8" s="1"/>
      <c r="C8" s="1"/>
      <c r="D8" s="2"/>
      <c r="E8" s="2"/>
      <c r="F8" s="2"/>
      <c r="G8" s="2"/>
      <c r="H8" s="2"/>
      <c r="I8" s="2"/>
      <c r="J8" s="2"/>
    </row>
    <row r="9" spans="1:11" x14ac:dyDescent="0.25">
      <c r="A9" s="1"/>
      <c r="B9" s="1" t="s">
        <v>8</v>
      </c>
      <c r="C9" s="1"/>
      <c r="D9" s="29">
        <v>454937522.43000001</v>
      </c>
      <c r="E9" s="29"/>
      <c r="F9" s="29"/>
      <c r="G9" s="29"/>
      <c r="H9" s="29"/>
      <c r="I9" s="29"/>
      <c r="J9" s="27">
        <f>D9+F9-H9</f>
        <v>454937522.43000001</v>
      </c>
    </row>
    <row r="10" spans="1:11" x14ac:dyDescent="0.25">
      <c r="A10" s="1"/>
      <c r="B10" s="1" t="s">
        <v>9</v>
      </c>
      <c r="C10" s="1"/>
      <c r="D10" s="2">
        <v>8426541</v>
      </c>
      <c r="E10" s="2"/>
      <c r="F10" s="2"/>
      <c r="G10" s="2"/>
      <c r="H10" s="2"/>
      <c r="I10" s="2"/>
      <c r="J10" s="25">
        <f>D10+F10-H10</f>
        <v>8426541</v>
      </c>
    </row>
    <row r="11" spans="1:11" x14ac:dyDescent="0.25">
      <c r="A11" s="1"/>
      <c r="B11" s="1" t="s">
        <v>10</v>
      </c>
      <c r="C11" s="1"/>
      <c r="D11" s="2">
        <v>0</v>
      </c>
      <c r="E11" s="2"/>
      <c r="F11" s="2"/>
      <c r="G11" s="2"/>
      <c r="H11" s="2"/>
      <c r="I11" s="2"/>
      <c r="J11" s="25">
        <f>D11+F11-H11</f>
        <v>0</v>
      </c>
    </row>
    <row r="12" spans="1:11" x14ac:dyDescent="0.25">
      <c r="A12" s="1"/>
      <c r="B12" s="1" t="s">
        <v>11</v>
      </c>
      <c r="C12" s="1"/>
      <c r="D12" s="2">
        <v>14835.110000000004</v>
      </c>
      <c r="E12" s="2"/>
      <c r="F12" s="2"/>
      <c r="G12" s="2"/>
      <c r="H12" s="2"/>
      <c r="I12" s="2"/>
      <c r="J12" s="25">
        <f>D12+F12-H12</f>
        <v>14835.110000000004</v>
      </c>
    </row>
    <row r="13" spans="1:11" x14ac:dyDescent="0.25">
      <c r="A13" s="1"/>
      <c r="B13" s="1" t="s">
        <v>12</v>
      </c>
      <c r="C13" s="1"/>
      <c r="D13" s="2">
        <v>0</v>
      </c>
      <c r="E13" s="2"/>
      <c r="F13" s="2"/>
      <c r="G13" s="2"/>
      <c r="H13" s="2"/>
      <c r="I13" s="2"/>
      <c r="J13" s="25">
        <f>D13+F13-H13</f>
        <v>0</v>
      </c>
    </row>
    <row r="14" spans="1:11" x14ac:dyDescent="0.25">
      <c r="A14" s="1"/>
      <c r="B14" s="1" t="s">
        <v>13</v>
      </c>
      <c r="C14" s="1"/>
      <c r="D14" s="2">
        <v>0</v>
      </c>
      <c r="E14" s="2"/>
      <c r="F14" s="2"/>
      <c r="G14" s="2"/>
      <c r="H14" s="2"/>
      <c r="I14" s="2"/>
      <c r="J14" s="25">
        <f>D14+F14-H14</f>
        <v>0</v>
      </c>
    </row>
    <row r="15" spans="1:11" x14ac:dyDescent="0.25">
      <c r="A15" s="3" t="s">
        <v>14</v>
      </c>
      <c r="B15" s="1"/>
      <c r="C15" s="1"/>
      <c r="D15" s="2">
        <v>0</v>
      </c>
      <c r="E15" s="2"/>
      <c r="F15" s="2"/>
      <c r="G15" s="2"/>
      <c r="H15" s="2"/>
      <c r="I15" s="2"/>
      <c r="J15" s="25">
        <f>D15+F15-H15</f>
        <v>0</v>
      </c>
    </row>
    <row r="16" spans="1:11" x14ac:dyDescent="0.25">
      <c r="A16" s="1"/>
      <c r="B16" s="1" t="s">
        <v>15</v>
      </c>
      <c r="C16" s="1"/>
      <c r="D16" s="2">
        <v>1089</v>
      </c>
      <c r="E16" s="2"/>
      <c r="F16" s="2"/>
      <c r="G16" s="2"/>
      <c r="H16" s="2"/>
      <c r="I16" s="2"/>
      <c r="J16" s="25">
        <f>D16+F16-H16</f>
        <v>1089</v>
      </c>
    </row>
    <row r="17" spans="1:10" x14ac:dyDescent="0.25">
      <c r="A17" s="1"/>
      <c r="B17" s="1" t="s">
        <v>16</v>
      </c>
      <c r="C17" s="1"/>
      <c r="D17" s="2"/>
      <c r="E17" s="2"/>
      <c r="F17" s="2"/>
      <c r="G17" s="2"/>
      <c r="H17" s="2"/>
      <c r="I17" s="2"/>
      <c r="J17" s="25">
        <f>D17+F17-H17</f>
        <v>0</v>
      </c>
    </row>
    <row r="18" spans="1:10" x14ac:dyDescent="0.25">
      <c r="A18" s="1"/>
      <c r="B18" s="1" t="s">
        <v>17</v>
      </c>
      <c r="C18" s="1"/>
      <c r="D18" s="2"/>
      <c r="E18" s="2"/>
      <c r="F18" s="2"/>
      <c r="G18" s="2"/>
      <c r="H18" s="2"/>
      <c r="I18" s="2"/>
      <c r="J18" s="25">
        <f>D18+F18-H18</f>
        <v>0</v>
      </c>
    </row>
    <row r="19" spans="1:10" x14ac:dyDescent="0.25">
      <c r="A19" s="1"/>
      <c r="B19" s="1" t="s">
        <v>18</v>
      </c>
      <c r="C19" s="1"/>
      <c r="D19" s="2"/>
      <c r="E19" s="2"/>
      <c r="F19" s="2"/>
      <c r="G19" s="2"/>
      <c r="H19" s="2"/>
      <c r="I19" s="2"/>
      <c r="J19" s="25">
        <f>D19+F19-H19</f>
        <v>0</v>
      </c>
    </row>
    <row r="20" spans="1:10" x14ac:dyDescent="0.25">
      <c r="A20" s="1"/>
      <c r="B20" s="1" t="s">
        <v>19</v>
      </c>
      <c r="C20" s="1"/>
      <c r="D20" s="2"/>
      <c r="E20" s="2"/>
      <c r="F20" s="2"/>
      <c r="G20" s="2"/>
      <c r="H20" s="2"/>
      <c r="I20" s="2"/>
      <c r="J20" s="25">
        <f>D20+F20-H20</f>
        <v>0</v>
      </c>
    </row>
    <row r="21" spans="1:10" x14ac:dyDescent="0.25">
      <c r="A21" s="1"/>
      <c r="B21" s="1" t="s">
        <v>20</v>
      </c>
      <c r="C21" s="1"/>
      <c r="D21" s="2"/>
      <c r="E21" s="2"/>
      <c r="F21" s="2"/>
      <c r="G21" s="2"/>
      <c r="H21" s="2"/>
      <c r="I21" s="2"/>
      <c r="J21" s="25">
        <f>D21+F21-H21</f>
        <v>0</v>
      </c>
    </row>
    <row r="22" spans="1:10" x14ac:dyDescent="0.25">
      <c r="A22" s="1"/>
      <c r="B22" s="1" t="s">
        <v>21</v>
      </c>
      <c r="C22" s="1"/>
      <c r="D22" s="2"/>
      <c r="E22" s="2"/>
      <c r="F22" s="2"/>
      <c r="G22" s="2"/>
      <c r="H22" s="2"/>
      <c r="I22" s="2"/>
      <c r="J22" s="25">
        <f>D22+F22-H22</f>
        <v>0</v>
      </c>
    </row>
    <row r="23" spans="1:10" x14ac:dyDescent="0.25">
      <c r="A23" s="1"/>
      <c r="B23" s="1" t="s">
        <v>22</v>
      </c>
      <c r="C23" s="1"/>
      <c r="D23" s="17"/>
      <c r="E23" s="2"/>
      <c r="F23" s="17"/>
      <c r="G23" s="2"/>
      <c r="H23" s="17"/>
      <c r="I23" s="2"/>
      <c r="J23" s="25">
        <f>D23+F23-H23</f>
        <v>0</v>
      </c>
    </row>
    <row r="24" spans="1:10" ht="15.75" thickBot="1" x14ac:dyDescent="0.3">
      <c r="A24" s="3" t="s">
        <v>23</v>
      </c>
      <c r="B24" s="1"/>
      <c r="C24" s="1"/>
      <c r="D24" s="19">
        <f>SUM(D9:D23)</f>
        <v>463379987.54000002</v>
      </c>
      <c r="E24" s="27"/>
      <c r="F24" s="19">
        <f>SUM(F9:F23)</f>
        <v>0</v>
      </c>
      <c r="G24" s="27"/>
      <c r="H24" s="19">
        <f>SUM(H9:H23)</f>
        <v>0</v>
      </c>
      <c r="I24" s="27"/>
      <c r="J24" s="19">
        <f>SUM(J9:J23)</f>
        <v>463379987.54000002</v>
      </c>
    </row>
    <row r="25" spans="1:10" ht="15.75" thickTop="1" x14ac:dyDescent="0.25">
      <c r="A25" s="1"/>
      <c r="B25" s="1"/>
      <c r="C25" s="1"/>
      <c r="D25" s="2"/>
      <c r="E25" s="2"/>
      <c r="F25" s="2"/>
      <c r="G25" s="2"/>
      <c r="H25" s="2"/>
      <c r="I25" s="2"/>
      <c r="J25" s="2"/>
    </row>
    <row r="26" spans="1:10" x14ac:dyDescent="0.25">
      <c r="A26" s="1"/>
      <c r="B26" s="1"/>
      <c r="C26" s="1"/>
      <c r="D26" s="2"/>
      <c r="E26" s="2"/>
      <c r="F26" s="2"/>
      <c r="G26" s="2"/>
      <c r="H26" s="2"/>
      <c r="I26" s="2"/>
      <c r="J26" s="2"/>
    </row>
    <row r="27" spans="1:10" ht="16.5" x14ac:dyDescent="0.25">
      <c r="A27" s="26"/>
      <c r="B27" s="1"/>
      <c r="C27" s="1"/>
      <c r="D27" s="2"/>
      <c r="E27" s="2"/>
      <c r="F27" s="2"/>
      <c r="G27" s="2"/>
      <c r="H27" s="2"/>
      <c r="I27" s="2"/>
      <c r="J27" s="2"/>
    </row>
    <row r="28" spans="1:10" x14ac:dyDescent="0.25">
      <c r="A28" s="1"/>
      <c r="B28" s="1"/>
      <c r="C28" s="1"/>
      <c r="D28" s="2"/>
      <c r="E28" s="2"/>
      <c r="F28" s="2"/>
      <c r="G28" s="2"/>
      <c r="H28" s="2"/>
      <c r="I28" s="2"/>
      <c r="J28" s="2"/>
    </row>
    <row r="29" spans="1:10" ht="16.5" x14ac:dyDescent="0.25">
      <c r="A29" s="26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</row>
    <row r="32" spans="1:10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34FE-CE35-447F-A0AB-D61E5F9DD108}">
  <dimension ref="A1:Q32"/>
  <sheetViews>
    <sheetView workbookViewId="0">
      <selection activeCell="C34" sqref="C34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  <col min="17" max="17" width="10.140625" bestFit="1" customWidth="1"/>
  </cols>
  <sheetData>
    <row r="1" spans="1:17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7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7" x14ac:dyDescent="0.25">
      <c r="A3" s="22" t="s">
        <v>37</v>
      </c>
      <c r="B3" s="22"/>
      <c r="C3" s="22"/>
      <c r="D3" s="22"/>
      <c r="E3" s="22"/>
      <c r="F3" s="22"/>
      <c r="G3" s="22"/>
      <c r="H3" s="22"/>
      <c r="I3" s="22"/>
      <c r="J3" s="22"/>
    </row>
    <row r="4" spans="1:17" x14ac:dyDescent="0.25">
      <c r="A4" s="23" t="s">
        <v>36</v>
      </c>
      <c r="B4" s="23"/>
      <c r="C4" s="23"/>
      <c r="D4" s="23"/>
      <c r="E4" s="23"/>
      <c r="F4" s="23"/>
      <c r="G4" s="23"/>
      <c r="H4" s="23"/>
      <c r="I4" s="23"/>
      <c r="J4" s="23"/>
    </row>
    <row r="5" spans="1:17" x14ac:dyDescent="0.25">
      <c r="A5" s="9"/>
      <c r="B5" s="9"/>
      <c r="C5" s="9"/>
      <c r="D5" s="10"/>
      <c r="E5" s="10"/>
      <c r="F5" s="10"/>
      <c r="G5" s="10"/>
      <c r="H5" s="10"/>
      <c r="I5" s="10"/>
      <c r="J5" s="10"/>
    </row>
    <row r="6" spans="1:17" ht="30" x14ac:dyDescent="0.25">
      <c r="A6" s="11" t="s">
        <v>3</v>
      </c>
      <c r="B6" s="9"/>
      <c r="C6" s="9"/>
      <c r="D6" s="36" t="s">
        <v>4</v>
      </c>
      <c r="E6" s="34"/>
      <c r="F6" s="35" t="s">
        <v>5</v>
      </c>
      <c r="G6" s="34"/>
      <c r="H6" s="35" t="s">
        <v>6</v>
      </c>
      <c r="I6" s="34"/>
      <c r="J6" s="4" t="s">
        <v>35</v>
      </c>
      <c r="K6" s="7"/>
      <c r="L6" s="8"/>
    </row>
    <row r="7" spans="1:17" x14ac:dyDescent="0.25">
      <c r="A7" s="9"/>
      <c r="B7" s="9"/>
      <c r="C7" s="9"/>
      <c r="D7" s="10"/>
      <c r="E7" s="10"/>
      <c r="F7" s="10"/>
      <c r="G7" s="10"/>
      <c r="H7" s="10"/>
      <c r="I7" s="10"/>
      <c r="J7" s="10"/>
      <c r="L7" s="8"/>
    </row>
    <row r="8" spans="1:17" x14ac:dyDescent="0.25">
      <c r="A8" s="11" t="s">
        <v>7</v>
      </c>
      <c r="B8" s="9"/>
      <c r="C8" s="9"/>
      <c r="D8" s="10"/>
      <c r="E8" s="10"/>
      <c r="F8" s="10"/>
      <c r="G8" s="10"/>
      <c r="H8" s="10"/>
      <c r="I8" s="10"/>
      <c r="J8" s="10"/>
      <c r="L8" s="8"/>
    </row>
    <row r="9" spans="1:17" x14ac:dyDescent="0.25">
      <c r="A9" s="9"/>
      <c r="B9" s="9" t="s">
        <v>8</v>
      </c>
      <c r="C9" s="9"/>
      <c r="D9" s="12">
        <v>488065.03</v>
      </c>
      <c r="E9" s="12"/>
      <c r="F9" s="12"/>
      <c r="G9" s="12"/>
      <c r="H9" s="12"/>
      <c r="I9" s="12"/>
      <c r="J9" s="13">
        <f>D9+F9-H9</f>
        <v>488065.03</v>
      </c>
      <c r="L9" s="8"/>
    </row>
    <row r="10" spans="1:17" x14ac:dyDescent="0.25">
      <c r="A10" s="9"/>
      <c r="B10" s="9" t="s">
        <v>9</v>
      </c>
      <c r="C10" s="9"/>
      <c r="D10" s="10">
        <v>45000</v>
      </c>
      <c r="E10" s="10"/>
      <c r="F10" s="10"/>
      <c r="G10" s="10"/>
      <c r="H10" s="10"/>
      <c r="I10" s="10"/>
      <c r="J10" s="15">
        <f>D10+F10-H10</f>
        <v>45000</v>
      </c>
      <c r="L10" s="8"/>
    </row>
    <row r="11" spans="1:17" x14ac:dyDescent="0.25">
      <c r="A11" s="9"/>
      <c r="B11" s="9" t="s">
        <v>10</v>
      </c>
      <c r="C11" s="9"/>
      <c r="D11" s="10">
        <v>212000</v>
      </c>
      <c r="E11" s="10"/>
      <c r="F11" s="10"/>
      <c r="G11" s="10"/>
      <c r="H11" s="10"/>
      <c r="I11" s="10"/>
      <c r="J11" s="15">
        <f>D11+F11-H11</f>
        <v>212000</v>
      </c>
      <c r="L11" s="8"/>
    </row>
    <row r="12" spans="1:17" x14ac:dyDescent="0.25">
      <c r="A12" s="9"/>
      <c r="B12" s="9" t="s">
        <v>11</v>
      </c>
      <c r="C12" s="9"/>
      <c r="D12" s="10"/>
      <c r="E12" s="10"/>
      <c r="F12" s="10"/>
      <c r="G12" s="10"/>
      <c r="H12" s="10"/>
      <c r="I12" s="10"/>
      <c r="J12" s="15">
        <f>D12+F12-H12</f>
        <v>0</v>
      </c>
      <c r="Q12" s="16"/>
    </row>
    <row r="13" spans="1:17" x14ac:dyDescent="0.25">
      <c r="A13" s="9"/>
      <c r="B13" s="9" t="s">
        <v>12</v>
      </c>
      <c r="C13" s="9"/>
      <c r="D13" s="10"/>
      <c r="E13" s="10"/>
      <c r="F13" s="10"/>
      <c r="G13" s="10"/>
      <c r="H13" s="10"/>
      <c r="I13" s="10"/>
      <c r="J13" s="15">
        <f>D13+F13-H13</f>
        <v>0</v>
      </c>
    </row>
    <row r="14" spans="1:17" x14ac:dyDescent="0.25">
      <c r="A14" s="9"/>
      <c r="B14" s="9" t="s">
        <v>13</v>
      </c>
      <c r="C14" s="9"/>
      <c r="D14" s="10"/>
      <c r="E14" s="10"/>
      <c r="F14" s="10"/>
      <c r="G14" s="10"/>
      <c r="H14" s="10"/>
      <c r="I14" s="10"/>
      <c r="J14" s="15">
        <f>D14+F14-H14</f>
        <v>0</v>
      </c>
    </row>
    <row r="15" spans="1:17" x14ac:dyDescent="0.25">
      <c r="A15" s="11" t="s">
        <v>14</v>
      </c>
      <c r="B15" s="9"/>
      <c r="C15" s="9"/>
      <c r="D15" s="10"/>
      <c r="E15" s="10"/>
      <c r="F15" s="10"/>
      <c r="G15" s="10"/>
      <c r="H15" s="10"/>
      <c r="I15" s="10"/>
      <c r="J15" s="15">
        <f>D15+F15-H15</f>
        <v>0</v>
      </c>
    </row>
    <row r="16" spans="1:17" x14ac:dyDescent="0.25">
      <c r="A16" s="9"/>
      <c r="B16" s="9" t="s">
        <v>15</v>
      </c>
      <c r="C16" s="9"/>
      <c r="D16" s="10"/>
      <c r="E16" s="10"/>
      <c r="F16" s="10"/>
      <c r="G16" s="10"/>
      <c r="H16" s="10"/>
      <c r="I16" s="10"/>
      <c r="J16" s="15">
        <f>D16+F16-H16</f>
        <v>0</v>
      </c>
    </row>
    <row r="17" spans="1:10" x14ac:dyDescent="0.25">
      <c r="A17" s="9"/>
      <c r="B17" s="9" t="s">
        <v>16</v>
      </c>
      <c r="C17" s="9"/>
      <c r="D17" s="10"/>
      <c r="E17" s="10"/>
      <c r="F17" s="10"/>
      <c r="G17" s="10"/>
      <c r="H17" s="10"/>
      <c r="I17" s="10"/>
      <c r="J17" s="15">
        <f>D17+F17-H17</f>
        <v>0</v>
      </c>
    </row>
    <row r="18" spans="1:10" x14ac:dyDescent="0.25">
      <c r="A18" s="9"/>
      <c r="B18" s="9" t="s">
        <v>17</v>
      </c>
      <c r="C18" s="9"/>
      <c r="D18" s="10"/>
      <c r="E18" s="10"/>
      <c r="F18" s="10"/>
      <c r="G18" s="10"/>
      <c r="H18" s="10"/>
      <c r="I18" s="10"/>
      <c r="J18" s="15">
        <f>D18+F18-H18</f>
        <v>0</v>
      </c>
    </row>
    <row r="19" spans="1:10" x14ac:dyDescent="0.25">
      <c r="A19" s="9"/>
      <c r="B19" s="9" t="s">
        <v>18</v>
      </c>
      <c r="C19" s="9"/>
      <c r="D19" s="10"/>
      <c r="E19" s="10"/>
      <c r="F19" s="10"/>
      <c r="G19" s="10"/>
      <c r="H19" s="10"/>
      <c r="I19" s="10"/>
      <c r="J19" s="15">
        <f>D19+F19-H19</f>
        <v>0</v>
      </c>
    </row>
    <row r="20" spans="1:10" x14ac:dyDescent="0.25">
      <c r="A20" s="9"/>
      <c r="B20" s="9" t="s">
        <v>19</v>
      </c>
      <c r="C20" s="9"/>
      <c r="D20" s="10"/>
      <c r="E20" s="10"/>
      <c r="F20" s="10"/>
      <c r="G20" s="10"/>
      <c r="H20" s="10"/>
      <c r="I20" s="10"/>
      <c r="J20" s="15">
        <f>D20+F20-H20</f>
        <v>0</v>
      </c>
    </row>
    <row r="21" spans="1:10" x14ac:dyDescent="0.25">
      <c r="A21" s="9"/>
      <c r="B21" s="9" t="s">
        <v>20</v>
      </c>
      <c r="C21" s="9"/>
      <c r="D21" s="10"/>
      <c r="E21" s="10"/>
      <c r="F21" s="10"/>
      <c r="G21" s="10"/>
      <c r="H21" s="10"/>
      <c r="I21" s="10"/>
      <c r="J21" s="15">
        <f>D21+F21-H21</f>
        <v>0</v>
      </c>
    </row>
    <row r="22" spans="1:10" x14ac:dyDescent="0.25">
      <c r="A22" s="9"/>
      <c r="B22" s="9" t="s">
        <v>21</v>
      </c>
      <c r="C22" s="9"/>
      <c r="D22" s="10"/>
      <c r="E22" s="10"/>
      <c r="F22" s="10"/>
      <c r="G22" s="10"/>
      <c r="H22" s="10"/>
      <c r="I22" s="10"/>
      <c r="J22" s="15">
        <f>D22+F22-H22</f>
        <v>0</v>
      </c>
    </row>
    <row r="23" spans="1:10" x14ac:dyDescent="0.25">
      <c r="A23" s="9"/>
      <c r="B23" s="9" t="s">
        <v>22</v>
      </c>
      <c r="C23" s="9"/>
      <c r="D23" s="18"/>
      <c r="E23" s="10"/>
      <c r="F23" s="18"/>
      <c r="G23" s="10"/>
      <c r="H23" s="18"/>
      <c r="I23" s="10"/>
      <c r="J23" s="15">
        <f>D23+F23-H23</f>
        <v>0</v>
      </c>
    </row>
    <row r="24" spans="1:10" ht="15.75" thickBot="1" x14ac:dyDescent="0.3">
      <c r="A24" s="11" t="s">
        <v>23</v>
      </c>
      <c r="B24" s="9"/>
      <c r="C24" s="9"/>
      <c r="D24" s="20">
        <f>SUM(D9:D23)</f>
        <v>745065.03</v>
      </c>
      <c r="E24" s="13"/>
      <c r="F24" s="20">
        <f>SUM(F9:F23)</f>
        <v>0</v>
      </c>
      <c r="G24" s="13"/>
      <c r="H24" s="20">
        <f>SUM(H9:H23)</f>
        <v>0</v>
      </c>
      <c r="I24" s="13"/>
      <c r="J24" s="20">
        <f>SUM(J9:J23)</f>
        <v>745065.03</v>
      </c>
    </row>
    <row r="25" spans="1:10" ht="15.75" thickTop="1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</row>
    <row r="26" spans="1:10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</row>
    <row r="27" spans="1:10" ht="16.5" x14ac:dyDescent="0.25">
      <c r="A27" s="21"/>
      <c r="B27" s="9"/>
      <c r="C27" s="9"/>
      <c r="D27" s="10"/>
      <c r="E27" s="10"/>
      <c r="F27" s="10"/>
      <c r="G27" s="10"/>
      <c r="H27" s="10"/>
      <c r="I27" s="10"/>
      <c r="J27" s="10"/>
    </row>
    <row r="28" spans="1:10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</row>
    <row r="29" spans="1:10" ht="16.5" x14ac:dyDescent="0.25">
      <c r="A29" s="21"/>
      <c r="B29" s="9"/>
      <c r="C29" s="9"/>
      <c r="D29" s="10"/>
      <c r="E29" s="10"/>
      <c r="F29" s="10"/>
      <c r="G29" s="10"/>
      <c r="H29" s="10"/>
      <c r="I29" s="10"/>
      <c r="J29" s="10"/>
    </row>
    <row r="30" spans="1:10" x14ac:dyDescent="0.25">
      <c r="A30" s="9"/>
      <c r="B30" s="9"/>
      <c r="C30" s="9"/>
      <c r="D30" s="10"/>
      <c r="E30" s="10"/>
      <c r="F30" s="10"/>
      <c r="G30" s="10"/>
      <c r="H30" s="10"/>
      <c r="I30" s="10"/>
      <c r="J30" s="10"/>
    </row>
    <row r="31" spans="1:10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</row>
    <row r="32" spans="1:10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BB8E-6059-4029-85DE-BA6760040637}">
  <dimension ref="A1:L32"/>
  <sheetViews>
    <sheetView workbookViewId="0">
      <selection activeCell="F17" sqref="F1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7.28515625" style="15" customWidth="1"/>
    <col min="5" max="5" width="2.7109375" style="15" customWidth="1"/>
    <col min="6" max="6" width="15.7109375" style="15" customWidth="1"/>
    <col min="7" max="7" width="2.7109375" style="15" customWidth="1"/>
    <col min="8" max="8" width="15.7109375" style="15" customWidth="1"/>
    <col min="9" max="9" width="2.7109375" style="15" customWidth="1"/>
    <col min="10" max="10" width="20.7109375" style="15" customWidth="1"/>
  </cols>
  <sheetData>
    <row r="1" spans="1:12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2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2" x14ac:dyDescent="0.25">
      <c r="A3" s="22" t="s">
        <v>38</v>
      </c>
      <c r="B3" s="22"/>
      <c r="C3" s="22"/>
      <c r="D3" s="22"/>
      <c r="E3" s="22"/>
      <c r="F3" s="22"/>
      <c r="G3" s="22"/>
      <c r="H3" s="22"/>
      <c r="I3" s="22"/>
      <c r="J3" s="22"/>
    </row>
    <row r="4" spans="1:12" x14ac:dyDescent="0.25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</row>
    <row r="5" spans="1:12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2" ht="30" x14ac:dyDescent="0.25">
      <c r="A6" s="3" t="s">
        <v>3</v>
      </c>
      <c r="B6" s="1"/>
      <c r="C6" s="1"/>
      <c r="D6" s="4" t="s">
        <v>4</v>
      </c>
      <c r="E6" s="5"/>
      <c r="F6" s="6" t="s">
        <v>5</v>
      </c>
      <c r="G6" s="5"/>
      <c r="H6" s="6" t="s">
        <v>6</v>
      </c>
      <c r="I6" s="5"/>
      <c r="J6" s="4" t="s">
        <v>31</v>
      </c>
      <c r="K6" s="7"/>
      <c r="L6" s="8"/>
    </row>
    <row r="7" spans="1:12" x14ac:dyDescent="0.25">
      <c r="A7" s="9"/>
      <c r="B7" s="9"/>
      <c r="C7" s="9"/>
      <c r="D7" s="10"/>
      <c r="E7" s="10"/>
      <c r="F7" s="10"/>
      <c r="G7" s="10"/>
      <c r="H7" s="10"/>
      <c r="I7" s="10"/>
      <c r="J7" s="10"/>
      <c r="L7" s="8"/>
    </row>
    <row r="8" spans="1:12" x14ac:dyDescent="0.25">
      <c r="A8" s="11" t="s">
        <v>7</v>
      </c>
      <c r="B8" s="9"/>
      <c r="C8" s="9"/>
      <c r="D8" s="10"/>
      <c r="E8" s="10"/>
      <c r="F8" s="10"/>
      <c r="G8" s="10"/>
      <c r="H8" s="10"/>
      <c r="I8" s="10"/>
      <c r="J8" s="10"/>
      <c r="L8" s="8"/>
    </row>
    <row r="9" spans="1:12" x14ac:dyDescent="0.25">
      <c r="A9" s="9"/>
      <c r="B9" s="9" t="s">
        <v>8</v>
      </c>
      <c r="C9" s="9"/>
      <c r="D9" s="12">
        <v>69333048.040000007</v>
      </c>
      <c r="E9" s="12"/>
      <c r="F9" s="12"/>
      <c r="G9" s="12"/>
      <c r="H9" s="12"/>
      <c r="I9" s="12"/>
      <c r="J9" s="13">
        <f>D9+F9-H9</f>
        <v>69333048.040000007</v>
      </c>
      <c r="L9" s="8"/>
    </row>
    <row r="10" spans="1:12" x14ac:dyDescent="0.25">
      <c r="A10" s="9"/>
      <c r="B10" s="9" t="s">
        <v>9</v>
      </c>
      <c r="C10" s="9"/>
      <c r="D10" s="10"/>
      <c r="E10" s="10"/>
      <c r="F10" s="10"/>
      <c r="G10" s="10"/>
      <c r="H10" s="10"/>
      <c r="I10" s="10"/>
      <c r="J10" s="15">
        <f>D10+F10-H10</f>
        <v>0</v>
      </c>
      <c r="L10" s="8"/>
    </row>
    <row r="11" spans="1:12" x14ac:dyDescent="0.25">
      <c r="A11" s="9"/>
      <c r="B11" s="9" t="s">
        <v>10</v>
      </c>
      <c r="C11" s="9"/>
      <c r="D11" s="10"/>
      <c r="E11" s="10"/>
      <c r="F11" s="10"/>
      <c r="G11" s="10"/>
      <c r="H11" s="10"/>
      <c r="I11" s="10"/>
      <c r="J11" s="15">
        <f>D11+F11-H11</f>
        <v>0</v>
      </c>
    </row>
    <row r="12" spans="1:12" x14ac:dyDescent="0.25">
      <c r="A12" s="9"/>
      <c r="B12" s="9" t="s">
        <v>11</v>
      </c>
      <c r="C12" s="9"/>
      <c r="D12" s="10"/>
      <c r="E12" s="10"/>
      <c r="F12" s="10"/>
      <c r="G12" s="10"/>
      <c r="H12" s="10"/>
      <c r="I12" s="10"/>
      <c r="J12" s="15">
        <f>D12+F12-H12</f>
        <v>0</v>
      </c>
    </row>
    <row r="13" spans="1:12" x14ac:dyDescent="0.25">
      <c r="A13" s="9"/>
      <c r="B13" s="9" t="s">
        <v>12</v>
      </c>
      <c r="C13" s="9"/>
      <c r="D13" s="10"/>
      <c r="E13" s="10"/>
      <c r="F13" s="10"/>
      <c r="G13" s="10"/>
      <c r="H13" s="10"/>
      <c r="I13" s="10"/>
      <c r="J13" s="15">
        <f>D13+F13-H13</f>
        <v>0</v>
      </c>
    </row>
    <row r="14" spans="1:12" x14ac:dyDescent="0.25">
      <c r="A14" s="9"/>
      <c r="B14" s="9" t="s">
        <v>13</v>
      </c>
      <c r="C14" s="9"/>
      <c r="D14" s="10"/>
      <c r="E14" s="10"/>
      <c r="F14" s="10"/>
      <c r="G14" s="10"/>
      <c r="H14" s="10"/>
      <c r="I14" s="10"/>
      <c r="J14" s="15">
        <f>D14+F14-H14</f>
        <v>0</v>
      </c>
    </row>
    <row r="15" spans="1:12" x14ac:dyDescent="0.25">
      <c r="A15" s="11" t="s">
        <v>14</v>
      </c>
      <c r="B15" s="9"/>
      <c r="C15" s="9"/>
      <c r="D15" s="10"/>
      <c r="E15" s="10"/>
      <c r="F15" s="10"/>
      <c r="G15" s="10"/>
      <c r="H15" s="10"/>
      <c r="I15" s="10"/>
      <c r="J15" s="15">
        <f>D15+F15-H15</f>
        <v>0</v>
      </c>
    </row>
    <row r="16" spans="1:12" x14ac:dyDescent="0.25">
      <c r="A16" s="9"/>
      <c r="B16" s="9" t="s">
        <v>15</v>
      </c>
      <c r="C16" s="9"/>
      <c r="D16" s="10"/>
      <c r="E16" s="10"/>
      <c r="F16" s="10"/>
      <c r="G16" s="10"/>
      <c r="H16" s="10"/>
      <c r="I16" s="10"/>
      <c r="J16" s="15">
        <f>D16+F16-H16</f>
        <v>0</v>
      </c>
    </row>
    <row r="17" spans="1:10" x14ac:dyDescent="0.25">
      <c r="A17" s="9"/>
      <c r="B17" s="9" t="s">
        <v>16</v>
      </c>
      <c r="C17" s="9"/>
      <c r="D17" s="10"/>
      <c r="E17" s="10"/>
      <c r="F17" s="10"/>
      <c r="G17" s="10"/>
      <c r="H17" s="10"/>
      <c r="I17" s="10"/>
      <c r="J17" s="15">
        <f>D17+F17-H17</f>
        <v>0</v>
      </c>
    </row>
    <row r="18" spans="1:10" x14ac:dyDescent="0.25">
      <c r="A18" s="9"/>
      <c r="B18" s="9" t="s">
        <v>17</v>
      </c>
      <c r="C18" s="9"/>
      <c r="D18" s="10"/>
      <c r="E18" s="10"/>
      <c r="F18" s="10"/>
      <c r="G18" s="10"/>
      <c r="H18" s="10"/>
      <c r="I18" s="10"/>
      <c r="J18" s="15">
        <f>D18+F18-H18</f>
        <v>0</v>
      </c>
    </row>
    <row r="19" spans="1:10" x14ac:dyDescent="0.25">
      <c r="A19" s="9"/>
      <c r="B19" s="9" t="s">
        <v>18</v>
      </c>
      <c r="C19" s="9"/>
      <c r="D19" s="10"/>
      <c r="E19" s="10"/>
      <c r="F19" s="10"/>
      <c r="G19" s="10"/>
      <c r="H19" s="10"/>
      <c r="I19" s="10"/>
      <c r="J19" s="15">
        <f>D19+F19-H19</f>
        <v>0</v>
      </c>
    </row>
    <row r="20" spans="1:10" x14ac:dyDescent="0.25">
      <c r="A20" s="9"/>
      <c r="B20" s="9" t="s">
        <v>19</v>
      </c>
      <c r="C20" s="9"/>
      <c r="D20" s="10"/>
      <c r="E20" s="10"/>
      <c r="F20" s="10"/>
      <c r="G20" s="10"/>
      <c r="H20" s="10"/>
      <c r="I20" s="10"/>
      <c r="J20" s="15">
        <f>D20+F20-H20</f>
        <v>0</v>
      </c>
    </row>
    <row r="21" spans="1:10" x14ac:dyDescent="0.25">
      <c r="A21" s="9"/>
      <c r="B21" s="9" t="s">
        <v>20</v>
      </c>
      <c r="C21" s="9"/>
      <c r="D21" s="10"/>
      <c r="E21" s="10"/>
      <c r="F21" s="10"/>
      <c r="G21" s="10"/>
      <c r="H21" s="10"/>
      <c r="I21" s="10"/>
      <c r="J21" s="15">
        <f>D21+F21-H21</f>
        <v>0</v>
      </c>
    </row>
    <row r="22" spans="1:10" x14ac:dyDescent="0.25">
      <c r="A22" s="9"/>
      <c r="B22" s="9" t="s">
        <v>21</v>
      </c>
      <c r="C22" s="9"/>
      <c r="D22" s="10"/>
      <c r="E22" s="10"/>
      <c r="F22" s="10"/>
      <c r="G22" s="10"/>
      <c r="H22" s="10"/>
      <c r="I22" s="10"/>
      <c r="J22" s="15">
        <f>D22+F22-H22</f>
        <v>0</v>
      </c>
    </row>
    <row r="23" spans="1:10" x14ac:dyDescent="0.25">
      <c r="A23" s="9"/>
      <c r="B23" s="9" t="s">
        <v>22</v>
      </c>
      <c r="C23" s="9"/>
      <c r="D23" s="18"/>
      <c r="E23" s="10"/>
      <c r="F23" s="18"/>
      <c r="G23" s="10"/>
      <c r="H23" s="18"/>
      <c r="I23" s="10"/>
      <c r="J23" s="15">
        <f>D23+F23-H23</f>
        <v>0</v>
      </c>
    </row>
    <row r="24" spans="1:10" ht="15.75" thickBot="1" x14ac:dyDescent="0.3">
      <c r="A24" s="11" t="s">
        <v>23</v>
      </c>
      <c r="B24" s="9"/>
      <c r="C24" s="9"/>
      <c r="D24" s="20">
        <f>SUM(D9:D23)</f>
        <v>69333048.040000007</v>
      </c>
      <c r="E24" s="13"/>
      <c r="F24" s="20">
        <f>SUM(F9:F23)</f>
        <v>0</v>
      </c>
      <c r="G24" s="13"/>
      <c r="H24" s="20">
        <f>SUM(H9:H23)</f>
        <v>0</v>
      </c>
      <c r="I24" s="13"/>
      <c r="J24" s="20">
        <f>SUM(J9:J23)</f>
        <v>69333048.040000007</v>
      </c>
    </row>
    <row r="25" spans="1:10" ht="15.75" thickTop="1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</row>
    <row r="26" spans="1:10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</row>
    <row r="27" spans="1:10" ht="16.5" x14ac:dyDescent="0.25">
      <c r="A27" s="21"/>
      <c r="B27" s="9"/>
      <c r="C27" s="9"/>
      <c r="D27" s="10"/>
      <c r="E27" s="10"/>
      <c r="F27" s="10"/>
      <c r="G27" s="10"/>
      <c r="H27" s="10"/>
      <c r="I27" s="10"/>
      <c r="J27" s="10"/>
    </row>
    <row r="28" spans="1:10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</row>
    <row r="29" spans="1:10" ht="16.5" x14ac:dyDescent="0.25">
      <c r="A29" s="21"/>
      <c r="B29" s="9"/>
      <c r="C29" s="9"/>
      <c r="D29" s="10"/>
      <c r="E29" s="10"/>
      <c r="F29" s="10"/>
      <c r="G29" s="10"/>
      <c r="H29" s="10"/>
      <c r="I29" s="10"/>
      <c r="J29" s="10"/>
    </row>
    <row r="30" spans="1:10" x14ac:dyDescent="0.25">
      <c r="A30" s="9"/>
      <c r="B30" s="9"/>
      <c r="C30" s="9"/>
      <c r="D30" s="10"/>
      <c r="E30" s="10"/>
      <c r="F30" s="10"/>
      <c r="G30" s="10"/>
      <c r="H30" s="10"/>
      <c r="I30" s="10"/>
      <c r="J30" s="10"/>
    </row>
    <row r="31" spans="1:10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</row>
    <row r="32" spans="1:10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</row>
  </sheetData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F0140</vt:lpstr>
      <vt:lpstr>F0156</vt:lpstr>
      <vt:lpstr>F0392</vt:lpstr>
      <vt:lpstr>F0516</vt:lpstr>
      <vt:lpstr>F0786</vt:lpstr>
      <vt:lpstr>F0952</vt:lpstr>
      <vt:lpstr>F6029</vt:lpstr>
      <vt:lpstr>F0005</vt:lpstr>
      <vt:lpstr>F0235</vt:lpstr>
      <vt:lpstr>F0262</vt:lpstr>
      <vt:lpstr>'F0005'!Print_Area</vt:lpstr>
      <vt:lpstr>'F0516'!Print_Area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Celina@Parks</dc:creator>
  <cp:lastModifiedBy>Zhao, Jing</cp:lastModifiedBy>
  <dcterms:created xsi:type="dcterms:W3CDTF">2024-10-08T23:37:08Z</dcterms:created>
  <dcterms:modified xsi:type="dcterms:W3CDTF">2024-11-14T00:27:32Z</dcterms:modified>
</cp:coreProperties>
</file>