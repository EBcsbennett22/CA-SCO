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8_{DFCD28D1-4C5F-4F71-9231-89B77A592C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port 18" sheetId="1" r:id="rId1"/>
    <sheet name="Report 18 Differential" sheetId="5" r:id="rId2"/>
    <sheet name="Deductions - Equipment" sheetId="2" r:id="rId3"/>
    <sheet name="Deductions - ROU Buildings" sheetId="3" r:id="rId4"/>
    <sheet name="Deductions - ROU SBITA" sheetId="4" r:id="rId5"/>
  </sheets>
  <definedNames>
    <definedName name="_xlnm._FilterDatabase" localSheetId="2" hidden="1">'Deductions - Equipment'!$A$6:$H$155</definedName>
    <definedName name="_xlnm._FilterDatabase" localSheetId="4" hidden="1">'Deductions - ROU SBITA'!$A$6:$E$11</definedName>
    <definedName name="page\x2dtotal">#REF!</definedName>
    <definedName name="page\x2dtotal\x2dmaster0">#REF!</definedName>
    <definedName name="page\x2dtotal\x2dmaster0_1_1" localSheetId="1">#REF!</definedName>
    <definedName name="page\x2dtotal\x2dmaster0_1_1">'Report 18'!$A$28</definedName>
    <definedName name="page\x2dtotal\x2dmaster0_3_1">#REF!</definedName>
    <definedName name="page\x2dtotal\x2dmaster0_4_1">#REF!</definedName>
    <definedName name="page\x2dtotal\x2dmaster0_5_1">#REF!</definedName>
    <definedName name="page\x2dtotal_1_1" localSheetId="1">#REF!</definedName>
    <definedName name="page\x2dtotal_1_1">'Report 18'!$A$28</definedName>
    <definedName name="page\x2dtotal_3_1">#REF!</definedName>
    <definedName name="page\x2dtotal_4_1">#REF!</definedName>
    <definedName name="page\x2dtotal_5_1">#REF!</definedName>
    <definedName name="parenthst">#REF!</definedName>
    <definedName name="parentparc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I16" i="5"/>
  <c r="T18" i="5"/>
  <c r="S18" i="5"/>
  <c r="Q18" i="5"/>
  <c r="O18" i="5"/>
  <c r="M18" i="5"/>
  <c r="K18" i="5"/>
  <c r="G18" i="5"/>
  <c r="E18" i="5"/>
  <c r="V17" i="5"/>
  <c r="I17" i="5"/>
  <c r="V16" i="5"/>
  <c r="V15" i="5"/>
  <c r="I15" i="5"/>
  <c r="V14" i="5"/>
  <c r="I14" i="5"/>
  <c r="V12" i="5"/>
  <c r="I12" i="5"/>
  <c r="V18" i="5" l="1"/>
  <c r="I18" i="5"/>
  <c r="B15" i="3"/>
  <c r="C155" i="2"/>
</calcChain>
</file>

<file path=xl/sharedStrings.xml><?xml version="1.0" encoding="utf-8"?>
<sst xmlns="http://schemas.openxmlformats.org/spreadsheetml/2006/main" count="431" uniqueCount="188">
  <si>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</si>
  <si>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</si>
  <si>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Dept of Tax and Fee Admin - 7600</t>
  </si>
  <si>
    <t>Fund 0001</t>
  </si>
  <si>
    <t>Fiscal Year 2023-24</t>
  </si>
  <si>
    <t>As of 06/30/2024</t>
  </si>
  <si>
    <t>Business Unit:</t>
  </si>
  <si>
    <t>7600 - Dept of Tax and Fee Admin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</si>
  <si>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</si>
  <si>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</si>
  <si>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</si>
  <si>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08/15/2024</t>
    </r>
  </si>
  <si>
    <t>Subfund:</t>
  </si>
  <si>
    <t>000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</si>
  <si>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09:07:12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</si>
  <si>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</si>
  <si>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</si>
  <si>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</si>
  <si>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</si>
  <si>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</si>
  <si>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</si>
  <si>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</si>
  <si>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</si>
  <si>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Intangible Assets</t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</si>
  <si>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</si>
  <si>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</si>
  <si>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rPr>
        <sz val="11"/>
        <color theme="1"/>
        <rFont val="Calibri"/>
        <family val="2"/>
      </rPr>
      <t>2418</t>
    </r>
    <r>
      <rPr>
        <sz val="10"/>
        <color theme="1"/>
        <rFont val="Arial"/>
        <family val="2"/>
      </rPr>
      <t xml:space="preserve"> - Right-to-use SBITA - Amortizab</t>
    </r>
  </si>
  <si>
    <r>
      <rPr>
        <sz val="11"/>
        <color theme="1"/>
        <rFont val="Calibri"/>
        <family val="2"/>
      </rPr>
      <t>2430</t>
    </r>
    <r>
      <rPr>
        <sz val="10"/>
        <color theme="1"/>
        <rFont val="Arial"/>
        <family val="2"/>
      </rPr>
      <t xml:space="preserve"> - Int Gen Intgbl Assets in Progr</t>
    </r>
  </si>
  <si>
    <t>0001</t>
  </si>
  <si>
    <t>Sub Fund:</t>
  </si>
  <si>
    <t>Statement of Chagnes in Capital Assets - Deduction Details</t>
  </si>
  <si>
    <t>Equipment</t>
  </si>
  <si>
    <t>7600 - California Department of Tax and Fee Administration</t>
  </si>
  <si>
    <t>FY 2023</t>
  </si>
  <si>
    <t>Decal #</t>
  </si>
  <si>
    <t>Description</t>
  </si>
  <si>
    <t>Acquisition Cost</t>
  </si>
  <si>
    <t>Acquisition Date</t>
  </si>
  <si>
    <t>Nature of Deduction</t>
  </si>
  <si>
    <t>Fund</t>
  </si>
  <si>
    <t>Agency</t>
  </si>
  <si>
    <t>Agency Name</t>
  </si>
  <si>
    <t>MINOLTA 603Z PRINTER/READER</t>
  </si>
  <si>
    <t>Universal Waste - Salvage Dealer, Recycler (E-Waste)</t>
  </si>
  <si>
    <t>CHALLENGE EH-3C PAPER DRILL</t>
  </si>
  <si>
    <t>Ship to Property Reuse Program</t>
  </si>
  <si>
    <t>CANON MS-500 DIGITAL MICROFILM READER/PRINTER</t>
  </si>
  <si>
    <t>HALM SUPER JET ENVELOPE PRESS</t>
  </si>
  <si>
    <t>Inter-Agency Transfers</t>
  </si>
  <si>
    <t>Employment Development Department</t>
  </si>
  <si>
    <t>SHARP MX-M465N DIGITAL MONOCHROME COPIER</t>
  </si>
  <si>
    <t>HP DESIGNJET 800 PLOTTER</t>
  </si>
  <si>
    <t>KYOCERA CS-3035 COPIER</t>
  </si>
  <si>
    <t>BRAVO II DISK PUBLISHER</t>
  </si>
  <si>
    <t>AIR-LITE VI MK III FORENSIC COMPUTER</t>
  </si>
  <si>
    <t>POLYCOM VSX7400 PRESENTER WITH CAMERA</t>
  </si>
  <si>
    <t>SHARP AR-M355UA MFC COPIER</t>
  </si>
  <si>
    <t>HDX 7000-720 HD CAMERA</t>
  </si>
  <si>
    <t>PRI T1 FOR HDX SERIES</t>
  </si>
  <si>
    <t>POLYCOM VSX5000 VIDEO CONFERENCING EQUIPMENT</t>
  </si>
  <si>
    <t>SHARP MX-M363UP37 MFC COPIER</t>
  </si>
  <si>
    <t>POLYCOM HDX 4001 EXECUTIVE DESKTOP VIDEO CONFERENC</t>
  </si>
  <si>
    <t>POLYCOM HDX7000-720 EAGLEEYE HD VIDEO CONF CAMERA</t>
  </si>
  <si>
    <t>HP LASERJET CP6015DN COLOR PRINTER</t>
  </si>
  <si>
    <t>FUJITSU FI-6770 SCANNER</t>
  </si>
  <si>
    <t>APC SMART UPS RT 10000VA</t>
  </si>
  <si>
    <t>VESTIL HEAVY DUTY POWER LIFT TABLE</t>
  </si>
  <si>
    <t>MGI METEOR DP8700 PRO DIGITAL COLOR PRESS</t>
  </si>
  <si>
    <t>Trade-In (Show Trade-in Price Offered)</t>
  </si>
  <si>
    <t>MGI ENVELOPE FEEDER</t>
  </si>
  <si>
    <t>HP 3PAR STORAGE AREA NETWORK ARRAY</t>
  </si>
  <si>
    <t>PITNEY BOWES MSE INSERTING SYSTEM</t>
  </si>
  <si>
    <t>Sale (SAM Section 3520)</t>
  </si>
  <si>
    <t>SHARP MX-M465N MONOCHROME MULTIFUNCTIONAL</t>
  </si>
  <si>
    <t>EXTRON IN1608 IPCP MA 70 SCALER SWITCHER</t>
  </si>
  <si>
    <t>POLYCOM HDX7000-720 EAGLEEYE HD VIDEO CONF KIT</t>
  </si>
  <si>
    <t>SHARP MX-453N DIGITAL MONOCHROME COPIER</t>
  </si>
  <si>
    <t>SHARP MX-4141N DIGITAL COLOR MFC COPIER</t>
  </si>
  <si>
    <t>HP 3PAR 7400 STORAGE AREA NETWORK ARRAY</t>
  </si>
  <si>
    <t>MGI METEOR DP8700S DIGITAL COLOR PRESS</t>
  </si>
  <si>
    <t>LEXMARK X860DE 4 MONOCHROME LASER MFP</t>
  </si>
  <si>
    <t>SHARP MX-M453N MONOCHROME MFC COPIER</t>
  </si>
  <si>
    <t>XEROX NUVERA 157 EMULSION AGGREGATE PRINTER</t>
  </si>
  <si>
    <t>HALM SUPER JET XT26150 PLUS XT ENVELOPE PRESS</t>
  </si>
  <si>
    <t>Department of General Services</t>
  </si>
  <si>
    <t>EMC DD860 DATADOMAIN SYSTEM</t>
  </si>
  <si>
    <t>RYOBI 524GX 4 COLOR PRINTING PRESS</t>
  </si>
  <si>
    <t>TECHNOTRANS ALPHA CHILLER COOLING SYSTEM</t>
  </si>
  <si>
    <t>RYOBI PCS-H4 OPERATIONS STAND</t>
  </si>
  <si>
    <t>LEXMARK X792DE COLOR MULTIFUNCTION PRINTER</t>
  </si>
  <si>
    <t>9130 3000 120V RACK W/SNMP</t>
  </si>
  <si>
    <t>SPIIRE FREE STANDING KIOSK</t>
  </si>
  <si>
    <t>Shipped to Scrap/Salvage Dealer (to be recycled)</t>
  </si>
  <si>
    <t>XEROX NUVERA 144</t>
  </si>
  <si>
    <t>CISCO 3925-SEC/K9 SECURITY BUNDLE</t>
  </si>
  <si>
    <t>PITNEY BOWES SENDPRO P1000 SERIES MAILING MACHINE</t>
  </si>
  <si>
    <t>LEXMARK C950DE COLOR LASER PRINTER</t>
  </si>
  <si>
    <t>CRON 6KVA UPS</t>
  </si>
  <si>
    <t>CISCO 2921 SECURITY BUNDLE W/SEC LIC PK</t>
  </si>
  <si>
    <t>EXACQVISION HDVR SERVER</t>
  </si>
  <si>
    <t>POLYCOM-HDX 700 720 CODEC</t>
  </si>
  <si>
    <t>LEXMARK MX911DTE MULTIFUNCTION PRINTER</t>
  </si>
  <si>
    <t>CRO-TP-3616-F THERMAL CTP</t>
  </si>
  <si>
    <t>SHARP MX-5070N 50 CPM MFC COPIER</t>
  </si>
  <si>
    <t>CISCO 3925E SEC BDL W/SEC LIC PAK</t>
  </si>
  <si>
    <t>CISCO 3925E SECURITY BUNDLE</t>
  </si>
  <si>
    <t>DELL PRECISION TOWER 7910 XCTO BASE</t>
  </si>
  <si>
    <t>LEXMARK MX711DE MULTI-FUNCTION PRINTER</t>
  </si>
  <si>
    <t>LEXMARK MX711DTHE MULTI-FUNCTION PRINTER</t>
  </si>
  <si>
    <t>SHARP MX-5071 COPIER</t>
  </si>
  <si>
    <t>SHARP MX-5071 - 50 PPM FULL COLOR COPIER</t>
  </si>
  <si>
    <t>2000 DODGE CARAVAN</t>
  </si>
  <si>
    <t>2007 TOYOTA PRIUS</t>
  </si>
  <si>
    <t>2011 NISSAN ALTIMA</t>
  </si>
  <si>
    <t>2012 DODGE GRAND CARAVAN</t>
  </si>
  <si>
    <t>2012 SUBARU FORESTER</t>
  </si>
  <si>
    <t>2013 CHEVROLET EQUINOX</t>
  </si>
  <si>
    <t>2015 FORD FUSION</t>
  </si>
  <si>
    <t>2015 CHERVOLET TRAVERSE</t>
  </si>
  <si>
    <t>2015 TOYOTA PRIUS</t>
  </si>
  <si>
    <t>JEEP GRAND CHEROKEE LAREDO E 4X4</t>
  </si>
  <si>
    <t>2017 CHEVROLET VOLT</t>
  </si>
  <si>
    <t>Total Deductions</t>
  </si>
  <si>
    <t>Right of Use - Buildings</t>
  </si>
  <si>
    <t>DGS Lease #</t>
  </si>
  <si>
    <t>Amount</t>
  </si>
  <si>
    <t>Start Date</t>
  </si>
  <si>
    <t>End Date</t>
  </si>
  <si>
    <t>Reason</t>
  </si>
  <si>
    <t>4644005</t>
  </si>
  <si>
    <t>Early Termination</t>
  </si>
  <si>
    <t>4788001</t>
  </si>
  <si>
    <t>5619006 A</t>
  </si>
  <si>
    <t>Early Termination - Amendment</t>
  </si>
  <si>
    <t>5778001 A</t>
  </si>
  <si>
    <t>6007004</t>
  </si>
  <si>
    <t>6320001 A</t>
  </si>
  <si>
    <t>6443001</t>
  </si>
  <si>
    <t>Right of Use - SBITA</t>
  </si>
  <si>
    <t>Software</t>
  </si>
  <si>
    <t>2020-4249 CiscoFP Threat Defense</t>
  </si>
  <si>
    <t>Lease Ended</t>
  </si>
  <si>
    <t>2022-4040 RealQuest</t>
  </si>
  <si>
    <t>2021-4098 CROS</t>
  </si>
  <si>
    <t>Department Name (BU#)</t>
  </si>
  <si>
    <t>Statement of Changes in Capital Assets Group of Accounts - Report 18</t>
  </si>
  <si>
    <t>Beginning Balance Differential Report</t>
  </si>
  <si>
    <t>Fund Name (Fund#)</t>
  </si>
  <si>
    <t>As of June 30, 20XX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</si>
  <si>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</si>
  <si>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</si>
  <si>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</si>
  <si>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</si>
  <si>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</si>
  <si>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</si>
  <si>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</si>
  <si>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</si>
  <si>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</si>
  <si>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</si>
  <si>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</si>
  <si>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</si>
  <si>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</si>
  <si>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</si>
  <si>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</si>
  <si>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</si>
  <si>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  <family val="2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</si>
  <si>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</si>
  <si>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</si>
  <si>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87 FY 2021-2022 implementation beginning balance adjustment.</t>
    </r>
  </si>
  <si>
    <r>
      <t xml:space="preserve">Restatement Amount 
</t>
    </r>
    <r>
      <rPr>
        <sz val="11"/>
        <color theme="1"/>
        <rFont val="Calibri"/>
        <family val="2"/>
      </rPr>
      <t>(should agree to the difference calculated)</t>
    </r>
  </si>
  <si>
    <t>Computer Software - Amortizable</t>
  </si>
  <si>
    <t>Right-to-Use Leased Buildings - Amortizable</t>
  </si>
  <si>
    <t>Right-to-use SBITA - Amortizable</t>
  </si>
  <si>
    <t>Internally Generated Intangible Assets in Progress</t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</si>
  <si>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</si>
  <si>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</si>
  <si>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</si>
  <si>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</si>
  <si>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</si>
  <si>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</si>
  <si>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</si>
  <si>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</si>
  <si>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</si>
  <si>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Col. 4 - 9</t>
  </si>
  <si>
    <t>Breakdown and categorize the differences in columns 4 to 9.</t>
  </si>
  <si>
    <t>Col. 10 -</t>
  </si>
  <si>
    <t>Compute the sum of columns 4 to 8. The amount should agree with the computed difference in column 3.</t>
  </si>
  <si>
    <t>2022-4210 zScaler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</si>
</sst>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1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6" fillId="2" borderId="0" xfId="0" applyFont="1" applyFill="1" applyAlignment="1">
      <alignment horizontal="right" vertical="center" wrapText="1"/>
    </xf>
    <xf numFmtId="39" fontId="8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left" vertical="center" wrapText="1"/>
    </xf>
    <xf numFmtId="39" fontId="0" fillId="0" borderId="0" xfId="0" applyNumberFormat="1"/>
    <xf numFmtId="0" fontId="11" fillId="0" borderId="0" xfId="0" applyFont="1"/>
    <xf numFmtId="0" fontId="12" fillId="0" borderId="0" xfId="1" applyFont="1"/>
    <xf numFmtId="0" fontId="2" fillId="0" borderId="0" xfId="1"/>
    <xf numFmtId="43" fontId="0" fillId="0" borderId="0" xfId="2" applyFont="1" applyFill="1"/>
    <xf numFmtId="49" fontId="2" fillId="0" borderId="0" xfId="1" applyNumberFormat="1"/>
    <xf numFmtId="43" fontId="0" fillId="0" borderId="0" xfId="2" applyFont="1" applyFill="1" applyAlignment="1"/>
    <xf numFmtId="14" fontId="2" fillId="0" borderId="0" xfId="1" applyNumberFormat="1"/>
    <xf numFmtId="43" fontId="12" fillId="0" borderId="0" xfId="2" applyFont="1" applyFill="1"/>
    <xf numFmtId="0" fontId="13" fillId="0" borderId="0" xfId="1" applyFont="1"/>
    <xf numFmtId="43" fontId="0" fillId="0" borderId="0" xfId="2" applyFont="1"/>
    <xf numFmtId="43" fontId="12" fillId="0" borderId="0" xfId="1" applyNumberFormat="1" applyFont="1"/>
    <xf numFmtId="0" fontId="12" fillId="0" borderId="0" xfId="1" applyFont="1" applyAlignment="1" applyProtection="1">
      <alignment horizontal="centerContinuous"/>
      <protection locked="0"/>
    </xf>
    <xf numFmtId="0" fontId="2" fillId="0" borderId="0" xfId="1" applyProtection="1">
      <protection locked="0"/>
    </xf>
    <xf numFmtId="43" fontId="2" fillId="0" borderId="0" xfId="1" applyNumberFormat="1" applyProtection="1">
      <protection locked="0"/>
    </xf>
    <xf numFmtId="43" fontId="2" fillId="3" borderId="0" xfId="1" applyNumberFormat="1" applyFill="1" applyProtection="1">
      <protection locked="0"/>
    </xf>
    <xf numFmtId="43" fontId="12" fillId="0" borderId="1" xfId="1" applyNumberFormat="1" applyFont="1" applyBorder="1" applyAlignment="1" applyProtection="1">
      <alignment horizontal="centerContinuous"/>
      <protection locked="0"/>
    </xf>
    <xf numFmtId="0" fontId="2" fillId="0" borderId="0" xfId="1" quotePrefix="1" applyAlignment="1" applyProtection="1">
      <alignment horizontal="center"/>
      <protection locked="0"/>
    </xf>
    <xf numFmtId="0" fontId="2" fillId="0" borderId="0" xfId="1" applyAlignment="1" applyProtection="1">
      <alignment horizontal="center"/>
      <protection locked="0"/>
    </xf>
    <xf numFmtId="0" fontId="2" fillId="3" borderId="0" xfId="1" applyFill="1" applyAlignment="1" applyProtection="1">
      <alignment horizontal="center"/>
      <protection locked="0"/>
    </xf>
    <xf numFmtId="0" fontId="12" fillId="0" borderId="0" xfId="1" applyFont="1" applyProtection="1">
      <protection locked="0"/>
    </xf>
    <xf numFmtId="0" fontId="12" fillId="0" borderId="2" xfId="1" applyFont="1" applyBorder="1" applyAlignment="1" applyProtection="1">
      <alignment horizontal="center" vertical="top" wrapText="1"/>
      <protection locked="0"/>
    </xf>
    <xf numFmtId="0" fontId="12" fillId="0" borderId="2" xfId="1" applyFont="1" applyBorder="1" applyAlignment="1" applyProtection="1">
      <alignment horizontal="center" vertical="top"/>
      <protection locked="0"/>
    </xf>
    <xf numFmtId="41" fontId="2" fillId="0" borderId="0" xfId="1" applyNumberFormat="1"/>
    <xf numFmtId="41" fontId="2" fillId="0" borderId="0" xfId="1" applyNumberFormat="1" applyProtection="1">
      <protection locked="0"/>
    </xf>
    <xf numFmtId="41" fontId="2" fillId="3" borderId="0" xfId="1" applyNumberFormat="1" applyFill="1" applyProtection="1">
      <protection locked="0"/>
    </xf>
    <xf numFmtId="41" fontId="2" fillId="0" borderId="2" xfId="1" applyNumberFormat="1" applyBorder="1" applyProtection="1">
      <protection locked="0"/>
    </xf>
    <xf numFmtId="41" fontId="12" fillId="0" borderId="3" xfId="1" applyNumberFormat="1" applyFont="1" applyBorder="1"/>
    <xf numFmtId="41" fontId="2" fillId="3" borderId="0" xfId="1" applyNumberFormat="1" applyFill="1"/>
    <xf numFmtId="43" fontId="2" fillId="0" borderId="0" xfId="1" applyNumberFormat="1"/>
    <xf numFmtId="0" fontId="1" fillId="0" borderId="0" xfId="1" applyFont="1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8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center" indent="1"/>
    </xf>
    <xf numFmtId="0" fontId="8" fillId="0" borderId="0" xfId="0" applyFont="1" applyAlignment="1">
      <alignment horizontal="right" vertical="center" wrapText="1"/>
    </xf>
    <xf numFmtId="39" fontId="9" fillId="0" borderId="0" xfId="0" applyNumberFormat="1" applyFont="1" applyAlignment="1">
      <alignment horizontal="right" vertical="center" wrapText="1"/>
    </xf>
  </cellXfs>
  <cellStyles count="3">
    <cellStyle name="Comma 2" xfId="2" xr:uid="{BC604F71-5A7C-4B9A-ADF3-D56DF97A0F80}"/>
    <cellStyle name="Normal" xfId="0" builtinId="0"/>
    <cellStyle name="Normal 2" xfId="1" xr:uid="{CA3EB3FD-FE08-40C5-BC3C-52AB347244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showGridLines="0" tabSelected="1" workbookViewId="0">
      <selection activeCell="P10" sqref="P10"/>
    </sheetView>
  </sheetViews>
  <sheetFormatPr defaultRowHeight="14.5" x14ac:dyDescent="0.35"/>
  <cols>
    <col min="1" max="1" width="12.54296875" customWidth="1"/>
    <col min="2" max="2" width="5.08984375" customWidth="1"/>
    <col min="3" max="3" width="7.453125" customWidth="1"/>
    <col min="4" max="4" width="4.54296875" customWidth="1"/>
    <col min="5" max="5" width="18.90625" customWidth="1"/>
    <col min="6" max="6" width="20.54296875" customWidth="1"/>
    <col min="7" max="7" width="17.08984375" customWidth="1"/>
    <col min="8" max="8" width="14.36328125" customWidth="1"/>
    <col min="9" max="9" width="2.90625" customWidth="1"/>
    <col min="10" max="10" width="22.36328125" customWidth="1"/>
    <col min="12" max="13" width="14.08984375" bestFit="1" customWidth="1"/>
  </cols>
  <sheetData>
    <row r="1" spans="1:13" x14ac:dyDescent="0.35">
      <c r="A1" s="35"/>
      <c r="B1" s="35"/>
      <c r="C1" s="35"/>
      <c r="D1" s="35"/>
      <c r="E1" s="35"/>
      <c r="F1" s="35"/>
      <c r="G1" s="35"/>
      <c r="H1" s="35"/>
      <c r="I1" s="35" t="s">
        <v>0</v>
      </c>
      <c r="J1" s="35"/>
    </row>
    <row r="2" spans="1:13" x14ac:dyDescent="0.3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3" x14ac:dyDescent="0.3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</row>
    <row r="4" spans="1:13" x14ac:dyDescent="0.35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</row>
    <row r="5" spans="1:13" x14ac:dyDescent="0.35">
      <c r="A5" s="36" t="s">
        <v>4</v>
      </c>
      <c r="B5" s="36"/>
      <c r="C5" s="36"/>
      <c r="D5" s="36"/>
      <c r="E5" s="36"/>
      <c r="F5" s="36"/>
      <c r="G5" s="36"/>
      <c r="H5" s="36"/>
      <c r="I5" s="36"/>
      <c r="J5" s="36"/>
    </row>
    <row r="6" spans="1:13" x14ac:dyDescent="0.35">
      <c r="A6" s="36" t="s">
        <v>5</v>
      </c>
      <c r="B6" s="36"/>
      <c r="C6" s="36"/>
      <c r="D6" s="36"/>
      <c r="E6" s="36"/>
      <c r="F6" s="36"/>
      <c r="G6" s="36"/>
      <c r="H6" s="36"/>
      <c r="I6" s="36"/>
      <c r="J6" s="36"/>
    </row>
    <row r="7" spans="1:13" x14ac:dyDescent="0.35">
      <c r="A7" s="37" t="s">
        <v>6</v>
      </c>
      <c r="B7" s="37"/>
      <c r="C7" s="38" t="s">
        <v>7</v>
      </c>
      <c r="D7" s="38"/>
      <c r="E7" s="38"/>
      <c r="F7" s="38"/>
      <c r="G7" s="38"/>
      <c r="H7" s="38"/>
      <c r="I7" s="35" t="s">
        <v>8</v>
      </c>
      <c r="J7" s="35"/>
    </row>
    <row r="8" spans="1:13" x14ac:dyDescent="0.35">
      <c r="A8" s="37" t="s">
        <v>9</v>
      </c>
      <c r="B8" s="37"/>
      <c r="C8" s="38" t="s">
        <v>10</v>
      </c>
      <c r="D8" s="38"/>
      <c r="E8" s="38"/>
      <c r="F8" s="38"/>
      <c r="G8" s="38"/>
      <c r="H8" s="38"/>
      <c r="I8" s="35" t="s">
        <v>11</v>
      </c>
      <c r="J8" s="35"/>
    </row>
    <row r="9" spans="1:13" x14ac:dyDescent="0.35">
      <c r="A9" s="37" t="s">
        <v>12</v>
      </c>
      <c r="B9" s="37"/>
      <c r="C9" s="38" t="s">
        <v>13</v>
      </c>
      <c r="D9" s="38"/>
      <c r="E9" s="38"/>
      <c r="F9" s="38"/>
      <c r="G9" s="38"/>
      <c r="H9" s="38"/>
      <c r="I9" s="35" t="s">
        <v>14</v>
      </c>
      <c r="J9" s="35"/>
    </row>
    <row r="10" spans="1:13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</row>
    <row r="11" spans="1:13" x14ac:dyDescent="0.35">
      <c r="A11" s="39"/>
      <c r="B11" s="39"/>
      <c r="C11" s="39"/>
      <c r="D11" s="39"/>
      <c r="E11" s="39"/>
      <c r="F11" s="39"/>
      <c r="G11" s="39"/>
      <c r="H11" s="39"/>
      <c r="I11" s="39"/>
      <c r="J11" s="39"/>
    </row>
    <row r="12" spans="1:13" x14ac:dyDescent="0.35">
      <c r="A12" s="40" t="s">
        <v>15</v>
      </c>
      <c r="B12" s="40"/>
      <c r="C12" s="40"/>
      <c r="D12" s="40"/>
      <c r="E12" s="40"/>
      <c r="F12" s="40"/>
      <c r="G12" s="40"/>
      <c r="H12" s="40"/>
      <c r="I12" s="40"/>
      <c r="J12" s="40"/>
    </row>
    <row r="13" spans="1:13" x14ac:dyDescent="0.35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3" x14ac:dyDescent="0.35">
      <c r="A14" s="41" t="s">
        <v>16</v>
      </c>
      <c r="B14" s="41"/>
      <c r="C14" s="41"/>
      <c r="D14" s="41"/>
      <c r="E14" s="41"/>
      <c r="F14" s="1" t="s">
        <v>17</v>
      </c>
      <c r="G14" s="1" t="s">
        <v>18</v>
      </c>
      <c r="H14" s="42" t="s">
        <v>19</v>
      </c>
      <c r="I14" s="42"/>
      <c r="J14" s="1" t="s">
        <v>20</v>
      </c>
    </row>
    <row r="15" spans="1:13" x14ac:dyDescent="0.35">
      <c r="A15" s="43" t="s">
        <v>21</v>
      </c>
      <c r="B15" s="43"/>
      <c r="C15" s="43"/>
      <c r="D15" s="43"/>
      <c r="E15" s="43"/>
      <c r="F15" s="43"/>
      <c r="G15" s="43"/>
      <c r="H15" s="43"/>
      <c r="I15" s="43"/>
      <c r="J15" s="43"/>
    </row>
    <row r="16" spans="1:13" x14ac:dyDescent="0.35">
      <c r="A16" s="44" t="s">
        <v>22</v>
      </c>
      <c r="B16" s="44"/>
      <c r="C16" s="44"/>
      <c r="D16" s="44"/>
      <c r="E16" s="44"/>
      <c r="F16" s="2">
        <v>25685613.899999999</v>
      </c>
      <c r="G16" s="2">
        <v>4349845.33</v>
      </c>
      <c r="H16" s="45">
        <v>5219908.8499999996</v>
      </c>
      <c r="I16" s="45"/>
      <c r="J16" s="2">
        <v>24815550.379999999</v>
      </c>
      <c r="L16" s="4"/>
      <c r="M16" s="4"/>
    </row>
    <row r="17" spans="1:13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L17" s="4"/>
      <c r="M17" s="4"/>
    </row>
    <row r="18" spans="1:13" x14ac:dyDescent="0.35">
      <c r="A18" s="43" t="s">
        <v>23</v>
      </c>
      <c r="B18" s="43"/>
      <c r="C18" s="43"/>
      <c r="D18" s="43"/>
      <c r="E18" s="43"/>
      <c r="F18" s="43"/>
      <c r="G18" s="43"/>
      <c r="H18" s="43"/>
      <c r="I18" s="43"/>
      <c r="J18" s="43"/>
      <c r="L18" s="4"/>
      <c r="M18" s="4"/>
    </row>
    <row r="19" spans="1:13" x14ac:dyDescent="0.35">
      <c r="A19" s="44" t="s">
        <v>24</v>
      </c>
      <c r="B19" s="44"/>
      <c r="C19" s="44"/>
      <c r="D19" s="44"/>
      <c r="E19" s="44"/>
      <c r="F19" s="2">
        <v>19459605.960000001</v>
      </c>
      <c r="G19" s="2">
        <v>24014.53</v>
      </c>
      <c r="H19" s="45">
        <v>472746.23</v>
      </c>
      <c r="I19" s="45"/>
      <c r="J19" s="2">
        <v>19010874.260000002</v>
      </c>
      <c r="L19" s="4"/>
      <c r="M19" s="4"/>
    </row>
    <row r="20" spans="1:13" x14ac:dyDescent="0.35">
      <c r="A20" s="44" t="s">
        <v>25</v>
      </c>
      <c r="B20" s="44"/>
      <c r="C20" s="44"/>
      <c r="D20" s="44"/>
      <c r="E20" s="44"/>
      <c r="F20" s="2">
        <v>50074082.82</v>
      </c>
      <c r="G20" s="2">
        <v>50336155.789999999</v>
      </c>
      <c r="H20" s="45">
        <v>26678985.440000001</v>
      </c>
      <c r="I20" s="45"/>
      <c r="J20" s="2">
        <v>73731253.170000002</v>
      </c>
      <c r="L20" s="4"/>
      <c r="M20" s="4"/>
    </row>
    <row r="21" spans="1:13" x14ac:dyDescent="0.35">
      <c r="A21" s="44" t="s">
        <v>26</v>
      </c>
      <c r="B21" s="44"/>
      <c r="C21" s="44"/>
      <c r="D21" s="44"/>
      <c r="E21" s="44"/>
      <c r="F21" s="2">
        <v>16836269.579999998</v>
      </c>
      <c r="G21" s="2">
        <v>20543758.149999999</v>
      </c>
      <c r="H21" s="45">
        <v>13066307.960000001</v>
      </c>
      <c r="I21" s="45"/>
      <c r="J21" s="2">
        <v>24313719.77</v>
      </c>
      <c r="L21" s="4"/>
      <c r="M21" s="4"/>
    </row>
    <row r="22" spans="1:13" x14ac:dyDescent="0.35">
      <c r="A22" s="44" t="s">
        <v>27</v>
      </c>
      <c r="B22" s="44"/>
      <c r="C22" s="44"/>
      <c r="D22" s="44"/>
      <c r="E22" s="44"/>
      <c r="F22" s="2">
        <v>74107.360000000001</v>
      </c>
      <c r="G22" s="2">
        <v>210800.13</v>
      </c>
      <c r="H22" s="45">
        <v>24014.53</v>
      </c>
      <c r="I22" s="45"/>
      <c r="J22" s="2">
        <v>260892.96</v>
      </c>
      <c r="L22" s="4"/>
      <c r="M22" s="4"/>
    </row>
    <row r="23" spans="1:13" x14ac:dyDescent="0.35">
      <c r="A23" s="39"/>
      <c r="B23" s="39"/>
      <c r="C23" s="39"/>
      <c r="D23" s="39"/>
      <c r="E23" s="39"/>
      <c r="F23" s="39"/>
      <c r="G23" s="39"/>
      <c r="H23" s="39"/>
      <c r="I23" s="39"/>
      <c r="J23" s="39"/>
      <c r="L23" s="4"/>
      <c r="M23" s="4"/>
    </row>
    <row r="24" spans="1:13" x14ac:dyDescent="0.35">
      <c r="A24" s="3" t="s">
        <v>9</v>
      </c>
      <c r="B24" s="47" t="s">
        <v>28</v>
      </c>
      <c r="C24" s="47"/>
      <c r="D24" s="47"/>
      <c r="E24" s="48">
        <v>112129679.62</v>
      </c>
      <c r="F24" s="48"/>
      <c r="G24" s="48">
        <v>75464573.930000007</v>
      </c>
      <c r="H24" s="48">
        <v>45461963.009999998</v>
      </c>
      <c r="I24" s="48"/>
      <c r="J24" s="48">
        <v>142132290.53999999</v>
      </c>
      <c r="L24" s="4"/>
      <c r="M24" s="4"/>
    </row>
    <row r="25" spans="1:13" x14ac:dyDescent="0.35">
      <c r="A25" s="3" t="s">
        <v>29</v>
      </c>
      <c r="B25" s="47" t="s">
        <v>13</v>
      </c>
      <c r="C25" s="47"/>
      <c r="D25" s="47"/>
      <c r="E25" s="48"/>
      <c r="F25" s="48"/>
      <c r="G25" s="48"/>
      <c r="H25" s="48"/>
      <c r="I25" s="48"/>
      <c r="J25" s="48"/>
      <c r="M25" s="4"/>
    </row>
    <row r="26" spans="1:13" x14ac:dyDescent="0.35">
      <c r="A26" s="39"/>
      <c r="B26" s="39"/>
      <c r="C26" s="39"/>
      <c r="D26" s="39"/>
      <c r="E26" s="39"/>
      <c r="F26" s="39"/>
      <c r="G26" s="39"/>
      <c r="H26" s="39"/>
      <c r="I26" s="39"/>
      <c r="J26" s="39"/>
    </row>
    <row r="27" spans="1:13" x14ac:dyDescent="0.35">
      <c r="A27" s="39"/>
      <c r="B27" s="39"/>
      <c r="C27" s="39"/>
      <c r="D27" s="39"/>
      <c r="E27" s="39"/>
      <c r="F27" s="39"/>
      <c r="G27" s="39"/>
      <c r="H27" s="39"/>
      <c r="I27" s="39"/>
      <c r="J27" s="39"/>
    </row>
    <row r="28" spans="1:13" x14ac:dyDescent="0.35">
      <c r="A28" s="39"/>
      <c r="B28" s="39"/>
      <c r="C28" s="39"/>
      <c r="D28" s="39"/>
      <c r="E28" s="39"/>
      <c r="F28" s="39"/>
      <c r="G28" s="39"/>
      <c r="H28" s="39"/>
      <c r="I28" s="39"/>
      <c r="J28" s="39"/>
    </row>
    <row r="29" spans="1:13" x14ac:dyDescent="0.35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1" spans="1:13" x14ac:dyDescent="0.35">
      <c r="G31" s="4"/>
      <c r="H31" s="4"/>
      <c r="I31" s="4"/>
      <c r="J31" s="4"/>
    </row>
    <row r="32" spans="1:13" x14ac:dyDescent="0.35">
      <c r="H32" s="5"/>
    </row>
  </sheetData>
  <mergeCells count="49">
    <mergeCell ref="A26:J26"/>
    <mergeCell ref="A27:J27"/>
    <mergeCell ref="A28:J28"/>
    <mergeCell ref="A29:J29"/>
    <mergeCell ref="B24:D24"/>
    <mergeCell ref="E24:F25"/>
    <mergeCell ref="G24:G25"/>
    <mergeCell ref="H24:I25"/>
    <mergeCell ref="J24:J25"/>
    <mergeCell ref="B25:D25"/>
    <mergeCell ref="A21:E21"/>
    <mergeCell ref="H21:I21"/>
    <mergeCell ref="A22:E22"/>
    <mergeCell ref="H22:I22"/>
    <mergeCell ref="A23:J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1438-BA6C-4290-A72B-AAF64B9A11BF}">
  <dimension ref="A1:V28"/>
  <sheetViews>
    <sheetView topLeftCell="A7" workbookViewId="0">
      <selection activeCell="K17" sqref="K17"/>
    </sheetView>
  </sheetViews>
  <sheetFormatPr defaultColWidth="9.08984375" defaultRowHeight="14.5" x14ac:dyDescent="0.35"/>
  <cols>
    <col min="1" max="1" width="1.6328125" style="7" customWidth="1"/>
    <col min="2" max="2" width="9" style="7" customWidth="1"/>
    <col min="3" max="3" width="44.36328125" style="7" customWidth="1"/>
    <col min="4" max="4" width="1.6328125" style="7" customWidth="1"/>
    <col min="5" max="5" width="15.6328125" style="33" customWidth="1"/>
    <col min="6" max="6" width="1.6328125" style="33" customWidth="1"/>
    <col min="7" max="7" width="15.6328125" style="33" customWidth="1"/>
    <col min="8" max="8" width="1.6328125" style="33" customWidth="1"/>
    <col min="9" max="9" width="15.6328125" style="33" customWidth="1"/>
    <col min="10" max="10" width="1.6328125" style="33" customWidth="1"/>
    <col min="11" max="11" width="15.6328125" style="33" customWidth="1"/>
    <col min="12" max="12" width="1.6328125" style="7" customWidth="1"/>
    <col min="13" max="13" width="15.6328125" style="7" customWidth="1"/>
    <col min="14" max="14" width="1.6328125" style="7" customWidth="1"/>
    <col min="15" max="15" width="15.6328125" style="7" customWidth="1"/>
    <col min="16" max="16" width="1.6328125" style="7" customWidth="1"/>
    <col min="17" max="17" width="15.6328125" style="7" customWidth="1"/>
    <col min="18" max="18" width="1.6328125" style="7" customWidth="1"/>
    <col min="19" max="20" width="15.6328125" style="7" customWidth="1"/>
    <col min="21" max="21" width="1.6328125" style="7" customWidth="1"/>
    <col min="22" max="22" width="15.6328125" style="7" customWidth="1"/>
    <col min="23" max="16384" width="9.08984375" style="7"/>
  </cols>
  <sheetData>
    <row r="1" spans="1:22" x14ac:dyDescent="0.35">
      <c r="A1" s="16" t="s">
        <v>144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x14ac:dyDescent="0.35">
      <c r="A2" s="16" t="s">
        <v>145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35">
      <c r="A3" s="16" t="s">
        <v>146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35">
      <c r="A4" s="16" t="s">
        <v>147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x14ac:dyDescent="0.35">
      <c r="A5" s="16" t="s">
        <v>148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22" x14ac:dyDescent="0.35">
      <c r="A6" s="17"/>
      <c r="B6" s="17"/>
      <c r="C6" s="17"/>
      <c r="D6" s="17"/>
      <c r="E6" s="18"/>
      <c r="F6" s="18"/>
      <c r="G6" s="18"/>
      <c r="H6" s="18"/>
      <c r="I6" s="18"/>
      <c r="J6" s="18"/>
      <c r="K6" s="18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5" thickBot="1" x14ac:dyDescent="0.4">
      <c r="A7" s="17"/>
      <c r="B7" s="17"/>
      <c r="C7" s="17"/>
      <c r="D7" s="17"/>
      <c r="E7" s="18"/>
      <c r="F7" s="18"/>
      <c r="G7" s="18"/>
      <c r="H7" s="18"/>
      <c r="I7" s="18"/>
      <c r="J7" s="19"/>
      <c r="K7" s="20" t="s">
        <v>149</v>
      </c>
      <c r="L7" s="20"/>
      <c r="M7" s="20"/>
      <c r="N7" s="20"/>
      <c r="O7" s="20"/>
      <c r="P7" s="20"/>
      <c r="Q7" s="20"/>
      <c r="R7" s="20"/>
      <c r="S7" s="20"/>
      <c r="T7" s="20"/>
      <c r="U7" s="17"/>
      <c r="V7" s="17"/>
    </row>
    <row r="8" spans="1:22" x14ac:dyDescent="0.35">
      <c r="A8" s="17"/>
      <c r="B8" s="17"/>
      <c r="C8" s="17"/>
      <c r="D8" s="17"/>
      <c r="E8" s="21" t="s">
        <v>150</v>
      </c>
      <c r="F8" s="22"/>
      <c r="G8" s="21" t="s">
        <v>151</v>
      </c>
      <c r="H8" s="22"/>
      <c r="I8" s="21" t="s">
        <v>152</v>
      </c>
      <c r="J8" s="23"/>
      <c r="K8" s="21" t="s">
        <v>153</v>
      </c>
      <c r="L8" s="17"/>
      <c r="M8" s="21" t="s">
        <v>154</v>
      </c>
      <c r="N8" s="22"/>
      <c r="O8" s="21" t="s">
        <v>155</v>
      </c>
      <c r="P8" s="22"/>
      <c r="Q8" s="21" t="s">
        <v>156</v>
      </c>
      <c r="R8" s="22"/>
      <c r="S8" s="21" t="s">
        <v>157</v>
      </c>
      <c r="T8" s="21" t="s">
        <v>158</v>
      </c>
      <c r="U8" s="22"/>
      <c r="V8" s="21" t="s">
        <v>159</v>
      </c>
    </row>
    <row r="9" spans="1:22" ht="114.5" x14ac:dyDescent="0.35">
      <c r="A9" s="24"/>
      <c r="B9" s="17"/>
      <c r="C9" s="17"/>
      <c r="D9" s="17"/>
      <c r="E9" s="25" t="s">
        <v>160</v>
      </c>
      <c r="F9" s="22"/>
      <c r="G9" s="25" t="s">
        <v>161</v>
      </c>
      <c r="H9" s="22"/>
      <c r="I9" s="26" t="s">
        <v>162</v>
      </c>
      <c r="J9" s="23"/>
      <c r="K9" s="25" t="s">
        <v>163</v>
      </c>
      <c r="L9" s="22"/>
      <c r="M9" s="25" t="s">
        <v>164</v>
      </c>
      <c r="N9" s="17"/>
      <c r="O9" s="25" t="s">
        <v>165</v>
      </c>
      <c r="P9" s="17"/>
      <c r="Q9" s="25" t="s">
        <v>166</v>
      </c>
      <c r="R9" s="17"/>
      <c r="S9" s="25" t="s">
        <v>167</v>
      </c>
      <c r="T9" s="25" t="s">
        <v>168</v>
      </c>
      <c r="U9" s="17"/>
      <c r="V9" s="25" t="s">
        <v>169</v>
      </c>
    </row>
    <row r="10" spans="1:22" x14ac:dyDescent="0.35">
      <c r="A10" s="17"/>
      <c r="B10" s="17"/>
      <c r="C10" s="17"/>
      <c r="D10" s="17"/>
      <c r="E10" s="18"/>
      <c r="F10" s="18"/>
      <c r="G10" s="18"/>
      <c r="H10" s="18"/>
      <c r="I10" s="18"/>
      <c r="J10" s="19"/>
      <c r="K10" s="18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x14ac:dyDescent="0.35">
      <c r="A11" s="24" t="s">
        <v>21</v>
      </c>
      <c r="B11" s="17"/>
      <c r="C11" s="17"/>
      <c r="D11" s="17"/>
      <c r="E11" s="18"/>
      <c r="F11" s="18"/>
      <c r="G11" s="18"/>
      <c r="H11" s="18"/>
      <c r="I11" s="18"/>
      <c r="J11" s="19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x14ac:dyDescent="0.35">
      <c r="A12" s="17"/>
      <c r="B12" s="17" t="s">
        <v>31</v>
      </c>
      <c r="C12" s="17"/>
      <c r="D12" s="17"/>
      <c r="E12" s="27">
        <v>25685613.899999999</v>
      </c>
      <c r="F12" s="28"/>
      <c r="G12" s="27">
        <v>25685613.899999999</v>
      </c>
      <c r="H12" s="28"/>
      <c r="I12" s="27">
        <f>G12-E12</f>
        <v>0</v>
      </c>
      <c r="J12" s="29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7">
        <f t="shared" ref="V12" si="0">SUM(K12:T12)</f>
        <v>0</v>
      </c>
    </row>
    <row r="13" spans="1:22" x14ac:dyDescent="0.35">
      <c r="A13" s="24" t="s">
        <v>23</v>
      </c>
      <c r="B13" s="17"/>
      <c r="C13" s="17"/>
      <c r="D13" s="17"/>
      <c r="E13" s="27"/>
      <c r="F13" s="28"/>
      <c r="G13" s="27"/>
      <c r="H13" s="28"/>
      <c r="I13" s="27"/>
      <c r="J13" s="29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7"/>
    </row>
    <row r="14" spans="1:22" x14ac:dyDescent="0.35">
      <c r="A14" s="17"/>
      <c r="B14" s="17" t="s">
        <v>170</v>
      </c>
      <c r="C14" s="17"/>
      <c r="D14" s="17"/>
      <c r="E14" s="27">
        <v>19459605.960000001</v>
      </c>
      <c r="F14" s="28"/>
      <c r="G14" s="27">
        <v>19459605.960000001</v>
      </c>
      <c r="H14" s="28"/>
      <c r="I14" s="27">
        <f t="shared" ref="I14:I17" si="1">G14-E14</f>
        <v>0</v>
      </c>
      <c r="J14" s="29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7">
        <f t="shared" ref="V14:V17" si="2">SUM(K14:T14)</f>
        <v>0</v>
      </c>
    </row>
    <row r="15" spans="1:22" x14ac:dyDescent="0.35">
      <c r="A15" s="17"/>
      <c r="B15" s="17" t="s">
        <v>171</v>
      </c>
      <c r="C15" s="17"/>
      <c r="D15" s="17"/>
      <c r="E15" s="27">
        <v>50074082.82</v>
      </c>
      <c r="F15" s="28"/>
      <c r="G15" s="27">
        <v>50074082.82</v>
      </c>
      <c r="H15" s="28"/>
      <c r="I15" s="27">
        <f t="shared" si="1"/>
        <v>0</v>
      </c>
      <c r="J15" s="29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7">
        <f t="shared" si="2"/>
        <v>0</v>
      </c>
    </row>
    <row r="16" spans="1:22" ht="15" customHeight="1" x14ac:dyDescent="0.35">
      <c r="A16" s="17"/>
      <c r="B16" s="17" t="s">
        <v>172</v>
      </c>
      <c r="C16" s="17"/>
      <c r="D16" s="17"/>
      <c r="E16" s="27">
        <v>13948828.369999999</v>
      </c>
      <c r="F16" s="17"/>
      <c r="G16" s="27">
        <v>16836269.579999998</v>
      </c>
      <c r="H16" s="28"/>
      <c r="I16" s="27">
        <f t="shared" si="1"/>
        <v>2887441.209999999</v>
      </c>
      <c r="J16" s="29"/>
      <c r="K16" s="28">
        <v>2887441.21</v>
      </c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7">
        <f t="shared" si="2"/>
        <v>2887441.21</v>
      </c>
    </row>
    <row r="17" spans="1:22" x14ac:dyDescent="0.35">
      <c r="A17" s="17"/>
      <c r="B17" s="17" t="s">
        <v>173</v>
      </c>
      <c r="C17" s="17"/>
      <c r="D17" s="17"/>
      <c r="E17" s="27">
        <v>74107.360000000001</v>
      </c>
      <c r="F17" s="28"/>
      <c r="G17" s="27">
        <v>74107.360000000001</v>
      </c>
      <c r="H17" s="28"/>
      <c r="I17" s="27">
        <f t="shared" si="1"/>
        <v>0</v>
      </c>
      <c r="J17" s="29"/>
      <c r="K17" s="30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7">
        <f t="shared" si="2"/>
        <v>0</v>
      </c>
    </row>
    <row r="18" spans="1:22" ht="15" thickBot="1" x14ac:dyDescent="0.4">
      <c r="A18" s="6" t="s">
        <v>174</v>
      </c>
      <c r="E18" s="31">
        <f>SUM(E12:E17)</f>
        <v>109242238.41000001</v>
      </c>
      <c r="F18" s="27"/>
      <c r="G18" s="31">
        <f>SUM(G12:G17)</f>
        <v>112129679.62</v>
      </c>
      <c r="H18" s="27"/>
      <c r="I18" s="31">
        <f>SUM(I12:I17)</f>
        <v>2887441.209999999</v>
      </c>
      <c r="J18" s="32"/>
      <c r="K18" s="31">
        <f>SUM(K12:K17)</f>
        <v>2887441.21</v>
      </c>
      <c r="L18" s="27"/>
      <c r="M18" s="31">
        <f>SUM(M12:M17)</f>
        <v>0</v>
      </c>
      <c r="N18" s="27"/>
      <c r="O18" s="31">
        <f>SUM(O12:O17)</f>
        <v>0</v>
      </c>
      <c r="P18" s="27"/>
      <c r="Q18" s="31">
        <f>SUM(Q12:Q17)</f>
        <v>0</v>
      </c>
      <c r="R18" s="27"/>
      <c r="S18" s="31">
        <f>SUM(S12:S17)</f>
        <v>0</v>
      </c>
      <c r="T18" s="31">
        <f>SUM(T12:T17)</f>
        <v>0</v>
      </c>
      <c r="U18" s="27"/>
      <c r="V18" s="31">
        <f>SUM(V12:V17)</f>
        <v>2887441.21</v>
      </c>
    </row>
    <row r="19" spans="1:22" ht="15" thickTop="1" x14ac:dyDescent="0.35">
      <c r="A19" s="17"/>
      <c r="B19" s="17"/>
      <c r="C19" s="17"/>
      <c r="D19" s="17"/>
      <c r="E19" s="18"/>
      <c r="F19" s="18"/>
      <c r="G19" s="18"/>
      <c r="H19" s="18"/>
      <c r="I19" s="18"/>
      <c r="J19" s="18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x14ac:dyDescent="0.35">
      <c r="A20" s="17"/>
      <c r="B20" s="17"/>
      <c r="C20" s="17"/>
      <c r="D20" s="17"/>
      <c r="E20" s="18"/>
      <c r="F20" s="18"/>
      <c r="G20" s="18"/>
      <c r="H20" s="18"/>
      <c r="I20" s="18"/>
      <c r="J20" s="18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x14ac:dyDescent="0.35">
      <c r="A21" s="17" t="s">
        <v>175</v>
      </c>
      <c r="B21" s="17"/>
      <c r="C21" s="17"/>
      <c r="D21" s="17"/>
      <c r="E21" s="18"/>
      <c r="F21" s="18"/>
      <c r="G21" s="18"/>
      <c r="H21" s="18"/>
      <c r="I21" s="18"/>
      <c r="J21" s="18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x14ac:dyDescent="0.35">
      <c r="A22" s="17" t="s">
        <v>176</v>
      </c>
      <c r="B22" s="17"/>
      <c r="C22" s="17" t="s">
        <v>177</v>
      </c>
      <c r="D22" s="17"/>
      <c r="E22" s="18"/>
      <c r="F22" s="18"/>
      <c r="G22" s="18"/>
      <c r="H22" s="18"/>
      <c r="I22" s="18"/>
      <c r="J22" s="18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x14ac:dyDescent="0.35">
      <c r="A23" s="17" t="s">
        <v>178</v>
      </c>
      <c r="B23" s="17"/>
      <c r="C23" s="17" t="s">
        <v>179</v>
      </c>
      <c r="D23" s="17"/>
      <c r="E23" s="18"/>
      <c r="F23" s="18"/>
      <c r="G23" s="18"/>
      <c r="H23" s="18"/>
      <c r="I23" s="18"/>
      <c r="J23" s="1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x14ac:dyDescent="0.35">
      <c r="A24" s="17" t="s">
        <v>180</v>
      </c>
      <c r="B24" s="17"/>
      <c r="C24" s="17" t="s">
        <v>181</v>
      </c>
      <c r="D24" s="17"/>
      <c r="E24" s="18"/>
      <c r="F24" s="18"/>
      <c r="G24" s="18"/>
      <c r="H24" s="18"/>
      <c r="I24" s="18"/>
      <c r="J24" s="18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x14ac:dyDescent="0.35">
      <c r="A25" s="17"/>
      <c r="B25" s="17"/>
      <c r="C25" s="17" t="s">
        <v>182</v>
      </c>
      <c r="D25" s="17"/>
      <c r="E25" s="18"/>
      <c r="F25" s="18"/>
      <c r="G25" s="18"/>
      <c r="H25" s="18"/>
      <c r="I25" s="18"/>
      <c r="J25" s="18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x14ac:dyDescent="0.35">
      <c r="A26" s="17" t="s">
        <v>183</v>
      </c>
      <c r="B26" s="17"/>
      <c r="C26" s="17" t="s">
        <v>184</v>
      </c>
      <c r="D26" s="17"/>
      <c r="E26" s="18"/>
      <c r="F26" s="18"/>
      <c r="G26" s="18"/>
      <c r="H26" s="18"/>
      <c r="I26" s="18"/>
      <c r="J26" s="18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x14ac:dyDescent="0.35">
      <c r="A27" s="17" t="s">
        <v>185</v>
      </c>
      <c r="B27" s="17"/>
      <c r="C27" s="17" t="s">
        <v>186</v>
      </c>
      <c r="D27" s="17"/>
      <c r="E27" s="18"/>
      <c r="F27" s="18"/>
      <c r="G27" s="18"/>
      <c r="H27" s="18"/>
      <c r="I27" s="18"/>
      <c r="J27" s="18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x14ac:dyDescent="0.35">
      <c r="A28" s="17"/>
      <c r="B28" s="17"/>
      <c r="C28" s="17"/>
      <c r="D28" s="17"/>
      <c r="E28" s="18"/>
      <c r="F28" s="18"/>
      <c r="G28" s="18"/>
      <c r="H28" s="18"/>
      <c r="I28" s="18"/>
      <c r="J28" s="18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</sheetData>
  <printOptions horizontalCentered="1"/>
  <pageMargins left="0" right="0" top="0.75" bottom="0.75" header="0.3" footer="0.3"/>
  <pageSetup scale="6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D5E8-6A12-4839-AD28-1047DD7F8792}">
  <dimension ref="A1:H155"/>
  <sheetViews>
    <sheetView topLeftCell="A139" workbookViewId="0"/>
  </sheetViews>
  <sheetFormatPr defaultColWidth="9.08984375" defaultRowHeight="14.5" x14ac:dyDescent="0.35"/>
  <cols>
    <col min="1" max="1" width="9.08984375" style="7"/>
    <col min="2" max="2" width="55.36328125" style="7" bestFit="1" customWidth="1"/>
    <col min="3" max="3" width="16.90625" style="8" bestFit="1" customWidth="1"/>
    <col min="4" max="4" width="15.6328125" style="7" bestFit="1" customWidth="1"/>
    <col min="5" max="5" width="48.6328125" style="7" bestFit="1" customWidth="1"/>
    <col min="6" max="6" width="8.36328125" style="9" customWidth="1"/>
    <col min="7" max="7" width="7.453125" style="7" bestFit="1" customWidth="1"/>
    <col min="8" max="8" width="36.90625" style="7" bestFit="1" customWidth="1"/>
    <col min="9" max="16384" width="9.08984375" style="7"/>
  </cols>
  <sheetData>
    <row r="1" spans="1:8" x14ac:dyDescent="0.35">
      <c r="A1" s="6" t="s">
        <v>30</v>
      </c>
    </row>
    <row r="2" spans="1:8" x14ac:dyDescent="0.35">
      <c r="A2" s="6" t="s">
        <v>31</v>
      </c>
    </row>
    <row r="3" spans="1:8" x14ac:dyDescent="0.35">
      <c r="A3" s="6" t="s">
        <v>32</v>
      </c>
    </row>
    <row r="4" spans="1:8" x14ac:dyDescent="0.35">
      <c r="A4" s="6" t="s">
        <v>33</v>
      </c>
    </row>
    <row r="6" spans="1:8" x14ac:dyDescent="0.35">
      <c r="A6" s="7" t="s">
        <v>34</v>
      </c>
      <c r="B6" s="7" t="s">
        <v>35</v>
      </c>
      <c r="C6" s="10" t="s">
        <v>36</v>
      </c>
      <c r="D6" s="7" t="s">
        <v>37</v>
      </c>
      <c r="E6" s="7" t="s">
        <v>38</v>
      </c>
      <c r="F6" s="9" t="s">
        <v>39</v>
      </c>
      <c r="G6" s="7" t="s">
        <v>40</v>
      </c>
      <c r="H6" s="7" t="s">
        <v>41</v>
      </c>
    </row>
    <row r="7" spans="1:8" x14ac:dyDescent="0.35">
      <c r="A7" s="7">
        <v>38297</v>
      </c>
      <c r="B7" s="7" t="s">
        <v>42</v>
      </c>
      <c r="C7" s="8">
        <v>14365.74</v>
      </c>
      <c r="D7" s="11">
        <v>35461</v>
      </c>
      <c r="E7" s="7" t="s">
        <v>43</v>
      </c>
    </row>
    <row r="8" spans="1:8" x14ac:dyDescent="0.35">
      <c r="A8" s="7">
        <v>50231</v>
      </c>
      <c r="B8" s="7" t="s">
        <v>44</v>
      </c>
      <c r="C8" s="8">
        <v>8217.49</v>
      </c>
      <c r="D8" s="11">
        <v>36231</v>
      </c>
      <c r="E8" s="7" t="s">
        <v>45</v>
      </c>
    </row>
    <row r="9" spans="1:8" x14ac:dyDescent="0.35">
      <c r="A9" s="7">
        <v>53013</v>
      </c>
      <c r="B9" s="7" t="s">
        <v>46</v>
      </c>
      <c r="C9" s="8">
        <v>17531.64</v>
      </c>
      <c r="D9" s="11">
        <v>36973</v>
      </c>
      <c r="E9" s="7" t="s">
        <v>43</v>
      </c>
    </row>
    <row r="10" spans="1:8" x14ac:dyDescent="0.35">
      <c r="A10" s="7">
        <v>55490</v>
      </c>
      <c r="B10" s="7" t="s">
        <v>47</v>
      </c>
      <c r="C10" s="8">
        <v>126652.06</v>
      </c>
      <c r="D10" s="11">
        <v>37133</v>
      </c>
      <c r="E10" s="7" t="s">
        <v>48</v>
      </c>
      <c r="F10" s="9" t="s">
        <v>28</v>
      </c>
      <c r="G10" s="7">
        <v>7100</v>
      </c>
      <c r="H10" s="7" t="s">
        <v>49</v>
      </c>
    </row>
    <row r="11" spans="1:8" x14ac:dyDescent="0.35">
      <c r="A11" s="7">
        <v>57725</v>
      </c>
      <c r="B11" s="7" t="s">
        <v>50</v>
      </c>
      <c r="C11" s="8">
        <v>5745.69</v>
      </c>
      <c r="D11" s="11">
        <v>41796</v>
      </c>
      <c r="E11" s="7" t="s">
        <v>43</v>
      </c>
    </row>
    <row r="12" spans="1:8" x14ac:dyDescent="0.35">
      <c r="A12" s="7">
        <v>61920</v>
      </c>
      <c r="B12" s="7" t="s">
        <v>51</v>
      </c>
      <c r="C12" s="8">
        <v>5303.46</v>
      </c>
      <c r="D12" s="11">
        <v>38590</v>
      </c>
      <c r="E12" s="7" t="s">
        <v>43</v>
      </c>
    </row>
    <row r="13" spans="1:8" x14ac:dyDescent="0.35">
      <c r="A13" s="7">
        <v>62182</v>
      </c>
      <c r="B13" s="7" t="s">
        <v>52</v>
      </c>
      <c r="C13" s="8">
        <v>10107.48</v>
      </c>
      <c r="D13" s="11">
        <v>38604</v>
      </c>
      <c r="E13" s="7" t="s">
        <v>43</v>
      </c>
    </row>
    <row r="14" spans="1:8" x14ac:dyDescent="0.35">
      <c r="A14" s="7">
        <v>64032</v>
      </c>
      <c r="B14" s="7" t="s">
        <v>53</v>
      </c>
      <c r="C14" s="8">
        <v>6405.74</v>
      </c>
      <c r="D14" s="11">
        <v>38842</v>
      </c>
      <c r="E14" s="7" t="s">
        <v>43</v>
      </c>
    </row>
    <row r="15" spans="1:8" x14ac:dyDescent="0.35">
      <c r="A15" s="7">
        <v>65562</v>
      </c>
      <c r="B15" s="7" t="s">
        <v>54</v>
      </c>
      <c r="C15" s="8">
        <v>8052.63</v>
      </c>
      <c r="D15" s="11">
        <v>39216</v>
      </c>
      <c r="E15" s="7" t="s">
        <v>43</v>
      </c>
    </row>
    <row r="16" spans="1:8" x14ac:dyDescent="0.35">
      <c r="A16" s="7">
        <v>65563</v>
      </c>
      <c r="B16" s="7" t="s">
        <v>54</v>
      </c>
      <c r="C16" s="8">
        <v>8052.62</v>
      </c>
      <c r="D16" s="11">
        <v>39216</v>
      </c>
      <c r="E16" s="7" t="s">
        <v>43</v>
      </c>
    </row>
    <row r="17" spans="1:5" x14ac:dyDescent="0.35">
      <c r="A17" s="7">
        <v>66614</v>
      </c>
      <c r="B17" s="7" t="s">
        <v>55</v>
      </c>
      <c r="C17" s="8">
        <v>17763.84</v>
      </c>
      <c r="D17" s="11">
        <v>39082</v>
      </c>
      <c r="E17" s="7" t="s">
        <v>43</v>
      </c>
    </row>
    <row r="18" spans="1:5" x14ac:dyDescent="0.35">
      <c r="A18" s="7">
        <v>71010</v>
      </c>
      <c r="B18" s="7" t="s">
        <v>56</v>
      </c>
      <c r="C18" s="8">
        <v>5117.04</v>
      </c>
      <c r="D18" s="11">
        <v>40030</v>
      </c>
      <c r="E18" s="7" t="s">
        <v>43</v>
      </c>
    </row>
    <row r="19" spans="1:5" x14ac:dyDescent="0.35">
      <c r="A19" s="7">
        <v>73511</v>
      </c>
      <c r="B19" s="7" t="s">
        <v>57</v>
      </c>
      <c r="C19" s="8">
        <v>8727.4599999999991</v>
      </c>
      <c r="D19" s="11">
        <v>40592</v>
      </c>
      <c r="E19" s="7" t="s">
        <v>43</v>
      </c>
    </row>
    <row r="20" spans="1:5" x14ac:dyDescent="0.35">
      <c r="A20" s="7">
        <v>73512</v>
      </c>
      <c r="B20" s="7" t="s">
        <v>58</v>
      </c>
      <c r="C20" s="8">
        <v>5327.39</v>
      </c>
      <c r="D20" s="11">
        <v>40592</v>
      </c>
      <c r="E20" s="7" t="s">
        <v>43</v>
      </c>
    </row>
    <row r="21" spans="1:5" x14ac:dyDescent="0.35">
      <c r="A21" s="7">
        <v>73940</v>
      </c>
      <c r="B21" s="7" t="s">
        <v>59</v>
      </c>
      <c r="C21" s="8">
        <v>5192.8100000000004</v>
      </c>
      <c r="D21" s="11">
        <v>40359</v>
      </c>
      <c r="E21" s="7" t="s">
        <v>43</v>
      </c>
    </row>
    <row r="22" spans="1:5" x14ac:dyDescent="0.35">
      <c r="A22" s="7">
        <v>76427</v>
      </c>
      <c r="B22" s="7" t="s">
        <v>60</v>
      </c>
      <c r="C22" s="8">
        <v>6022.6</v>
      </c>
      <c r="D22" s="11">
        <v>40835</v>
      </c>
      <c r="E22" s="7" t="s">
        <v>43</v>
      </c>
    </row>
    <row r="23" spans="1:5" x14ac:dyDescent="0.35">
      <c r="A23" s="7">
        <v>76428</v>
      </c>
      <c r="B23" s="7" t="s">
        <v>60</v>
      </c>
      <c r="C23" s="8">
        <v>6022.6</v>
      </c>
      <c r="D23" s="11">
        <v>40835</v>
      </c>
      <c r="E23" s="7" t="s">
        <v>43</v>
      </c>
    </row>
    <row r="24" spans="1:5" x14ac:dyDescent="0.35">
      <c r="A24" s="7">
        <v>77714</v>
      </c>
      <c r="B24" s="7" t="s">
        <v>61</v>
      </c>
      <c r="C24" s="8">
        <v>8422.75</v>
      </c>
      <c r="D24" s="11">
        <v>40774</v>
      </c>
      <c r="E24" s="7" t="s">
        <v>43</v>
      </c>
    </row>
    <row r="25" spans="1:5" x14ac:dyDescent="0.35">
      <c r="A25" s="7">
        <v>78204</v>
      </c>
      <c r="B25" s="7" t="s">
        <v>62</v>
      </c>
      <c r="C25" s="8">
        <v>10405.549999999999</v>
      </c>
      <c r="D25" s="11">
        <v>40774</v>
      </c>
      <c r="E25" s="7" t="s">
        <v>43</v>
      </c>
    </row>
    <row r="26" spans="1:5" x14ac:dyDescent="0.35">
      <c r="A26" s="7">
        <v>78208</v>
      </c>
      <c r="B26" s="7" t="s">
        <v>62</v>
      </c>
      <c r="C26" s="8">
        <v>10405.549999999999</v>
      </c>
      <c r="D26" s="11">
        <v>40774</v>
      </c>
      <c r="E26" s="7" t="s">
        <v>43</v>
      </c>
    </row>
    <row r="27" spans="1:5" x14ac:dyDescent="0.35">
      <c r="A27" s="7">
        <v>78209</v>
      </c>
      <c r="B27" s="7" t="s">
        <v>62</v>
      </c>
      <c r="C27" s="8">
        <v>10405.549999999999</v>
      </c>
      <c r="D27" s="11">
        <v>40774</v>
      </c>
      <c r="E27" s="7" t="s">
        <v>43</v>
      </c>
    </row>
    <row r="28" spans="1:5" x14ac:dyDescent="0.35">
      <c r="A28" s="7">
        <v>78210</v>
      </c>
      <c r="B28" s="7" t="s">
        <v>62</v>
      </c>
      <c r="C28" s="8">
        <v>10405.549999999999</v>
      </c>
      <c r="D28" s="11">
        <v>40774</v>
      </c>
      <c r="E28" s="7" t="s">
        <v>43</v>
      </c>
    </row>
    <row r="29" spans="1:5" x14ac:dyDescent="0.35">
      <c r="A29" s="7">
        <v>78215</v>
      </c>
      <c r="B29" s="7" t="s">
        <v>62</v>
      </c>
      <c r="C29" s="8">
        <v>10454.56</v>
      </c>
      <c r="D29" s="11">
        <v>40774</v>
      </c>
      <c r="E29" s="7" t="s">
        <v>43</v>
      </c>
    </row>
    <row r="30" spans="1:5" x14ac:dyDescent="0.35">
      <c r="A30" s="7">
        <v>78218</v>
      </c>
      <c r="B30" s="7" t="s">
        <v>62</v>
      </c>
      <c r="C30" s="8">
        <v>10454.56</v>
      </c>
      <c r="D30" s="11">
        <v>40774</v>
      </c>
      <c r="E30" s="7" t="s">
        <v>43</v>
      </c>
    </row>
    <row r="31" spans="1:5" x14ac:dyDescent="0.35">
      <c r="A31" s="7">
        <v>78219</v>
      </c>
      <c r="B31" s="7" t="s">
        <v>62</v>
      </c>
      <c r="C31" s="8">
        <v>10454.56</v>
      </c>
      <c r="D31" s="11">
        <v>40774</v>
      </c>
      <c r="E31" s="7" t="s">
        <v>43</v>
      </c>
    </row>
    <row r="32" spans="1:5" x14ac:dyDescent="0.35">
      <c r="A32" s="7">
        <v>78222</v>
      </c>
      <c r="B32" s="7" t="s">
        <v>62</v>
      </c>
      <c r="C32" s="8">
        <v>10405.549999999999</v>
      </c>
      <c r="D32" s="11">
        <v>40774</v>
      </c>
      <c r="E32" s="7" t="s">
        <v>43</v>
      </c>
    </row>
    <row r="33" spans="1:5" x14ac:dyDescent="0.35">
      <c r="A33" s="7">
        <v>78227</v>
      </c>
      <c r="B33" s="7" t="s">
        <v>62</v>
      </c>
      <c r="C33" s="8">
        <v>10405.549999999999</v>
      </c>
      <c r="D33" s="11">
        <v>40774</v>
      </c>
      <c r="E33" s="7" t="s">
        <v>43</v>
      </c>
    </row>
    <row r="34" spans="1:5" x14ac:dyDescent="0.35">
      <c r="A34" s="7">
        <v>78229</v>
      </c>
      <c r="B34" s="7" t="s">
        <v>62</v>
      </c>
      <c r="C34" s="8">
        <v>10454.56</v>
      </c>
      <c r="D34" s="11">
        <v>40774</v>
      </c>
      <c r="E34" s="7" t="s">
        <v>43</v>
      </c>
    </row>
    <row r="35" spans="1:5" x14ac:dyDescent="0.35">
      <c r="A35" s="7">
        <v>78230</v>
      </c>
      <c r="B35" s="7" t="s">
        <v>62</v>
      </c>
      <c r="C35" s="8">
        <v>10454.56</v>
      </c>
      <c r="D35" s="11">
        <v>40774</v>
      </c>
      <c r="E35" s="7" t="s">
        <v>43</v>
      </c>
    </row>
    <row r="36" spans="1:5" x14ac:dyDescent="0.35">
      <c r="A36" s="7">
        <v>78231</v>
      </c>
      <c r="B36" s="7" t="s">
        <v>62</v>
      </c>
      <c r="C36" s="8">
        <v>10563.05</v>
      </c>
      <c r="D36" s="11">
        <v>40774</v>
      </c>
      <c r="E36" s="7" t="s">
        <v>43</v>
      </c>
    </row>
    <row r="37" spans="1:5" x14ac:dyDescent="0.35">
      <c r="A37" s="7">
        <v>78235</v>
      </c>
      <c r="B37" s="7" t="s">
        <v>62</v>
      </c>
      <c r="C37" s="8">
        <v>10454.6</v>
      </c>
      <c r="D37" s="11">
        <v>40774</v>
      </c>
      <c r="E37" s="7" t="s">
        <v>43</v>
      </c>
    </row>
    <row r="38" spans="1:5" x14ac:dyDescent="0.35">
      <c r="A38" s="7">
        <v>78240</v>
      </c>
      <c r="B38" s="7" t="s">
        <v>62</v>
      </c>
      <c r="C38" s="8">
        <v>19794.34</v>
      </c>
      <c r="D38" s="11">
        <v>40774</v>
      </c>
      <c r="E38" s="7" t="s">
        <v>43</v>
      </c>
    </row>
    <row r="39" spans="1:5" x14ac:dyDescent="0.35">
      <c r="A39" s="7">
        <v>78390</v>
      </c>
      <c r="B39" s="7" t="s">
        <v>60</v>
      </c>
      <c r="C39" s="8">
        <v>6008.73</v>
      </c>
      <c r="D39" s="11">
        <v>40835</v>
      </c>
      <c r="E39" s="7" t="s">
        <v>43</v>
      </c>
    </row>
    <row r="40" spans="1:5" x14ac:dyDescent="0.35">
      <c r="A40" s="7">
        <v>78391</v>
      </c>
      <c r="B40" s="7" t="s">
        <v>60</v>
      </c>
      <c r="C40" s="8">
        <v>6008.73</v>
      </c>
      <c r="D40" s="11">
        <v>40835</v>
      </c>
      <c r="E40" s="7" t="s">
        <v>43</v>
      </c>
    </row>
    <row r="41" spans="1:5" x14ac:dyDescent="0.35">
      <c r="A41" s="7">
        <v>78727</v>
      </c>
      <c r="B41" s="7" t="s">
        <v>63</v>
      </c>
      <c r="C41" s="8">
        <v>5851.21</v>
      </c>
      <c r="D41" s="11">
        <v>40774</v>
      </c>
      <c r="E41" s="7" t="s">
        <v>43</v>
      </c>
    </row>
    <row r="42" spans="1:5" x14ac:dyDescent="0.35">
      <c r="A42" s="7">
        <v>78807</v>
      </c>
      <c r="B42" s="7" t="s">
        <v>64</v>
      </c>
      <c r="C42" s="8">
        <v>5923.02</v>
      </c>
      <c r="D42" s="11">
        <v>40815</v>
      </c>
      <c r="E42" s="7" t="s">
        <v>43</v>
      </c>
    </row>
    <row r="43" spans="1:5" x14ac:dyDescent="0.35">
      <c r="A43" s="7">
        <v>78810</v>
      </c>
      <c r="B43" s="7" t="s">
        <v>64</v>
      </c>
      <c r="C43" s="8">
        <v>5923.02</v>
      </c>
      <c r="D43" s="11">
        <v>40815</v>
      </c>
      <c r="E43" s="7" t="s">
        <v>43</v>
      </c>
    </row>
    <row r="44" spans="1:5" x14ac:dyDescent="0.35">
      <c r="A44" s="7">
        <v>78811</v>
      </c>
      <c r="B44" s="7" t="s">
        <v>64</v>
      </c>
      <c r="C44" s="8">
        <v>5923.02</v>
      </c>
      <c r="D44" s="11">
        <v>40815</v>
      </c>
      <c r="E44" s="7" t="s">
        <v>43</v>
      </c>
    </row>
    <row r="45" spans="1:5" x14ac:dyDescent="0.35">
      <c r="A45" s="7">
        <v>78911</v>
      </c>
      <c r="B45" s="7" t="s">
        <v>60</v>
      </c>
      <c r="C45" s="8">
        <v>5967.22</v>
      </c>
      <c r="D45" s="11">
        <v>40835</v>
      </c>
      <c r="E45" s="7" t="s">
        <v>43</v>
      </c>
    </row>
    <row r="46" spans="1:5" x14ac:dyDescent="0.35">
      <c r="A46" s="7">
        <v>78935</v>
      </c>
      <c r="B46" s="7" t="s">
        <v>60</v>
      </c>
      <c r="C46" s="8">
        <v>5967.2</v>
      </c>
      <c r="D46" s="11">
        <v>40863</v>
      </c>
      <c r="E46" s="7" t="s">
        <v>43</v>
      </c>
    </row>
    <row r="47" spans="1:5" x14ac:dyDescent="0.35">
      <c r="A47" s="7">
        <v>79710</v>
      </c>
      <c r="B47" s="7" t="s">
        <v>65</v>
      </c>
      <c r="C47" s="8">
        <v>10703.84</v>
      </c>
      <c r="D47" s="11">
        <v>40415</v>
      </c>
      <c r="E47" s="7" t="s">
        <v>43</v>
      </c>
    </row>
    <row r="48" spans="1:5" x14ac:dyDescent="0.35">
      <c r="A48" s="7">
        <v>79715</v>
      </c>
      <c r="B48" s="7" t="s">
        <v>62</v>
      </c>
      <c r="C48" s="8">
        <v>10405.549999999999</v>
      </c>
      <c r="D48" s="11">
        <v>40774</v>
      </c>
      <c r="E48" s="7" t="s">
        <v>43</v>
      </c>
    </row>
    <row r="49" spans="1:5" x14ac:dyDescent="0.35">
      <c r="A49" s="7">
        <v>80169</v>
      </c>
      <c r="B49" s="7" t="s">
        <v>66</v>
      </c>
      <c r="C49" s="8">
        <v>10007.24</v>
      </c>
      <c r="D49" s="11">
        <v>41206</v>
      </c>
      <c r="E49" s="7" t="s">
        <v>43</v>
      </c>
    </row>
    <row r="50" spans="1:5" x14ac:dyDescent="0.35">
      <c r="A50" s="7">
        <v>80465</v>
      </c>
      <c r="B50" s="7" t="s">
        <v>67</v>
      </c>
      <c r="C50" s="8">
        <v>243815.05</v>
      </c>
      <c r="D50" s="11">
        <v>41128</v>
      </c>
      <c r="E50" s="7" t="s">
        <v>68</v>
      </c>
    </row>
    <row r="51" spans="1:5" x14ac:dyDescent="0.35">
      <c r="A51" s="7">
        <v>80466</v>
      </c>
      <c r="B51" s="7" t="s">
        <v>69</v>
      </c>
      <c r="C51" s="8">
        <v>21700</v>
      </c>
      <c r="D51" s="11">
        <v>41128</v>
      </c>
      <c r="E51" s="7" t="s">
        <v>68</v>
      </c>
    </row>
    <row r="52" spans="1:5" x14ac:dyDescent="0.35">
      <c r="A52" s="7">
        <v>81427</v>
      </c>
      <c r="B52" s="7" t="s">
        <v>70</v>
      </c>
      <c r="C52" s="8">
        <v>271577.68</v>
      </c>
      <c r="D52" s="11">
        <v>41144</v>
      </c>
      <c r="E52" s="7" t="s">
        <v>43</v>
      </c>
    </row>
    <row r="53" spans="1:5" x14ac:dyDescent="0.35">
      <c r="A53" s="7">
        <v>81866</v>
      </c>
      <c r="B53" s="7" t="s">
        <v>71</v>
      </c>
      <c r="C53" s="8">
        <v>508189.43</v>
      </c>
      <c r="D53" s="11">
        <v>41221</v>
      </c>
      <c r="E53" s="7" t="s">
        <v>72</v>
      </c>
    </row>
    <row r="54" spans="1:5" x14ac:dyDescent="0.35">
      <c r="A54" s="7">
        <v>83494</v>
      </c>
      <c r="B54" s="7" t="s">
        <v>50</v>
      </c>
      <c r="C54" s="8">
        <v>5771.48</v>
      </c>
      <c r="D54" s="11">
        <v>41792</v>
      </c>
      <c r="E54" s="7" t="s">
        <v>43</v>
      </c>
    </row>
    <row r="55" spans="1:5" x14ac:dyDescent="0.35">
      <c r="A55" s="7">
        <v>83516</v>
      </c>
      <c r="B55" s="7" t="s">
        <v>73</v>
      </c>
      <c r="C55" s="8">
        <v>5771.48</v>
      </c>
      <c r="D55" s="11">
        <v>42034</v>
      </c>
      <c r="E55" s="7" t="s">
        <v>43</v>
      </c>
    </row>
    <row r="56" spans="1:5" x14ac:dyDescent="0.35">
      <c r="A56" s="7">
        <v>83517</v>
      </c>
      <c r="B56" s="7" t="s">
        <v>73</v>
      </c>
      <c r="C56" s="8">
        <v>5771.48</v>
      </c>
      <c r="D56" s="11">
        <v>42034</v>
      </c>
      <c r="E56" s="7" t="s">
        <v>43</v>
      </c>
    </row>
    <row r="57" spans="1:5" x14ac:dyDescent="0.35">
      <c r="A57" s="7">
        <v>83751</v>
      </c>
      <c r="B57" s="7" t="s">
        <v>50</v>
      </c>
      <c r="C57" s="8">
        <v>5719.91</v>
      </c>
      <c r="D57" s="11">
        <v>41786</v>
      </c>
      <c r="E57" s="7" t="s">
        <v>43</v>
      </c>
    </row>
    <row r="58" spans="1:5" x14ac:dyDescent="0.35">
      <c r="A58" s="7">
        <v>83977</v>
      </c>
      <c r="B58" s="7" t="s">
        <v>74</v>
      </c>
      <c r="C58" s="8">
        <v>9847.43</v>
      </c>
      <c r="D58" s="11">
        <v>42055</v>
      </c>
      <c r="E58" s="7" t="s">
        <v>43</v>
      </c>
    </row>
    <row r="59" spans="1:5" x14ac:dyDescent="0.35">
      <c r="A59" s="7">
        <v>84423</v>
      </c>
      <c r="B59" s="7" t="s">
        <v>75</v>
      </c>
      <c r="C59" s="8">
        <v>9815.67</v>
      </c>
      <c r="D59" s="11">
        <v>41786</v>
      </c>
      <c r="E59" s="7" t="s">
        <v>43</v>
      </c>
    </row>
    <row r="60" spans="1:5" x14ac:dyDescent="0.35">
      <c r="A60" s="7">
        <v>84460</v>
      </c>
      <c r="B60" s="7" t="s">
        <v>73</v>
      </c>
      <c r="C60" s="8">
        <v>6734.57</v>
      </c>
      <c r="D60" s="11">
        <v>41950</v>
      </c>
      <c r="E60" s="7" t="s">
        <v>43</v>
      </c>
    </row>
    <row r="61" spans="1:5" x14ac:dyDescent="0.35">
      <c r="A61" s="7">
        <v>84532</v>
      </c>
      <c r="B61" s="7" t="s">
        <v>76</v>
      </c>
      <c r="C61" s="8">
        <v>5219.96</v>
      </c>
      <c r="D61" s="11">
        <v>41722</v>
      </c>
      <c r="E61" s="7" t="s">
        <v>43</v>
      </c>
    </row>
    <row r="62" spans="1:5" x14ac:dyDescent="0.35">
      <c r="A62" s="7">
        <v>84533</v>
      </c>
      <c r="B62" s="7" t="s">
        <v>77</v>
      </c>
      <c r="C62" s="8">
        <v>8013.2</v>
      </c>
      <c r="D62" s="11">
        <v>41725</v>
      </c>
      <c r="E62" s="7" t="s">
        <v>43</v>
      </c>
    </row>
    <row r="63" spans="1:5" x14ac:dyDescent="0.35">
      <c r="A63" s="7">
        <v>84556</v>
      </c>
      <c r="B63" s="7" t="s">
        <v>75</v>
      </c>
      <c r="C63" s="8">
        <v>10330.93</v>
      </c>
      <c r="D63" s="11">
        <v>41795</v>
      </c>
      <c r="E63" s="7" t="s">
        <v>43</v>
      </c>
    </row>
    <row r="64" spans="1:5" x14ac:dyDescent="0.35">
      <c r="A64" s="7">
        <v>84602</v>
      </c>
      <c r="B64" s="7" t="s">
        <v>73</v>
      </c>
      <c r="C64" s="8">
        <v>5146.4799999999996</v>
      </c>
      <c r="D64" s="11">
        <v>42046</v>
      </c>
      <c r="E64" s="7" t="s">
        <v>43</v>
      </c>
    </row>
    <row r="65" spans="1:8" x14ac:dyDescent="0.35">
      <c r="A65" s="7">
        <v>84673</v>
      </c>
      <c r="B65" s="7" t="s">
        <v>78</v>
      </c>
      <c r="C65" s="8">
        <v>428477.07</v>
      </c>
      <c r="D65" s="11">
        <v>41418</v>
      </c>
      <c r="E65" s="7" t="s">
        <v>43</v>
      </c>
    </row>
    <row r="66" spans="1:8" x14ac:dyDescent="0.35">
      <c r="A66" s="7">
        <v>85455</v>
      </c>
      <c r="B66" s="7" t="s">
        <v>79</v>
      </c>
      <c r="C66" s="8">
        <v>210936.36</v>
      </c>
      <c r="D66" s="11">
        <v>41453</v>
      </c>
      <c r="E66" s="7" t="s">
        <v>68</v>
      </c>
    </row>
    <row r="67" spans="1:8" x14ac:dyDescent="0.35">
      <c r="A67" s="7">
        <v>85488</v>
      </c>
      <c r="B67" s="7" t="s">
        <v>50</v>
      </c>
      <c r="C67" s="8">
        <v>6165.05</v>
      </c>
      <c r="D67" s="11">
        <v>41792</v>
      </c>
      <c r="E67" s="7" t="s">
        <v>43</v>
      </c>
    </row>
    <row r="68" spans="1:8" x14ac:dyDescent="0.35">
      <c r="A68" s="7">
        <v>85581</v>
      </c>
      <c r="B68" s="7" t="s">
        <v>73</v>
      </c>
      <c r="C68" s="8">
        <v>5797.27</v>
      </c>
      <c r="D68" s="11">
        <v>42012</v>
      </c>
      <c r="E68" s="7" t="s">
        <v>43</v>
      </c>
    </row>
    <row r="69" spans="1:8" x14ac:dyDescent="0.35">
      <c r="A69" s="7">
        <v>85779</v>
      </c>
      <c r="B69" s="7" t="s">
        <v>73</v>
      </c>
      <c r="C69" s="8">
        <v>5123.5600000000004</v>
      </c>
      <c r="D69" s="11">
        <v>42038</v>
      </c>
      <c r="E69" s="7" t="s">
        <v>43</v>
      </c>
    </row>
    <row r="70" spans="1:8" x14ac:dyDescent="0.35">
      <c r="A70" s="7">
        <v>85801</v>
      </c>
      <c r="B70" s="7" t="s">
        <v>80</v>
      </c>
      <c r="C70" s="8">
        <v>6621.21</v>
      </c>
      <c r="D70" s="11">
        <v>41543</v>
      </c>
      <c r="E70" s="7" t="s">
        <v>43</v>
      </c>
    </row>
    <row r="71" spans="1:8" x14ac:dyDescent="0.35">
      <c r="A71" s="7">
        <v>85828</v>
      </c>
      <c r="B71" s="7" t="s">
        <v>81</v>
      </c>
      <c r="C71" s="8">
        <v>5219.96</v>
      </c>
      <c r="D71" s="11">
        <v>41528</v>
      </c>
      <c r="E71" s="7" t="s">
        <v>43</v>
      </c>
    </row>
    <row r="72" spans="1:8" x14ac:dyDescent="0.35">
      <c r="A72" s="7">
        <v>85832</v>
      </c>
      <c r="B72" s="7" t="s">
        <v>81</v>
      </c>
      <c r="C72" s="8">
        <v>5219.96</v>
      </c>
      <c r="D72" s="11">
        <v>41528</v>
      </c>
      <c r="E72" s="7" t="s">
        <v>43</v>
      </c>
    </row>
    <row r="73" spans="1:8" x14ac:dyDescent="0.35">
      <c r="A73" s="7">
        <v>85834</v>
      </c>
      <c r="B73" s="7" t="s">
        <v>76</v>
      </c>
      <c r="C73" s="8">
        <v>5219.96</v>
      </c>
      <c r="D73" s="11">
        <v>41520</v>
      </c>
      <c r="E73" s="7" t="s">
        <v>43</v>
      </c>
    </row>
    <row r="74" spans="1:8" x14ac:dyDescent="0.35">
      <c r="A74" s="7">
        <v>85918</v>
      </c>
      <c r="B74" s="7" t="s">
        <v>82</v>
      </c>
      <c r="C74" s="8">
        <v>175961.5</v>
      </c>
      <c r="D74" s="11">
        <v>41505</v>
      </c>
      <c r="E74" s="7" t="s">
        <v>68</v>
      </c>
    </row>
    <row r="75" spans="1:8" x14ac:dyDescent="0.35">
      <c r="A75" s="7">
        <v>85919</v>
      </c>
      <c r="B75" s="7" t="s">
        <v>82</v>
      </c>
      <c r="C75" s="8">
        <v>175961.5</v>
      </c>
      <c r="D75" s="11">
        <v>41526</v>
      </c>
      <c r="E75" s="7" t="s">
        <v>68</v>
      </c>
    </row>
    <row r="76" spans="1:8" x14ac:dyDescent="0.35">
      <c r="A76" s="7">
        <v>85962</v>
      </c>
      <c r="B76" s="7" t="s">
        <v>83</v>
      </c>
      <c r="C76" s="8">
        <v>209686</v>
      </c>
      <c r="D76" s="11">
        <v>41523</v>
      </c>
      <c r="E76" s="7" t="s">
        <v>48</v>
      </c>
      <c r="F76" s="9" t="s">
        <v>28</v>
      </c>
      <c r="G76" s="7">
        <v>7760</v>
      </c>
      <c r="H76" s="7" t="s">
        <v>84</v>
      </c>
    </row>
    <row r="77" spans="1:8" x14ac:dyDescent="0.35">
      <c r="A77" s="7">
        <v>86001</v>
      </c>
      <c r="B77" s="7" t="s">
        <v>85</v>
      </c>
      <c r="C77" s="8">
        <v>184887.82</v>
      </c>
      <c r="D77" s="11">
        <v>41488</v>
      </c>
      <c r="E77" s="7" t="s">
        <v>43</v>
      </c>
    </row>
    <row r="78" spans="1:8" x14ac:dyDescent="0.35">
      <c r="A78" s="7">
        <v>86195</v>
      </c>
      <c r="B78" s="7" t="s">
        <v>86</v>
      </c>
      <c r="C78" s="8">
        <v>464654.62</v>
      </c>
      <c r="D78" s="11">
        <v>41543</v>
      </c>
      <c r="E78" s="7" t="s">
        <v>72</v>
      </c>
    </row>
    <row r="79" spans="1:8" x14ac:dyDescent="0.35">
      <c r="A79" s="7">
        <v>86196</v>
      </c>
      <c r="B79" s="7" t="s">
        <v>87</v>
      </c>
      <c r="C79" s="8">
        <v>16275</v>
      </c>
      <c r="D79" s="11">
        <v>41543</v>
      </c>
      <c r="E79" s="7" t="s">
        <v>72</v>
      </c>
    </row>
    <row r="80" spans="1:8" x14ac:dyDescent="0.35">
      <c r="A80" s="7">
        <v>86197</v>
      </c>
      <c r="B80" s="7" t="s">
        <v>88</v>
      </c>
      <c r="C80" s="8">
        <v>43400</v>
      </c>
      <c r="D80" s="11">
        <v>41543</v>
      </c>
      <c r="E80" s="7" t="s">
        <v>72</v>
      </c>
    </row>
    <row r="81" spans="1:5" x14ac:dyDescent="0.35">
      <c r="A81" s="7">
        <v>86315</v>
      </c>
      <c r="B81" s="7" t="s">
        <v>76</v>
      </c>
      <c r="C81" s="8">
        <v>5219.96</v>
      </c>
      <c r="D81" s="11">
        <v>41605</v>
      </c>
      <c r="E81" s="7" t="s">
        <v>43</v>
      </c>
    </row>
    <row r="82" spans="1:5" x14ac:dyDescent="0.35">
      <c r="A82" s="7">
        <v>86316</v>
      </c>
      <c r="B82" s="7" t="s">
        <v>76</v>
      </c>
      <c r="C82" s="8">
        <v>5219.95</v>
      </c>
      <c r="D82" s="11">
        <v>41605</v>
      </c>
      <c r="E82" s="7" t="s">
        <v>43</v>
      </c>
    </row>
    <row r="83" spans="1:5" x14ac:dyDescent="0.35">
      <c r="A83" s="7">
        <v>86447</v>
      </c>
      <c r="B83" s="7" t="s">
        <v>89</v>
      </c>
      <c r="C83" s="8">
        <v>7086.58</v>
      </c>
      <c r="D83" s="11">
        <v>41694</v>
      </c>
      <c r="E83" s="7" t="s">
        <v>43</v>
      </c>
    </row>
    <row r="84" spans="1:5" x14ac:dyDescent="0.35">
      <c r="A84" s="7">
        <v>86554</v>
      </c>
      <c r="B84" s="7" t="s">
        <v>90</v>
      </c>
      <c r="C84" s="8">
        <v>5466.42</v>
      </c>
      <c r="D84" s="11">
        <v>41600</v>
      </c>
      <c r="E84" s="7" t="s">
        <v>43</v>
      </c>
    </row>
    <row r="85" spans="1:5" x14ac:dyDescent="0.35">
      <c r="A85" s="7">
        <v>86708</v>
      </c>
      <c r="B85" s="7" t="s">
        <v>76</v>
      </c>
      <c r="C85" s="8">
        <v>5243.32</v>
      </c>
      <c r="D85" s="11">
        <v>41722</v>
      </c>
      <c r="E85" s="7" t="s">
        <v>43</v>
      </c>
    </row>
    <row r="86" spans="1:5" x14ac:dyDescent="0.35">
      <c r="A86" s="7">
        <v>86709</v>
      </c>
      <c r="B86" s="7" t="s">
        <v>76</v>
      </c>
      <c r="C86" s="8">
        <v>5243.32</v>
      </c>
      <c r="D86" s="11">
        <v>41722</v>
      </c>
      <c r="E86" s="7" t="s">
        <v>43</v>
      </c>
    </row>
    <row r="87" spans="1:5" x14ac:dyDescent="0.35">
      <c r="A87" s="7">
        <v>86909</v>
      </c>
      <c r="B87" s="7" t="s">
        <v>50</v>
      </c>
      <c r="C87" s="8">
        <v>5745.69</v>
      </c>
      <c r="D87" s="11">
        <v>41786</v>
      </c>
      <c r="E87" s="7" t="s">
        <v>43</v>
      </c>
    </row>
    <row r="88" spans="1:5" x14ac:dyDescent="0.35">
      <c r="A88" s="7">
        <v>87912</v>
      </c>
      <c r="B88" s="7" t="s">
        <v>91</v>
      </c>
      <c r="C88" s="8">
        <v>5377.97</v>
      </c>
      <c r="D88" s="11">
        <v>42221</v>
      </c>
      <c r="E88" s="7" t="s">
        <v>43</v>
      </c>
    </row>
    <row r="89" spans="1:5" x14ac:dyDescent="0.35">
      <c r="A89" s="7">
        <v>87914</v>
      </c>
      <c r="B89" s="7" t="s">
        <v>91</v>
      </c>
      <c r="C89" s="8">
        <v>5377.97</v>
      </c>
      <c r="D89" s="11">
        <v>42221</v>
      </c>
      <c r="E89" s="7" t="s">
        <v>43</v>
      </c>
    </row>
    <row r="90" spans="1:5" x14ac:dyDescent="0.35">
      <c r="A90" s="7">
        <v>87916</v>
      </c>
      <c r="B90" s="7" t="s">
        <v>91</v>
      </c>
      <c r="C90" s="8">
        <v>5377.97</v>
      </c>
      <c r="D90" s="11">
        <v>42221</v>
      </c>
      <c r="E90" s="7" t="s">
        <v>43</v>
      </c>
    </row>
    <row r="91" spans="1:5" x14ac:dyDescent="0.35">
      <c r="A91" s="7">
        <v>87917</v>
      </c>
      <c r="B91" s="7" t="s">
        <v>91</v>
      </c>
      <c r="C91" s="8">
        <v>5377.97</v>
      </c>
      <c r="D91" s="11">
        <v>42221</v>
      </c>
      <c r="E91" s="7" t="s">
        <v>43</v>
      </c>
    </row>
    <row r="92" spans="1:5" x14ac:dyDescent="0.35">
      <c r="A92" s="7">
        <v>87933</v>
      </c>
      <c r="B92" s="7" t="s">
        <v>89</v>
      </c>
      <c r="C92" s="8">
        <v>5488.77</v>
      </c>
      <c r="D92" s="11">
        <v>42417</v>
      </c>
      <c r="E92" s="7" t="s">
        <v>43</v>
      </c>
    </row>
    <row r="93" spans="1:5" x14ac:dyDescent="0.35">
      <c r="A93" s="7">
        <v>87966</v>
      </c>
      <c r="B93" s="7" t="s">
        <v>50</v>
      </c>
      <c r="C93" s="8">
        <v>5745.69</v>
      </c>
      <c r="D93" s="11">
        <v>41806</v>
      </c>
      <c r="E93" s="7" t="s">
        <v>43</v>
      </c>
    </row>
    <row r="94" spans="1:5" x14ac:dyDescent="0.35">
      <c r="A94" s="7">
        <v>87967</v>
      </c>
      <c r="B94" s="7" t="s">
        <v>50</v>
      </c>
      <c r="C94" s="8">
        <v>5771.48</v>
      </c>
      <c r="D94" s="11">
        <v>41806</v>
      </c>
      <c r="E94" s="7" t="s">
        <v>92</v>
      </c>
    </row>
    <row r="95" spans="1:5" x14ac:dyDescent="0.35">
      <c r="A95" s="7">
        <v>87991</v>
      </c>
      <c r="B95" s="7" t="s">
        <v>50</v>
      </c>
      <c r="C95" s="8">
        <v>5745.69</v>
      </c>
      <c r="D95" s="11">
        <v>41786</v>
      </c>
      <c r="E95" s="7" t="s">
        <v>43</v>
      </c>
    </row>
    <row r="96" spans="1:5" x14ac:dyDescent="0.35">
      <c r="A96" s="7">
        <v>88006</v>
      </c>
      <c r="B96" s="7" t="s">
        <v>89</v>
      </c>
      <c r="C96" s="8">
        <v>6639.12</v>
      </c>
      <c r="D96" s="11">
        <v>41803</v>
      </c>
      <c r="E96" s="7" t="s">
        <v>43</v>
      </c>
    </row>
    <row r="97" spans="1:5" x14ac:dyDescent="0.35">
      <c r="A97" s="7">
        <v>88036</v>
      </c>
      <c r="B97" s="7" t="s">
        <v>50</v>
      </c>
      <c r="C97" s="8">
        <v>5745.69</v>
      </c>
      <c r="D97" s="11">
        <v>41796</v>
      </c>
      <c r="E97" s="7" t="s">
        <v>43</v>
      </c>
    </row>
    <row r="98" spans="1:5" x14ac:dyDescent="0.35">
      <c r="A98" s="7">
        <v>88037</v>
      </c>
      <c r="B98" s="7" t="s">
        <v>50</v>
      </c>
      <c r="C98" s="8">
        <v>5745.69</v>
      </c>
      <c r="D98" s="11">
        <v>41796</v>
      </c>
      <c r="E98" s="7" t="s">
        <v>43</v>
      </c>
    </row>
    <row r="99" spans="1:5" x14ac:dyDescent="0.35">
      <c r="A99" s="7">
        <v>88049</v>
      </c>
      <c r="B99" s="7" t="s">
        <v>73</v>
      </c>
      <c r="C99" s="8">
        <v>5100.6499999999996</v>
      </c>
      <c r="D99" s="11">
        <v>42024</v>
      </c>
      <c r="E99" s="7" t="s">
        <v>43</v>
      </c>
    </row>
    <row r="100" spans="1:5" x14ac:dyDescent="0.35">
      <c r="A100" s="7">
        <v>88050</v>
      </c>
      <c r="B100" s="7" t="s">
        <v>73</v>
      </c>
      <c r="C100" s="8">
        <v>5100.6400000000003</v>
      </c>
      <c r="D100" s="11">
        <v>42024</v>
      </c>
      <c r="E100" s="7" t="s">
        <v>43</v>
      </c>
    </row>
    <row r="101" spans="1:5" x14ac:dyDescent="0.35">
      <c r="A101" s="7">
        <v>88166</v>
      </c>
      <c r="B101" s="7" t="s">
        <v>50</v>
      </c>
      <c r="C101" s="8">
        <v>5745.69</v>
      </c>
      <c r="D101" s="11">
        <v>41792</v>
      </c>
      <c r="E101" s="7" t="s">
        <v>43</v>
      </c>
    </row>
    <row r="102" spans="1:5" x14ac:dyDescent="0.35">
      <c r="A102" s="7">
        <v>88173</v>
      </c>
      <c r="B102" s="7" t="s">
        <v>50</v>
      </c>
      <c r="C102" s="8">
        <v>6165.06</v>
      </c>
      <c r="D102" s="11">
        <v>41806</v>
      </c>
      <c r="E102" s="7" t="s">
        <v>43</v>
      </c>
    </row>
    <row r="103" spans="1:5" x14ac:dyDescent="0.35">
      <c r="A103" s="7">
        <v>88200</v>
      </c>
      <c r="B103" s="7" t="s">
        <v>50</v>
      </c>
      <c r="C103" s="8">
        <v>5745.69</v>
      </c>
      <c r="D103" s="11">
        <v>41796</v>
      </c>
      <c r="E103" s="7" t="s">
        <v>43</v>
      </c>
    </row>
    <row r="104" spans="1:5" x14ac:dyDescent="0.35">
      <c r="A104" s="7">
        <v>88233</v>
      </c>
      <c r="B104" s="7" t="s">
        <v>93</v>
      </c>
      <c r="C104" s="8">
        <v>224236.95</v>
      </c>
      <c r="D104" s="11">
        <v>41870</v>
      </c>
      <c r="E104" s="7" t="s">
        <v>72</v>
      </c>
    </row>
    <row r="105" spans="1:5" x14ac:dyDescent="0.35">
      <c r="A105" s="7">
        <v>88234</v>
      </c>
      <c r="B105" s="7" t="s">
        <v>93</v>
      </c>
      <c r="C105" s="8">
        <v>203730.44</v>
      </c>
      <c r="D105" s="11">
        <v>41808</v>
      </c>
      <c r="E105" s="7" t="s">
        <v>72</v>
      </c>
    </row>
    <row r="106" spans="1:5" x14ac:dyDescent="0.35">
      <c r="A106" s="7">
        <v>88306</v>
      </c>
      <c r="B106" s="7" t="s">
        <v>50</v>
      </c>
      <c r="C106" s="8">
        <v>5745.69</v>
      </c>
      <c r="D106" s="11">
        <v>41806</v>
      </c>
      <c r="E106" s="7" t="s">
        <v>43</v>
      </c>
    </row>
    <row r="107" spans="1:5" x14ac:dyDescent="0.35">
      <c r="A107" s="7">
        <v>88435</v>
      </c>
      <c r="B107" s="7" t="s">
        <v>94</v>
      </c>
      <c r="C107" s="8">
        <v>8845.85</v>
      </c>
      <c r="D107" s="11">
        <v>41894</v>
      </c>
      <c r="E107" s="7" t="s">
        <v>43</v>
      </c>
    </row>
    <row r="108" spans="1:5" x14ac:dyDescent="0.35">
      <c r="A108" s="7">
        <v>88436</v>
      </c>
      <c r="B108" s="7" t="s">
        <v>94</v>
      </c>
      <c r="C108" s="8">
        <v>8845.85</v>
      </c>
      <c r="D108" s="11">
        <v>41894</v>
      </c>
      <c r="E108" s="7" t="s">
        <v>43</v>
      </c>
    </row>
    <row r="109" spans="1:5" x14ac:dyDescent="0.35">
      <c r="A109" s="7">
        <v>89146</v>
      </c>
      <c r="B109" s="7" t="s">
        <v>73</v>
      </c>
      <c r="C109" s="8">
        <v>5135.0200000000004</v>
      </c>
      <c r="D109" s="11">
        <v>42052</v>
      </c>
      <c r="E109" s="7" t="s">
        <v>43</v>
      </c>
    </row>
    <row r="110" spans="1:5" x14ac:dyDescent="0.35">
      <c r="A110" s="7">
        <v>89193</v>
      </c>
      <c r="B110" s="7" t="s">
        <v>95</v>
      </c>
      <c r="C110" s="8">
        <v>5352.67</v>
      </c>
      <c r="D110" s="11">
        <v>42691</v>
      </c>
      <c r="E110" s="7" t="s">
        <v>43</v>
      </c>
    </row>
    <row r="111" spans="1:5" x14ac:dyDescent="0.35">
      <c r="A111" s="7">
        <v>89317</v>
      </c>
      <c r="B111" s="7" t="s">
        <v>96</v>
      </c>
      <c r="C111" s="8">
        <v>7228.92</v>
      </c>
      <c r="D111" s="11">
        <v>41856</v>
      </c>
      <c r="E111" s="7" t="s">
        <v>43</v>
      </c>
    </row>
    <row r="112" spans="1:5" x14ac:dyDescent="0.35">
      <c r="A112" s="7">
        <v>90027</v>
      </c>
      <c r="B112" s="7" t="s">
        <v>97</v>
      </c>
      <c r="C112" s="8">
        <v>58737.16</v>
      </c>
      <c r="D112" s="11">
        <v>42003</v>
      </c>
      <c r="E112" s="7" t="s">
        <v>72</v>
      </c>
    </row>
    <row r="113" spans="1:5" x14ac:dyDescent="0.35">
      <c r="A113" s="7">
        <v>91111</v>
      </c>
      <c r="B113" s="7" t="s">
        <v>98</v>
      </c>
      <c r="C113" s="8">
        <v>5455.11</v>
      </c>
      <c r="D113" s="11">
        <v>42234</v>
      </c>
      <c r="E113" s="7" t="s">
        <v>43</v>
      </c>
    </row>
    <row r="114" spans="1:5" x14ac:dyDescent="0.35">
      <c r="A114" s="7">
        <v>91483</v>
      </c>
      <c r="B114" s="7" t="s">
        <v>99</v>
      </c>
      <c r="C114" s="8">
        <v>19624.87</v>
      </c>
      <c r="D114" s="11">
        <v>42222</v>
      </c>
      <c r="E114" s="7" t="s">
        <v>43</v>
      </c>
    </row>
    <row r="115" spans="1:5" x14ac:dyDescent="0.35">
      <c r="A115" s="7">
        <v>91997</v>
      </c>
      <c r="B115" s="7" t="s">
        <v>100</v>
      </c>
      <c r="C115" s="8">
        <v>6968.38</v>
      </c>
      <c r="D115" s="11">
        <v>42241</v>
      </c>
      <c r="E115" s="7" t="s">
        <v>43</v>
      </c>
    </row>
    <row r="116" spans="1:5" x14ac:dyDescent="0.35">
      <c r="A116" s="7">
        <v>93099</v>
      </c>
      <c r="B116" s="7" t="s">
        <v>101</v>
      </c>
      <c r="C116" s="8">
        <v>11921.59</v>
      </c>
      <c r="D116" s="11">
        <v>42971</v>
      </c>
      <c r="E116" s="7" t="s">
        <v>92</v>
      </c>
    </row>
    <row r="117" spans="1:5" x14ac:dyDescent="0.35">
      <c r="A117" s="7">
        <v>93258</v>
      </c>
      <c r="B117" s="7" t="s">
        <v>102</v>
      </c>
      <c r="C117" s="8">
        <v>76260</v>
      </c>
      <c r="D117" s="11">
        <v>42003</v>
      </c>
      <c r="E117" s="7" t="s">
        <v>72</v>
      </c>
    </row>
    <row r="118" spans="1:5" x14ac:dyDescent="0.35">
      <c r="A118" s="7">
        <v>93599</v>
      </c>
      <c r="B118" s="7" t="s">
        <v>95</v>
      </c>
      <c r="C118" s="8">
        <v>5352.67</v>
      </c>
      <c r="D118" s="11">
        <v>42691</v>
      </c>
      <c r="E118" s="7" t="s">
        <v>43</v>
      </c>
    </row>
    <row r="119" spans="1:5" x14ac:dyDescent="0.35">
      <c r="A119" s="7">
        <v>95037</v>
      </c>
      <c r="B119" s="7" t="s">
        <v>103</v>
      </c>
      <c r="C119" s="8">
        <v>8070.47</v>
      </c>
      <c r="D119" s="11">
        <v>42814</v>
      </c>
      <c r="E119" s="7" t="s">
        <v>43</v>
      </c>
    </row>
    <row r="120" spans="1:5" x14ac:dyDescent="0.35">
      <c r="A120" s="7">
        <v>96105</v>
      </c>
      <c r="B120" s="7" t="s">
        <v>96</v>
      </c>
      <c r="C120" s="8">
        <v>6001.14</v>
      </c>
      <c r="D120" s="11">
        <v>42804</v>
      </c>
      <c r="E120" s="7" t="s">
        <v>43</v>
      </c>
    </row>
    <row r="121" spans="1:5" x14ac:dyDescent="0.35">
      <c r="A121" s="7">
        <v>97048</v>
      </c>
      <c r="B121" s="7" t="s">
        <v>73</v>
      </c>
      <c r="C121" s="8">
        <v>5732.8</v>
      </c>
      <c r="D121" s="11">
        <v>42898</v>
      </c>
      <c r="E121" s="7" t="s">
        <v>43</v>
      </c>
    </row>
    <row r="122" spans="1:5" x14ac:dyDescent="0.35">
      <c r="A122" s="7">
        <v>97368</v>
      </c>
      <c r="B122" s="7" t="s">
        <v>104</v>
      </c>
      <c r="C122" s="8">
        <v>13304.26</v>
      </c>
      <c r="D122" s="11">
        <v>43014</v>
      </c>
      <c r="E122" s="7" t="s">
        <v>43</v>
      </c>
    </row>
    <row r="123" spans="1:5" x14ac:dyDescent="0.35">
      <c r="A123" s="7">
        <v>97550</v>
      </c>
      <c r="B123" s="7" t="s">
        <v>105</v>
      </c>
      <c r="C123" s="8">
        <v>12949.27</v>
      </c>
      <c r="D123" s="11">
        <v>43055</v>
      </c>
      <c r="E123" s="7" t="s">
        <v>43</v>
      </c>
    </row>
    <row r="124" spans="1:5" x14ac:dyDescent="0.35">
      <c r="A124" s="7">
        <v>97551</v>
      </c>
      <c r="B124" s="7" t="s">
        <v>105</v>
      </c>
      <c r="C124" s="8">
        <v>12949.27</v>
      </c>
      <c r="D124" s="11">
        <v>43055</v>
      </c>
      <c r="E124" s="7" t="s">
        <v>43</v>
      </c>
    </row>
    <row r="125" spans="1:5" x14ac:dyDescent="0.35">
      <c r="A125" s="7">
        <v>97552</v>
      </c>
      <c r="B125" s="7" t="s">
        <v>105</v>
      </c>
      <c r="C125" s="8">
        <v>12949.27</v>
      </c>
      <c r="D125" s="11">
        <v>43055</v>
      </c>
      <c r="E125" s="7" t="s">
        <v>43</v>
      </c>
    </row>
    <row r="126" spans="1:5" x14ac:dyDescent="0.35">
      <c r="A126" s="7">
        <v>97553</v>
      </c>
      <c r="B126" s="7" t="s">
        <v>105</v>
      </c>
      <c r="C126" s="8">
        <v>12949.27</v>
      </c>
      <c r="D126" s="11">
        <v>43055</v>
      </c>
      <c r="E126" s="7" t="s">
        <v>43</v>
      </c>
    </row>
    <row r="127" spans="1:5" x14ac:dyDescent="0.35">
      <c r="A127" s="7">
        <v>98289</v>
      </c>
      <c r="B127" s="7" t="s">
        <v>106</v>
      </c>
      <c r="C127" s="8">
        <v>6339.41</v>
      </c>
      <c r="D127" s="11">
        <v>43201</v>
      </c>
      <c r="E127" s="7" t="s">
        <v>43</v>
      </c>
    </row>
    <row r="128" spans="1:5" x14ac:dyDescent="0.35">
      <c r="A128" s="7">
        <v>98295</v>
      </c>
      <c r="B128" s="7" t="s">
        <v>106</v>
      </c>
      <c r="C128" s="8">
        <v>6339.41</v>
      </c>
      <c r="D128" s="11">
        <v>43201</v>
      </c>
      <c r="E128" s="7" t="s">
        <v>43</v>
      </c>
    </row>
    <row r="129" spans="1:5" x14ac:dyDescent="0.35">
      <c r="A129" s="7">
        <v>98296</v>
      </c>
      <c r="B129" s="7" t="s">
        <v>106</v>
      </c>
      <c r="C129" s="8">
        <v>6339.41</v>
      </c>
      <c r="D129" s="11">
        <v>43201</v>
      </c>
      <c r="E129" s="7" t="s">
        <v>43</v>
      </c>
    </row>
    <row r="130" spans="1:5" x14ac:dyDescent="0.35">
      <c r="A130" s="7">
        <v>98297</v>
      </c>
      <c r="B130" s="7" t="s">
        <v>106</v>
      </c>
      <c r="C130" s="8">
        <v>6339.41</v>
      </c>
      <c r="D130" s="11">
        <v>43201</v>
      </c>
      <c r="E130" s="7" t="s">
        <v>43</v>
      </c>
    </row>
    <row r="131" spans="1:5" x14ac:dyDescent="0.35">
      <c r="A131" s="7">
        <v>98298</v>
      </c>
      <c r="B131" s="7" t="s">
        <v>106</v>
      </c>
      <c r="C131" s="8">
        <v>6339.41</v>
      </c>
      <c r="D131" s="11">
        <v>43201</v>
      </c>
      <c r="E131" s="7" t="s">
        <v>43</v>
      </c>
    </row>
    <row r="132" spans="1:5" x14ac:dyDescent="0.35">
      <c r="A132" s="7">
        <v>98299</v>
      </c>
      <c r="B132" s="7" t="s">
        <v>106</v>
      </c>
      <c r="C132" s="8">
        <v>6339.41</v>
      </c>
      <c r="D132" s="11">
        <v>43201</v>
      </c>
      <c r="E132" s="7" t="s">
        <v>43</v>
      </c>
    </row>
    <row r="133" spans="1:5" x14ac:dyDescent="0.35">
      <c r="A133" s="7">
        <v>98330</v>
      </c>
      <c r="B133" s="7" t="s">
        <v>106</v>
      </c>
      <c r="C133" s="8">
        <v>6339.41</v>
      </c>
      <c r="D133" s="11">
        <v>43201</v>
      </c>
      <c r="E133" s="7" t="s">
        <v>43</v>
      </c>
    </row>
    <row r="134" spans="1:5" x14ac:dyDescent="0.35">
      <c r="A134" s="7">
        <v>100414</v>
      </c>
      <c r="B134" s="7" t="s">
        <v>107</v>
      </c>
      <c r="C134" s="8">
        <v>7872.74</v>
      </c>
      <c r="D134" s="11">
        <v>43271</v>
      </c>
      <c r="E134" s="7" t="s">
        <v>43</v>
      </c>
    </row>
    <row r="135" spans="1:5" x14ac:dyDescent="0.35">
      <c r="A135" s="7">
        <v>100921</v>
      </c>
      <c r="B135" s="7" t="s">
        <v>107</v>
      </c>
      <c r="C135" s="8">
        <v>5025.72</v>
      </c>
      <c r="D135" s="11">
        <v>43515</v>
      </c>
      <c r="E135" s="7" t="s">
        <v>43</v>
      </c>
    </row>
    <row r="136" spans="1:5" x14ac:dyDescent="0.35">
      <c r="A136" s="7">
        <v>100929</v>
      </c>
      <c r="B136" s="7" t="s">
        <v>107</v>
      </c>
      <c r="C136" s="8">
        <v>5025.68</v>
      </c>
      <c r="D136" s="11">
        <v>43515</v>
      </c>
      <c r="E136" s="7" t="s">
        <v>43</v>
      </c>
    </row>
    <row r="137" spans="1:5" x14ac:dyDescent="0.35">
      <c r="A137" s="7">
        <v>100930</v>
      </c>
      <c r="B137" s="7" t="s">
        <v>107</v>
      </c>
      <c r="C137" s="8">
        <v>5025.68</v>
      </c>
      <c r="D137" s="11">
        <v>43515</v>
      </c>
      <c r="E137" s="7" t="s">
        <v>43</v>
      </c>
    </row>
    <row r="138" spans="1:5" x14ac:dyDescent="0.35">
      <c r="A138" s="7">
        <v>102586</v>
      </c>
      <c r="B138" s="7" t="s">
        <v>108</v>
      </c>
      <c r="C138" s="8">
        <v>5326.78</v>
      </c>
      <c r="D138" s="11">
        <v>43578</v>
      </c>
      <c r="E138" s="7" t="s">
        <v>43</v>
      </c>
    </row>
    <row r="139" spans="1:5" x14ac:dyDescent="0.35">
      <c r="A139" s="7">
        <v>107530</v>
      </c>
      <c r="B139" s="7" t="s">
        <v>109</v>
      </c>
      <c r="C139" s="8">
        <v>5005.71</v>
      </c>
      <c r="D139" s="11">
        <v>43889</v>
      </c>
      <c r="E139" s="7" t="s">
        <v>43</v>
      </c>
    </row>
    <row r="140" spans="1:5" x14ac:dyDescent="0.35">
      <c r="A140" s="7">
        <v>107536</v>
      </c>
      <c r="B140" s="7" t="s">
        <v>110</v>
      </c>
      <c r="C140" s="8">
        <v>5005.71</v>
      </c>
      <c r="D140" s="11">
        <v>43924</v>
      </c>
      <c r="E140" s="7" t="s">
        <v>43</v>
      </c>
    </row>
    <row r="141" spans="1:5" x14ac:dyDescent="0.35">
      <c r="A141" s="7">
        <v>107660</v>
      </c>
      <c r="B141" s="7" t="s">
        <v>110</v>
      </c>
      <c r="C141" s="8">
        <v>5464.2</v>
      </c>
      <c r="D141" s="11">
        <v>43924</v>
      </c>
      <c r="E141" s="7" t="s">
        <v>43</v>
      </c>
    </row>
    <row r="142" spans="1:5" x14ac:dyDescent="0.35">
      <c r="A142" s="7">
        <v>109337</v>
      </c>
      <c r="B142" s="7" t="s">
        <v>71</v>
      </c>
      <c r="C142" s="8">
        <v>396908.13</v>
      </c>
      <c r="D142" s="11">
        <v>41221</v>
      </c>
      <c r="E142" s="7" t="s">
        <v>72</v>
      </c>
    </row>
    <row r="143" spans="1:5" x14ac:dyDescent="0.35">
      <c r="A143" s="7">
        <v>1036932</v>
      </c>
      <c r="B143" s="7" t="s">
        <v>111</v>
      </c>
      <c r="C143" s="8">
        <v>16086.43</v>
      </c>
      <c r="D143" s="11">
        <v>36607</v>
      </c>
      <c r="E143" s="7" t="s">
        <v>72</v>
      </c>
    </row>
    <row r="144" spans="1:5" x14ac:dyDescent="0.35">
      <c r="A144" s="7">
        <v>1228993</v>
      </c>
      <c r="B144" s="7" t="s">
        <v>112</v>
      </c>
      <c r="C144" s="8">
        <v>27098.21</v>
      </c>
      <c r="D144" s="11">
        <v>39115</v>
      </c>
      <c r="E144" s="7" t="s">
        <v>72</v>
      </c>
    </row>
    <row r="145" spans="1:5" x14ac:dyDescent="0.35">
      <c r="A145" s="7">
        <v>1359207</v>
      </c>
      <c r="B145" s="7" t="s">
        <v>113</v>
      </c>
      <c r="C145" s="8">
        <v>26158.35</v>
      </c>
      <c r="D145" s="11">
        <v>40570</v>
      </c>
      <c r="E145" s="7" t="s">
        <v>72</v>
      </c>
    </row>
    <row r="146" spans="1:5" x14ac:dyDescent="0.35">
      <c r="A146" s="7">
        <v>1382916</v>
      </c>
      <c r="B146" s="7" t="s">
        <v>114</v>
      </c>
      <c r="C146" s="8">
        <v>22320.54</v>
      </c>
      <c r="D146" s="11">
        <v>41004</v>
      </c>
      <c r="E146" s="7" t="s">
        <v>72</v>
      </c>
    </row>
    <row r="147" spans="1:5" x14ac:dyDescent="0.35">
      <c r="A147" s="7">
        <v>1382978</v>
      </c>
      <c r="B147" s="7" t="s">
        <v>115</v>
      </c>
      <c r="C147" s="8">
        <v>23288.14</v>
      </c>
      <c r="D147" s="11">
        <v>41054</v>
      </c>
      <c r="E147" s="7" t="s">
        <v>72</v>
      </c>
    </row>
    <row r="148" spans="1:5" x14ac:dyDescent="0.35">
      <c r="A148" s="7">
        <v>1422111</v>
      </c>
      <c r="B148" s="7" t="s">
        <v>116</v>
      </c>
      <c r="C148" s="8">
        <v>23439.33</v>
      </c>
      <c r="D148" s="11">
        <v>41509</v>
      </c>
      <c r="E148" s="7" t="s">
        <v>72</v>
      </c>
    </row>
    <row r="149" spans="1:5" x14ac:dyDescent="0.35">
      <c r="A149" s="7">
        <v>1449574</v>
      </c>
      <c r="B149" s="7" t="s">
        <v>117</v>
      </c>
      <c r="C149" s="8">
        <v>25976.48</v>
      </c>
      <c r="D149" s="11">
        <v>41915</v>
      </c>
      <c r="E149" s="7" t="s">
        <v>72</v>
      </c>
    </row>
    <row r="150" spans="1:5" x14ac:dyDescent="0.35">
      <c r="A150" s="7">
        <v>1449575</v>
      </c>
      <c r="B150" s="7" t="s">
        <v>118</v>
      </c>
      <c r="C150" s="8">
        <v>27969.200000000001</v>
      </c>
      <c r="D150" s="11">
        <v>41953</v>
      </c>
      <c r="E150" s="7" t="s">
        <v>72</v>
      </c>
    </row>
    <row r="151" spans="1:5" x14ac:dyDescent="0.35">
      <c r="A151" s="7">
        <v>1458156</v>
      </c>
      <c r="B151" s="7" t="s">
        <v>119</v>
      </c>
      <c r="C151" s="8">
        <v>28769.64</v>
      </c>
      <c r="D151" s="11">
        <v>41997</v>
      </c>
      <c r="E151" s="7" t="s">
        <v>72</v>
      </c>
    </row>
    <row r="152" spans="1:5" x14ac:dyDescent="0.35">
      <c r="A152" s="7">
        <v>1458157</v>
      </c>
      <c r="B152" s="7" t="s">
        <v>120</v>
      </c>
      <c r="C152" s="8">
        <v>33195.65</v>
      </c>
      <c r="D152" s="11">
        <v>41996</v>
      </c>
      <c r="E152" s="7" t="s">
        <v>72</v>
      </c>
    </row>
    <row r="153" spans="1:5" x14ac:dyDescent="0.35">
      <c r="A153" s="7">
        <v>1526633</v>
      </c>
      <c r="B153" s="7" t="s">
        <v>121</v>
      </c>
      <c r="C153" s="8">
        <v>32477.26</v>
      </c>
      <c r="D153" s="11">
        <v>42950</v>
      </c>
      <c r="E153" s="7" t="s">
        <v>72</v>
      </c>
    </row>
    <row r="155" spans="1:5" x14ac:dyDescent="0.35">
      <c r="C155" s="12">
        <f>SUM(C7:C153)</f>
        <v>5219908.8499999968</v>
      </c>
      <c r="D155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9A4C-D767-44F4-A523-FE52ED459FEE}">
  <dimension ref="A1:E15"/>
  <sheetViews>
    <sheetView workbookViewId="0"/>
  </sheetViews>
  <sheetFormatPr defaultColWidth="9.08984375" defaultRowHeight="14.5" x14ac:dyDescent="0.35"/>
  <cols>
    <col min="1" max="1" width="11.08984375" style="7" bestFit="1" customWidth="1"/>
    <col min="2" max="2" width="14.36328125" style="7" bestFit="1" customWidth="1"/>
    <col min="3" max="4" width="10.54296875" style="7" bestFit="1" customWidth="1"/>
    <col min="5" max="5" width="30.54296875" style="7" customWidth="1"/>
    <col min="6" max="16384" width="9.08984375" style="7"/>
  </cols>
  <sheetData>
    <row r="1" spans="1:5" x14ac:dyDescent="0.35">
      <c r="A1" s="13" t="s">
        <v>30</v>
      </c>
    </row>
    <row r="2" spans="1:5" x14ac:dyDescent="0.35">
      <c r="A2" s="13" t="s">
        <v>123</v>
      </c>
    </row>
    <row r="3" spans="1:5" x14ac:dyDescent="0.35">
      <c r="A3" s="13" t="s">
        <v>32</v>
      </c>
    </row>
    <row r="4" spans="1:5" x14ac:dyDescent="0.35">
      <c r="A4" s="13" t="s">
        <v>33</v>
      </c>
    </row>
    <row r="6" spans="1:5" x14ac:dyDescent="0.35">
      <c r="A6" s="7" t="s">
        <v>124</v>
      </c>
      <c r="B6" s="7" t="s">
        <v>125</v>
      </c>
      <c r="C6" s="7" t="s">
        <v>126</v>
      </c>
      <c r="D6" s="7" t="s">
        <v>127</v>
      </c>
      <c r="E6" s="7" t="s">
        <v>128</v>
      </c>
    </row>
    <row r="7" spans="1:5" x14ac:dyDescent="0.35">
      <c r="A7" s="7" t="s">
        <v>129</v>
      </c>
      <c r="B7" s="14">
        <v>5271363.6100000003</v>
      </c>
      <c r="C7" s="11">
        <v>44378</v>
      </c>
      <c r="D7" s="11">
        <v>45473</v>
      </c>
      <c r="E7" s="7" t="s">
        <v>130</v>
      </c>
    </row>
    <row r="8" spans="1:5" x14ac:dyDescent="0.35">
      <c r="A8" s="7" t="s">
        <v>131</v>
      </c>
      <c r="B8" s="14">
        <v>1884591.51</v>
      </c>
      <c r="C8" s="11">
        <v>44378</v>
      </c>
      <c r="D8" s="11">
        <v>45382</v>
      </c>
      <c r="E8" s="7" t="s">
        <v>130</v>
      </c>
    </row>
    <row r="9" spans="1:5" x14ac:dyDescent="0.35">
      <c r="A9" s="7" t="s">
        <v>132</v>
      </c>
      <c r="B9" s="14">
        <v>9784329.8100000005</v>
      </c>
      <c r="C9" s="11">
        <v>44378</v>
      </c>
      <c r="D9" s="11">
        <v>45351</v>
      </c>
      <c r="E9" s="7" t="s">
        <v>133</v>
      </c>
    </row>
    <row r="10" spans="1:5" x14ac:dyDescent="0.35">
      <c r="A10" s="7" t="s">
        <v>134</v>
      </c>
      <c r="B10" s="14">
        <v>355925.02</v>
      </c>
      <c r="C10" s="11">
        <v>44378</v>
      </c>
      <c r="D10" s="11">
        <v>45108</v>
      </c>
      <c r="E10" s="7" t="s">
        <v>133</v>
      </c>
    </row>
    <row r="11" spans="1:5" x14ac:dyDescent="0.35">
      <c r="A11" s="7" t="s">
        <v>135</v>
      </c>
      <c r="B11" s="14">
        <v>3771524.02</v>
      </c>
      <c r="C11" s="11">
        <v>44378</v>
      </c>
      <c r="D11" s="11">
        <v>45351</v>
      </c>
      <c r="E11" s="7" t="s">
        <v>130</v>
      </c>
    </row>
    <row r="12" spans="1:5" x14ac:dyDescent="0.35">
      <c r="A12" s="7" t="s">
        <v>136</v>
      </c>
      <c r="B12" s="14">
        <v>2749749.49</v>
      </c>
      <c r="C12" s="11">
        <v>44378</v>
      </c>
      <c r="D12" s="11">
        <v>45291</v>
      </c>
      <c r="E12" s="7" t="s">
        <v>133</v>
      </c>
    </row>
    <row r="13" spans="1:5" x14ac:dyDescent="0.35">
      <c r="A13" s="7" t="s">
        <v>137</v>
      </c>
      <c r="B13" s="14">
        <v>2861501.98</v>
      </c>
      <c r="C13" s="11">
        <v>44378</v>
      </c>
      <c r="D13" s="11">
        <v>45199</v>
      </c>
      <c r="E13" s="7" t="s">
        <v>130</v>
      </c>
    </row>
    <row r="15" spans="1:5" x14ac:dyDescent="0.35">
      <c r="B15" s="15">
        <f>SUM(B7:B13)</f>
        <v>26678985.440000001</v>
      </c>
      <c r="C15" s="6" t="s">
        <v>122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A59F-FE14-4867-A9AB-C68B46AE77A7}">
  <dimension ref="A1:E11"/>
  <sheetViews>
    <sheetView workbookViewId="0">
      <selection activeCell="C11" sqref="C11"/>
    </sheetView>
  </sheetViews>
  <sheetFormatPr defaultColWidth="9.08984375" defaultRowHeight="14.5" x14ac:dyDescent="0.35"/>
  <cols>
    <col min="1" max="1" width="31.54296875" style="7" bestFit="1" customWidth="1"/>
    <col min="2" max="2" width="14.36328125" style="7" bestFit="1" customWidth="1"/>
    <col min="3" max="3" width="9.08984375" style="7"/>
    <col min="4" max="4" width="9.6328125" style="7" bestFit="1" customWidth="1"/>
    <col min="5" max="5" width="30" style="7" bestFit="1" customWidth="1"/>
    <col min="6" max="16384" width="9.08984375" style="7"/>
  </cols>
  <sheetData>
    <row r="1" spans="1:5" x14ac:dyDescent="0.35">
      <c r="A1" s="13" t="s">
        <v>30</v>
      </c>
    </row>
    <row r="2" spans="1:5" x14ac:dyDescent="0.35">
      <c r="A2" s="13" t="s">
        <v>138</v>
      </c>
    </row>
    <row r="3" spans="1:5" x14ac:dyDescent="0.35">
      <c r="A3" s="13" t="s">
        <v>32</v>
      </c>
    </row>
    <row r="4" spans="1:5" x14ac:dyDescent="0.35">
      <c r="A4" s="13" t="s">
        <v>33</v>
      </c>
    </row>
    <row r="6" spans="1:5" x14ac:dyDescent="0.35">
      <c r="A6" s="7" t="s">
        <v>139</v>
      </c>
      <c r="B6" s="7" t="s">
        <v>125</v>
      </c>
      <c r="C6" s="7" t="s">
        <v>126</v>
      </c>
      <c r="D6" s="7" t="s">
        <v>127</v>
      </c>
      <c r="E6" s="7" t="s">
        <v>128</v>
      </c>
    </row>
    <row r="7" spans="1:5" x14ac:dyDescent="0.35">
      <c r="A7" s="7" t="s">
        <v>140</v>
      </c>
      <c r="B7" s="14">
        <v>169689.59</v>
      </c>
      <c r="C7" s="11">
        <v>44743</v>
      </c>
      <c r="D7" s="11">
        <v>45467</v>
      </c>
      <c r="E7" s="7" t="s">
        <v>141</v>
      </c>
    </row>
    <row r="8" spans="1:5" x14ac:dyDescent="0.35">
      <c r="A8" s="7" t="s">
        <v>142</v>
      </c>
      <c r="B8" s="14">
        <v>89409.45</v>
      </c>
      <c r="C8" s="11">
        <v>44743</v>
      </c>
      <c r="D8" s="11">
        <v>45473</v>
      </c>
      <c r="E8" s="7" t="s">
        <v>141</v>
      </c>
    </row>
    <row r="9" spans="1:5" x14ac:dyDescent="0.35">
      <c r="A9" s="7" t="s">
        <v>143</v>
      </c>
      <c r="B9" s="14">
        <v>12309316.92</v>
      </c>
      <c r="C9" s="11">
        <v>44743</v>
      </c>
      <c r="D9" s="11">
        <v>45351</v>
      </c>
      <c r="E9" s="7" t="s">
        <v>133</v>
      </c>
    </row>
    <row r="10" spans="1:5" x14ac:dyDescent="0.35">
      <c r="A10" s="34" t="s">
        <v>187</v>
      </c>
      <c r="B10" s="14">
        <v>497892</v>
      </c>
      <c r="C10" s="11">
        <v>45017</v>
      </c>
      <c r="D10" s="11">
        <v>45382</v>
      </c>
      <c r="E10" s="34" t="s">
        <v>133</v>
      </c>
    </row>
    <row r="11" spans="1:5" x14ac:dyDescent="0.35">
      <c r="B11" s="15">
        <f>SUM(B7:B10)</f>
        <v>13066307.959999999</v>
      </c>
      <c r="C11" s="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Report 18</vt:lpstr>
      <vt:lpstr>Report 18 Differential</vt:lpstr>
      <vt:lpstr>Deductions - Equipment</vt:lpstr>
      <vt:lpstr>Deductions - ROU Buildings</vt:lpstr>
      <vt:lpstr>Deductions - ROU SBITA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2024-08-15T16:07:12Z</dcterms:created>
  <dcterms:modified xsi:type="dcterms:W3CDTF">2024-08-30T01:06:37Z</dcterms:modified>
</cp:coreProperties>
</file>