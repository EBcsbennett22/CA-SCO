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7100\"/>
    </mc:Choice>
  </mc:AlternateContent>
  <xr:revisionPtr revIDLastSave="0" documentId="13_ncr:1_{62C961DB-365B-4960-BBFD-ED0860171D78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F0184" sheetId="2" r:id="rId1"/>
    <sheet name="F0185" sheetId="1" r:id="rId2"/>
    <sheet name="F0514" sheetId="4" r:id="rId3"/>
    <sheet name="F0869" sheetId="3" r:id="rId4"/>
    <sheet name="F0870" sheetId="5" r:id="rId5"/>
    <sheet name="Report 18 Differential" sheetId="6" r:id="rId6"/>
  </sheets>
  <definedNames>
    <definedName name="_xlnm.Print_Area" localSheetId="4">'F0870'!$A$1:$K$37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6" l="1"/>
  <c r="U12" i="6"/>
  <c r="I13" i="6"/>
  <c r="I31" i="6" s="1"/>
  <c r="U13" i="6"/>
  <c r="U31" i="6" s="1"/>
  <c r="I14" i="6"/>
  <c r="U14" i="6"/>
  <c r="I15" i="6"/>
  <c r="U15" i="6"/>
  <c r="I16" i="6"/>
  <c r="U16" i="6"/>
  <c r="I17" i="6"/>
  <c r="U17" i="6"/>
  <c r="I19" i="6"/>
  <c r="U19" i="6"/>
  <c r="I20" i="6"/>
  <c r="U20" i="6"/>
  <c r="I21" i="6"/>
  <c r="U21" i="6"/>
  <c r="I22" i="6"/>
  <c r="U22" i="6"/>
  <c r="I23" i="6"/>
  <c r="U23" i="6"/>
  <c r="I24" i="6"/>
  <c r="U24" i="6"/>
  <c r="I25" i="6"/>
  <c r="U25" i="6"/>
  <c r="I26" i="6"/>
  <c r="U26" i="6"/>
  <c r="I27" i="6"/>
  <c r="U27" i="6"/>
  <c r="I28" i="6"/>
  <c r="U28" i="6"/>
  <c r="I29" i="6"/>
  <c r="U29" i="6"/>
  <c r="I30" i="6"/>
  <c r="U30" i="6"/>
  <c r="E31" i="6"/>
  <c r="G31" i="6"/>
  <c r="K31" i="6"/>
  <c r="M31" i="6"/>
  <c r="O31" i="6"/>
  <c r="Q31" i="6"/>
  <c r="S31" i="6"/>
  <c r="J9" i="5"/>
  <c r="J10" i="5"/>
  <c r="J28" i="5" s="1"/>
  <c r="J11" i="5"/>
  <c r="J12" i="5"/>
  <c r="J13" i="5"/>
  <c r="J14" i="5"/>
  <c r="J16" i="5"/>
  <c r="J17" i="5"/>
  <c r="J18" i="5"/>
  <c r="F19" i="5"/>
  <c r="F28" i="5" s="1"/>
  <c r="J19" i="5"/>
  <c r="J20" i="5"/>
  <c r="J21" i="5"/>
  <c r="J22" i="5"/>
  <c r="J23" i="5"/>
  <c r="J24" i="5"/>
  <c r="J25" i="5"/>
  <c r="J26" i="5"/>
  <c r="J27" i="5"/>
  <c r="D28" i="5"/>
  <c r="H28" i="5"/>
</calcChain>
</file>

<file path=xl/sharedStrings.xml><?xml version="1.0" encoding="utf-8"?>
<sst xmlns="http://schemas.openxmlformats.org/spreadsheetml/2006/main" count="188" uniqueCount="109">
  <si>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>1</t>
    </r>
  </si>
  <si>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>RPTGL075</t>
    </r>
  </si>
  <si>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>10/14/2024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</si>
  <si>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15:12:44</t>
    </r>
  </si>
  <si>
    <r>
      <rPr>
        <b/>
        <sz val="11"/>
        <rFont val="Arial"/>
        <family val="2"/>
      </rPr>
      <t>REPORT 18 – STATEMENT OF CHANGES IN CAPITAL ASSETS</t>
    </r>
  </si>
  <si>
    <r>
      <rPr>
        <b/>
        <sz val="11"/>
        <rFont val="Arial"/>
        <family val="2"/>
      </rPr>
      <t>Employment Development Dept - 7100</t>
    </r>
  </si>
  <si>
    <r>
      <rPr>
        <b/>
        <sz val="11"/>
        <rFont val="Arial"/>
        <family val="2"/>
      </rPr>
      <t>Fund 0185</t>
    </r>
  </si>
  <si>
    <r>
      <rPr>
        <b/>
        <sz val="11"/>
        <rFont val="Arial"/>
        <family val="2"/>
      </rPr>
      <t>Fiscal Year 2023-24</t>
    </r>
  </si>
  <si>
    <r>
      <rPr>
        <b/>
        <sz val="11"/>
        <rFont val="Arial"/>
        <family val="2"/>
      </rPr>
      <t>As of 06/30/2024</t>
    </r>
  </si>
  <si>
    <r>
      <rPr>
        <b/>
        <sz val="11"/>
        <rFont val="Arial"/>
        <family val="2"/>
      </rPr>
      <t>Business Unit:</t>
    </r>
  </si>
  <si>
    <r>
      <rPr>
        <sz val="11"/>
        <rFont val="Arial"/>
        <family val="2"/>
      </rPr>
      <t>7100 - Employment Development Dept</t>
    </r>
  </si>
  <si>
    <r>
      <rPr>
        <b/>
        <sz val="11"/>
        <rFont val="Arial"/>
        <family val="2"/>
      </rPr>
      <t>Fund:</t>
    </r>
  </si>
  <si>
    <r>
      <rPr>
        <sz val="11"/>
        <rFont val="Arial"/>
        <family val="2"/>
      </rPr>
      <t>0185 - Employment Development Conting</t>
    </r>
  </si>
  <si>
    <r>
      <rPr>
        <b/>
        <sz val="11"/>
        <rFont val="Arial"/>
        <family val="2"/>
      </rPr>
      <t>Subfund:</t>
    </r>
  </si>
  <si>
    <r>
      <rPr>
        <b/>
        <sz val="10"/>
        <rFont val="Arial"/>
        <family val="2"/>
      </rPr>
      <t>Account – Description</t>
    </r>
  </si>
  <si>
    <r>
      <rPr>
        <b/>
        <sz val="10"/>
        <rFont val="Arial"/>
        <family val="2"/>
      </rPr>
      <t>Beginning Balance</t>
    </r>
  </si>
  <si>
    <r>
      <rPr>
        <b/>
        <sz val="10"/>
        <rFont val="Arial"/>
        <family val="2"/>
      </rPr>
      <t>Additions</t>
    </r>
  </si>
  <si>
    <r>
      <rPr>
        <b/>
        <sz val="10"/>
        <rFont val="Arial"/>
        <family val="2"/>
      </rPr>
      <t>Deductions</t>
    </r>
  </si>
  <si>
    <r>
      <rPr>
        <b/>
        <sz val="10"/>
        <rFont val="Arial"/>
        <family val="2"/>
      </rPr>
      <t>Ending Balance</t>
    </r>
  </si>
  <si>
    <r>
      <rPr>
        <b/>
        <sz val="11"/>
        <rFont val="Calibri"/>
        <family val="2"/>
      </rPr>
      <t>Tangible Assets</t>
    </r>
  </si>
  <si>
    <r>
      <rPr>
        <sz val="11"/>
        <rFont val="Calibri"/>
        <family val="2"/>
      </rPr>
      <t xml:space="preserve">2310 </t>
    </r>
    <r>
      <rPr>
        <sz val="10"/>
        <rFont val="Arial"/>
        <family val="2"/>
      </rPr>
      <t>- Land</t>
    </r>
  </si>
  <si>
    <r>
      <rPr>
        <sz val="11"/>
        <rFont val="Calibri"/>
        <family val="2"/>
      </rPr>
      <t xml:space="preserve">2321 </t>
    </r>
    <r>
      <rPr>
        <sz val="10"/>
        <rFont val="Arial"/>
        <family val="2"/>
      </rPr>
      <t>- Buildings and Building Improve</t>
    </r>
  </si>
  <si>
    <r>
      <rPr>
        <sz val="11"/>
        <rFont val="Calibri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</si>
  <si>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b/>
        <sz val="11"/>
        <rFont val="Calibri"/>
        <family val="2"/>
      </rPr>
      <t>Intangible Assets</t>
    </r>
  </si>
  <si>
    <r>
      <rPr>
        <sz val="11"/>
        <rFont val="Calibri"/>
        <family val="2"/>
      </rPr>
      <t xml:space="preserve">2411 </t>
    </r>
    <r>
      <rPr>
        <sz val="10"/>
        <rFont val="Arial"/>
        <family val="2"/>
      </rPr>
      <t>- Computer Software - Amortizabl</t>
    </r>
  </si>
  <si>
    <r>
      <rPr>
        <b/>
        <sz val="10"/>
        <rFont val="Arial"/>
        <family val="2"/>
      </rPr>
      <t>Fund:</t>
    </r>
  </si>
  <si>
    <r>
      <rPr>
        <b/>
        <sz val="10"/>
        <rFont val="Arial"/>
        <family val="2"/>
      </rPr>
      <t>Sub Fund:</t>
    </r>
  </si>
  <si>
    <r>
      <rPr>
        <sz val="11"/>
        <rFont val="Arial"/>
        <family val="2"/>
      </rPr>
      <t>0184 - Employment Developmnt Dept Ben</t>
    </r>
  </si>
  <si>
    <r>
      <rPr>
        <b/>
        <sz val="11"/>
        <rFont val="Arial"/>
        <family val="2"/>
      </rPr>
      <t>Fund 0184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</si>
  <si>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15:00:55</t>
    </r>
  </si>
  <si>
    <r>
      <rPr>
        <sz val="11"/>
        <rFont val="Arial"/>
        <family val="2"/>
      </rPr>
      <t>0869 - Consolidated Work Program Fund</t>
    </r>
  </si>
  <si>
    <r>
      <rPr>
        <b/>
        <sz val="11"/>
        <rFont val="Arial"/>
        <family val="2"/>
      </rPr>
      <t>Fund 0869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</si>
  <si>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09:59:50</t>
    </r>
  </si>
  <si>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>10/08/2024</t>
    </r>
  </si>
  <si>
    <r>
      <rPr>
        <sz val="11"/>
        <rFont val="Arial"/>
        <family val="2"/>
      </rPr>
      <t>0514 - Employment Training Fund</t>
    </r>
  </si>
  <si>
    <r>
      <rPr>
        <b/>
        <sz val="11"/>
        <rFont val="Arial"/>
        <family val="2"/>
      </rPr>
      <t>Fund 0514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</si>
  <si>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12:37:11</t>
    </r>
  </si>
  <si>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>10/09/2024</t>
    </r>
  </si>
  <si>
    <t>The ending balances should equal the debit balances on Report 19 for each asset type.</t>
  </si>
  <si>
    <t>Statement of Changes in Capital Assets Beginning Balance Differential Report. See illustration next page.</t>
  </si>
  <si>
    <t>Asset beginning balances must agree with prior year ending balances. Any differences must be documented and explained in Report 18-</t>
  </si>
  <si>
    <t>TOTAL CAPITAL ASSETS</t>
  </si>
  <si>
    <t>Internally Generated Intangible Assets in Progress</t>
  </si>
  <si>
    <t>Other Intangible Assets - Non-Amortizable</t>
  </si>
  <si>
    <t>Patents, Copyrights, and Trademarks - Non-Amortizable</t>
  </si>
  <si>
    <t>Land Use Rights - Non-Amortizable</t>
  </si>
  <si>
    <t>Right-to-Use Subscription-Based Information Technology Arrangements  (SBITA) - Amortizable</t>
  </si>
  <si>
    <t>Right-to-Use Leased Equipment - Amortizable</t>
  </si>
  <si>
    <t>Right-to-Use Leased Buildings - Amortizable</t>
  </si>
  <si>
    <t>Right-to-Use Leased Land - Amortizable</t>
  </si>
  <si>
    <t>Other Intangible Assets - Amortizable</t>
  </si>
  <si>
    <t>Patents, Copyrights, and Trademarks - Amortizable</t>
  </si>
  <si>
    <t>Land Use Rights - Amortizable</t>
  </si>
  <si>
    <t>Computer Software - Amortizable</t>
  </si>
  <si>
    <t>Intangible Assets</t>
  </si>
  <si>
    <t>Infrastructure - Depreciable</t>
  </si>
  <si>
    <t>Construction Work in Progress</t>
  </si>
  <si>
    <t>Equipment</t>
  </si>
  <si>
    <t>Improvements Other Than Buildings</t>
  </si>
  <si>
    <t>Buildings</t>
  </si>
  <si>
    <t>Land</t>
  </si>
  <si>
    <t>Tangible Assets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</si>
  <si>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20XX</t>
    </r>
  </si>
  <si>
    <t>Deductions</t>
  </si>
  <si>
    <t>Additions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</si>
  <si>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</si>
  <si>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CAPITAL ASSETS</t>
  </si>
  <si>
    <t>As of June 30, 2024</t>
  </si>
  <si>
    <t>Unemployment Administration Fund (0870)</t>
  </si>
  <si>
    <t>Statement of Changes in Capital Assets Group of Accounts - Report 18</t>
  </si>
  <si>
    <t>Employment Development Department (7100)</t>
  </si>
  <si>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Financed Purchase contracts should be reported with its corresponding tangible capital asset account (e.g., Land, Buildings, Equipment)</t>
    </r>
  </si>
  <si>
    <t>Footnotes:</t>
  </si>
  <si>
    <t>Compute the sum of columns 4 to 8. The amount should agree with the computed difference in column 3.</t>
  </si>
  <si>
    <t>Col. 9 -</t>
  </si>
  <si>
    <t>Breakdown and categorize the differences in columns 4 to 8.</t>
  </si>
  <si>
    <t>Col. 4-8 -</t>
  </si>
  <si>
    <t>Research posting and source documents to identify and explain the difference.</t>
  </si>
  <si>
    <t>Compute difference between current year beginning balance and prior year ending balance.</t>
  </si>
  <si>
    <t>Col. 3 -</t>
  </si>
  <si>
    <t>Enter Beginning Balance from Current Year Report 18.</t>
  </si>
  <si>
    <t>Col. 2 -</t>
  </si>
  <si>
    <t>Enter Ending Balance from Prior Year Report 18.</t>
  </si>
  <si>
    <t>Col. 1 -</t>
  </si>
  <si>
    <t>Report Instructions:</t>
  </si>
  <si>
    <t>Total</t>
  </si>
  <si>
    <r>
      <t>Equipment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</si>
  <si>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Buildings</t>
    </r>
    <r>
      <rPr>
        <vertAlign val="superscript"/>
        <sz val="11"/>
        <color theme="1"/>
        <rFont val="Calibri"/>
        <family val="2"/>
        <scheme val="minor"/>
      </rPr>
      <t>1</t>
    </r>
  </si>
  <si>
    <r>
      <t>Land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</si>
  <si>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Restatement Amount 
</t>
    </r>
    <r>
      <rPr>
        <sz val="10"/>
        <color rgb="FF000000"/>
        <rFont val="Times New Roman"/>
        <charset val="204"/>
      </rPr>
      <t>(should agree to the difference calculated)</t>
    </r>
  </si>
  <si>
    <r>
      <t xml:space="preserve">Other amounts that make up the difference </t>
    </r>
    <r>
      <rPr>
        <sz val="10"/>
        <color rgb="FF000000"/>
        <rFont val="Times New Roman"/>
        <charset val="204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prior year balance</t>
    </r>
  </si>
  <si>
    <r>
      <t xml:space="preserve">Other amounts that make up the difference </t>
    </r>
    <r>
      <rPr>
        <sz val="10"/>
        <color rgb="FF000000"/>
        <rFont val="Times New Roman"/>
        <charset val="204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</si>
  <si>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Transfers from other departments
</t>
    </r>
    <r>
      <rPr>
        <sz val="10"/>
        <color rgb="FF000000"/>
        <rFont val="Times New Roman"/>
        <charset val="204"/>
      </rPr>
      <t>(at historical cost/book value)</t>
    </r>
  </si>
  <si>
    <t>Non-capitalizable assets reported as capital assets in the prior year</t>
  </si>
  <si>
    <t>Assets unreported in the prior year</t>
  </si>
  <si>
    <t>Difference</t>
  </si>
  <si>
    <t>Current Year Beginning Balance</t>
  </si>
  <si>
    <t>Prior Year Ending Balance</t>
  </si>
  <si>
    <t>(9)</t>
  </si>
  <si>
    <t>(8)</t>
  </si>
  <si>
    <t>(7)</t>
  </si>
  <si>
    <t>(6)</t>
  </si>
  <si>
    <t>(5)</t>
  </si>
  <si>
    <t>(4)</t>
  </si>
  <si>
    <t>(3)</t>
  </si>
  <si>
    <t>(2)</t>
  </si>
  <si>
    <t>(1)</t>
  </si>
  <si>
    <t>Breakdown of Difference:</t>
  </si>
  <si>
    <t>Beginning Balance Differential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</si>
</sst>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"/>
    <numFmt numFmtId="165" formatCode="0000"/>
  </numFmts>
  <fonts count="2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color rgb="FF000000"/>
      <name val="Arial"/>
      <family val="2"/>
    </font>
    <font>
      <b/>
      <sz val="10"/>
      <name val="Arial"/>
    </font>
    <font>
      <b/>
      <sz val="11"/>
      <name val="Calibri"/>
    </font>
    <font>
      <sz val="10"/>
      <color rgb="FF00000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name val="Arial"/>
      <family val="2"/>
    </font>
    <font>
      <b/>
      <u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2"/>
    </xf>
    <xf numFmtId="0" fontId="5" fillId="0" borderId="0" xfId="0" applyFont="1" applyAlignment="1">
      <alignment horizontal="right" vertical="top" wrapText="1"/>
    </xf>
    <xf numFmtId="4" fontId="7" fillId="0" borderId="0" xfId="0" applyNumberFormat="1" applyFont="1" applyAlignment="1">
      <alignment horizontal="right" vertical="top" indent="3" shrinkToFit="1"/>
    </xf>
    <xf numFmtId="2" fontId="7" fillId="0" borderId="0" xfId="0" applyNumberFormat="1" applyFont="1" applyAlignment="1">
      <alignment horizontal="right" vertical="top" indent="2" shrinkToFit="1"/>
    </xf>
    <xf numFmtId="2" fontId="7" fillId="0" borderId="0" xfId="0" applyNumberFormat="1" applyFont="1" applyAlignment="1">
      <alignment horizontal="right" vertical="top" indent="3" shrinkToFit="1"/>
    </xf>
    <xf numFmtId="4" fontId="7" fillId="0" borderId="0" xfId="0" applyNumberFormat="1" applyFont="1" applyAlignment="1">
      <alignment horizontal="right" vertical="top" shrinkToFit="1"/>
    </xf>
    <xf numFmtId="4" fontId="7" fillId="0" borderId="0" xfId="0" applyNumberFormat="1" applyFont="1" applyAlignment="1">
      <alignment horizontal="right" vertical="top" indent="2" shrinkToFit="1"/>
    </xf>
    <xf numFmtId="4" fontId="7" fillId="0" borderId="0" xfId="0" applyNumberFormat="1" applyFont="1" applyAlignment="1">
      <alignment horizontal="left" vertical="top" indent="11" shrinkToFit="1"/>
    </xf>
    <xf numFmtId="2" fontId="7" fillId="0" borderId="0" xfId="0" applyNumberFormat="1" applyFont="1" applyAlignment="1">
      <alignment horizontal="left" vertical="top" indent="6" shrinkToFit="1"/>
    </xf>
    <xf numFmtId="2" fontId="7" fillId="0" borderId="0" xfId="0" applyNumberFormat="1" applyFont="1" applyAlignment="1">
      <alignment horizontal="left" vertical="top" indent="7" shrinkToFit="1"/>
    </xf>
    <xf numFmtId="4" fontId="7" fillId="0" borderId="0" xfId="0" applyNumberFormat="1" applyFont="1" applyAlignment="1">
      <alignment horizontal="left" vertical="top" indent="4" shrinkToFit="1"/>
    </xf>
    <xf numFmtId="165" fontId="7" fillId="0" borderId="0" xfId="0" applyNumberFormat="1" applyFont="1" applyAlignment="1">
      <alignment horizontal="right" vertical="top" indent="9" shrinkToFit="1"/>
    </xf>
    <xf numFmtId="164" fontId="7" fillId="0" borderId="0" xfId="0" applyNumberFormat="1" applyFont="1" applyAlignment="1">
      <alignment horizontal="right" vertical="top" indent="9" shrinkToFit="1"/>
    </xf>
    <xf numFmtId="4" fontId="7" fillId="0" borderId="0" xfId="0" applyNumberFormat="1" applyFont="1" applyAlignment="1">
      <alignment shrinkToFit="1"/>
    </xf>
    <xf numFmtId="164" fontId="7" fillId="0" borderId="0" xfId="0" applyNumberFormat="1" applyFont="1" applyAlignment="1">
      <alignment horizontal="right" vertical="top" indent="8" shrinkToFit="1"/>
    </xf>
    <xf numFmtId="165" fontId="7" fillId="0" borderId="0" xfId="0" applyNumberFormat="1" applyFont="1" applyAlignment="1">
      <alignment horizontal="right" vertical="top" indent="8" shrinkToFit="1"/>
    </xf>
    <xf numFmtId="0" fontId="5" fillId="0" borderId="0" xfId="0" applyFont="1" applyAlignment="1">
      <alignment horizontal="center" vertical="top" wrapText="1"/>
    </xf>
    <xf numFmtId="4" fontId="7" fillId="0" borderId="0" xfId="0" applyNumberFormat="1" applyFont="1" applyAlignment="1">
      <alignment horizontal="center" vertical="top" shrinkToFit="1"/>
    </xf>
    <xf numFmtId="0" fontId="0" fillId="0" borderId="0" xfId="0"/>
    <xf numFmtId="2" fontId="7" fillId="0" borderId="0" xfId="0" applyNumberFormat="1" applyFont="1" applyAlignment="1">
      <alignment shrinkToFit="1"/>
    </xf>
    <xf numFmtId="0" fontId="2" fillId="0" borderId="0" xfId="0" applyFont="1" applyAlignment="1">
      <alignment horizontal="left" vertical="top" wrapText="1" indent="2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75"/>
    </xf>
    <xf numFmtId="0" fontId="0" fillId="0" borderId="0" xfId="0" applyAlignment="1">
      <alignment horizontal="left" vertical="center" wrapText="1" indent="75"/>
    </xf>
    <xf numFmtId="0" fontId="2" fillId="0" borderId="0" xfId="0" applyFont="1" applyAlignment="1">
      <alignment horizontal="left" vertical="top" wrapText="1" indent="13"/>
    </xf>
    <xf numFmtId="4" fontId="7" fillId="0" borderId="0" xfId="0" applyNumberFormat="1" applyFont="1" applyAlignment="1">
      <alignment shrinkToFit="1"/>
    </xf>
    <xf numFmtId="164" fontId="4" fillId="0" borderId="0" xfId="0" applyNumberFormat="1" applyFont="1" applyAlignment="1">
      <alignment horizontal="left" vertical="top" indent="1" shrinkToFi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4" fontId="7" fillId="0" borderId="0" xfId="0" applyNumberFormat="1" applyFont="1" applyAlignment="1">
      <alignment horizontal="left" vertical="top" indent="3" shrinkToFit="1"/>
    </xf>
    <xf numFmtId="4" fontId="7" fillId="0" borderId="0" xfId="0" applyNumberFormat="1" applyFont="1" applyAlignment="1">
      <alignment horizontal="left" vertical="top" indent="4" shrinkToFit="1"/>
    </xf>
    <xf numFmtId="4" fontId="7" fillId="0" borderId="0" xfId="0" applyNumberFormat="1" applyFont="1" applyAlignment="1">
      <alignment horizontal="left" vertical="top" indent="11" shrinkToFit="1"/>
    </xf>
    <xf numFmtId="0" fontId="0" fillId="0" borderId="0" xfId="0" applyAlignment="1">
      <alignment horizontal="left" wrapText="1" indent="75"/>
    </xf>
    <xf numFmtId="2" fontId="7" fillId="0" borderId="0" xfId="0" applyNumberFormat="1" applyFont="1" applyAlignment="1">
      <alignment shrinkToFit="1"/>
    </xf>
    <xf numFmtId="4" fontId="7" fillId="0" borderId="0" xfId="0" applyNumberFormat="1" applyFont="1" applyAlignment="1">
      <alignment horizontal="left" vertical="top" indent="14" shrinkToFit="1"/>
    </xf>
    <xf numFmtId="4" fontId="7" fillId="0" borderId="0" xfId="0" applyNumberFormat="1" applyFont="1" applyAlignment="1">
      <alignment horizontal="left" vertical="top" indent="6" shrinkToFit="1"/>
    </xf>
    <xf numFmtId="0" fontId="1" fillId="0" borderId="0" xfId="1"/>
    <xf numFmtId="43" fontId="1" fillId="0" borderId="0" xfId="1" applyNumberFormat="1"/>
    <xf numFmtId="43" fontId="1" fillId="0" borderId="0" xfId="1" applyNumberFormat="1" applyProtection="1">
      <protection locked="0"/>
    </xf>
    <xf numFmtId="0" fontId="1" fillId="0" borderId="0" xfId="1" applyProtection="1">
      <protection locked="0"/>
    </xf>
    <xf numFmtId="0" fontId="16" fillId="0" borderId="0" xfId="1" applyFont="1" applyProtection="1">
      <protection locked="0"/>
    </xf>
    <xf numFmtId="44" fontId="15" fillId="0" borderId="1" xfId="1" applyNumberFormat="1" applyFont="1" applyBorder="1"/>
    <xf numFmtId="44" fontId="1" fillId="0" borderId="0" xfId="1" applyNumberFormat="1"/>
    <xf numFmtId="0" fontId="15" fillId="0" borderId="0" xfId="1" applyFont="1" applyProtection="1">
      <protection locked="0"/>
    </xf>
    <xf numFmtId="43" fontId="1" fillId="0" borderId="2" xfId="1" applyNumberFormat="1" applyBorder="1" applyProtection="1">
      <protection locked="0"/>
    </xf>
    <xf numFmtId="0" fontId="1" fillId="0" borderId="0" xfId="1" applyAlignment="1">
      <alignment wrapText="1"/>
    </xf>
    <xf numFmtId="43" fontId="1" fillId="0" borderId="0" xfId="1" applyNumberFormat="1" applyAlignment="1" applyProtection="1">
      <alignment wrapText="1"/>
      <protection locked="0"/>
    </xf>
    <xf numFmtId="0" fontId="1" fillId="0" borderId="0" xfId="1" applyAlignment="1" applyProtection="1">
      <alignment wrapText="1"/>
      <protection locked="0"/>
    </xf>
    <xf numFmtId="44" fontId="1" fillId="0" borderId="0" xfId="1" applyNumberFormat="1" applyProtection="1">
      <protection locked="0"/>
    </xf>
    <xf numFmtId="0" fontId="1" fillId="0" borderId="0" xfId="1" applyAlignment="1">
      <alignment horizontal="center"/>
    </xf>
    <xf numFmtId="0" fontId="15" fillId="0" borderId="2" xfId="1" applyFont="1" applyBorder="1" applyAlignment="1" applyProtection="1">
      <alignment horizontal="center" wrapText="1"/>
      <protection locked="0"/>
    </xf>
    <xf numFmtId="43" fontId="1" fillId="0" borderId="0" xfId="1" applyNumberFormat="1" applyAlignment="1" applyProtection="1">
      <alignment horizontal="center"/>
      <protection locked="0"/>
    </xf>
    <xf numFmtId="43" fontId="15" fillId="0" borderId="2" xfId="1" applyNumberFormat="1" applyFont="1" applyBorder="1" applyAlignment="1" applyProtection="1">
      <alignment horizontal="center"/>
      <protection locked="0"/>
    </xf>
    <xf numFmtId="0" fontId="15" fillId="0" borderId="0" xfId="1" applyFont="1" applyAlignment="1" applyProtection="1">
      <alignment horizontal="centerContinuous"/>
      <protection locked="0"/>
    </xf>
    <xf numFmtId="0" fontId="10" fillId="0" borderId="0" xfId="2" applyFont="1"/>
    <xf numFmtId="41" fontId="15" fillId="0" borderId="1" xfId="1" applyNumberFormat="1" applyFont="1" applyBorder="1"/>
    <xf numFmtId="41" fontId="1" fillId="0" borderId="0" xfId="1" applyNumberFormat="1"/>
    <xf numFmtId="41" fontId="1" fillId="2" borderId="0" xfId="1" applyNumberFormat="1" applyFill="1"/>
    <xf numFmtId="0" fontId="15" fillId="0" borderId="0" xfId="1" applyFont="1"/>
    <xf numFmtId="41" fontId="1" fillId="0" borderId="0" xfId="1" applyNumberFormat="1" applyProtection="1">
      <protection locked="0"/>
    </xf>
    <xf numFmtId="41" fontId="1" fillId="0" borderId="2" xfId="1" applyNumberFormat="1" applyBorder="1" applyProtection="1">
      <protection locked="0"/>
    </xf>
    <xf numFmtId="41" fontId="1" fillId="2" borderId="0" xfId="1" applyNumberFormat="1" applyFill="1" applyProtection="1">
      <protection locked="0"/>
    </xf>
    <xf numFmtId="41" fontId="1" fillId="0" borderId="0" xfId="1" applyNumberFormat="1" applyAlignment="1">
      <alignment wrapText="1"/>
    </xf>
    <xf numFmtId="41" fontId="1" fillId="0" borderId="0" xfId="1" applyNumberFormat="1" applyAlignment="1" applyProtection="1">
      <alignment wrapText="1"/>
      <protection locked="0"/>
    </xf>
    <xf numFmtId="41" fontId="1" fillId="2" borderId="0" xfId="1" applyNumberFormat="1" applyFill="1" applyAlignment="1" applyProtection="1">
      <alignment wrapText="1"/>
      <protection locked="0"/>
    </xf>
    <xf numFmtId="0" fontId="1" fillId="0" borderId="0" xfId="1" applyAlignment="1" applyProtection="1">
      <alignment horizontal="left" wrapText="1"/>
      <protection locked="0"/>
    </xf>
    <xf numFmtId="43" fontId="1" fillId="2" borderId="0" xfId="1" applyNumberFormat="1" applyFill="1" applyProtection="1">
      <protection locked="0"/>
    </xf>
    <xf numFmtId="0" fontId="15" fillId="0" borderId="2" xfId="1" applyFont="1" applyBorder="1" applyAlignment="1" applyProtection="1">
      <alignment horizontal="center" vertical="top" wrapText="1"/>
      <protection locked="0"/>
    </xf>
    <xf numFmtId="0" fontId="1" fillId="0" borderId="0" xfId="1" applyAlignment="1" applyProtection="1">
      <alignment horizontal="center"/>
      <protection locked="0"/>
    </xf>
    <xf numFmtId="0" fontId="1" fillId="2" borderId="0" xfId="1" applyFill="1" applyAlignment="1" applyProtection="1">
      <alignment horizontal="center"/>
      <protection locked="0"/>
    </xf>
    <xf numFmtId="0" fontId="15" fillId="0" borderId="2" xfId="1" applyFont="1" applyBorder="1" applyAlignment="1" applyProtection="1">
      <alignment horizontal="center" vertical="top"/>
      <protection locked="0"/>
    </xf>
    <xf numFmtId="0" fontId="1" fillId="0" borderId="0" xfId="1" quotePrefix="1" applyAlignment="1" applyProtection="1">
      <alignment horizontal="center"/>
      <protection locked="0"/>
    </xf>
    <xf numFmtId="43" fontId="15" fillId="0" borderId="3" xfId="1" applyNumberFormat="1" applyFont="1" applyBorder="1" applyAlignment="1" applyProtection="1">
      <alignment horizontal="centerContinuous"/>
      <protection locked="0"/>
    </xf>
  </cellXfs>
  <cellStyles count="3">
    <cellStyle name="Normal" xfId="0" builtinId="0"/>
    <cellStyle name="Normal 2" xfId="1" xr:uid="{F9227194-82B9-4E6A-A692-537977F59930}"/>
    <cellStyle name="Normal 4 2" xfId="2" xr:uid="{9574221F-663C-4E5A-89AB-BC2E152A57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12B1-7B77-4DC4-8DBA-B12BE7F8DC4B}">
  <dimension ref="A1:F17"/>
  <sheetViews>
    <sheetView workbookViewId="0">
      <selection activeCell="B7" sqref="B7:F7"/>
    </sheetView>
  </sheetViews>
  <sheetFormatPr defaultRowHeight="12.75" x14ac:dyDescent="0.2"/>
  <cols>
    <col min="1" max="1" width="20.83203125" customWidth="1"/>
    <col min="2" max="2" width="32.6640625" customWidth="1"/>
    <col min="3" max="3" width="42" customWidth="1"/>
    <col min="4" max="4" width="20.83203125" customWidth="1"/>
    <col min="5" max="6" width="23.33203125" customWidth="1"/>
  </cols>
  <sheetData>
    <row r="1" spans="1:6" ht="50.25" customHeight="1" x14ac:dyDescent="0.2">
      <c r="A1" s="28" t="s">
        <v>0</v>
      </c>
      <c r="B1" s="28"/>
      <c r="C1" s="28"/>
      <c r="D1" s="28"/>
      <c r="E1" s="28"/>
      <c r="F1" s="28"/>
    </row>
    <row r="2" spans="1:6" ht="50.25" customHeight="1" x14ac:dyDescent="0.2">
      <c r="A2" s="29" t="s">
        <v>1</v>
      </c>
      <c r="B2" s="29"/>
      <c r="C2" s="29"/>
      <c r="D2" s="29"/>
      <c r="E2" s="29"/>
      <c r="F2" s="29"/>
    </row>
    <row r="3" spans="1:6" ht="15.75" customHeight="1" x14ac:dyDescent="0.2">
      <c r="A3" s="28" t="s">
        <v>2</v>
      </c>
      <c r="B3" s="28"/>
      <c r="C3" s="28"/>
      <c r="D3" s="28"/>
      <c r="E3" s="28"/>
      <c r="F3" s="28"/>
    </row>
    <row r="4" spans="1:6" ht="15.75" customHeight="1" x14ac:dyDescent="0.2">
      <c r="A4" s="28" t="s">
        <v>29</v>
      </c>
      <c r="B4" s="28"/>
      <c r="C4" s="28"/>
      <c r="D4" s="28"/>
      <c r="E4" s="28"/>
      <c r="F4" s="28"/>
    </row>
    <row r="5" spans="1:6" ht="15.75" customHeight="1" x14ac:dyDescent="0.2">
      <c r="A5" s="1"/>
      <c r="B5" s="30" t="s">
        <v>4</v>
      </c>
      <c r="C5" s="30"/>
      <c r="D5" s="30"/>
      <c r="E5" s="30"/>
      <c r="F5" s="30"/>
    </row>
    <row r="6" spans="1:6" ht="15.75" customHeight="1" x14ac:dyDescent="0.2">
      <c r="A6" s="1"/>
      <c r="B6" s="25" t="s">
        <v>5</v>
      </c>
      <c r="C6" s="25"/>
      <c r="D6" s="25"/>
      <c r="E6" s="25"/>
      <c r="F6" s="25"/>
    </row>
    <row r="7" spans="1:6" ht="15.75" customHeight="1" x14ac:dyDescent="0.2">
      <c r="A7" s="1"/>
      <c r="B7" s="26" t="s">
        <v>28</v>
      </c>
      <c r="C7" s="26"/>
      <c r="D7" s="26"/>
      <c r="E7" s="26"/>
      <c r="F7" s="26"/>
    </row>
    <row r="8" spans="1:6" ht="15.75" customHeight="1" x14ac:dyDescent="0.2">
      <c r="A8" s="1"/>
      <c r="B8" s="26" t="s">
        <v>7</v>
      </c>
      <c r="C8" s="26"/>
      <c r="D8" s="26"/>
      <c r="E8" s="26"/>
      <c r="F8" s="26"/>
    </row>
    <row r="9" spans="1:6" ht="15.75" customHeight="1" x14ac:dyDescent="0.2">
      <c r="A9" s="1"/>
      <c r="B9" s="26" t="s">
        <v>8</v>
      </c>
      <c r="C9" s="26"/>
      <c r="D9" s="26"/>
      <c r="E9" s="26"/>
      <c r="F9" s="26"/>
    </row>
    <row r="10" spans="1:6" ht="15.75" customHeight="1" x14ac:dyDescent="0.2">
      <c r="A10" s="2" t="s">
        <v>9</v>
      </c>
      <c r="B10" s="27" t="s">
        <v>10</v>
      </c>
      <c r="C10" s="27"/>
      <c r="D10" s="27"/>
      <c r="E10" s="27"/>
      <c r="F10" s="27"/>
    </row>
    <row r="11" spans="1:6" ht="15.75" customHeight="1" x14ac:dyDescent="0.2">
      <c r="A11" s="2" t="s">
        <v>11</v>
      </c>
      <c r="B11" s="27" t="s">
        <v>27</v>
      </c>
      <c r="C11" s="27"/>
      <c r="D11" s="27"/>
      <c r="E11" s="27"/>
      <c r="F11" s="27"/>
    </row>
    <row r="12" spans="1:6" ht="15.75" customHeight="1" x14ac:dyDescent="0.2">
      <c r="A12" s="2" t="s">
        <v>13</v>
      </c>
      <c r="B12" s="32">
        <v>0</v>
      </c>
      <c r="C12" s="32"/>
      <c r="D12" s="32"/>
      <c r="E12" s="32"/>
      <c r="F12" s="32"/>
    </row>
    <row r="13" spans="1:6" ht="14.25" customHeight="1" x14ac:dyDescent="0.2">
      <c r="A13" s="33" t="s">
        <v>14</v>
      </c>
      <c r="B13" s="33"/>
      <c r="C13" s="4" t="s">
        <v>15</v>
      </c>
      <c r="D13" s="21" t="s">
        <v>16</v>
      </c>
      <c r="E13" s="4" t="s">
        <v>17</v>
      </c>
      <c r="F13" s="6" t="s">
        <v>18</v>
      </c>
    </row>
    <row r="14" spans="1:6" ht="16.5" customHeight="1" x14ac:dyDescent="0.2">
      <c r="A14" s="34" t="s">
        <v>19</v>
      </c>
      <c r="B14" s="34"/>
      <c r="C14" s="1"/>
      <c r="D14" s="1"/>
      <c r="E14" s="1"/>
      <c r="F14" s="1"/>
    </row>
    <row r="15" spans="1:6" ht="16.5" customHeight="1" x14ac:dyDescent="0.2">
      <c r="A15" s="35" t="s">
        <v>22</v>
      </c>
      <c r="B15" s="35"/>
      <c r="C15" s="18">
        <v>897838.99</v>
      </c>
      <c r="D15" s="18">
        <v>55764.07</v>
      </c>
      <c r="E15" s="18">
        <v>1564.4</v>
      </c>
      <c r="F15" s="18">
        <v>952038.66</v>
      </c>
    </row>
    <row r="16" spans="1:6" ht="14.25" customHeight="1" x14ac:dyDescent="0.2">
      <c r="A16" s="3" t="s">
        <v>25</v>
      </c>
      <c r="B16" s="20">
        <v>184</v>
      </c>
      <c r="C16" s="31">
        <v>897838.99</v>
      </c>
      <c r="D16" s="31">
        <v>55764.07</v>
      </c>
      <c r="E16" s="31">
        <v>1564.4</v>
      </c>
      <c r="F16" s="31">
        <v>952038.66</v>
      </c>
    </row>
    <row r="17" spans="1:6" ht="14.25" customHeight="1" x14ac:dyDescent="0.2">
      <c r="A17" s="3" t="s">
        <v>26</v>
      </c>
      <c r="B17" s="19">
        <v>0</v>
      </c>
      <c r="C17" s="31"/>
      <c r="D17" s="31"/>
      <c r="E17" s="31"/>
      <c r="F17" s="31"/>
    </row>
  </sheetData>
  <mergeCells count="19">
    <mergeCell ref="C16:C17"/>
    <mergeCell ref="D16:D17"/>
    <mergeCell ref="E16:E17"/>
    <mergeCell ref="F16:F17"/>
    <mergeCell ref="B11:F11"/>
    <mergeCell ref="B12:F12"/>
    <mergeCell ref="A13:B13"/>
    <mergeCell ref="A14:B14"/>
    <mergeCell ref="A15:B15"/>
    <mergeCell ref="A1:F1"/>
    <mergeCell ref="A2:F2"/>
    <mergeCell ref="A3:F3"/>
    <mergeCell ref="A4:F4"/>
    <mergeCell ref="B5:F5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5" workbookViewId="0">
      <selection sqref="A1:F1"/>
    </sheetView>
  </sheetViews>
  <sheetFormatPr defaultRowHeight="12.75" x14ac:dyDescent="0.2"/>
  <cols>
    <col min="1" max="1" width="20.83203125" customWidth="1"/>
    <col min="2" max="2" width="33.83203125" customWidth="1"/>
    <col min="3" max="3" width="40.6640625" customWidth="1"/>
    <col min="4" max="4" width="20.83203125" customWidth="1"/>
    <col min="5" max="6" width="23.33203125" customWidth="1"/>
  </cols>
  <sheetData>
    <row r="1" spans="1:6" ht="52.5" customHeight="1" x14ac:dyDescent="0.2">
      <c r="A1" s="28" t="s">
        <v>0</v>
      </c>
      <c r="B1" s="28"/>
      <c r="C1" s="28"/>
      <c r="D1" s="28"/>
      <c r="E1" s="28"/>
      <c r="F1" s="28"/>
    </row>
    <row r="2" spans="1:6" ht="63" customHeight="1" x14ac:dyDescent="0.2">
      <c r="A2" s="39" t="s">
        <v>1</v>
      </c>
      <c r="B2" s="39"/>
      <c r="C2" s="39"/>
      <c r="D2" s="39"/>
      <c r="E2" s="39"/>
      <c r="F2" s="39"/>
    </row>
    <row r="3" spans="1:6" ht="15.75" customHeight="1" x14ac:dyDescent="0.2">
      <c r="A3" s="28" t="s">
        <v>2</v>
      </c>
      <c r="B3" s="28"/>
      <c r="C3" s="28"/>
      <c r="D3" s="28"/>
      <c r="E3" s="28"/>
      <c r="F3" s="28"/>
    </row>
    <row r="4" spans="1:6" ht="15.75" customHeight="1" x14ac:dyDescent="0.2">
      <c r="A4" s="28" t="s">
        <v>3</v>
      </c>
      <c r="B4" s="28"/>
      <c r="C4" s="28"/>
      <c r="D4" s="28"/>
      <c r="E4" s="28"/>
      <c r="F4" s="28"/>
    </row>
    <row r="5" spans="1:6" ht="15.75" customHeight="1" x14ac:dyDescent="0.2">
      <c r="A5" s="1"/>
      <c r="B5" s="30" t="s">
        <v>4</v>
      </c>
      <c r="C5" s="30"/>
      <c r="D5" s="30"/>
      <c r="E5" s="30"/>
      <c r="F5" s="30"/>
    </row>
    <row r="6" spans="1:6" ht="15.75" customHeight="1" x14ac:dyDescent="0.2">
      <c r="A6" s="1"/>
      <c r="B6" s="25" t="s">
        <v>5</v>
      </c>
      <c r="C6" s="25"/>
      <c r="D6" s="25"/>
      <c r="E6" s="25"/>
      <c r="F6" s="25"/>
    </row>
    <row r="7" spans="1:6" ht="15.75" customHeight="1" x14ac:dyDescent="0.2">
      <c r="A7" s="1"/>
      <c r="B7" s="26" t="s">
        <v>6</v>
      </c>
      <c r="C7" s="26"/>
      <c r="D7" s="26"/>
      <c r="E7" s="26"/>
      <c r="F7" s="26"/>
    </row>
    <row r="8" spans="1:6" ht="15.75" customHeight="1" x14ac:dyDescent="0.2">
      <c r="A8" s="1"/>
      <c r="B8" s="26" t="s">
        <v>7</v>
      </c>
      <c r="C8" s="26"/>
      <c r="D8" s="26"/>
      <c r="E8" s="26"/>
      <c r="F8" s="26"/>
    </row>
    <row r="9" spans="1:6" ht="15.75" customHeight="1" x14ac:dyDescent="0.2">
      <c r="A9" s="1"/>
      <c r="B9" s="26" t="s">
        <v>8</v>
      </c>
      <c r="C9" s="26"/>
      <c r="D9" s="26"/>
      <c r="E9" s="26"/>
      <c r="F9" s="26"/>
    </row>
    <row r="10" spans="1:6" ht="15.75" customHeight="1" x14ac:dyDescent="0.2">
      <c r="A10" s="2" t="s">
        <v>9</v>
      </c>
      <c r="B10" s="27" t="s">
        <v>10</v>
      </c>
      <c r="C10" s="27"/>
      <c r="D10" s="27"/>
      <c r="E10" s="27"/>
      <c r="F10" s="27"/>
    </row>
    <row r="11" spans="1:6" ht="15.75" customHeight="1" x14ac:dyDescent="0.2">
      <c r="A11" s="2" t="s">
        <v>11</v>
      </c>
      <c r="B11" s="27" t="s">
        <v>12</v>
      </c>
      <c r="C11" s="27"/>
      <c r="D11" s="27"/>
      <c r="E11" s="27"/>
      <c r="F11" s="27"/>
    </row>
    <row r="12" spans="1:6" ht="15.75" customHeight="1" x14ac:dyDescent="0.2">
      <c r="A12" s="2" t="s">
        <v>13</v>
      </c>
      <c r="B12" s="32">
        <v>0</v>
      </c>
      <c r="C12" s="32"/>
      <c r="D12" s="32"/>
      <c r="E12" s="32"/>
      <c r="F12" s="32"/>
    </row>
    <row r="13" spans="1:6" ht="14.25" customHeight="1" x14ac:dyDescent="0.2">
      <c r="A13" s="33" t="s">
        <v>14</v>
      </c>
      <c r="B13" s="33"/>
      <c r="C13" s="4" t="s">
        <v>15</v>
      </c>
      <c r="D13" s="5" t="s">
        <v>16</v>
      </c>
      <c r="E13" s="4" t="s">
        <v>17</v>
      </c>
      <c r="F13" s="6" t="s">
        <v>18</v>
      </c>
    </row>
    <row r="14" spans="1:6" ht="16.5" customHeight="1" x14ac:dyDescent="0.2">
      <c r="A14" s="34" t="s">
        <v>19</v>
      </c>
      <c r="B14" s="34"/>
      <c r="C14" s="1"/>
      <c r="D14" s="1"/>
      <c r="E14" s="1"/>
      <c r="F14" s="1"/>
    </row>
    <row r="15" spans="1:6" ht="16.5" customHeight="1" x14ac:dyDescent="0.2">
      <c r="A15" s="35" t="s">
        <v>20</v>
      </c>
      <c r="B15" s="35"/>
      <c r="C15" s="7">
        <v>1640064.03</v>
      </c>
      <c r="D15" s="8">
        <v>0</v>
      </c>
      <c r="E15" s="9">
        <v>0</v>
      </c>
      <c r="F15" s="10">
        <v>1640064.03</v>
      </c>
    </row>
    <row r="16" spans="1:6" ht="16.5" customHeight="1" x14ac:dyDescent="0.2">
      <c r="A16" s="35" t="s">
        <v>21</v>
      </c>
      <c r="B16" s="35"/>
      <c r="C16" s="7">
        <v>1572632.44</v>
      </c>
      <c r="D16" s="8">
        <v>0</v>
      </c>
      <c r="E16" s="9">
        <v>0</v>
      </c>
      <c r="F16" s="10">
        <v>1572632.44</v>
      </c>
    </row>
    <row r="17" spans="1:6" ht="16.5" customHeight="1" x14ac:dyDescent="0.2">
      <c r="A17" s="35" t="s">
        <v>22</v>
      </c>
      <c r="B17" s="35"/>
      <c r="C17" s="7">
        <v>1977662.61</v>
      </c>
      <c r="D17" s="11">
        <v>46047.57</v>
      </c>
      <c r="E17" s="7">
        <v>17732.95</v>
      </c>
      <c r="F17" s="10">
        <v>2005977.23</v>
      </c>
    </row>
    <row r="18" spans="1:6" ht="16.5" customHeight="1" x14ac:dyDescent="0.2">
      <c r="A18" s="34" t="s">
        <v>23</v>
      </c>
      <c r="B18" s="34"/>
      <c r="C18" s="1"/>
      <c r="D18" s="1"/>
      <c r="E18" s="1"/>
      <c r="F18" s="1"/>
    </row>
    <row r="19" spans="1:6" ht="16.5" customHeight="1" x14ac:dyDescent="0.2">
      <c r="A19" s="35" t="s">
        <v>24</v>
      </c>
      <c r="B19" s="35"/>
      <c r="C19" s="12">
        <v>11616000</v>
      </c>
      <c r="D19" s="13">
        <v>0</v>
      </c>
      <c r="E19" s="14">
        <v>0</v>
      </c>
      <c r="F19" s="15">
        <v>11616000</v>
      </c>
    </row>
    <row r="20" spans="1:6" ht="14.25" customHeight="1" x14ac:dyDescent="0.2">
      <c r="A20" s="3" t="s">
        <v>25</v>
      </c>
      <c r="B20" s="16">
        <v>185</v>
      </c>
      <c r="C20" s="38">
        <v>16806359.079999998</v>
      </c>
      <c r="D20" s="36">
        <v>46047.57</v>
      </c>
      <c r="E20" s="37">
        <v>17732.95</v>
      </c>
      <c r="F20" s="37">
        <v>16834673.699999999</v>
      </c>
    </row>
    <row r="21" spans="1:6" ht="14.25" customHeight="1" x14ac:dyDescent="0.2">
      <c r="A21" s="3" t="s">
        <v>26</v>
      </c>
      <c r="B21" s="17">
        <v>0</v>
      </c>
      <c r="C21" s="38"/>
      <c r="D21" s="36"/>
      <c r="E21" s="37"/>
      <c r="F21" s="37"/>
    </row>
  </sheetData>
  <mergeCells count="23">
    <mergeCell ref="A1:F1"/>
    <mergeCell ref="A2:F2"/>
    <mergeCell ref="A3:F3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3:B13"/>
    <mergeCell ref="A14:B14"/>
    <mergeCell ref="A15:B15"/>
    <mergeCell ref="D20:D21"/>
    <mergeCell ref="E20:E21"/>
    <mergeCell ref="F20:F21"/>
    <mergeCell ref="A16:B16"/>
    <mergeCell ref="A17:B17"/>
    <mergeCell ref="A18:B18"/>
    <mergeCell ref="A19:B19"/>
    <mergeCell ref="C20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F5D3-BE70-4021-A619-5800B9FAE4CE}">
  <dimension ref="A1:F18"/>
  <sheetViews>
    <sheetView workbookViewId="0">
      <selection activeCell="C21" sqref="C21"/>
    </sheetView>
  </sheetViews>
  <sheetFormatPr defaultRowHeight="12.75" x14ac:dyDescent="0.2"/>
  <cols>
    <col min="1" max="1" width="20.83203125" customWidth="1"/>
    <col min="2" max="2" width="32.6640625" customWidth="1"/>
    <col min="3" max="3" width="42" customWidth="1"/>
    <col min="4" max="4" width="20.83203125" customWidth="1"/>
    <col min="5" max="6" width="23.33203125" customWidth="1"/>
  </cols>
  <sheetData>
    <row r="1" spans="1:6" ht="52.5" customHeight="1" x14ac:dyDescent="0.2">
      <c r="A1" s="28" t="s">
        <v>0</v>
      </c>
      <c r="B1" s="28"/>
      <c r="C1" s="28"/>
      <c r="D1" s="28"/>
      <c r="E1" s="28"/>
      <c r="F1" s="28"/>
    </row>
    <row r="2" spans="1:6" ht="63" customHeight="1" x14ac:dyDescent="0.2">
      <c r="A2" s="39" t="s">
        <v>1</v>
      </c>
      <c r="B2" s="39"/>
      <c r="C2" s="39"/>
      <c r="D2" s="39"/>
      <c r="E2" s="39"/>
      <c r="F2" s="39"/>
    </row>
    <row r="3" spans="1:6" ht="15.75" customHeight="1" x14ac:dyDescent="0.2">
      <c r="A3" s="28" t="s">
        <v>37</v>
      </c>
      <c r="B3" s="28"/>
      <c r="C3" s="28"/>
      <c r="D3" s="28"/>
      <c r="E3" s="28"/>
      <c r="F3" s="28"/>
    </row>
    <row r="4" spans="1:6" ht="15.75" customHeight="1" x14ac:dyDescent="0.2">
      <c r="A4" s="28" t="s">
        <v>36</v>
      </c>
      <c r="B4" s="28"/>
      <c r="C4" s="28"/>
      <c r="D4" s="28"/>
      <c r="E4" s="28"/>
      <c r="F4" s="28"/>
    </row>
    <row r="5" spans="1:6" ht="15.75" customHeight="1" x14ac:dyDescent="0.2">
      <c r="A5" s="1"/>
      <c r="B5" s="30" t="s">
        <v>4</v>
      </c>
      <c r="C5" s="30"/>
      <c r="D5" s="30"/>
      <c r="E5" s="30"/>
      <c r="F5" s="30"/>
    </row>
    <row r="6" spans="1:6" ht="15.75" customHeight="1" x14ac:dyDescent="0.2">
      <c r="A6" s="1"/>
      <c r="B6" s="25" t="s">
        <v>5</v>
      </c>
      <c r="C6" s="25"/>
      <c r="D6" s="25"/>
      <c r="E6" s="25"/>
      <c r="F6" s="25"/>
    </row>
    <row r="7" spans="1:6" ht="15.75" customHeight="1" x14ac:dyDescent="0.2">
      <c r="A7" s="1"/>
      <c r="B7" s="26" t="s">
        <v>35</v>
      </c>
      <c r="C7" s="26"/>
      <c r="D7" s="26"/>
      <c r="E7" s="26"/>
      <c r="F7" s="26"/>
    </row>
    <row r="8" spans="1:6" ht="15.75" customHeight="1" x14ac:dyDescent="0.2">
      <c r="A8" s="1"/>
      <c r="B8" s="26" t="s">
        <v>7</v>
      </c>
      <c r="C8" s="26"/>
      <c r="D8" s="26"/>
      <c r="E8" s="26"/>
      <c r="F8" s="26"/>
    </row>
    <row r="9" spans="1:6" ht="15.75" customHeight="1" x14ac:dyDescent="0.2">
      <c r="A9" s="1"/>
      <c r="B9" s="26" t="s">
        <v>8</v>
      </c>
      <c r="C9" s="26"/>
      <c r="D9" s="26"/>
      <c r="E9" s="26"/>
      <c r="F9" s="26"/>
    </row>
    <row r="10" spans="1:6" ht="15.75" customHeight="1" x14ac:dyDescent="0.2">
      <c r="A10" s="2" t="s">
        <v>9</v>
      </c>
      <c r="B10" s="27" t="s">
        <v>10</v>
      </c>
      <c r="C10" s="27"/>
      <c r="D10" s="27"/>
      <c r="E10" s="27"/>
      <c r="F10" s="27"/>
    </row>
    <row r="11" spans="1:6" ht="15.75" customHeight="1" x14ac:dyDescent="0.2">
      <c r="A11" s="2" t="s">
        <v>11</v>
      </c>
      <c r="B11" s="27" t="s">
        <v>34</v>
      </c>
      <c r="C11" s="27"/>
      <c r="D11" s="27"/>
      <c r="E11" s="27"/>
      <c r="F11" s="27"/>
    </row>
    <row r="12" spans="1:6" ht="15.75" customHeight="1" x14ac:dyDescent="0.2">
      <c r="A12" s="2" t="s">
        <v>13</v>
      </c>
      <c r="B12" s="32">
        <v>0</v>
      </c>
      <c r="C12" s="32"/>
      <c r="D12" s="32"/>
      <c r="E12" s="32"/>
      <c r="F12" s="32"/>
    </row>
    <row r="13" spans="1:6" ht="14.25" customHeight="1" x14ac:dyDescent="0.2">
      <c r="A13" s="33" t="s">
        <v>14</v>
      </c>
      <c r="B13" s="33"/>
      <c r="C13" s="4" t="s">
        <v>15</v>
      </c>
      <c r="D13" s="5" t="s">
        <v>16</v>
      </c>
      <c r="E13" s="4" t="s">
        <v>17</v>
      </c>
      <c r="F13" s="6" t="s">
        <v>18</v>
      </c>
    </row>
    <row r="14" spans="1:6" ht="16.5" customHeight="1" x14ac:dyDescent="0.2">
      <c r="A14" s="34" t="s">
        <v>19</v>
      </c>
      <c r="B14" s="34"/>
      <c r="C14" s="1"/>
      <c r="D14" s="1"/>
      <c r="E14" s="1"/>
      <c r="F14" s="1"/>
    </row>
    <row r="15" spans="1:6" ht="16.5" customHeight="1" x14ac:dyDescent="0.2">
      <c r="A15" s="35" t="s">
        <v>22</v>
      </c>
      <c r="B15" s="35"/>
      <c r="C15" s="18">
        <v>281915.95</v>
      </c>
      <c r="D15" s="24">
        <v>0</v>
      </c>
      <c r="E15" s="18">
        <v>5548.25</v>
      </c>
      <c r="F15" s="18">
        <v>276367.7</v>
      </c>
    </row>
    <row r="16" spans="1:6" ht="14.25" customHeight="1" x14ac:dyDescent="0.2">
      <c r="A16" s="3" t="s">
        <v>25</v>
      </c>
      <c r="B16" s="20">
        <v>514</v>
      </c>
      <c r="C16" s="31">
        <v>281915.95</v>
      </c>
      <c r="D16" s="40">
        <v>0</v>
      </c>
      <c r="E16" s="31">
        <v>5548.25</v>
      </c>
      <c r="F16" s="31">
        <v>276367.7</v>
      </c>
    </row>
    <row r="17" spans="1:6" ht="14.25" customHeight="1" x14ac:dyDescent="0.2">
      <c r="A17" s="3" t="s">
        <v>26</v>
      </c>
      <c r="B17" s="19">
        <v>0</v>
      </c>
      <c r="C17" s="31"/>
      <c r="D17" s="40"/>
      <c r="E17" s="31"/>
      <c r="F17" s="31"/>
    </row>
    <row r="18" spans="1:6" x14ac:dyDescent="0.2">
      <c r="C18" s="23"/>
      <c r="D18" s="23"/>
      <c r="E18" s="23"/>
      <c r="F18" s="23"/>
    </row>
  </sheetData>
  <mergeCells count="19">
    <mergeCell ref="C16:C17"/>
    <mergeCell ref="D16:D17"/>
    <mergeCell ref="E16:E17"/>
    <mergeCell ref="F16:F17"/>
    <mergeCell ref="B11:F11"/>
    <mergeCell ref="B12:F12"/>
    <mergeCell ref="A13:B13"/>
    <mergeCell ref="A14:B14"/>
    <mergeCell ref="A15:B15"/>
    <mergeCell ref="A1:F1"/>
    <mergeCell ref="A2:F2"/>
    <mergeCell ref="A3:F3"/>
    <mergeCell ref="A4:F4"/>
    <mergeCell ref="B5:F5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32AD-47FD-4662-9151-E9116EE5CF34}">
  <dimension ref="A1:F17"/>
  <sheetViews>
    <sheetView workbookViewId="0">
      <selection sqref="A1:F1"/>
    </sheetView>
  </sheetViews>
  <sheetFormatPr defaultRowHeight="12.75" x14ac:dyDescent="0.2"/>
  <cols>
    <col min="1" max="1" width="20.83203125" customWidth="1"/>
    <col min="2" max="2" width="32.6640625" customWidth="1"/>
    <col min="3" max="3" width="42" customWidth="1"/>
    <col min="4" max="4" width="20.83203125" customWidth="1"/>
    <col min="5" max="6" width="23.33203125" customWidth="1"/>
  </cols>
  <sheetData>
    <row r="1" spans="1:6" ht="52.5" customHeight="1" x14ac:dyDescent="0.2">
      <c r="A1" s="28" t="s">
        <v>0</v>
      </c>
      <c r="B1" s="28"/>
      <c r="C1" s="28"/>
      <c r="D1" s="28"/>
      <c r="E1" s="28"/>
      <c r="F1" s="28"/>
    </row>
    <row r="2" spans="1:6" ht="63" customHeight="1" x14ac:dyDescent="0.2">
      <c r="A2" s="39" t="s">
        <v>1</v>
      </c>
      <c r="B2" s="39"/>
      <c r="C2" s="39"/>
      <c r="D2" s="39"/>
      <c r="E2" s="39"/>
      <c r="F2" s="39"/>
    </row>
    <row r="3" spans="1:6" ht="15.75" customHeight="1" x14ac:dyDescent="0.2">
      <c r="A3" s="28" t="s">
        <v>33</v>
      </c>
      <c r="B3" s="28"/>
      <c r="C3" s="28"/>
      <c r="D3" s="28"/>
      <c r="E3" s="28"/>
      <c r="F3" s="28"/>
    </row>
    <row r="4" spans="1:6" ht="15.75" customHeight="1" x14ac:dyDescent="0.2">
      <c r="A4" s="28" t="s">
        <v>32</v>
      </c>
      <c r="B4" s="28"/>
      <c r="C4" s="28"/>
      <c r="D4" s="28"/>
      <c r="E4" s="28"/>
      <c r="F4" s="28"/>
    </row>
    <row r="5" spans="1:6" ht="15.75" customHeight="1" x14ac:dyDescent="0.2">
      <c r="A5" s="1"/>
      <c r="B5" s="30" t="s">
        <v>4</v>
      </c>
      <c r="C5" s="30"/>
      <c r="D5" s="30"/>
      <c r="E5" s="30"/>
      <c r="F5" s="30"/>
    </row>
    <row r="6" spans="1:6" ht="15.75" customHeight="1" x14ac:dyDescent="0.2">
      <c r="A6" s="1"/>
      <c r="B6" s="25" t="s">
        <v>5</v>
      </c>
      <c r="C6" s="25"/>
      <c r="D6" s="25"/>
      <c r="E6" s="25"/>
      <c r="F6" s="25"/>
    </row>
    <row r="7" spans="1:6" ht="15.75" customHeight="1" x14ac:dyDescent="0.2">
      <c r="A7" s="1"/>
      <c r="B7" s="26" t="s">
        <v>31</v>
      </c>
      <c r="C7" s="26"/>
      <c r="D7" s="26"/>
      <c r="E7" s="26"/>
      <c r="F7" s="26"/>
    </row>
    <row r="8" spans="1:6" ht="15.75" customHeight="1" x14ac:dyDescent="0.2">
      <c r="A8" s="1"/>
      <c r="B8" s="26" t="s">
        <v>7</v>
      </c>
      <c r="C8" s="26"/>
      <c r="D8" s="26"/>
      <c r="E8" s="26"/>
      <c r="F8" s="26"/>
    </row>
    <row r="9" spans="1:6" ht="15.75" customHeight="1" x14ac:dyDescent="0.2">
      <c r="A9" s="1"/>
      <c r="B9" s="26" t="s">
        <v>8</v>
      </c>
      <c r="C9" s="26"/>
      <c r="D9" s="26"/>
      <c r="E9" s="26"/>
      <c r="F9" s="26"/>
    </row>
    <row r="10" spans="1:6" ht="15.75" customHeight="1" x14ac:dyDescent="0.2">
      <c r="A10" s="2" t="s">
        <v>9</v>
      </c>
      <c r="B10" s="27" t="s">
        <v>10</v>
      </c>
      <c r="C10" s="27"/>
      <c r="D10" s="27"/>
      <c r="E10" s="27"/>
      <c r="F10" s="27"/>
    </row>
    <row r="11" spans="1:6" ht="15.75" customHeight="1" x14ac:dyDescent="0.2">
      <c r="A11" s="2" t="s">
        <v>11</v>
      </c>
      <c r="B11" s="27" t="s">
        <v>30</v>
      </c>
      <c r="C11" s="27"/>
      <c r="D11" s="27"/>
      <c r="E11" s="27"/>
      <c r="F11" s="27"/>
    </row>
    <row r="12" spans="1:6" ht="15.75" customHeight="1" x14ac:dyDescent="0.2">
      <c r="A12" s="2" t="s">
        <v>13</v>
      </c>
      <c r="B12" s="32">
        <v>0</v>
      </c>
      <c r="C12" s="32"/>
      <c r="D12" s="32"/>
      <c r="E12" s="32"/>
      <c r="F12" s="32"/>
    </row>
    <row r="13" spans="1:6" ht="14.25" customHeight="1" x14ac:dyDescent="0.2">
      <c r="A13" s="33" t="s">
        <v>14</v>
      </c>
      <c r="B13" s="33"/>
      <c r="C13" s="4" t="s">
        <v>15</v>
      </c>
      <c r="D13" s="21" t="s">
        <v>16</v>
      </c>
      <c r="E13" s="4" t="s">
        <v>17</v>
      </c>
      <c r="F13" s="6" t="s">
        <v>18</v>
      </c>
    </row>
    <row r="14" spans="1:6" ht="16.5" customHeight="1" x14ac:dyDescent="0.2">
      <c r="A14" s="34" t="s">
        <v>19</v>
      </c>
      <c r="B14" s="34"/>
      <c r="C14" s="1"/>
      <c r="D14" s="1"/>
      <c r="E14" s="1"/>
      <c r="F14" s="1"/>
    </row>
    <row r="15" spans="1:6" ht="16.5" customHeight="1" x14ac:dyDescent="0.2">
      <c r="A15" s="35" t="s">
        <v>22</v>
      </c>
      <c r="B15" s="35"/>
      <c r="C15" s="7">
        <v>845037.94</v>
      </c>
      <c r="D15" s="22">
        <v>25190.58</v>
      </c>
      <c r="E15" s="7">
        <v>9566.32</v>
      </c>
      <c r="F15" s="10">
        <v>860662.2</v>
      </c>
    </row>
    <row r="16" spans="1:6" ht="14.25" customHeight="1" x14ac:dyDescent="0.2">
      <c r="A16" s="3" t="s">
        <v>25</v>
      </c>
      <c r="B16" s="20">
        <v>869</v>
      </c>
      <c r="C16" s="41">
        <v>845037.94</v>
      </c>
      <c r="D16" s="36">
        <v>25190.58</v>
      </c>
      <c r="E16" s="37">
        <v>9566.32</v>
      </c>
      <c r="F16" s="42">
        <v>860662.2</v>
      </c>
    </row>
    <row r="17" spans="1:6" ht="14.25" customHeight="1" x14ac:dyDescent="0.2">
      <c r="A17" s="3" t="s">
        <v>26</v>
      </c>
      <c r="B17" s="19">
        <v>0</v>
      </c>
      <c r="C17" s="41"/>
      <c r="D17" s="36"/>
      <c r="E17" s="37"/>
      <c r="F17" s="42"/>
    </row>
  </sheetData>
  <mergeCells count="19">
    <mergeCell ref="C16:C17"/>
    <mergeCell ref="D16:D17"/>
    <mergeCell ref="E16:E17"/>
    <mergeCell ref="F16:F17"/>
    <mergeCell ref="B11:F11"/>
    <mergeCell ref="B12:F12"/>
    <mergeCell ref="A13:B13"/>
    <mergeCell ref="A14:B14"/>
    <mergeCell ref="A15:B15"/>
    <mergeCell ref="A1:F1"/>
    <mergeCell ref="A2:F2"/>
    <mergeCell ref="A3:F3"/>
    <mergeCell ref="A4:F4"/>
    <mergeCell ref="B5:F5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7BCF-768F-4B23-9066-2FA3F7FB1041}">
  <dimension ref="A1:K36"/>
  <sheetViews>
    <sheetView tabSelected="1" zoomScaleNormal="100" workbookViewId="0">
      <selection activeCell="F3" sqref="F3"/>
    </sheetView>
  </sheetViews>
  <sheetFormatPr defaultRowHeight="15" x14ac:dyDescent="0.25"/>
  <cols>
    <col min="1" max="1" width="3.1640625" style="43" customWidth="1"/>
    <col min="2" max="2" width="65.5" style="43" customWidth="1"/>
    <col min="3" max="3" width="3.1640625" style="43" customWidth="1"/>
    <col min="4" max="4" width="20" style="44" customWidth="1"/>
    <col min="5" max="5" width="3.1640625" style="44" customWidth="1"/>
    <col min="6" max="6" width="19.5" style="44" customWidth="1"/>
    <col min="7" max="7" width="3.1640625" style="44" customWidth="1"/>
    <col min="8" max="8" width="18.33203125" style="44" customWidth="1"/>
    <col min="9" max="9" width="3.1640625" style="44" customWidth="1"/>
    <col min="10" max="10" width="21" style="44" customWidth="1"/>
    <col min="11" max="16384" width="9.33203125" style="43"/>
  </cols>
  <sheetData>
    <row r="1" spans="1:11" x14ac:dyDescent="0.25">
      <c r="A1" s="60" t="s">
        <v>70</v>
      </c>
      <c r="B1" s="60"/>
      <c r="C1" s="60"/>
      <c r="D1" s="60"/>
      <c r="E1" s="60"/>
      <c r="F1" s="60"/>
      <c r="G1" s="60"/>
      <c r="H1" s="60"/>
      <c r="I1" s="60"/>
      <c r="J1" s="60"/>
    </row>
    <row r="2" spans="1:11" x14ac:dyDescent="0.25">
      <c r="A2" s="60" t="s">
        <v>69</v>
      </c>
      <c r="B2" s="60"/>
      <c r="C2" s="60"/>
      <c r="D2" s="60"/>
      <c r="E2" s="60"/>
      <c r="F2" s="60"/>
      <c r="G2" s="60"/>
      <c r="H2" s="60"/>
      <c r="I2" s="60"/>
      <c r="J2" s="60"/>
    </row>
    <row r="3" spans="1:11" x14ac:dyDescent="0.25">
      <c r="A3" s="60" t="s">
        <v>68</v>
      </c>
      <c r="B3" s="60"/>
      <c r="C3" s="60"/>
      <c r="D3" s="60"/>
      <c r="E3" s="60"/>
      <c r="F3" s="60"/>
      <c r="G3" s="60"/>
      <c r="H3" s="60"/>
      <c r="I3" s="60"/>
      <c r="J3" s="60"/>
    </row>
    <row r="4" spans="1:11" x14ac:dyDescent="0.25">
      <c r="A4" s="60" t="s">
        <v>67</v>
      </c>
      <c r="B4" s="60"/>
      <c r="C4" s="60"/>
      <c r="D4" s="60"/>
      <c r="E4" s="60"/>
      <c r="F4" s="60"/>
      <c r="G4" s="60"/>
      <c r="H4" s="60"/>
      <c r="I4" s="60"/>
      <c r="J4" s="60"/>
    </row>
    <row r="5" spans="1:11" x14ac:dyDescent="0.25">
      <c r="A5" s="46"/>
      <c r="B5" s="46"/>
      <c r="C5" s="46"/>
      <c r="D5" s="45"/>
      <c r="E5" s="45"/>
      <c r="F5" s="45"/>
      <c r="G5" s="45"/>
      <c r="H5" s="45"/>
      <c r="I5" s="45"/>
      <c r="J5" s="45"/>
    </row>
    <row r="6" spans="1:11" ht="32.25" x14ac:dyDescent="0.25">
      <c r="A6" s="50" t="s">
        <v>66</v>
      </c>
      <c r="B6" s="46"/>
      <c r="C6" s="46"/>
      <c r="D6" s="57" t="s">
        <v>65</v>
      </c>
      <c r="E6" s="58"/>
      <c r="F6" s="59" t="s">
        <v>64</v>
      </c>
      <c r="G6" s="58"/>
      <c r="H6" s="59" t="s">
        <v>63</v>
      </c>
      <c r="I6" s="58"/>
      <c r="J6" s="57" t="s">
        <v>62</v>
      </c>
      <c r="K6" s="56"/>
    </row>
    <row r="7" spans="1:11" x14ac:dyDescent="0.25">
      <c r="A7" s="46"/>
      <c r="B7" s="46"/>
      <c r="C7" s="46"/>
      <c r="D7" s="45"/>
      <c r="E7" s="45"/>
      <c r="F7" s="45"/>
      <c r="G7" s="45"/>
      <c r="H7" s="45"/>
      <c r="I7" s="45"/>
      <c r="J7" s="45"/>
    </row>
    <row r="8" spans="1:11" x14ac:dyDescent="0.25">
      <c r="A8" s="50" t="s">
        <v>61</v>
      </c>
      <c r="B8" s="46"/>
      <c r="C8" s="46"/>
      <c r="D8" s="45"/>
      <c r="E8" s="45"/>
      <c r="F8" s="45"/>
      <c r="G8" s="45"/>
      <c r="H8" s="45"/>
      <c r="I8" s="45"/>
      <c r="J8" s="45"/>
    </row>
    <row r="9" spans="1:11" x14ac:dyDescent="0.25">
      <c r="A9" s="46"/>
      <c r="B9" s="46" t="s">
        <v>60</v>
      </c>
      <c r="C9" s="46"/>
      <c r="D9" s="55">
        <v>5841979.9699999997</v>
      </c>
      <c r="E9" s="55"/>
      <c r="F9" s="55">
        <v>0</v>
      </c>
      <c r="G9" s="55"/>
      <c r="H9" s="55">
        <v>0</v>
      </c>
      <c r="I9" s="55"/>
      <c r="J9" s="49">
        <f>D9+F9-H9</f>
        <v>5841979.9699999997</v>
      </c>
    </row>
    <row r="10" spans="1:11" x14ac:dyDescent="0.25">
      <c r="A10" s="46"/>
      <c r="B10" s="46" t="s">
        <v>59</v>
      </c>
      <c r="C10" s="46"/>
      <c r="D10" s="45">
        <v>36026735.689999998</v>
      </c>
      <c r="E10" s="45"/>
      <c r="F10" s="45">
        <v>0</v>
      </c>
      <c r="G10" s="45"/>
      <c r="H10" s="45">
        <v>0</v>
      </c>
      <c r="I10" s="45"/>
      <c r="J10" s="44">
        <f>D10+F10-H10</f>
        <v>36026735.689999998</v>
      </c>
    </row>
    <row r="11" spans="1:11" x14ac:dyDescent="0.25">
      <c r="A11" s="46"/>
      <c r="B11" s="46" t="s">
        <v>58</v>
      </c>
      <c r="C11" s="46"/>
      <c r="D11" s="45"/>
      <c r="E11" s="45"/>
      <c r="F11" s="45"/>
      <c r="G11" s="45"/>
      <c r="H11" s="45"/>
      <c r="I11" s="45"/>
      <c r="J11" s="44">
        <f>D11+F11-H11</f>
        <v>0</v>
      </c>
    </row>
    <row r="12" spans="1:11" x14ac:dyDescent="0.25">
      <c r="A12" s="46"/>
      <c r="B12" s="46" t="s">
        <v>57</v>
      </c>
      <c r="C12" s="46"/>
      <c r="D12" s="45">
        <v>52769667.109999999</v>
      </c>
      <c r="E12" s="45"/>
      <c r="F12" s="45">
        <v>1733149.25</v>
      </c>
      <c r="G12" s="45"/>
      <c r="H12" s="45">
        <v>548518.11</v>
      </c>
      <c r="I12" s="45"/>
      <c r="J12" s="44">
        <f>D12+F12-H12</f>
        <v>53954298.25</v>
      </c>
    </row>
    <row r="13" spans="1:11" x14ac:dyDescent="0.25">
      <c r="A13" s="46"/>
      <c r="B13" s="46" t="s">
        <v>56</v>
      </c>
      <c r="C13" s="46"/>
      <c r="D13" s="45"/>
      <c r="E13" s="45"/>
      <c r="F13" s="45"/>
      <c r="G13" s="45"/>
      <c r="H13" s="45"/>
      <c r="I13" s="45"/>
      <c r="J13" s="44">
        <f>D13+F13-H13</f>
        <v>0</v>
      </c>
    </row>
    <row r="14" spans="1:11" x14ac:dyDescent="0.25">
      <c r="A14" s="46"/>
      <c r="B14" s="46" t="s">
        <v>55</v>
      </c>
      <c r="C14" s="46"/>
      <c r="D14" s="45"/>
      <c r="E14" s="45"/>
      <c r="F14" s="45"/>
      <c r="G14" s="45"/>
      <c r="H14" s="45"/>
      <c r="I14" s="45"/>
      <c r="J14" s="44">
        <f>D14+F14-H14</f>
        <v>0</v>
      </c>
    </row>
    <row r="15" spans="1:11" x14ac:dyDescent="0.25">
      <c r="A15" s="50" t="s">
        <v>54</v>
      </c>
      <c r="B15" s="46"/>
      <c r="C15" s="46"/>
      <c r="D15" s="45"/>
      <c r="E15" s="45"/>
      <c r="F15" s="45"/>
      <c r="G15" s="45"/>
      <c r="H15" s="45"/>
      <c r="I15" s="45"/>
    </row>
    <row r="16" spans="1:11" x14ac:dyDescent="0.25">
      <c r="A16" s="46"/>
      <c r="B16" s="46" t="s">
        <v>53</v>
      </c>
      <c r="C16" s="46"/>
      <c r="D16" s="45">
        <v>41682801</v>
      </c>
      <c r="E16" s="45"/>
      <c r="F16" s="45">
        <v>0</v>
      </c>
      <c r="G16" s="45"/>
      <c r="H16" s="45">
        <v>0</v>
      </c>
      <c r="I16" s="45"/>
      <c r="J16" s="44">
        <f>D16+F16-H16</f>
        <v>41682801</v>
      </c>
    </row>
    <row r="17" spans="1:10" x14ac:dyDescent="0.25">
      <c r="A17" s="46"/>
      <c r="B17" s="46" t="s">
        <v>52</v>
      </c>
      <c r="C17" s="46"/>
      <c r="D17" s="45"/>
      <c r="E17" s="45"/>
      <c r="F17" s="45"/>
      <c r="G17" s="45"/>
      <c r="H17" s="45"/>
      <c r="I17" s="45"/>
      <c r="J17" s="44">
        <f>D17+F17-H17</f>
        <v>0</v>
      </c>
    </row>
    <row r="18" spans="1:10" x14ac:dyDescent="0.25">
      <c r="A18" s="46"/>
      <c r="B18" s="46" t="s">
        <v>51</v>
      </c>
      <c r="C18" s="46"/>
      <c r="D18" s="45"/>
      <c r="E18" s="45"/>
      <c r="F18" s="45"/>
      <c r="G18" s="45"/>
      <c r="H18" s="45"/>
      <c r="I18" s="45"/>
      <c r="J18" s="44">
        <f>D18+F18-H18</f>
        <v>0</v>
      </c>
    </row>
    <row r="19" spans="1:10" x14ac:dyDescent="0.25">
      <c r="A19" s="46"/>
      <c r="B19" s="46" t="s">
        <v>50</v>
      </c>
      <c r="C19" s="46"/>
      <c r="D19" s="45">
        <v>0</v>
      </c>
      <c r="E19" s="45"/>
      <c r="F19" s="45">
        <f>125407988.35-F23-57958.5</f>
        <v>124053270.84999999</v>
      </c>
      <c r="G19" s="45"/>
      <c r="H19" s="45"/>
      <c r="I19" s="45"/>
      <c r="J19" s="44">
        <f>D19+F19-H19</f>
        <v>124053270.84999999</v>
      </c>
    </row>
    <row r="20" spans="1:10" x14ac:dyDescent="0.25">
      <c r="A20" s="46"/>
      <c r="B20" s="46" t="s">
        <v>49</v>
      </c>
      <c r="C20" s="46"/>
      <c r="D20" s="45"/>
      <c r="E20" s="45"/>
      <c r="F20" s="45"/>
      <c r="G20" s="45"/>
      <c r="H20" s="45"/>
      <c r="I20" s="45"/>
      <c r="J20" s="44">
        <f>D20+F20-H20</f>
        <v>0</v>
      </c>
    </row>
    <row r="21" spans="1:10" x14ac:dyDescent="0.25">
      <c r="A21" s="46"/>
      <c r="B21" s="46" t="s">
        <v>48</v>
      </c>
      <c r="C21" s="46"/>
      <c r="D21" s="45">
        <v>188262.8</v>
      </c>
      <c r="E21" s="45"/>
      <c r="F21" s="45">
        <v>0</v>
      </c>
      <c r="G21" s="45"/>
      <c r="H21" s="45">
        <v>0</v>
      </c>
      <c r="I21" s="45"/>
      <c r="J21" s="44">
        <f>D21+F21-H21</f>
        <v>188262.8</v>
      </c>
    </row>
    <row r="22" spans="1:10" x14ac:dyDescent="0.25">
      <c r="A22" s="46"/>
      <c r="B22" s="46" t="s">
        <v>47</v>
      </c>
      <c r="C22" s="46"/>
      <c r="D22" s="45"/>
      <c r="E22" s="45"/>
      <c r="F22" s="45"/>
      <c r="G22" s="45"/>
      <c r="H22" s="45"/>
      <c r="I22" s="45"/>
      <c r="J22" s="44">
        <f>D22+F22-H22</f>
        <v>0</v>
      </c>
    </row>
    <row r="23" spans="1:10" s="52" customFormat="1" ht="30" x14ac:dyDescent="0.25">
      <c r="A23" s="54"/>
      <c r="B23" s="54" t="s">
        <v>46</v>
      </c>
      <c r="C23" s="54"/>
      <c r="D23" s="53">
        <v>28310925</v>
      </c>
      <c r="E23" s="53"/>
      <c r="F23" s="53">
        <v>1296759</v>
      </c>
      <c r="G23" s="53"/>
      <c r="H23" s="53">
        <v>15999543</v>
      </c>
      <c r="I23" s="53"/>
      <c r="J23" s="44">
        <f>D23+F23-H23</f>
        <v>13608141</v>
      </c>
    </row>
    <row r="24" spans="1:10" x14ac:dyDescent="0.25">
      <c r="A24" s="46"/>
      <c r="B24" s="46" t="s">
        <v>45</v>
      </c>
      <c r="C24" s="46"/>
      <c r="D24" s="45"/>
      <c r="E24" s="45"/>
      <c r="F24" s="45"/>
      <c r="G24" s="45"/>
      <c r="H24" s="45"/>
      <c r="I24" s="45"/>
      <c r="J24" s="44">
        <f>D24+F24-H24</f>
        <v>0</v>
      </c>
    </row>
    <row r="25" spans="1:10" x14ac:dyDescent="0.25">
      <c r="A25" s="46"/>
      <c r="B25" s="46" t="s">
        <v>44</v>
      </c>
      <c r="C25" s="46"/>
      <c r="D25" s="45"/>
      <c r="E25" s="45"/>
      <c r="F25" s="45"/>
      <c r="G25" s="45"/>
      <c r="H25" s="45"/>
      <c r="I25" s="45"/>
      <c r="J25" s="44">
        <f>D25+F25-H25</f>
        <v>0</v>
      </c>
    </row>
    <row r="26" spans="1:10" x14ac:dyDescent="0.25">
      <c r="A26" s="46"/>
      <c r="B26" s="46" t="s">
        <v>43</v>
      </c>
      <c r="C26" s="46"/>
      <c r="D26" s="45"/>
      <c r="E26" s="45"/>
      <c r="F26" s="45"/>
      <c r="G26" s="45"/>
      <c r="H26" s="45"/>
      <c r="I26" s="45"/>
      <c r="J26" s="44">
        <f>D26+F26-H26</f>
        <v>0</v>
      </c>
    </row>
    <row r="27" spans="1:10" x14ac:dyDescent="0.25">
      <c r="A27" s="46"/>
      <c r="B27" s="46" t="s">
        <v>42</v>
      </c>
      <c r="C27" s="46"/>
      <c r="D27" s="51"/>
      <c r="E27" s="45"/>
      <c r="F27" s="51"/>
      <c r="G27" s="45"/>
      <c r="H27" s="51"/>
      <c r="I27" s="45"/>
      <c r="J27" s="44">
        <f>D27+F27-H27</f>
        <v>0</v>
      </c>
    </row>
    <row r="28" spans="1:10" ht="15.75" thickBot="1" x14ac:dyDescent="0.3">
      <c r="A28" s="50" t="s">
        <v>41</v>
      </c>
      <c r="B28" s="46"/>
      <c r="C28" s="46"/>
      <c r="D28" s="48">
        <f>SUM(D9:D27)</f>
        <v>164820371.56999999</v>
      </c>
      <c r="E28" s="49"/>
      <c r="F28" s="48">
        <f>SUM(F9:F27)</f>
        <v>127083179.09999999</v>
      </c>
      <c r="G28" s="49"/>
      <c r="H28" s="48">
        <f>SUM(H9:H27)</f>
        <v>16548061.109999999</v>
      </c>
      <c r="I28" s="49"/>
      <c r="J28" s="48">
        <f>SUM(J9:J27)</f>
        <v>275355489.56</v>
      </c>
    </row>
    <row r="29" spans="1:10" ht="15.75" thickTop="1" x14ac:dyDescent="0.25">
      <c r="A29" s="46"/>
      <c r="B29" s="46"/>
      <c r="C29" s="46"/>
      <c r="D29" s="45"/>
      <c r="E29" s="45"/>
      <c r="F29" s="45"/>
      <c r="G29" s="45"/>
      <c r="H29" s="45"/>
      <c r="I29" s="45"/>
      <c r="J29" s="45"/>
    </row>
    <row r="30" spans="1:10" x14ac:dyDescent="0.25">
      <c r="A30" s="46"/>
      <c r="B30" s="46"/>
      <c r="C30" s="46"/>
      <c r="D30" s="45"/>
      <c r="E30" s="45"/>
      <c r="F30" s="45"/>
      <c r="G30" s="45"/>
      <c r="H30" s="45"/>
      <c r="I30" s="45"/>
      <c r="J30" s="45"/>
    </row>
    <row r="31" spans="1:10" ht="17.25" x14ac:dyDescent="0.25">
      <c r="A31" s="47">
        <v>1</v>
      </c>
      <c r="B31" s="46" t="s">
        <v>40</v>
      </c>
      <c r="C31" s="46"/>
      <c r="D31" s="45"/>
      <c r="E31" s="45"/>
      <c r="F31" s="45"/>
      <c r="G31" s="45"/>
      <c r="H31" s="45"/>
      <c r="I31" s="45"/>
      <c r="J31" s="45"/>
    </row>
    <row r="32" spans="1:10" x14ac:dyDescent="0.25">
      <c r="A32" s="46"/>
      <c r="B32" s="46" t="s">
        <v>39</v>
      </c>
      <c r="C32" s="46"/>
      <c r="D32" s="45"/>
      <c r="E32" s="45"/>
      <c r="F32" s="45"/>
      <c r="G32" s="45"/>
      <c r="H32" s="45"/>
      <c r="I32" s="45"/>
      <c r="J32" s="45"/>
    </row>
    <row r="33" spans="1:10" ht="17.25" x14ac:dyDescent="0.25">
      <c r="A33" s="47">
        <v>2</v>
      </c>
      <c r="B33" s="46" t="s">
        <v>38</v>
      </c>
      <c r="C33" s="46"/>
      <c r="D33" s="45"/>
      <c r="E33" s="45"/>
      <c r="F33" s="45"/>
      <c r="G33" s="45"/>
      <c r="H33" s="45"/>
      <c r="I33" s="45"/>
      <c r="J33" s="45"/>
    </row>
    <row r="34" spans="1:10" ht="17.25" x14ac:dyDescent="0.25">
      <c r="A34" s="47"/>
      <c r="B34" s="46"/>
      <c r="C34" s="46"/>
      <c r="D34" s="45"/>
      <c r="E34" s="45"/>
      <c r="F34" s="45"/>
      <c r="G34" s="45"/>
      <c r="H34" s="45"/>
      <c r="I34" s="45"/>
      <c r="J34" s="45"/>
    </row>
    <row r="35" spans="1:10" x14ac:dyDescent="0.25">
      <c r="A35" s="46"/>
      <c r="B35" s="46"/>
      <c r="C35" s="46"/>
      <c r="D35" s="45"/>
      <c r="E35" s="45"/>
      <c r="F35" s="45"/>
      <c r="G35" s="45"/>
      <c r="H35" s="45"/>
      <c r="I35" s="45"/>
      <c r="J35" s="45"/>
    </row>
    <row r="36" spans="1:10" x14ac:dyDescent="0.25">
      <c r="A36" s="46"/>
      <c r="C36" s="46"/>
      <c r="D36" s="45"/>
      <c r="E36" s="45"/>
      <c r="F36" s="45"/>
      <c r="G36" s="45"/>
      <c r="H36" s="45"/>
      <c r="I36" s="45"/>
      <c r="J36" s="45"/>
    </row>
  </sheetData>
  <printOptions horizontalCentered="1"/>
  <pageMargins left="0" right="0" top="0.75" bottom="0.75" header="0.3" footer="0.3"/>
  <pageSetup scale="86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3514-0994-4D21-90E1-9515FA3B0451}">
  <dimension ref="A1:U45"/>
  <sheetViews>
    <sheetView zoomScaleNormal="100" workbookViewId="0">
      <selection activeCell="F3" sqref="F3"/>
    </sheetView>
  </sheetViews>
  <sheetFormatPr defaultRowHeight="15" x14ac:dyDescent="0.25"/>
  <cols>
    <col min="1" max="1" width="2" style="43" customWidth="1"/>
    <col min="2" max="2" width="10.5" style="43" customWidth="1"/>
    <col min="3" max="3" width="51.6640625" style="43" customWidth="1"/>
    <col min="4" max="4" width="2" style="43" customWidth="1"/>
    <col min="5" max="5" width="18.33203125" style="44" customWidth="1"/>
    <col min="6" max="6" width="2" style="44" customWidth="1"/>
    <col min="7" max="7" width="18.33203125" style="44" customWidth="1"/>
    <col min="8" max="8" width="2" style="44" customWidth="1"/>
    <col min="9" max="9" width="18.33203125" style="44" customWidth="1"/>
    <col min="10" max="10" width="2" style="44" customWidth="1"/>
    <col min="11" max="11" width="18.33203125" style="44" customWidth="1"/>
    <col min="12" max="12" width="2" style="43" customWidth="1"/>
    <col min="13" max="13" width="18.33203125" style="43" customWidth="1"/>
    <col min="14" max="14" width="2" style="43" customWidth="1"/>
    <col min="15" max="15" width="18.33203125" style="43" customWidth="1"/>
    <col min="16" max="16" width="2" style="43" customWidth="1"/>
    <col min="17" max="17" width="18.33203125" style="43" customWidth="1"/>
    <col min="18" max="18" width="2" style="43" customWidth="1"/>
    <col min="19" max="19" width="18.33203125" style="43" customWidth="1"/>
    <col min="20" max="20" width="2" style="43" customWidth="1"/>
    <col min="21" max="21" width="18.33203125" style="43" customWidth="1"/>
    <col min="22" max="16384" width="9.33203125" style="43"/>
  </cols>
  <sheetData>
    <row r="1" spans="1:21" x14ac:dyDescent="0.25">
      <c r="A1" s="60" t="s">
        <v>70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x14ac:dyDescent="0.25">
      <c r="A2" s="60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</row>
    <row r="3" spans="1:21" x14ac:dyDescent="0.25">
      <c r="A3" s="60" t="s">
        <v>108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</row>
    <row r="4" spans="1:21" x14ac:dyDescent="0.25">
      <c r="A4" s="60" t="s">
        <v>68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5">
      <c r="A5" s="60" t="s">
        <v>67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5">
      <c r="A6" s="46"/>
      <c r="B6" s="46"/>
      <c r="C6" s="46"/>
      <c r="D6" s="46"/>
      <c r="E6" s="45"/>
      <c r="F6" s="45"/>
      <c r="G6" s="45"/>
      <c r="H6" s="45"/>
      <c r="I6" s="45"/>
      <c r="J6" s="45"/>
      <c r="K6" s="45"/>
      <c r="L6" s="46"/>
      <c r="M6" s="46"/>
      <c r="N6" s="46"/>
      <c r="O6" s="46"/>
      <c r="P6" s="46"/>
      <c r="Q6" s="46"/>
      <c r="R6" s="46"/>
      <c r="S6" s="46"/>
      <c r="T6" s="46"/>
      <c r="U6" s="46"/>
    </row>
    <row r="7" spans="1:21" ht="15.75" thickBot="1" x14ac:dyDescent="0.3">
      <c r="A7" s="46"/>
      <c r="B7" s="46"/>
      <c r="C7" s="46"/>
      <c r="D7" s="46"/>
      <c r="E7" s="45"/>
      <c r="F7" s="45"/>
      <c r="G7" s="45"/>
      <c r="H7" s="45"/>
      <c r="I7" s="45"/>
      <c r="J7" s="73"/>
      <c r="K7" s="79" t="s">
        <v>107</v>
      </c>
      <c r="L7" s="79"/>
      <c r="M7" s="79"/>
      <c r="N7" s="79"/>
      <c r="O7" s="79"/>
      <c r="P7" s="79"/>
      <c r="Q7" s="79"/>
      <c r="R7" s="79"/>
      <c r="S7" s="79"/>
      <c r="T7" s="46"/>
      <c r="U7" s="46"/>
    </row>
    <row r="8" spans="1:21" x14ac:dyDescent="0.25">
      <c r="A8" s="46"/>
      <c r="B8" s="46"/>
      <c r="C8" s="46"/>
      <c r="D8" s="46"/>
      <c r="E8" s="78" t="s">
        <v>106</v>
      </c>
      <c r="F8" s="75"/>
      <c r="G8" s="78" t="s">
        <v>105</v>
      </c>
      <c r="H8" s="75"/>
      <c r="I8" s="78" t="s">
        <v>104</v>
      </c>
      <c r="J8" s="76"/>
      <c r="K8" s="78" t="s">
        <v>103</v>
      </c>
      <c r="L8" s="46"/>
      <c r="M8" s="78" t="s">
        <v>102</v>
      </c>
      <c r="N8" s="75"/>
      <c r="O8" s="78" t="s">
        <v>101</v>
      </c>
      <c r="P8" s="75"/>
      <c r="Q8" s="78" t="s">
        <v>100</v>
      </c>
      <c r="R8" s="75"/>
      <c r="S8" s="78" t="s">
        <v>99</v>
      </c>
      <c r="T8" s="75"/>
      <c r="U8" s="78" t="s">
        <v>98</v>
      </c>
    </row>
    <row r="9" spans="1:21" ht="104.25" x14ac:dyDescent="0.25">
      <c r="A9" s="50"/>
      <c r="B9" s="46"/>
      <c r="C9" s="46"/>
      <c r="D9" s="46"/>
      <c r="E9" s="74" t="s">
        <v>97</v>
      </c>
      <c r="F9" s="75"/>
      <c r="G9" s="74" t="s">
        <v>96</v>
      </c>
      <c r="H9" s="75"/>
      <c r="I9" s="77" t="s">
        <v>95</v>
      </c>
      <c r="J9" s="76"/>
      <c r="K9" s="74" t="s">
        <v>94</v>
      </c>
      <c r="L9" s="75"/>
      <c r="M9" s="74" t="s">
        <v>93</v>
      </c>
      <c r="N9" s="46"/>
      <c r="O9" s="74" t="s">
        <v>92</v>
      </c>
      <c r="P9" s="46"/>
      <c r="Q9" s="74" t="s">
        <v>91</v>
      </c>
      <c r="R9" s="46"/>
      <c r="S9" s="74" t="s">
        <v>90</v>
      </c>
      <c r="T9" s="46"/>
      <c r="U9" s="74" t="s">
        <v>89</v>
      </c>
    </row>
    <row r="10" spans="1:21" x14ac:dyDescent="0.25">
      <c r="A10" s="46"/>
      <c r="B10" s="46"/>
      <c r="C10" s="46"/>
      <c r="D10" s="46"/>
      <c r="E10" s="45"/>
      <c r="F10" s="45"/>
      <c r="G10" s="45"/>
      <c r="H10" s="45"/>
      <c r="I10" s="45"/>
      <c r="J10" s="73"/>
      <c r="K10" s="45"/>
      <c r="L10" s="46"/>
      <c r="M10" s="46"/>
      <c r="N10" s="46"/>
      <c r="O10" s="46"/>
      <c r="P10" s="46"/>
      <c r="Q10" s="46"/>
      <c r="R10" s="46"/>
      <c r="S10" s="46"/>
      <c r="T10" s="46"/>
      <c r="U10" s="46"/>
    </row>
    <row r="11" spans="1:21" x14ac:dyDescent="0.25">
      <c r="A11" s="50" t="s">
        <v>61</v>
      </c>
      <c r="B11" s="46"/>
      <c r="C11" s="46"/>
      <c r="D11" s="46"/>
      <c r="E11" s="45"/>
      <c r="F11" s="45"/>
      <c r="G11" s="45"/>
      <c r="H11" s="45"/>
      <c r="I11" s="45"/>
      <c r="J11" s="73"/>
      <c r="K11" s="45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spans="1:21" ht="17.25" x14ac:dyDescent="0.25">
      <c r="A12" s="46"/>
      <c r="B12" s="46" t="s">
        <v>88</v>
      </c>
      <c r="C12" s="46"/>
      <c r="D12" s="46"/>
      <c r="E12" s="66"/>
      <c r="F12" s="66"/>
      <c r="G12" s="66"/>
      <c r="H12" s="66"/>
      <c r="I12" s="63">
        <f>G12-E12</f>
        <v>0</v>
      </c>
      <c r="J12" s="68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3">
        <f>SUM(K12:S12)</f>
        <v>0</v>
      </c>
    </row>
    <row r="13" spans="1:21" ht="17.25" x14ac:dyDescent="0.25">
      <c r="A13" s="46"/>
      <c r="B13" s="46" t="s">
        <v>87</v>
      </c>
      <c r="C13" s="46"/>
      <c r="D13" s="46"/>
      <c r="E13" s="66"/>
      <c r="F13" s="66"/>
      <c r="G13" s="66"/>
      <c r="H13" s="66"/>
      <c r="I13" s="63">
        <f>G13-E13</f>
        <v>0</v>
      </c>
      <c r="J13" s="68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3">
        <f>SUM(K13:S13)</f>
        <v>0</v>
      </c>
    </row>
    <row r="14" spans="1:21" x14ac:dyDescent="0.25">
      <c r="A14" s="46"/>
      <c r="B14" s="46" t="s">
        <v>58</v>
      </c>
      <c r="C14" s="46"/>
      <c r="D14" s="46"/>
      <c r="E14" s="66"/>
      <c r="F14" s="66"/>
      <c r="G14" s="66"/>
      <c r="H14" s="66"/>
      <c r="I14" s="63">
        <f>G14-E14</f>
        <v>0</v>
      </c>
      <c r="J14" s="68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3">
        <f>SUM(K14:S14)</f>
        <v>0</v>
      </c>
    </row>
    <row r="15" spans="1:21" ht="17.25" x14ac:dyDescent="0.25">
      <c r="A15" s="46"/>
      <c r="B15" s="46" t="s">
        <v>86</v>
      </c>
      <c r="C15" s="46"/>
      <c r="D15" s="46"/>
      <c r="E15" s="66"/>
      <c r="F15" s="66"/>
      <c r="G15" s="66"/>
      <c r="H15" s="66"/>
      <c r="I15" s="63">
        <f>G15-E15</f>
        <v>0</v>
      </c>
      <c r="J15" s="68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3">
        <f>SUM(K15:S15)</f>
        <v>0</v>
      </c>
    </row>
    <row r="16" spans="1:21" x14ac:dyDescent="0.25">
      <c r="A16" s="46"/>
      <c r="B16" s="46" t="s">
        <v>56</v>
      </c>
      <c r="C16" s="46"/>
      <c r="D16" s="46"/>
      <c r="E16" s="66"/>
      <c r="F16" s="66"/>
      <c r="G16" s="66"/>
      <c r="H16" s="66"/>
      <c r="I16" s="63">
        <f>G16-E16</f>
        <v>0</v>
      </c>
      <c r="J16" s="68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3">
        <f>SUM(K16:S16)</f>
        <v>0</v>
      </c>
    </row>
    <row r="17" spans="1:21" x14ac:dyDescent="0.25">
      <c r="A17" s="46"/>
      <c r="B17" s="46" t="s">
        <v>55</v>
      </c>
      <c r="C17" s="46"/>
      <c r="D17" s="46"/>
      <c r="E17" s="66"/>
      <c r="F17" s="66"/>
      <c r="G17" s="66"/>
      <c r="H17" s="66"/>
      <c r="I17" s="63">
        <f>G17-E17</f>
        <v>0</v>
      </c>
      <c r="J17" s="68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3">
        <f>SUM(K17:S17)</f>
        <v>0</v>
      </c>
    </row>
    <row r="18" spans="1:21" x14ac:dyDescent="0.25">
      <c r="A18" s="50" t="s">
        <v>54</v>
      </c>
      <c r="B18" s="46"/>
      <c r="C18" s="46"/>
      <c r="D18" s="46"/>
      <c r="E18" s="66"/>
      <c r="F18" s="66"/>
      <c r="G18" s="66"/>
      <c r="H18" s="66"/>
      <c r="I18" s="63"/>
      <c r="J18" s="68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3"/>
    </row>
    <row r="19" spans="1:21" x14ac:dyDescent="0.25">
      <c r="A19" s="46"/>
      <c r="B19" s="46" t="s">
        <v>53</v>
      </c>
      <c r="C19" s="46"/>
      <c r="D19" s="46"/>
      <c r="E19" s="66"/>
      <c r="F19" s="66"/>
      <c r="G19" s="66"/>
      <c r="H19" s="66"/>
      <c r="I19" s="63">
        <f>G19-E19</f>
        <v>0</v>
      </c>
      <c r="J19" s="68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3">
        <f>SUM(K19:S19)</f>
        <v>0</v>
      </c>
    </row>
    <row r="20" spans="1:21" x14ac:dyDescent="0.25">
      <c r="A20" s="46"/>
      <c r="B20" s="46" t="s">
        <v>52</v>
      </c>
      <c r="C20" s="46"/>
      <c r="D20" s="46"/>
      <c r="E20" s="66"/>
      <c r="F20" s="66"/>
      <c r="G20" s="66"/>
      <c r="H20" s="66"/>
      <c r="I20" s="63">
        <f>G20-E20</f>
        <v>0</v>
      </c>
      <c r="J20" s="68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3">
        <f>SUM(K20:S20)</f>
        <v>0</v>
      </c>
    </row>
    <row r="21" spans="1:21" x14ac:dyDescent="0.25">
      <c r="A21" s="46"/>
      <c r="B21" s="46" t="s">
        <v>51</v>
      </c>
      <c r="C21" s="46"/>
      <c r="D21" s="46"/>
      <c r="E21" s="66"/>
      <c r="F21" s="66"/>
      <c r="G21" s="66"/>
      <c r="H21" s="66"/>
      <c r="I21" s="63">
        <f>G21-E21</f>
        <v>0</v>
      </c>
      <c r="J21" s="68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3">
        <f>SUM(K21:S21)</f>
        <v>0</v>
      </c>
    </row>
    <row r="22" spans="1:21" x14ac:dyDescent="0.25">
      <c r="A22" s="46"/>
      <c r="B22" s="46" t="s">
        <v>50</v>
      </c>
      <c r="C22" s="46"/>
      <c r="D22" s="46"/>
      <c r="E22" s="66"/>
      <c r="F22" s="66"/>
      <c r="G22" s="66"/>
      <c r="H22" s="66"/>
      <c r="I22" s="63">
        <f>G22-E22</f>
        <v>0</v>
      </c>
      <c r="J22" s="6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3">
        <f>SUM(K22:S22)</f>
        <v>0</v>
      </c>
    </row>
    <row r="23" spans="1:21" x14ac:dyDescent="0.25">
      <c r="A23" s="46"/>
      <c r="B23" s="46" t="s">
        <v>49</v>
      </c>
      <c r="C23" s="46"/>
      <c r="D23" s="46"/>
      <c r="E23" s="66"/>
      <c r="F23" s="66"/>
      <c r="G23" s="66"/>
      <c r="H23" s="66"/>
      <c r="I23" s="63">
        <f>G23-E23</f>
        <v>0</v>
      </c>
      <c r="J23" s="68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3">
        <f>SUM(K23:S23)</f>
        <v>0</v>
      </c>
    </row>
    <row r="24" spans="1:21" x14ac:dyDescent="0.25">
      <c r="A24" s="46"/>
      <c r="B24" s="46" t="s">
        <v>48</v>
      </c>
      <c r="C24" s="46"/>
      <c r="D24" s="46"/>
      <c r="E24" s="66"/>
      <c r="F24" s="66"/>
      <c r="G24" s="66"/>
      <c r="H24" s="66"/>
      <c r="I24" s="63">
        <f>G24-E24</f>
        <v>0</v>
      </c>
      <c r="J24" s="68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3">
        <f>SUM(K24:S24)</f>
        <v>0</v>
      </c>
    </row>
    <row r="25" spans="1:21" x14ac:dyDescent="0.25">
      <c r="A25" s="46"/>
      <c r="B25" s="46" t="s">
        <v>47</v>
      </c>
      <c r="C25" s="46"/>
      <c r="D25" s="46"/>
      <c r="E25" s="66"/>
      <c r="F25" s="66"/>
      <c r="G25" s="66"/>
      <c r="H25" s="66"/>
      <c r="I25" s="63">
        <f>G25-E25</f>
        <v>0</v>
      </c>
      <c r="J25" s="68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3">
        <f>SUM(K25:S25)</f>
        <v>0</v>
      </c>
    </row>
    <row r="26" spans="1:21" s="52" customFormat="1" ht="31.5" customHeight="1" x14ac:dyDescent="0.25">
      <c r="A26" s="54"/>
      <c r="B26" s="72" t="s">
        <v>46</v>
      </c>
      <c r="C26" s="72"/>
      <c r="D26" s="54"/>
      <c r="E26" s="70">
        <v>39257440</v>
      </c>
      <c r="F26" s="70"/>
      <c r="G26" s="70">
        <v>28310925</v>
      </c>
      <c r="H26" s="70"/>
      <c r="I26" s="69">
        <f>G26-E26</f>
        <v>-10946515</v>
      </c>
      <c r="J26" s="71"/>
      <c r="K26" s="70"/>
      <c r="L26" s="70"/>
      <c r="M26" s="70"/>
      <c r="N26" s="70"/>
      <c r="O26" s="70"/>
      <c r="P26" s="70"/>
      <c r="Q26" s="70"/>
      <c r="R26" s="70"/>
      <c r="S26" s="70">
        <v>-10946515</v>
      </c>
      <c r="T26" s="70"/>
      <c r="U26" s="69">
        <f>SUM(K26:S26)</f>
        <v>-10946515</v>
      </c>
    </row>
    <row r="27" spans="1:21" x14ac:dyDescent="0.25">
      <c r="A27" s="46"/>
      <c r="B27" s="46" t="s">
        <v>45</v>
      </c>
      <c r="C27" s="46"/>
      <c r="D27" s="46"/>
      <c r="E27" s="66"/>
      <c r="F27" s="66"/>
      <c r="G27" s="66"/>
      <c r="H27" s="66"/>
      <c r="I27" s="63">
        <f>G27-E27</f>
        <v>0</v>
      </c>
      <c r="J27" s="68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3">
        <f>SUM(K27:S27)</f>
        <v>0</v>
      </c>
    </row>
    <row r="28" spans="1:21" x14ac:dyDescent="0.25">
      <c r="A28" s="46"/>
      <c r="B28" s="46" t="s">
        <v>44</v>
      </c>
      <c r="C28" s="46"/>
      <c r="D28" s="46"/>
      <c r="E28" s="66"/>
      <c r="F28" s="66"/>
      <c r="G28" s="66"/>
      <c r="H28" s="66"/>
      <c r="I28" s="63">
        <f>G28-E28</f>
        <v>0</v>
      </c>
      <c r="J28" s="68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3">
        <f>SUM(K28:S28)</f>
        <v>0</v>
      </c>
    </row>
    <row r="29" spans="1:21" x14ac:dyDescent="0.25">
      <c r="A29" s="46"/>
      <c r="B29" s="46" t="s">
        <v>43</v>
      </c>
      <c r="C29" s="46"/>
      <c r="D29" s="46"/>
      <c r="E29" s="66"/>
      <c r="F29" s="66"/>
      <c r="G29" s="66"/>
      <c r="H29" s="66"/>
      <c r="I29" s="63">
        <f>G29-E29</f>
        <v>0</v>
      </c>
      <c r="J29" s="68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3">
        <f>SUM(K29:S29)</f>
        <v>0</v>
      </c>
    </row>
    <row r="30" spans="1:21" x14ac:dyDescent="0.25">
      <c r="A30" s="46"/>
      <c r="B30" s="46" t="s">
        <v>42</v>
      </c>
      <c r="C30" s="46"/>
      <c r="D30" s="46"/>
      <c r="E30" s="67"/>
      <c r="F30" s="66"/>
      <c r="G30" s="67"/>
      <c r="H30" s="66"/>
      <c r="I30" s="63">
        <f>G30-E30</f>
        <v>0</v>
      </c>
      <c r="J30" s="68"/>
      <c r="K30" s="67"/>
      <c r="L30" s="66"/>
      <c r="M30" s="66"/>
      <c r="N30" s="66"/>
      <c r="O30" s="66"/>
      <c r="P30" s="66"/>
      <c r="Q30" s="66"/>
      <c r="R30" s="66"/>
      <c r="S30" s="66"/>
      <c r="T30" s="66"/>
      <c r="U30" s="63">
        <f>SUM(K30:S30)</f>
        <v>0</v>
      </c>
    </row>
    <row r="31" spans="1:21" ht="15.75" thickBot="1" x14ac:dyDescent="0.3">
      <c r="A31" s="65" t="s">
        <v>85</v>
      </c>
      <c r="E31" s="62">
        <f>SUM(E12:E30)</f>
        <v>39257440</v>
      </c>
      <c r="F31" s="63"/>
      <c r="G31" s="62">
        <f>SUM(G12:G30)</f>
        <v>28310925</v>
      </c>
      <c r="H31" s="63"/>
      <c r="I31" s="62">
        <f>SUM(I12:I30)</f>
        <v>-10946515</v>
      </c>
      <c r="J31" s="64"/>
      <c r="K31" s="62">
        <f>SUM(K12:K30)</f>
        <v>0</v>
      </c>
      <c r="L31" s="63"/>
      <c r="M31" s="62">
        <f>SUM(M12:M30)</f>
        <v>0</v>
      </c>
      <c r="N31" s="63"/>
      <c r="O31" s="62">
        <f>SUM(O12:O30)</f>
        <v>0</v>
      </c>
      <c r="P31" s="63"/>
      <c r="Q31" s="62">
        <f>SUM(Q12:Q30)</f>
        <v>0</v>
      </c>
      <c r="R31" s="63"/>
      <c r="S31" s="62">
        <f>SUM(S12:S30)</f>
        <v>-10946515</v>
      </c>
      <c r="T31" s="63"/>
      <c r="U31" s="62">
        <f>SUM(U12:U30)</f>
        <v>-10946515</v>
      </c>
    </row>
    <row r="32" spans="1:21" ht="15.75" thickTop="1" x14ac:dyDescent="0.25">
      <c r="A32" s="46"/>
      <c r="B32" s="46"/>
      <c r="C32" s="46"/>
      <c r="D32" s="46"/>
      <c r="E32" s="45"/>
      <c r="F32" s="45"/>
      <c r="G32" s="45"/>
      <c r="H32" s="45"/>
      <c r="I32" s="45"/>
      <c r="J32" s="45"/>
      <c r="K32" s="45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 spans="1:21" x14ac:dyDescent="0.25">
      <c r="A33" s="46"/>
      <c r="B33" s="46"/>
      <c r="C33" s="46"/>
      <c r="D33" s="46"/>
      <c r="E33" s="45"/>
      <c r="F33" s="45"/>
      <c r="G33" s="45"/>
      <c r="H33" s="45"/>
      <c r="I33" s="45"/>
      <c r="J33" s="45"/>
      <c r="K33" s="45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 spans="1:21" x14ac:dyDescent="0.25">
      <c r="A34" s="46" t="s">
        <v>84</v>
      </c>
      <c r="B34" s="46"/>
      <c r="C34" s="46"/>
      <c r="D34" s="46"/>
      <c r="E34" s="45"/>
      <c r="F34" s="45"/>
      <c r="G34" s="45"/>
      <c r="H34" s="45"/>
      <c r="I34" s="45"/>
      <c r="J34" s="45"/>
      <c r="K34" s="45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 spans="1:21" x14ac:dyDescent="0.25">
      <c r="A35" s="46" t="s">
        <v>83</v>
      </c>
      <c r="B35" s="46"/>
      <c r="C35" s="46" t="s">
        <v>82</v>
      </c>
      <c r="D35" s="46"/>
      <c r="E35" s="45"/>
      <c r="F35" s="45"/>
      <c r="G35" s="45"/>
      <c r="H35" s="45"/>
      <c r="I35" s="45"/>
      <c r="J35" s="45"/>
      <c r="K35" s="45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21" x14ac:dyDescent="0.25">
      <c r="A36" s="46" t="s">
        <v>81</v>
      </c>
      <c r="B36" s="46"/>
      <c r="C36" s="46" t="s">
        <v>80</v>
      </c>
      <c r="D36" s="46"/>
      <c r="E36" s="45"/>
      <c r="F36" s="45"/>
      <c r="G36" s="45"/>
      <c r="H36" s="45"/>
      <c r="I36" s="45"/>
      <c r="J36" s="45"/>
      <c r="K36" s="45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21" x14ac:dyDescent="0.25">
      <c r="A37" s="46" t="s">
        <v>79</v>
      </c>
      <c r="B37" s="46"/>
      <c r="C37" s="46" t="s">
        <v>78</v>
      </c>
      <c r="D37" s="46"/>
      <c r="E37" s="45"/>
      <c r="F37" s="45"/>
      <c r="G37" s="45"/>
      <c r="H37" s="45"/>
      <c r="I37" s="45"/>
      <c r="J37" s="45"/>
      <c r="K37" s="45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21" x14ac:dyDescent="0.25">
      <c r="A38" s="46"/>
      <c r="B38" s="46"/>
      <c r="C38" s="46" t="s">
        <v>77</v>
      </c>
      <c r="D38" s="46"/>
      <c r="E38" s="45"/>
      <c r="F38" s="45"/>
      <c r="G38" s="45"/>
      <c r="H38" s="45"/>
      <c r="I38" s="45"/>
      <c r="J38" s="45"/>
      <c r="K38" s="45"/>
      <c r="L38" s="46"/>
      <c r="M38" s="46"/>
      <c r="N38" s="46"/>
      <c r="O38" s="46"/>
      <c r="P38" s="46"/>
      <c r="Q38" s="46"/>
      <c r="R38" s="46"/>
      <c r="S38" s="46"/>
      <c r="T38" s="46"/>
      <c r="U38" s="46"/>
    </row>
    <row r="39" spans="1:21" x14ac:dyDescent="0.25">
      <c r="A39" s="46" t="s">
        <v>76</v>
      </c>
      <c r="B39" s="46"/>
      <c r="C39" s="46" t="s">
        <v>75</v>
      </c>
      <c r="D39" s="46"/>
      <c r="E39" s="45"/>
      <c r="F39" s="45"/>
      <c r="G39" s="45"/>
      <c r="H39" s="45"/>
      <c r="I39" s="45"/>
      <c r="J39" s="45"/>
      <c r="K39" s="45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 spans="1:21" x14ac:dyDescent="0.25">
      <c r="A40" s="46" t="s">
        <v>74</v>
      </c>
      <c r="B40" s="46"/>
      <c r="C40" s="46" t="s">
        <v>73</v>
      </c>
      <c r="D40" s="46"/>
      <c r="E40" s="45"/>
      <c r="F40" s="45"/>
      <c r="G40" s="45"/>
      <c r="H40" s="45"/>
      <c r="I40" s="45"/>
      <c r="J40" s="45"/>
      <c r="K40" s="45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 spans="1:21" x14ac:dyDescent="0.25">
      <c r="A41" s="46"/>
      <c r="B41" s="46"/>
      <c r="C41" s="46"/>
      <c r="D41" s="46"/>
      <c r="E41" s="45"/>
      <c r="F41" s="45"/>
      <c r="G41" s="45"/>
      <c r="H41" s="45"/>
      <c r="I41" s="45"/>
      <c r="J41" s="45"/>
      <c r="K41" s="45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spans="1:21" x14ac:dyDescent="0.25">
      <c r="A42" s="61" t="s">
        <v>72</v>
      </c>
    </row>
    <row r="43" spans="1:21" x14ac:dyDescent="0.25">
      <c r="A43" s="61"/>
    </row>
    <row r="44" spans="1:21" ht="17.25" x14ac:dyDescent="0.25">
      <c r="A44" s="61" t="s">
        <v>71</v>
      </c>
    </row>
    <row r="45" spans="1:21" x14ac:dyDescent="0.25">
      <c r="A45" s="61"/>
    </row>
  </sheetData>
  <mergeCells count="1">
    <mergeCell ref="B26:C26"/>
  </mergeCells>
  <printOptions horizontalCentered="1"/>
  <pageMargins left="0" right="0" top="0.75" bottom="0.75" header="0.3" footer="0.3"/>
  <pageSetup scale="5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F0184</vt:lpstr>
      <vt:lpstr>F0185</vt:lpstr>
      <vt:lpstr>F0514</vt:lpstr>
      <vt:lpstr>F0869</vt:lpstr>
      <vt:lpstr>F0870</vt:lpstr>
      <vt:lpstr>Report 18 Differential</vt:lpstr>
      <vt:lpstr>'F0870'!Print_Area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Ede, Paula@EDD</dc:creator>
  <cp:lastModifiedBy>Zhao, Jing</cp:lastModifiedBy>
  <dcterms:created xsi:type="dcterms:W3CDTF">2025-03-10T20:46:11Z</dcterms:created>
  <dcterms:modified xsi:type="dcterms:W3CDTF">2025-03-10T20:51:04Z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2024-10-15T00:00:00Z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2025-03-10T00:00:00Z</vt:filetime>
  </property>
  <property fmtid="{D5CDD505-2E9C-101B-9397-08002B2CF9AE}" pid="5" name="Producer">
    <vt:lpwstr>Microsoft® Excel® for Microsoft 365</vt:lpwstr>
  </property>
</Properties>
</file>