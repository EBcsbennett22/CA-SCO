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1" documentId="13_ncr:1_{BA73B493-E9F0-4DD4-8B86-3F4765195056}" xr6:coauthVersionLast="47" xr6:coauthVersionMax="47" xr10:uidLastSave="{2313F071-38C7-4FA4-9D08-684940F21EFF}"/>
  <bookViews>
    <workbookView xWindow="28680" yWindow="-16800" windowWidth="29040" windowHeight="15720" tabRatio="712" activeTab="9" xr2:uid="{00000000-000D-0000-FFFF-FFFF00000000}"/>
  </bookViews>
  <sheets>
    <sheet name="F0001" sheetId="1" r:id="rId1"/>
    <sheet name="F0159" sheetId="2" r:id="rId2"/>
    <sheet name="F0587" sheetId="3" r:id="rId3"/>
    <sheet name="F0660" sheetId="4" r:id="rId4"/>
    <sheet name="F0668" sheetId="5" r:id="rId5"/>
    <sheet name="F0890" sheetId="6" r:id="rId6"/>
    <sheet name="F0932" sheetId="7" r:id="rId7"/>
    <sheet name="F3037" sheetId="14" state="hidden" r:id="rId8"/>
    <sheet name="F3037 Diff" sheetId="15" state="hidden" r:id="rId9"/>
    <sheet name="F3037(2)" sheetId="16" r:id="rId10"/>
    <sheet name="F3060" sheetId="9" r:id="rId11"/>
    <sheet name="F3066" sheetId="10" r:id="rId12"/>
    <sheet name="F3085" sheetId="11" r:id="rId13"/>
    <sheet name="3138" sheetId="12" r:id="rId14"/>
    <sheet name="9733" sheetId="13" r:id="rId15"/>
  </sheets>
  <definedNames>
    <definedName name="page\x2dtotal" localSheetId="8">#REF!</definedName>
    <definedName name="page\x2dtotal" localSheetId="9">#REF!</definedName>
    <definedName name="page\x2dtotal">#REF!</definedName>
    <definedName name="page\x2dtotal\x2dmaster0" localSheetId="8">#REF!</definedName>
    <definedName name="page\x2dtotal\x2dmaster0" localSheetId="9">#REF!</definedName>
    <definedName name="page\x2dtotal\x2dmaster0">#REF!</definedName>
    <definedName name="page\x2dtotal\x2dmaster0_1_1" localSheetId="7">#REF!</definedName>
    <definedName name="page\x2dtotal\x2dmaster0_1_1" localSheetId="8">#REF!</definedName>
    <definedName name="page\x2dtotal\x2dmaster0_1_1" localSheetId="9">#REF!</definedName>
    <definedName name="page\x2dtotal\x2dmaster0_1_1">'F0001'!$A$33</definedName>
    <definedName name="page\x2dtotal\x2dmaster0_10_1">'F3066'!$A$28</definedName>
    <definedName name="page\x2dtotal\x2dmaster0_11_1">'F3085'!$A$23</definedName>
    <definedName name="page\x2dtotal\x2dmaster0_12_1">'3138'!$A$12</definedName>
    <definedName name="page\x2dtotal\x2dmaster0_13_1">'9733'!$A$12</definedName>
    <definedName name="page\x2dtotal\x2dmaster0_2_1" localSheetId="7">#REF!</definedName>
    <definedName name="page\x2dtotal\x2dmaster0_2_1" localSheetId="8">#REF!</definedName>
    <definedName name="page\x2dtotal\x2dmaster0_2_1" localSheetId="9">#REF!</definedName>
    <definedName name="page\x2dtotal\x2dmaster0_2_1">'F0159'!$A$29</definedName>
    <definedName name="page\x2dtotal\x2dmaster0_3_1" localSheetId="7">#REF!</definedName>
    <definedName name="page\x2dtotal\x2dmaster0_3_1" localSheetId="8">#REF!</definedName>
    <definedName name="page\x2dtotal\x2dmaster0_3_1" localSheetId="9">#REF!</definedName>
    <definedName name="page\x2dtotal\x2dmaster0_3_1">'F0587'!$A$22</definedName>
    <definedName name="page\x2dtotal\x2dmaster0_4_1" localSheetId="7">#REF!</definedName>
    <definedName name="page\x2dtotal\x2dmaster0_4_1" localSheetId="8">#REF!</definedName>
    <definedName name="page\x2dtotal\x2dmaster0_4_1" localSheetId="9">#REF!</definedName>
    <definedName name="page\x2dtotal\x2dmaster0_4_1">'F0660'!$A$22</definedName>
    <definedName name="page\x2dtotal\x2dmaster0_5_1" localSheetId="7">#REF!</definedName>
    <definedName name="page\x2dtotal\x2dmaster0_5_1" localSheetId="8">#REF!</definedName>
    <definedName name="page\x2dtotal\x2dmaster0_5_1" localSheetId="9">#REF!</definedName>
    <definedName name="page\x2dtotal\x2dmaster0_5_1">'F0668'!$A$22</definedName>
    <definedName name="page\x2dtotal\x2dmaster0_6_1">'F0890'!$A$22</definedName>
    <definedName name="page\x2dtotal\x2dmaster0_7_1">'F0932'!$A$23</definedName>
    <definedName name="page\x2dtotal\x2dmaster0_8_1" localSheetId="7">'F3037'!$A$33</definedName>
    <definedName name="page\x2dtotal\x2dmaster0_8_1" localSheetId="8">#REF!</definedName>
    <definedName name="page\x2dtotal\x2dmaster0_8_1" localSheetId="9">'F3037(2)'!$A$32</definedName>
    <definedName name="page\x2dtotal\x2dmaster0_8_1">#REF!</definedName>
    <definedName name="page\x2dtotal\x2dmaster0_9_1">'F3060'!$A$27</definedName>
    <definedName name="page\x2dtotal_1_1" localSheetId="7">#REF!</definedName>
    <definedName name="page\x2dtotal_1_1" localSheetId="8">#REF!</definedName>
    <definedName name="page\x2dtotal_1_1" localSheetId="9">#REF!</definedName>
    <definedName name="page\x2dtotal_1_1">'F0001'!$A$33</definedName>
    <definedName name="page\x2dtotal_10_1">'F3066'!$A$28</definedName>
    <definedName name="page\x2dtotal_11_1">'F3085'!$A$23</definedName>
    <definedName name="page\x2dtotal_12_1">'3138'!$A$12</definedName>
    <definedName name="page\x2dtotal_13_1">'9733'!$A$12</definedName>
    <definedName name="page\x2dtotal_2_1" localSheetId="7">#REF!</definedName>
    <definedName name="page\x2dtotal_2_1" localSheetId="8">#REF!</definedName>
    <definedName name="page\x2dtotal_2_1" localSheetId="9">#REF!</definedName>
    <definedName name="page\x2dtotal_2_1">'F0159'!$A$29</definedName>
    <definedName name="page\x2dtotal_3_1" localSheetId="7">#REF!</definedName>
    <definedName name="page\x2dtotal_3_1" localSheetId="8">#REF!</definedName>
    <definedName name="page\x2dtotal_3_1" localSheetId="9">#REF!</definedName>
    <definedName name="page\x2dtotal_3_1">'F0587'!$A$22</definedName>
    <definedName name="page\x2dtotal_4_1" localSheetId="7">#REF!</definedName>
    <definedName name="page\x2dtotal_4_1" localSheetId="8">#REF!</definedName>
    <definedName name="page\x2dtotal_4_1" localSheetId="9">#REF!</definedName>
    <definedName name="page\x2dtotal_4_1">'F0660'!$A$22</definedName>
    <definedName name="page\x2dtotal_5_1" localSheetId="7">#REF!</definedName>
    <definedName name="page\x2dtotal_5_1" localSheetId="8">#REF!</definedName>
    <definedName name="page\x2dtotal_5_1" localSheetId="9">#REF!</definedName>
    <definedName name="page\x2dtotal_5_1">'F0668'!$A$22</definedName>
    <definedName name="page\x2dtotal_6_1">'F0890'!$A$22</definedName>
    <definedName name="page\x2dtotal_7_1">'F0932'!$A$23</definedName>
    <definedName name="page\x2dtotal_8_1" localSheetId="7">'F3037'!$A$33</definedName>
    <definedName name="page\x2dtotal_8_1" localSheetId="8">#REF!</definedName>
    <definedName name="page\x2dtotal_8_1" localSheetId="9">'F3037(2)'!$A$32</definedName>
    <definedName name="page\x2dtotal_8_1">#REF!</definedName>
    <definedName name="page\x2dtotal_9_1">'F3060'!$A$27</definedName>
    <definedName name="parenthst" localSheetId="8">#REF!</definedName>
    <definedName name="parenthst" localSheetId="9">#REF!</definedName>
    <definedName name="parenthst">#REF!</definedName>
    <definedName name="parentparcel" localSheetId="8">#REF!</definedName>
    <definedName name="parentparcel" localSheetId="9">#REF!</definedName>
    <definedName name="parentparcel">#REF!</definedName>
    <definedName name="_xlnm.Print_Area" localSheetId="1">'F0159'!$A$1:$J$26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6" l="1"/>
  <c r="E27" i="16"/>
  <c r="J27" i="16"/>
  <c r="V30" i="15"/>
  <c r="T30" i="15"/>
  <c r="S30" i="15"/>
  <c r="Q30" i="15"/>
  <c r="O30" i="15"/>
  <c r="M30" i="15"/>
  <c r="K30" i="15"/>
  <c r="E30" i="15"/>
  <c r="V29" i="15"/>
  <c r="V28" i="15"/>
  <c r="V27" i="15"/>
  <c r="I27" i="15"/>
  <c r="V26" i="15"/>
  <c r="V25" i="15"/>
  <c r="V24" i="15"/>
  <c r="V23" i="15"/>
  <c r="V22" i="15"/>
  <c r="V21" i="15"/>
  <c r="V20" i="15"/>
  <c r="V19" i="15"/>
  <c r="V17" i="15"/>
  <c r="V16" i="15"/>
  <c r="V15" i="15"/>
  <c r="V14" i="15"/>
  <c r="V13" i="15"/>
  <c r="G13" i="15"/>
  <c r="I13" i="15" s="1"/>
  <c r="I30" i="15" s="1"/>
  <c r="V12" i="15"/>
  <c r="J27" i="14"/>
  <c r="E27" i="14"/>
  <c r="G30" i="15" l="1"/>
</calcChain>
</file>

<file path=xl/sharedStrings.xml><?xml version="1.0" encoding="utf-8"?>
<sst xmlns="http://schemas.openxmlformats.org/spreadsheetml/2006/main" count="447" uniqueCount="149">
  <si>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</si>
  <si>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</si>
  <si>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Judicial Branch - 0250</t>
  </si>
  <si>
    <t>Fund 0001</t>
  </si>
  <si>
    <t>Fiscal Year 2023-24</t>
  </si>
  <si>
    <t>As of 06/30/2024</t>
  </si>
  <si>
    <t>Business Unit:</t>
  </si>
  <si>
    <t>0250 - Judicial Branch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</si>
  <si>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</si>
  <si>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</si>
  <si>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</si>
  <si>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07/18/2024</t>
    </r>
  </si>
  <si>
    <t>Subfund: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</si>
  <si>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13:25:47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</si>
  <si>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</si>
  <si>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</si>
  <si>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</si>
  <si>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</si>
  <si>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</si>
  <si>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</si>
  <si>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</si>
  <si>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2310</t>
    </r>
    <r>
      <rPr>
        <sz val="10"/>
        <color theme="1"/>
        <rFont val="Arial"/>
      </rPr>
      <t xml:space="preserve"> - Land</t>
    </r>
  </si>
  <si>
    <r>
      <rPr>
        <sz val="11"/>
        <color theme="1"/>
        <rFont val="Calibri"/>
      </rPr>
      <t>2321</t>
    </r>
    <r>
      <rPr>
        <sz val="10"/>
        <color theme="1"/>
        <rFont val="Arial"/>
      </rPr>
      <t xml:space="preserve"> - Buildings and Building Improve</t>
    </r>
  </si>
  <si>
    <r>
      <rPr>
        <sz val="11"/>
        <color theme="1"/>
        <rFont val="Calibri"/>
      </rPr>
      <t>2330</t>
    </r>
    <r>
      <rPr>
        <sz val="10"/>
        <color theme="1"/>
        <rFont val="Arial"/>
      </rPr>
      <t xml:space="preserve"> - Imprvmnts Other Than Buildings</t>
    </r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</si>
  <si>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</si>
  <si>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r>
      <rPr>
        <sz val="11"/>
        <color theme="1"/>
        <rFont val="Calibri"/>
      </rPr>
      <t>2350</t>
    </r>
    <r>
      <rPr>
        <sz val="10"/>
        <color theme="1"/>
        <rFont val="Arial"/>
      </rPr>
      <t xml:space="preserve"> - Construction Work in Progress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</si>
  <si>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</si>
  <si>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</si>
  <si>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2414</t>
    </r>
    <r>
      <rPr>
        <sz val="10"/>
        <color theme="1"/>
        <rFont val="Arial"/>
      </rPr>
      <t xml:space="preserve"> - Other Intangible Assets-Amorti</t>
    </r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</si>
  <si>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</si>
  <si>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</si>
  <si>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r>
      <rPr>
        <sz val="11"/>
        <color theme="1"/>
        <rFont val="Calibri"/>
      </rPr>
      <t>2430</t>
    </r>
    <r>
      <rPr>
        <sz val="10"/>
        <color theme="1"/>
        <rFont val="Arial"/>
      </rPr>
      <t xml:space="preserve"> - Int Gen Intgbl Assets in Progr</t>
    </r>
  </si>
  <si>
    <t>0001</t>
  </si>
  <si>
    <t>Sub Fund:</t>
  </si>
  <si>
    <t>Fund 0159</t>
  </si>
  <si>
    <t>0159 - State Trial Court Improvement</t>
  </si>
  <si>
    <t>0159</t>
  </si>
  <si>
    <t>Fund 0587</t>
  </si>
  <si>
    <t>0587 - Family Law Trust Fund</t>
  </si>
  <si>
    <t>0587</t>
  </si>
  <si>
    <t>Fund 0660</t>
  </si>
  <si>
    <t>0660 - Public Buildings Construction</t>
  </si>
  <si>
    <t>0660</t>
  </si>
  <si>
    <t>Fund 0668</t>
  </si>
  <si>
    <t>0668 - Public Bldgs Const Fd Subacct</t>
  </si>
  <si>
    <t>0668</t>
  </si>
  <si>
    <t>Fund 0890</t>
  </si>
  <si>
    <t>0890 - Federal Trust Fund</t>
  </si>
  <si>
    <t>0890</t>
  </si>
  <si>
    <t>Fund 0932</t>
  </si>
  <si>
    <t>0932 - Trial Court Trust Fund</t>
  </si>
  <si>
    <t>0932</t>
  </si>
  <si>
    <t>Fund 3037</t>
  </si>
  <si>
    <t>3037 - Court Facilities Construction</t>
  </si>
  <si>
    <t>3037</t>
  </si>
  <si>
    <t>Fund 3060</t>
  </si>
  <si>
    <t>3060 - Appellate Court Trust Fund</t>
  </si>
  <si>
    <t>3060</t>
  </si>
  <si>
    <t>Fund 3066</t>
  </si>
  <si>
    <t>3066 - Court Facilities Trust Fund</t>
  </si>
  <si>
    <r>
      <rPr>
        <sz val="11"/>
        <color theme="1"/>
        <rFont val="Calibri"/>
      </rPr>
      <t>2415</t>
    </r>
    <r>
      <rPr>
        <sz val="10"/>
        <color theme="1"/>
        <rFont val="Arial"/>
      </rPr>
      <t xml:space="preserve"> - Rights Leased Land - Amortiz</t>
    </r>
  </si>
  <si>
    <t>3066</t>
  </si>
  <si>
    <t>Fund 3085</t>
  </si>
  <si>
    <t>3085 - Mental Health Services Fund</t>
  </si>
  <si>
    <t>3085</t>
  </si>
  <si>
    <t>Fund 3138</t>
  </si>
  <si>
    <t>3138 - Immediate And Critical Needs A</t>
  </si>
  <si>
    <t>Fund 9733</t>
  </si>
  <si>
    <t>9733 - Court Facilities Architecture</t>
  </si>
  <si>
    <t xml:space="preserve"> Land:$150,000;  Building: $369,000</t>
  </si>
  <si>
    <t xml:space="preserve">    Land: $182,950; Building: $527,625</t>
  </si>
  <si>
    <t xml:space="preserve">   Kings County court house was sold on 5/27/2024</t>
  </si>
  <si>
    <t xml:space="preserve">   Land: $68,197; Building: $657,303</t>
  </si>
  <si>
    <t>Clovis court house was sold on 12/5/2023</t>
  </si>
  <si>
    <t>Notes:</t>
  </si>
  <si>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</si>
  <si>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</si>
  <si>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07/18/2024</t>
    </r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</si>
  <si>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13:25:47</t>
    </r>
  </si>
  <si>
    <r>
      <rPr>
        <sz val="11"/>
        <color theme="1"/>
        <rFont val="Calibri"/>
      </rPr>
      <t>2310</t>
    </r>
    <r>
      <rPr>
        <sz val="10"/>
        <color theme="1"/>
        <rFont val="Arial"/>
        <family val="2"/>
      </rPr>
      <t xml:space="preserve"> - Land</t>
    </r>
  </si>
  <si>
    <r>
      <rPr>
        <sz val="11"/>
        <color theme="1"/>
        <rFont val="Calibri"/>
      </rPr>
      <t>2321</t>
    </r>
    <r>
      <rPr>
        <sz val="10"/>
        <color theme="1"/>
        <rFont val="Arial"/>
        <family val="2"/>
      </rPr>
      <t xml:space="preserve"> - Buildings and Building Improve</t>
    </r>
  </si>
  <si>
    <r>
      <t xml:space="preserve">2,654,633,130.46 </t>
    </r>
    <r>
      <rPr>
        <vertAlign val="superscript"/>
        <sz val="10"/>
        <color theme="1"/>
        <rFont val="Arial"/>
        <family val="2"/>
      </rPr>
      <t>1</t>
    </r>
  </si>
  <si>
    <r>
      <t xml:space="preserve">1,553,928.00 </t>
    </r>
    <r>
      <rPr>
        <vertAlign val="superscript"/>
        <sz val="10"/>
        <color theme="1"/>
        <rFont val="Arial"/>
        <family val="2"/>
      </rPr>
      <t>2</t>
    </r>
  </si>
  <si>
    <r>
      <rPr>
        <sz val="11"/>
        <color theme="1"/>
        <rFont val="Calibri"/>
      </rPr>
      <t>2330</t>
    </r>
    <r>
      <rPr>
        <sz val="10"/>
        <color theme="1"/>
        <rFont val="Arial"/>
        <family val="2"/>
      </rPr>
      <t xml:space="preserve"> - Imprvmnts Other Than Buildings</t>
    </r>
  </si>
  <si>
    <r>
      <rPr>
        <sz val="11"/>
        <color theme="1"/>
        <rFont val="Calibri"/>
      </rPr>
      <t>2341</t>
    </r>
    <r>
      <rPr>
        <sz val="10"/>
        <color theme="1"/>
        <rFont val="Arial"/>
        <family val="2"/>
      </rPr>
      <t xml:space="preserve"> - Equipment</t>
    </r>
  </si>
  <si>
    <r>
      <rPr>
        <sz val="11"/>
        <color theme="1"/>
        <rFont val="Calibri"/>
      </rPr>
      <t>2350</t>
    </r>
    <r>
      <rPr>
        <sz val="10"/>
        <color theme="1"/>
        <rFont val="Arial"/>
        <family val="2"/>
      </rPr>
      <t xml:space="preserve"> - Construction Work in Progress</t>
    </r>
  </si>
  <si>
    <r>
      <rPr>
        <sz val="11"/>
        <color theme="1"/>
        <rFont val="Calibri"/>
      </rPr>
      <t>2411</t>
    </r>
    <r>
      <rPr>
        <sz val="10"/>
        <color theme="1"/>
        <rFont val="Arial"/>
        <family val="2"/>
      </rPr>
      <t xml:space="preserve"> - Computer Software - Amortizabl</t>
    </r>
  </si>
  <si>
    <r>
      <rPr>
        <sz val="11"/>
        <color theme="1"/>
        <rFont val="Calibri"/>
      </rPr>
      <t>2416</t>
    </r>
    <r>
      <rPr>
        <sz val="10"/>
        <color theme="1"/>
        <rFont val="Arial"/>
        <family val="2"/>
      </rPr>
      <t xml:space="preserve"> - Rights Leased Buildgs-Amortiz</t>
    </r>
  </si>
  <si>
    <r>
      <rPr>
        <sz val="11"/>
        <color theme="1"/>
        <rFont val="Calibri"/>
      </rPr>
      <t>2430</t>
    </r>
    <r>
      <rPr>
        <sz val="10"/>
        <color theme="1"/>
        <rFont val="Arial"/>
        <family val="2"/>
      </rPr>
      <t xml:space="preserve"> - Int Gen Intgbl Assets in Progr</t>
    </r>
  </si>
  <si>
    <t>2, Reedley court house was sold on 12/11/2023</t>
  </si>
  <si>
    <t>Judicial Council of California (0250)</t>
  </si>
  <si>
    <t>Statement of Changes in Capital Assets Group of Accounts - Report 18</t>
  </si>
  <si>
    <t>Beginning Balance Differential Report</t>
  </si>
  <si>
    <t>Fund Name (Fund 3037)</t>
  </si>
  <si>
    <t>As of June 30, 2024</t>
  </si>
  <si>
    <t>Breakdown of Difference: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</si>
  <si>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</si>
  <si>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</si>
  <si>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</si>
  <si>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</si>
  <si>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</si>
  <si>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</si>
  <si>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</si>
  <si>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</si>
  <si>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</si>
  <si>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</si>
  <si>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</si>
  <si>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</si>
  <si>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</si>
  <si>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</si>
  <si>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</si>
  <si>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r>
      <t xml:space="preserve">Transfers from other departments
</t>
    </r>
    <r>
      <rPr>
        <sz val="11"/>
        <color theme="1"/>
        <rFont val="Calibri"/>
      </rPr>
      <t>(at historical cost/book value)</t>
    </r>
  </si>
  <si>
    <r>
      <t xml:space="preserve">Other amounts that make up the difference </t>
    </r>
    <r>
      <rPr>
        <sz val="11"/>
        <color theme="1"/>
        <rFont val="Calibri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</si>
  <si>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1"/>
        <color theme="1"/>
        <rFont val="Calibri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</si>
  <si>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r>
      <t xml:space="preserve">Other amounts that make up the difference </t>
    </r>
    <r>
      <rPr>
        <sz val="11"/>
        <color theme="1"/>
        <rFont val="Calibri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GASB 94 FY 2022-2023 implementation beginning balance adjustment.</t>
    </r>
  </si>
  <si>
    <r>
      <t xml:space="preserve">Restatement Amount 
</t>
    </r>
    <r>
      <rPr>
        <sz val="11"/>
        <color theme="1"/>
        <rFont val="Calibri"/>
      </rPr>
      <t>(should agree to the difference calculated)</t>
    </r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</si>
  <si>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</si>
  <si>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</si>
  <si>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</si>
  <si>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</si>
  <si>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</si>
  <si>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</si>
  <si>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</si>
  <si>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</si>
  <si>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</si>
  <si>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</si>
  <si>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Right-to-Use Leased Land - Amortizable</t>
  </si>
  <si>
    <t>Right-to-Use Leased Buildings - Amortizable</t>
  </si>
  <si>
    <t>Right-to-Use Leased Equipment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</si>
  <si>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</si>
  <si>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</si>
  <si>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</si>
  <si>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</si>
  <si>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</t>
  </si>
  <si>
    <t>Report Instructions:</t>
  </si>
  <si>
    <t>Col. 1 -</t>
  </si>
  <si>
    <t>Enter Ending Balance from Prior Year Report 18.</t>
  </si>
  <si>
    <t>Col. 2 -</t>
  </si>
  <si>
    <t>Enter Beginning Balance from Current Year Report 18.</t>
  </si>
  <si>
    <t>Col. 3 -</t>
  </si>
  <si>
    <t>Compute difference between current year beginning balance and prior year ending balance.</t>
  </si>
  <si>
    <t>Research posting and source documents to identify and explain the difference.</t>
  </si>
  <si>
    <t>Col. 4 - 9</t>
  </si>
  <si>
    <t>Breakdown and categorize the differences in columns 4 to 9.</t>
  </si>
  <si>
    <t>Col. 10 -</t>
  </si>
  <si>
    <t>Compute the sum of columns 4 to 8. The amount should agree with the computed difference in column 3.</t>
  </si>
  <si>
    <t>1, Changing in beginning balance of $1,385,281,189.07 due to GASB 94 effective on 6/30/2023. See Differential tab.</t>
  </si>
  <si>
    <t>1, Reedley court house was sold on 12/11/2023</t>
  </si>
  <si>
    <r>
      <t xml:space="preserve">1,553,928.00 </t>
    </r>
    <r>
      <rPr>
        <vertAlign val="superscript"/>
        <sz val="10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</si>
</sst>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3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  <font>
      <sz val="11"/>
      <color theme="1"/>
      <name val="Calibri"/>
      <family val="2"/>
    </font>
    <font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64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right" vertical="center" wrapText="1"/>
    </xf>
    <xf numFmtId="39" fontId="7" fillId="2" borderId="0" xfId="0" applyNumberFormat="1" applyFont="1" applyFill="1" applyAlignment="1">
      <alignment horizontal="right" vertical="top" wrapText="1"/>
    </xf>
    <xf numFmtId="0" fontId="5" fillId="0" borderId="0" xfId="0" applyFont="1" applyAlignment="1">
      <alignment horizontal="left" vertical="center" wrapText="1"/>
    </xf>
    <xf numFmtId="0" fontId="10" fillId="0" borderId="0" xfId="1"/>
    <xf numFmtId="0" fontId="18" fillId="2" borderId="0" xfId="1" applyFont="1" applyFill="1" applyAlignment="1">
      <alignment horizontal="right" vertical="center" wrapText="1"/>
    </xf>
    <xf numFmtId="39" fontId="12" fillId="2" borderId="0" xfId="1" applyNumberFormat="1" applyFont="1" applyFill="1" applyAlignment="1">
      <alignment horizontal="right" vertical="top" wrapText="1"/>
    </xf>
    <xf numFmtId="39" fontId="10" fillId="0" borderId="0" xfId="1" applyNumberFormat="1"/>
    <xf numFmtId="0" fontId="18" fillId="0" borderId="0" xfId="1" applyFont="1" applyAlignment="1">
      <alignment horizontal="left" vertical="center" wrapText="1"/>
    </xf>
    <xf numFmtId="0" fontId="13" fillId="0" borderId="0" xfId="1" applyFont="1" applyAlignment="1">
      <alignment horizontal="left" indent="1"/>
    </xf>
    <xf numFmtId="0" fontId="10" fillId="0" borderId="0" xfId="1" applyAlignment="1">
      <alignment horizontal="left" indent="1"/>
    </xf>
    <xf numFmtId="0" fontId="21" fillId="0" borderId="0" xfId="2" applyFont="1" applyAlignment="1" applyProtection="1">
      <alignment horizontal="centerContinuous"/>
      <protection locked="0"/>
    </xf>
    <xf numFmtId="0" fontId="1" fillId="0" borderId="0" xfId="2"/>
    <xf numFmtId="0" fontId="1" fillId="0" borderId="0" xfId="2" applyProtection="1">
      <protection locked="0"/>
    </xf>
    <xf numFmtId="43" fontId="1" fillId="0" borderId="0" xfId="2" applyNumberFormat="1" applyProtection="1">
      <protection locked="0"/>
    </xf>
    <xf numFmtId="43" fontId="1" fillId="3" borderId="0" xfId="2" applyNumberFormat="1" applyFill="1" applyProtection="1">
      <protection locked="0"/>
    </xf>
    <xf numFmtId="43" fontId="21" fillId="0" borderId="1" xfId="2" applyNumberFormat="1" applyFont="1" applyBorder="1" applyAlignment="1" applyProtection="1">
      <alignment horizontal="centerContinuous"/>
      <protection locked="0"/>
    </xf>
    <xf numFmtId="0" fontId="1" fillId="0" borderId="0" xfId="2" quotePrefix="1" applyAlignment="1" applyProtection="1">
      <alignment horizontal="center"/>
      <protection locked="0"/>
    </xf>
    <xf numFmtId="0" fontId="1" fillId="0" borderId="0" xfId="2" applyAlignment="1" applyProtection="1">
      <alignment horizontal="center"/>
      <protection locked="0"/>
    </xf>
    <xf numFmtId="0" fontId="1" fillId="3" borderId="0" xfId="2" applyFill="1" applyAlignment="1" applyProtection="1">
      <alignment horizontal="center"/>
      <protection locked="0"/>
    </xf>
    <xf numFmtId="0" fontId="21" fillId="0" borderId="0" xfId="2" applyFont="1" applyProtection="1">
      <protection locked="0"/>
    </xf>
    <xf numFmtId="0" fontId="21" fillId="0" borderId="2" xfId="2" applyFont="1" applyBorder="1" applyAlignment="1" applyProtection="1">
      <alignment horizontal="center" vertical="top" wrapText="1"/>
      <protection locked="0"/>
    </xf>
    <xf numFmtId="0" fontId="21" fillId="0" borderId="2" xfId="2" applyFont="1" applyBorder="1" applyAlignment="1" applyProtection="1">
      <alignment horizontal="center" vertical="top"/>
      <protection locked="0"/>
    </xf>
    <xf numFmtId="41" fontId="1" fillId="0" borderId="0" xfId="2" applyNumberFormat="1" applyProtection="1">
      <protection locked="0"/>
    </xf>
    <xf numFmtId="41" fontId="1" fillId="0" borderId="0" xfId="2" applyNumberFormat="1"/>
    <xf numFmtId="41" fontId="1" fillId="3" borderId="0" xfId="2" applyNumberFormat="1" applyFill="1" applyProtection="1">
      <protection locked="0"/>
    </xf>
    <xf numFmtId="41" fontId="1" fillId="0" borderId="2" xfId="2" applyNumberFormat="1" applyBorder="1" applyProtection="1">
      <protection locked="0"/>
    </xf>
    <xf numFmtId="0" fontId="21" fillId="0" borderId="0" xfId="2" applyFont="1"/>
    <xf numFmtId="41" fontId="21" fillId="0" borderId="3" xfId="2" applyNumberFormat="1" applyFont="1" applyBorder="1"/>
    <xf numFmtId="41" fontId="1" fillId="3" borderId="0" xfId="2" applyNumberFormat="1" applyFill="1"/>
    <xf numFmtId="43" fontId="1" fillId="0" borderId="0" xfId="2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  <xf numFmtId="0" fontId="0" fillId="2" borderId="0" xfId="0" applyFill="1" applyAlignment="1">
      <alignment horizontal="left" vertical="top" wrapText="1"/>
    </xf>
    <xf numFmtId="39" fontId="7" fillId="2" borderId="0" xfId="0" applyNumberFormat="1" applyFont="1" applyFill="1" applyAlignment="1">
      <alignment horizontal="right" vertical="top" wrapText="1"/>
    </xf>
    <xf numFmtId="0" fontId="7" fillId="0" borderId="0" xfId="0" applyFont="1" applyAlignment="1">
      <alignment horizontal="right" vertical="center" wrapText="1"/>
    </xf>
    <xf numFmtId="39" fontId="8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inden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4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0" fillId="0" borderId="0" xfId="1" applyAlignment="1">
      <alignment horizontal="left" vertical="top" wrapText="1"/>
    </xf>
    <xf numFmtId="0" fontId="14" fillId="0" borderId="0" xfId="1" applyFont="1" applyAlignment="1">
      <alignment horizontal="center" vertical="top" wrapText="1"/>
    </xf>
    <xf numFmtId="0" fontId="19" fillId="0" borderId="0" xfId="1" applyFont="1" applyAlignment="1">
      <alignment horizontal="left" indent="1"/>
    </xf>
    <xf numFmtId="0" fontId="10" fillId="0" borderId="0" xfId="1" applyAlignment="1">
      <alignment vertical="top" wrapText="1"/>
    </xf>
    <xf numFmtId="0" fontId="10" fillId="0" borderId="0" xfId="1" applyAlignment="1">
      <alignment horizontal="left" indent="1"/>
    </xf>
    <xf numFmtId="0" fontId="17" fillId="0" borderId="0" xfId="1" applyFont="1" applyAlignment="1">
      <alignment horizontal="left" indent="1"/>
    </xf>
    <xf numFmtId="0" fontId="18" fillId="2" borderId="0" xfId="1" applyFont="1" applyFill="1" applyAlignment="1">
      <alignment horizontal="left" vertical="center" wrapText="1"/>
    </xf>
    <xf numFmtId="0" fontId="18" fillId="2" borderId="0" xfId="1" applyFont="1" applyFill="1" applyAlignment="1">
      <alignment horizontal="right" vertical="center" wrapText="1"/>
    </xf>
    <xf numFmtId="0" fontId="10" fillId="2" borderId="0" xfId="1" applyFill="1" applyAlignment="1">
      <alignment horizontal="left" vertical="top" wrapText="1"/>
    </xf>
    <xf numFmtId="39" fontId="12" fillId="2" borderId="0" xfId="1" applyNumberFormat="1" applyFont="1" applyFill="1" applyAlignment="1">
      <alignment horizontal="right" vertical="top" wrapText="1"/>
    </xf>
    <xf numFmtId="0" fontId="12" fillId="0" borderId="0" xfId="1" applyFont="1" applyAlignment="1">
      <alignment horizontal="right" vertical="center" wrapText="1"/>
    </xf>
    <xf numFmtId="39" fontId="20" fillId="0" borderId="0" xfId="1" applyNumberFormat="1" applyFont="1" applyAlignment="1">
      <alignment horizontal="right" vertical="center" wrapText="1"/>
    </xf>
    <xf numFmtId="0" fontId="10" fillId="0" borderId="0" xfId="1" applyAlignment="1">
      <alignment vertical="center" wrapText="1"/>
    </xf>
  </cellXfs>
  <cellStyles count="3">
    <cellStyle name="Normal" xfId="0" builtinId="0"/>
    <cellStyle name="Normal 2" xfId="1" xr:uid="{E859166C-AB39-410B-BBCD-0A38DBA45971}"/>
    <cellStyle name="Normal 2 2" xfId="2" xr:uid="{286F2240-5EFE-485C-9E95-FB669F8CD24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workbookViewId="0">
      <selection activeCell="P14" sqref="P14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3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10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20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21</v>
      </c>
      <c r="B16" s="35"/>
      <c r="C16" s="35"/>
      <c r="D16" s="35"/>
      <c r="E16" s="35"/>
      <c r="F16" s="4">
        <v>2475530.96</v>
      </c>
      <c r="G16" s="4">
        <v>0</v>
      </c>
      <c r="H16" s="36">
        <v>0</v>
      </c>
      <c r="I16" s="36"/>
      <c r="J16" s="4">
        <v>2475530.96</v>
      </c>
    </row>
    <row r="17" spans="1:10" x14ac:dyDescent="0.3">
      <c r="A17" s="35" t="s">
        <v>22</v>
      </c>
      <c r="B17" s="35"/>
      <c r="C17" s="35"/>
      <c r="D17" s="35"/>
      <c r="E17" s="35"/>
      <c r="F17" s="4">
        <v>27847874.949999999</v>
      </c>
      <c r="G17" s="4">
        <v>39760</v>
      </c>
      <c r="H17" s="36">
        <v>0</v>
      </c>
      <c r="I17" s="36"/>
      <c r="J17" s="4">
        <v>27887634.949999999</v>
      </c>
    </row>
    <row r="18" spans="1:10" x14ac:dyDescent="0.3">
      <c r="A18" s="35" t="s">
        <v>23</v>
      </c>
      <c r="B18" s="35"/>
      <c r="C18" s="35"/>
      <c r="D18" s="35"/>
      <c r="E18" s="35"/>
      <c r="F18" s="4">
        <v>0</v>
      </c>
      <c r="G18" s="4">
        <v>8397.44</v>
      </c>
      <c r="H18" s="36">
        <v>8397.44</v>
      </c>
      <c r="I18" s="36"/>
      <c r="J18" s="4">
        <v>0</v>
      </c>
    </row>
    <row r="19" spans="1:10" x14ac:dyDescent="0.3">
      <c r="A19" s="35" t="s">
        <v>24</v>
      </c>
      <c r="B19" s="35"/>
      <c r="C19" s="35"/>
      <c r="D19" s="35"/>
      <c r="E19" s="35"/>
      <c r="F19" s="4">
        <v>23458930.809999999</v>
      </c>
      <c r="G19" s="4">
        <v>2507730.04</v>
      </c>
      <c r="H19" s="36">
        <v>956066.57</v>
      </c>
      <c r="I19" s="36"/>
      <c r="J19" s="4">
        <v>25010594.280000001</v>
      </c>
    </row>
    <row r="20" spans="1:10" x14ac:dyDescent="0.3">
      <c r="A20" s="35" t="s">
        <v>25</v>
      </c>
      <c r="B20" s="35"/>
      <c r="C20" s="35"/>
      <c r="D20" s="35"/>
      <c r="E20" s="35"/>
      <c r="F20" s="4">
        <v>18792136.41</v>
      </c>
      <c r="G20" s="4">
        <v>331858.09999999998</v>
      </c>
      <c r="H20" s="36">
        <v>0</v>
      </c>
      <c r="I20" s="36"/>
      <c r="J20" s="4">
        <v>19123994.510000002</v>
      </c>
    </row>
    <row r="21" spans="1:10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 x14ac:dyDescent="0.3">
      <c r="A22" s="40" t="s">
        <v>26</v>
      </c>
      <c r="B22" s="40"/>
      <c r="C22" s="40"/>
      <c r="D22" s="40"/>
      <c r="E22" s="40"/>
      <c r="F22" s="40"/>
      <c r="G22" s="40"/>
      <c r="H22" s="40"/>
      <c r="I22" s="40"/>
      <c r="J22" s="40"/>
    </row>
    <row r="23" spans="1:10" x14ac:dyDescent="0.3">
      <c r="A23" s="35" t="s">
        <v>27</v>
      </c>
      <c r="B23" s="35"/>
      <c r="C23" s="35"/>
      <c r="D23" s="35"/>
      <c r="E23" s="35"/>
      <c r="F23" s="4">
        <v>8959958.0899999999</v>
      </c>
      <c r="G23" s="4">
        <v>1540825.63</v>
      </c>
      <c r="H23" s="36">
        <v>6447.6</v>
      </c>
      <c r="I23" s="36"/>
      <c r="J23" s="4">
        <v>10494336.119999999</v>
      </c>
    </row>
    <row r="24" spans="1:10" x14ac:dyDescent="0.3">
      <c r="A24" s="35" t="s">
        <v>28</v>
      </c>
      <c r="B24" s="35"/>
      <c r="C24" s="35"/>
      <c r="D24" s="35"/>
      <c r="E24" s="35"/>
      <c r="F24" s="4">
        <v>446389.35</v>
      </c>
      <c r="G24" s="4">
        <v>0</v>
      </c>
      <c r="H24" s="36">
        <v>0</v>
      </c>
      <c r="I24" s="36"/>
      <c r="J24" s="4">
        <v>446389.35</v>
      </c>
    </row>
    <row r="25" spans="1:10" x14ac:dyDescent="0.3">
      <c r="A25" s="35" t="s">
        <v>29</v>
      </c>
      <c r="B25" s="35"/>
      <c r="C25" s="35"/>
      <c r="D25" s="35"/>
      <c r="E25" s="35"/>
      <c r="F25" s="4">
        <v>71636050.510000005</v>
      </c>
      <c r="G25" s="4">
        <v>0</v>
      </c>
      <c r="H25" s="36">
        <v>0</v>
      </c>
      <c r="I25" s="36"/>
      <c r="J25" s="4">
        <v>71636050.510000005</v>
      </c>
    </row>
    <row r="26" spans="1:10" x14ac:dyDescent="0.3">
      <c r="A26" s="35" t="s">
        <v>30</v>
      </c>
      <c r="B26" s="35"/>
      <c r="C26" s="35"/>
      <c r="D26" s="35"/>
      <c r="E26" s="35"/>
      <c r="F26" s="4">
        <v>4150682.42</v>
      </c>
      <c r="G26" s="4">
        <v>0</v>
      </c>
      <c r="H26" s="36">
        <v>0</v>
      </c>
      <c r="I26" s="36"/>
      <c r="J26" s="4">
        <v>4150682.42</v>
      </c>
    </row>
    <row r="27" spans="1:10" x14ac:dyDescent="0.3">
      <c r="A27" s="35" t="s">
        <v>31</v>
      </c>
      <c r="B27" s="35"/>
      <c r="C27" s="35"/>
      <c r="D27" s="35"/>
      <c r="E27" s="35"/>
      <c r="F27" s="4">
        <v>20750</v>
      </c>
      <c r="G27" s="4">
        <v>0</v>
      </c>
      <c r="H27" s="36">
        <v>0</v>
      </c>
      <c r="I27" s="36"/>
      <c r="J27" s="4">
        <v>20750</v>
      </c>
    </row>
    <row r="28" spans="1:10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 spans="1:10" x14ac:dyDescent="0.3">
      <c r="A29" s="5" t="s">
        <v>9</v>
      </c>
      <c r="B29" s="37" t="s">
        <v>32</v>
      </c>
      <c r="C29" s="37"/>
      <c r="D29" s="37"/>
      <c r="E29" s="38">
        <v>157788303.49999997</v>
      </c>
      <c r="F29" s="38"/>
      <c r="G29" s="38">
        <v>4428571.21</v>
      </c>
      <c r="H29" s="38">
        <v>970911.60999999987</v>
      </c>
      <c r="I29" s="38"/>
      <c r="J29" s="38">
        <v>161245963.09999999</v>
      </c>
    </row>
    <row r="30" spans="1:10" x14ac:dyDescent="0.3">
      <c r="A30" s="5" t="s">
        <v>33</v>
      </c>
      <c r="B30" s="39"/>
      <c r="C30" s="39"/>
      <c r="D30" s="39"/>
      <c r="E30" s="38"/>
      <c r="F30" s="38"/>
      <c r="G30" s="38"/>
      <c r="H30" s="38"/>
      <c r="I30" s="38"/>
      <c r="J30" s="38"/>
    </row>
    <row r="31" spans="1:10" x14ac:dyDescent="0.3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 spans="1:10" x14ac:dyDescent="0.3">
      <c r="A32" s="33"/>
      <c r="B32" s="33"/>
      <c r="C32" s="33"/>
      <c r="D32" s="33"/>
      <c r="E32" s="33"/>
      <c r="F32" s="33"/>
      <c r="G32" s="33"/>
      <c r="H32" s="33"/>
      <c r="I32" s="33"/>
      <c r="J32" s="33"/>
    </row>
    <row r="33" spans="1:10" x14ac:dyDescent="0.3">
      <c r="A33" s="33"/>
      <c r="B33" s="33"/>
      <c r="C33" s="33"/>
      <c r="D33" s="33"/>
      <c r="E33" s="33"/>
      <c r="F33" s="33"/>
      <c r="G33" s="33"/>
      <c r="H33" s="33"/>
      <c r="I33" s="33"/>
      <c r="J33" s="33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</sheetData>
  <mergeCells count="5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E24"/>
    <mergeCell ref="H24:I24"/>
    <mergeCell ref="A25:E25"/>
    <mergeCell ref="H25:I25"/>
    <mergeCell ref="A26:E26"/>
    <mergeCell ref="H26:I26"/>
    <mergeCell ref="A31:J31"/>
    <mergeCell ref="A32:J32"/>
    <mergeCell ref="A33:J33"/>
    <mergeCell ref="A34:J34"/>
    <mergeCell ref="A27:E27"/>
    <mergeCell ref="H27:I27"/>
    <mergeCell ref="A28:J28"/>
    <mergeCell ref="B29:D29"/>
    <mergeCell ref="E29:F30"/>
    <mergeCell ref="G29:G30"/>
    <mergeCell ref="H29:I30"/>
    <mergeCell ref="J29:J30"/>
    <mergeCell ref="B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workbookViewId="0">
      <selection activeCell="E33" sqref="E33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34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35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20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22</v>
      </c>
      <c r="B16" s="35"/>
      <c r="C16" s="35"/>
      <c r="D16" s="35"/>
      <c r="E16" s="35"/>
      <c r="F16" s="4">
        <v>433853.5</v>
      </c>
      <c r="G16" s="4">
        <v>0</v>
      </c>
      <c r="H16" s="36">
        <v>0</v>
      </c>
      <c r="I16" s="36"/>
      <c r="J16" s="4">
        <v>433853.5</v>
      </c>
    </row>
    <row r="17" spans="1:10" x14ac:dyDescent="0.3">
      <c r="A17" s="35" t="s">
        <v>24</v>
      </c>
      <c r="B17" s="35"/>
      <c r="C17" s="35"/>
      <c r="D17" s="35"/>
      <c r="E17" s="35"/>
      <c r="F17" s="4">
        <v>782988.13</v>
      </c>
      <c r="G17" s="4">
        <v>0</v>
      </c>
      <c r="H17" s="36">
        <v>0</v>
      </c>
      <c r="I17" s="36"/>
      <c r="J17" s="4">
        <v>782988.13</v>
      </c>
    </row>
    <row r="18" spans="1:10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 x14ac:dyDescent="0.3">
      <c r="A19" s="40" t="s">
        <v>26</v>
      </c>
      <c r="B19" s="40"/>
      <c r="C19" s="40"/>
      <c r="D19" s="40"/>
      <c r="E19" s="40"/>
      <c r="F19" s="40"/>
      <c r="G19" s="40"/>
      <c r="H19" s="40"/>
      <c r="I19" s="40"/>
      <c r="J19" s="40"/>
    </row>
    <row r="20" spans="1:10" x14ac:dyDescent="0.3">
      <c r="A20" s="35" t="s">
        <v>27</v>
      </c>
      <c r="B20" s="35"/>
      <c r="C20" s="35"/>
      <c r="D20" s="35"/>
      <c r="E20" s="35"/>
      <c r="F20" s="4">
        <v>950117.19</v>
      </c>
      <c r="G20" s="4">
        <v>179520</v>
      </c>
      <c r="H20" s="36">
        <v>89760</v>
      </c>
      <c r="I20" s="36"/>
      <c r="J20" s="4">
        <v>1039877.19</v>
      </c>
    </row>
    <row r="21" spans="1:10" x14ac:dyDescent="0.3">
      <c r="A21" s="35" t="s">
        <v>28</v>
      </c>
      <c r="B21" s="35"/>
      <c r="C21" s="35"/>
      <c r="D21" s="35"/>
      <c r="E21" s="35"/>
      <c r="F21" s="4">
        <v>8866542.5399999991</v>
      </c>
      <c r="G21" s="4">
        <v>0</v>
      </c>
      <c r="H21" s="36">
        <v>0</v>
      </c>
      <c r="I21" s="36"/>
      <c r="J21" s="4">
        <v>8866542.5399999991</v>
      </c>
    </row>
    <row r="22" spans="1:10" x14ac:dyDescent="0.3">
      <c r="A22" s="35" t="s">
        <v>29</v>
      </c>
      <c r="B22" s="35"/>
      <c r="C22" s="35"/>
      <c r="D22" s="35"/>
      <c r="E22" s="35"/>
      <c r="F22" s="4">
        <v>439288.35</v>
      </c>
      <c r="G22" s="4">
        <v>0</v>
      </c>
      <c r="H22" s="36">
        <v>0</v>
      </c>
      <c r="I22" s="36"/>
      <c r="J22" s="4">
        <v>439288.35</v>
      </c>
    </row>
    <row r="23" spans="1:10" x14ac:dyDescent="0.3">
      <c r="A23" s="35" t="s">
        <v>30</v>
      </c>
      <c r="B23" s="35"/>
      <c r="C23" s="35"/>
      <c r="D23" s="35"/>
      <c r="E23" s="35"/>
      <c r="F23" s="4">
        <v>431223.34</v>
      </c>
      <c r="G23" s="4">
        <v>0</v>
      </c>
      <c r="H23" s="36">
        <v>0</v>
      </c>
      <c r="I23" s="36"/>
      <c r="J23" s="4">
        <v>431223.34</v>
      </c>
    </row>
    <row r="24" spans="1:10" x14ac:dyDescent="0.3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spans="1:10" x14ac:dyDescent="0.3">
      <c r="A25" s="5" t="s">
        <v>9</v>
      </c>
      <c r="B25" s="37" t="s">
        <v>36</v>
      </c>
      <c r="C25" s="37"/>
      <c r="D25" s="37"/>
      <c r="E25" s="38">
        <v>11904013.049999999</v>
      </c>
      <c r="F25" s="38"/>
      <c r="G25" s="38">
        <v>179520</v>
      </c>
      <c r="H25" s="38">
        <v>89760</v>
      </c>
      <c r="I25" s="38"/>
      <c r="J25" s="38">
        <v>11993773.049999999</v>
      </c>
    </row>
    <row r="26" spans="1:10" x14ac:dyDescent="0.3">
      <c r="A26" s="5" t="s">
        <v>33</v>
      </c>
      <c r="B26" s="39"/>
      <c r="C26" s="39"/>
      <c r="D26" s="39"/>
      <c r="E26" s="38"/>
      <c r="F26" s="38"/>
      <c r="G26" s="38"/>
      <c r="H26" s="38"/>
      <c r="I26" s="38"/>
      <c r="J26" s="38"/>
    </row>
    <row r="27" spans="1:10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spans="1:10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 spans="1:10" x14ac:dyDescent="0.3">
      <c r="A29" s="33"/>
      <c r="B29" s="33"/>
      <c r="C29" s="33"/>
      <c r="D29" s="33"/>
      <c r="E29" s="33"/>
      <c r="F29" s="33"/>
      <c r="G29" s="33"/>
      <c r="H29" s="33"/>
      <c r="I29" s="33"/>
      <c r="J29" s="33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E23"/>
    <mergeCell ref="H23:I23"/>
    <mergeCell ref="A27:J27"/>
    <mergeCell ref="A28:J28"/>
    <mergeCell ref="A29:J29"/>
    <mergeCell ref="A30:J30"/>
    <mergeCell ref="A24:J24"/>
    <mergeCell ref="B25:D25"/>
    <mergeCell ref="E25:F26"/>
    <mergeCell ref="G25:G26"/>
    <mergeCell ref="H25:I26"/>
    <mergeCell ref="J25:J26"/>
    <mergeCell ref="B26:D26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>
      <selection sqref="A1:C1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37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38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26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29</v>
      </c>
      <c r="B16" s="35"/>
      <c r="C16" s="35"/>
      <c r="D16" s="35"/>
      <c r="E16" s="35"/>
      <c r="F16" s="4">
        <v>196227.69</v>
      </c>
      <c r="G16" s="4">
        <v>0</v>
      </c>
      <c r="H16" s="36">
        <v>0</v>
      </c>
      <c r="I16" s="36"/>
      <c r="J16" s="4">
        <v>196227.69</v>
      </c>
    </row>
    <row r="17" spans="1:10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 x14ac:dyDescent="0.3">
      <c r="A18" s="5" t="s">
        <v>9</v>
      </c>
      <c r="B18" s="37" t="s">
        <v>39</v>
      </c>
      <c r="C18" s="37"/>
      <c r="D18" s="37"/>
      <c r="E18" s="38">
        <v>196227.69</v>
      </c>
      <c r="F18" s="38"/>
      <c r="G18" s="38">
        <v>0</v>
      </c>
      <c r="H18" s="38">
        <v>0</v>
      </c>
      <c r="I18" s="38"/>
      <c r="J18" s="38">
        <v>196227.69</v>
      </c>
    </row>
    <row r="19" spans="1:10" x14ac:dyDescent="0.3">
      <c r="A19" s="5" t="s">
        <v>33</v>
      </c>
      <c r="B19" s="39"/>
      <c r="C19" s="39"/>
      <c r="D19" s="39"/>
      <c r="E19" s="38"/>
      <c r="F19" s="38"/>
      <c r="G19" s="38"/>
      <c r="H19" s="38"/>
      <c r="I19" s="38"/>
      <c r="J19" s="38"/>
    </row>
    <row r="20" spans="1:10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>
      <selection sqref="A1:C1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40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41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20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25</v>
      </c>
      <c r="B16" s="35"/>
      <c r="C16" s="35"/>
      <c r="D16" s="35"/>
      <c r="E16" s="35"/>
      <c r="F16" s="4">
        <v>1963880876.95</v>
      </c>
      <c r="G16" s="4">
        <v>290447781.38999999</v>
      </c>
      <c r="H16" s="36">
        <v>0</v>
      </c>
      <c r="I16" s="36"/>
      <c r="J16" s="4">
        <v>2254328658.3400002</v>
      </c>
    </row>
    <row r="17" spans="1:10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 x14ac:dyDescent="0.3">
      <c r="A18" s="5" t="s">
        <v>9</v>
      </c>
      <c r="B18" s="37" t="s">
        <v>42</v>
      </c>
      <c r="C18" s="37"/>
      <c r="D18" s="37"/>
      <c r="E18" s="38">
        <v>1963880876.95</v>
      </c>
      <c r="F18" s="38"/>
      <c r="G18" s="38">
        <v>290447781.38999999</v>
      </c>
      <c r="H18" s="38">
        <v>0</v>
      </c>
      <c r="I18" s="38"/>
      <c r="J18" s="38">
        <v>2254328658.3400002</v>
      </c>
    </row>
    <row r="19" spans="1:10" x14ac:dyDescent="0.3">
      <c r="A19" s="5" t="s">
        <v>33</v>
      </c>
      <c r="B19" s="39"/>
      <c r="C19" s="39"/>
      <c r="D19" s="39"/>
      <c r="E19" s="38"/>
      <c r="F19" s="38"/>
      <c r="G19" s="38"/>
      <c r="H19" s="38"/>
      <c r="I19" s="38"/>
      <c r="J19" s="38"/>
    </row>
    <row r="20" spans="1:10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workbookViewId="0">
      <selection sqref="A1:C1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43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44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20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25</v>
      </c>
      <c r="B16" s="35"/>
      <c r="C16" s="35"/>
      <c r="D16" s="35"/>
      <c r="E16" s="35"/>
      <c r="F16" s="4">
        <v>1105025662.53</v>
      </c>
      <c r="G16" s="4">
        <v>0</v>
      </c>
      <c r="H16" s="36">
        <v>0</v>
      </c>
      <c r="I16" s="36"/>
      <c r="J16" s="4">
        <v>1105025662.53</v>
      </c>
    </row>
    <row r="17" spans="1:10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 x14ac:dyDescent="0.3">
      <c r="A18" s="5" t="s">
        <v>9</v>
      </c>
      <c r="B18" s="37" t="s">
        <v>45</v>
      </c>
      <c r="C18" s="37"/>
      <c r="D18" s="37"/>
      <c r="E18" s="38">
        <v>1105025662.53</v>
      </c>
      <c r="F18" s="38"/>
      <c r="G18" s="38">
        <v>0</v>
      </c>
      <c r="H18" s="38">
        <v>0</v>
      </c>
      <c r="I18" s="38"/>
      <c r="J18" s="38">
        <v>1105025662.53</v>
      </c>
    </row>
    <row r="19" spans="1:10" x14ac:dyDescent="0.3">
      <c r="A19" s="5" t="s">
        <v>33</v>
      </c>
      <c r="B19" s="39"/>
      <c r="C19" s="39"/>
      <c r="D19" s="39"/>
      <c r="E19" s="38"/>
      <c r="F19" s="38"/>
      <c r="G19" s="38"/>
      <c r="H19" s="38"/>
      <c r="I19" s="38"/>
      <c r="J19" s="38"/>
    </row>
    <row r="20" spans="1:10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showGridLines="0" workbookViewId="0">
      <selection sqref="A1:C1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46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47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26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29</v>
      </c>
      <c r="B16" s="35"/>
      <c r="C16" s="35"/>
      <c r="D16" s="35"/>
      <c r="E16" s="35"/>
      <c r="F16" s="4">
        <v>65007.95</v>
      </c>
      <c r="G16" s="4">
        <v>0</v>
      </c>
      <c r="H16" s="36">
        <v>0</v>
      </c>
      <c r="I16" s="36"/>
      <c r="J16" s="4">
        <v>65007.95</v>
      </c>
    </row>
    <row r="17" spans="1:10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 x14ac:dyDescent="0.3">
      <c r="A18" s="5" t="s">
        <v>9</v>
      </c>
      <c r="B18" s="37" t="s">
        <v>48</v>
      </c>
      <c r="C18" s="37"/>
      <c r="D18" s="37"/>
      <c r="E18" s="38">
        <v>65007.95</v>
      </c>
      <c r="F18" s="38"/>
      <c r="G18" s="38">
        <v>0</v>
      </c>
      <c r="H18" s="38">
        <v>0</v>
      </c>
      <c r="I18" s="38"/>
      <c r="J18" s="38">
        <v>65007.95</v>
      </c>
    </row>
    <row r="19" spans="1:10" x14ac:dyDescent="0.3">
      <c r="A19" s="5" t="s">
        <v>33</v>
      </c>
      <c r="B19" s="39"/>
      <c r="C19" s="39"/>
      <c r="D19" s="39"/>
      <c r="E19" s="38"/>
      <c r="F19" s="38"/>
      <c r="G19" s="38"/>
      <c r="H19" s="38"/>
      <c r="I19" s="38"/>
      <c r="J19" s="38"/>
    </row>
    <row r="20" spans="1:10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4"/>
  <sheetViews>
    <sheetView showGridLines="0" workbookViewId="0">
      <selection sqref="A1:C1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49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50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26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27</v>
      </c>
      <c r="B16" s="35"/>
      <c r="C16" s="35"/>
      <c r="D16" s="35"/>
      <c r="E16" s="35"/>
      <c r="F16" s="4">
        <v>93876.160000000003</v>
      </c>
      <c r="G16" s="4">
        <v>0</v>
      </c>
      <c r="H16" s="36">
        <v>0</v>
      </c>
      <c r="I16" s="36"/>
      <c r="J16" s="4">
        <v>93876.160000000003</v>
      </c>
    </row>
    <row r="17" spans="1:10" x14ac:dyDescent="0.3">
      <c r="A17" s="35" t="s">
        <v>29</v>
      </c>
      <c r="B17" s="35"/>
      <c r="C17" s="35"/>
      <c r="D17" s="35"/>
      <c r="E17" s="35"/>
      <c r="F17" s="4">
        <v>4474951.07</v>
      </c>
      <c r="G17" s="4">
        <v>164691.07999999999</v>
      </c>
      <c r="H17" s="36">
        <v>459691.68</v>
      </c>
      <c r="I17" s="36"/>
      <c r="J17" s="4">
        <v>4179950.47</v>
      </c>
    </row>
    <row r="18" spans="1:10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 x14ac:dyDescent="0.3">
      <c r="A19" s="5" t="s">
        <v>9</v>
      </c>
      <c r="B19" s="37" t="s">
        <v>51</v>
      </c>
      <c r="C19" s="37"/>
      <c r="D19" s="37"/>
      <c r="E19" s="38">
        <v>4568827.2300000004</v>
      </c>
      <c r="F19" s="38"/>
      <c r="G19" s="38">
        <v>164691.07999999999</v>
      </c>
      <c r="H19" s="38">
        <v>459691.68</v>
      </c>
      <c r="I19" s="38"/>
      <c r="J19" s="38">
        <v>4273826.63</v>
      </c>
    </row>
    <row r="20" spans="1:10" x14ac:dyDescent="0.3">
      <c r="A20" s="5" t="s">
        <v>33</v>
      </c>
      <c r="B20" s="39"/>
      <c r="C20" s="39"/>
      <c r="D20" s="39"/>
      <c r="E20" s="38"/>
      <c r="F20" s="38"/>
      <c r="G20" s="38"/>
      <c r="H20" s="38"/>
      <c r="I20" s="38"/>
      <c r="J20" s="38"/>
    </row>
    <row r="21" spans="1:10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1:J21"/>
    <mergeCell ref="A22:J22"/>
    <mergeCell ref="A23:J23"/>
    <mergeCell ref="A24:J24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</mergeCells>
  <pageMargins left="0.7" right="0.7" top="0.75" bottom="0.75" header="0.3" footer="0.3"/>
  <pageSetup scale="72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6194-E6CC-4AC5-A57D-38ED61788382}">
  <dimension ref="A1:O37"/>
  <sheetViews>
    <sheetView showGridLines="0" topLeftCell="A13" workbookViewId="0">
      <selection sqref="A1:C1"/>
    </sheetView>
  </sheetViews>
  <sheetFormatPr defaultColWidth="8.88671875" defaultRowHeight="14.4" x14ac:dyDescent="0.3"/>
  <cols>
    <col min="1" max="1" width="12.33203125" style="6" customWidth="1"/>
    <col min="2" max="2" width="5.33203125" style="6" customWidth="1"/>
    <col min="3" max="3" width="7.6640625" style="6" customWidth="1"/>
    <col min="4" max="4" width="4.5546875" style="6" customWidth="1"/>
    <col min="5" max="5" width="19" style="6" customWidth="1"/>
    <col min="6" max="6" width="20.5546875" style="6" customWidth="1"/>
    <col min="7" max="7" width="16.6640625" style="6" customWidth="1"/>
    <col min="8" max="8" width="14.44140625" style="6" customWidth="1"/>
    <col min="9" max="9" width="3" style="6" customWidth="1"/>
    <col min="10" max="10" width="22.33203125" style="6" customWidth="1"/>
    <col min="11" max="14" width="8.88671875" style="6"/>
    <col min="15" max="15" width="9.5546875" style="6" bestFit="1" customWidth="1"/>
    <col min="16" max="16384" width="8.88671875" style="6"/>
  </cols>
  <sheetData>
    <row r="1" spans="1:15" x14ac:dyDescent="0.3">
      <c r="A1" s="51"/>
      <c r="B1" s="51"/>
      <c r="C1" s="51"/>
      <c r="D1" s="51"/>
      <c r="E1" s="51"/>
      <c r="F1" s="51"/>
      <c r="G1" s="51"/>
      <c r="H1" s="51"/>
      <c r="I1" s="51" t="s">
        <v>75</v>
      </c>
      <c r="J1" s="51"/>
    </row>
    <row r="2" spans="1:15" x14ac:dyDescent="0.3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5" x14ac:dyDescent="0.3">
      <c r="A3" s="52" t="s">
        <v>2</v>
      </c>
      <c r="B3" s="52"/>
      <c r="C3" s="52"/>
      <c r="D3" s="52"/>
      <c r="E3" s="52"/>
      <c r="F3" s="52"/>
      <c r="G3" s="52"/>
      <c r="H3" s="52"/>
      <c r="I3" s="52"/>
      <c r="J3" s="52"/>
    </row>
    <row r="4" spans="1:15" x14ac:dyDescent="0.3">
      <c r="A4" s="52" t="s">
        <v>52</v>
      </c>
      <c r="B4" s="52"/>
      <c r="C4" s="52"/>
      <c r="D4" s="52"/>
      <c r="E4" s="52"/>
      <c r="F4" s="52"/>
      <c r="G4" s="52"/>
      <c r="H4" s="52"/>
      <c r="I4" s="52"/>
      <c r="J4" s="52"/>
    </row>
    <row r="5" spans="1:15" x14ac:dyDescent="0.3">
      <c r="A5" s="52" t="s">
        <v>4</v>
      </c>
      <c r="B5" s="52"/>
      <c r="C5" s="52"/>
      <c r="D5" s="52"/>
      <c r="E5" s="52"/>
      <c r="F5" s="52"/>
      <c r="G5" s="52"/>
      <c r="H5" s="52"/>
      <c r="I5" s="52"/>
      <c r="J5" s="52"/>
    </row>
    <row r="6" spans="1:15" x14ac:dyDescent="0.3">
      <c r="A6" s="52" t="s">
        <v>5</v>
      </c>
      <c r="B6" s="52"/>
      <c r="C6" s="52"/>
      <c r="D6" s="52"/>
      <c r="E6" s="52"/>
      <c r="F6" s="52"/>
      <c r="G6" s="52"/>
      <c r="H6" s="52"/>
      <c r="I6" s="52"/>
      <c r="J6" s="52"/>
    </row>
    <row r="7" spans="1:15" x14ac:dyDescent="0.3">
      <c r="A7" s="49" t="s">
        <v>6</v>
      </c>
      <c r="B7" s="49"/>
      <c r="C7" s="50" t="s">
        <v>7</v>
      </c>
      <c r="D7" s="50"/>
      <c r="E7" s="50"/>
      <c r="F7" s="50"/>
      <c r="G7" s="50"/>
      <c r="H7" s="50"/>
      <c r="I7" s="51" t="s">
        <v>76</v>
      </c>
      <c r="J7" s="51"/>
    </row>
    <row r="8" spans="1:15" x14ac:dyDescent="0.3">
      <c r="A8" s="49" t="s">
        <v>9</v>
      </c>
      <c r="B8" s="49"/>
      <c r="C8" s="50" t="s">
        <v>53</v>
      </c>
      <c r="D8" s="50"/>
      <c r="E8" s="50"/>
      <c r="F8" s="50"/>
      <c r="G8" s="50"/>
      <c r="H8" s="50"/>
      <c r="I8" s="51" t="s">
        <v>77</v>
      </c>
      <c r="J8" s="51"/>
    </row>
    <row r="9" spans="1:15" x14ac:dyDescent="0.3">
      <c r="A9" s="49" t="s">
        <v>12</v>
      </c>
      <c r="B9" s="49"/>
      <c r="C9" s="54"/>
      <c r="D9" s="54"/>
      <c r="E9" s="54"/>
      <c r="F9" s="54"/>
      <c r="G9" s="54"/>
      <c r="H9" s="54"/>
      <c r="I9" s="51" t="s">
        <v>78</v>
      </c>
      <c r="J9" s="51"/>
    </row>
    <row r="10" spans="1:15" x14ac:dyDescent="0.3">
      <c r="A10" s="51"/>
      <c r="B10" s="51"/>
      <c r="C10" s="51"/>
      <c r="D10" s="51"/>
      <c r="E10" s="51"/>
      <c r="F10" s="51"/>
      <c r="G10" s="51"/>
      <c r="H10" s="51"/>
      <c r="I10" s="51"/>
      <c r="J10" s="51"/>
    </row>
    <row r="11" spans="1:15" x14ac:dyDescent="0.3">
      <c r="A11" s="55"/>
      <c r="B11" s="55"/>
      <c r="C11" s="55"/>
      <c r="D11" s="55"/>
      <c r="E11" s="55"/>
      <c r="F11" s="55"/>
      <c r="G11" s="55"/>
      <c r="H11" s="55"/>
      <c r="I11" s="55"/>
      <c r="J11" s="55"/>
    </row>
    <row r="12" spans="1:15" x14ac:dyDescent="0.3">
      <c r="A12" s="56" t="s">
        <v>14</v>
      </c>
      <c r="B12" s="56"/>
      <c r="C12" s="56"/>
      <c r="D12" s="56"/>
      <c r="E12" s="56"/>
      <c r="F12" s="56"/>
      <c r="G12" s="56"/>
      <c r="H12" s="56"/>
      <c r="I12" s="56"/>
      <c r="J12" s="56"/>
    </row>
    <row r="13" spans="1:15" x14ac:dyDescent="0.3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spans="1:15" x14ac:dyDescent="0.3">
      <c r="A14" s="57" t="s">
        <v>15</v>
      </c>
      <c r="B14" s="57"/>
      <c r="C14" s="57"/>
      <c r="D14" s="57"/>
      <c r="E14" s="57"/>
      <c r="F14" s="7" t="s">
        <v>16</v>
      </c>
      <c r="G14" s="7" t="s">
        <v>17</v>
      </c>
      <c r="H14" s="58" t="s">
        <v>18</v>
      </c>
      <c r="I14" s="58"/>
      <c r="J14" s="7" t="s">
        <v>19</v>
      </c>
    </row>
    <row r="15" spans="1:15" x14ac:dyDescent="0.3">
      <c r="A15" s="53" t="s">
        <v>20</v>
      </c>
      <c r="B15" s="53"/>
      <c r="C15" s="53"/>
      <c r="D15" s="53"/>
      <c r="E15" s="53"/>
      <c r="F15" s="53"/>
      <c r="G15" s="53"/>
      <c r="H15" s="53"/>
      <c r="I15" s="53"/>
      <c r="J15" s="53"/>
    </row>
    <row r="16" spans="1:15" x14ac:dyDescent="0.3">
      <c r="A16" s="59" t="s">
        <v>79</v>
      </c>
      <c r="B16" s="59"/>
      <c r="C16" s="59"/>
      <c r="D16" s="59"/>
      <c r="E16" s="59"/>
      <c r="F16" s="8">
        <v>358890752.44</v>
      </c>
      <c r="G16" s="8">
        <v>0</v>
      </c>
      <c r="H16" s="60">
        <v>401147</v>
      </c>
      <c r="I16" s="60"/>
      <c r="J16" s="8">
        <v>358489605.44</v>
      </c>
      <c r="O16" s="9"/>
    </row>
    <row r="17" spans="1:10" ht="15.6" x14ac:dyDescent="0.3">
      <c r="A17" s="59" t="s">
        <v>80</v>
      </c>
      <c r="B17" s="59"/>
      <c r="C17" s="59"/>
      <c r="D17" s="59"/>
      <c r="E17" s="59"/>
      <c r="F17" s="8" t="s">
        <v>81</v>
      </c>
      <c r="G17" s="8">
        <v>0</v>
      </c>
      <c r="H17" s="60" t="s">
        <v>82</v>
      </c>
      <c r="I17" s="60"/>
      <c r="J17" s="8">
        <v>2653079202.46</v>
      </c>
    </row>
    <row r="18" spans="1:10" x14ac:dyDescent="0.3">
      <c r="A18" s="59" t="s">
        <v>83</v>
      </c>
      <c r="B18" s="59"/>
      <c r="C18" s="59"/>
      <c r="D18" s="59"/>
      <c r="E18" s="59"/>
      <c r="F18" s="8">
        <v>2247193.5299999998</v>
      </c>
      <c r="G18" s="8">
        <v>0</v>
      </c>
      <c r="H18" s="60">
        <v>0</v>
      </c>
      <c r="I18" s="60"/>
      <c r="J18" s="8">
        <v>2247193.5299999998</v>
      </c>
    </row>
    <row r="19" spans="1:10" x14ac:dyDescent="0.3">
      <c r="A19" s="59" t="s">
        <v>84</v>
      </c>
      <c r="B19" s="59"/>
      <c r="C19" s="59"/>
      <c r="D19" s="59"/>
      <c r="E19" s="59"/>
      <c r="F19" s="8">
        <v>654545.65</v>
      </c>
      <c r="G19" s="8">
        <v>0</v>
      </c>
      <c r="H19" s="60">
        <v>0</v>
      </c>
      <c r="I19" s="60"/>
      <c r="J19" s="8">
        <v>654545.65</v>
      </c>
    </row>
    <row r="20" spans="1:10" x14ac:dyDescent="0.3">
      <c r="A20" s="59" t="s">
        <v>85</v>
      </c>
      <c r="B20" s="59"/>
      <c r="C20" s="59"/>
      <c r="D20" s="59"/>
      <c r="E20" s="59"/>
      <c r="F20" s="8">
        <v>773074563.47000003</v>
      </c>
      <c r="G20" s="8">
        <v>47603.5</v>
      </c>
      <c r="H20" s="60">
        <v>0</v>
      </c>
      <c r="I20" s="60"/>
      <c r="J20" s="8">
        <v>773122166.97000003</v>
      </c>
    </row>
    <row r="21" spans="1:10" x14ac:dyDescent="0.3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pans="1:10" x14ac:dyDescent="0.3">
      <c r="A22" s="53" t="s">
        <v>26</v>
      </c>
      <c r="B22" s="53"/>
      <c r="C22" s="53"/>
      <c r="D22" s="53"/>
      <c r="E22" s="53"/>
      <c r="F22" s="53"/>
      <c r="G22" s="53"/>
      <c r="H22" s="53"/>
      <c r="I22" s="53"/>
      <c r="J22" s="53"/>
    </row>
    <row r="23" spans="1:10" x14ac:dyDescent="0.3">
      <c r="A23" s="59" t="s">
        <v>86</v>
      </c>
      <c r="B23" s="59"/>
      <c r="C23" s="59"/>
      <c r="D23" s="59"/>
      <c r="E23" s="59"/>
      <c r="F23" s="8">
        <v>4410675.72</v>
      </c>
      <c r="G23" s="8">
        <v>0</v>
      </c>
      <c r="H23" s="60">
        <v>0</v>
      </c>
      <c r="I23" s="60"/>
      <c r="J23" s="8">
        <v>4410675.72</v>
      </c>
    </row>
    <row r="24" spans="1:10" x14ac:dyDescent="0.3">
      <c r="A24" s="59" t="s">
        <v>87</v>
      </c>
      <c r="B24" s="59"/>
      <c r="C24" s="59"/>
      <c r="D24" s="59"/>
      <c r="E24" s="59"/>
      <c r="F24" s="8">
        <v>9853032.5500000007</v>
      </c>
      <c r="G24" s="8">
        <v>0</v>
      </c>
      <c r="H24" s="60">
        <v>0</v>
      </c>
      <c r="I24" s="60"/>
      <c r="J24" s="8">
        <v>9853032.5500000007</v>
      </c>
    </row>
    <row r="25" spans="1:10" x14ac:dyDescent="0.3">
      <c r="A25" s="59" t="s">
        <v>88</v>
      </c>
      <c r="B25" s="59"/>
      <c r="C25" s="59"/>
      <c r="D25" s="59"/>
      <c r="E25" s="59"/>
      <c r="F25" s="8">
        <v>701666</v>
      </c>
      <c r="G25" s="8">
        <v>0</v>
      </c>
      <c r="H25" s="60">
        <v>0</v>
      </c>
      <c r="I25" s="60"/>
      <c r="J25" s="8">
        <v>701666</v>
      </c>
    </row>
    <row r="26" spans="1:10" x14ac:dyDescent="0.3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spans="1:10" x14ac:dyDescent="0.3">
      <c r="A27" s="10" t="s">
        <v>9</v>
      </c>
      <c r="B27" s="61" t="s">
        <v>54</v>
      </c>
      <c r="C27" s="61"/>
      <c r="D27" s="61"/>
      <c r="E27" s="62">
        <f>2419184370.75+1385281189.07</f>
        <v>3804465559.8199997</v>
      </c>
      <c r="F27" s="62"/>
      <c r="G27" s="62">
        <v>47603.5</v>
      </c>
      <c r="H27" s="62">
        <v>1955075</v>
      </c>
      <c r="I27" s="62"/>
      <c r="J27" s="62">
        <f>2417276899.25+1385281189.07</f>
        <v>3802558088.3199997</v>
      </c>
    </row>
    <row r="28" spans="1:10" x14ac:dyDescent="0.3">
      <c r="A28" s="10" t="s">
        <v>33</v>
      </c>
      <c r="B28" s="63"/>
      <c r="C28" s="63"/>
      <c r="D28" s="63"/>
      <c r="E28" s="62"/>
      <c r="F28" s="62"/>
      <c r="G28" s="62"/>
      <c r="H28" s="62"/>
      <c r="I28" s="62"/>
      <c r="J28" s="62"/>
    </row>
    <row r="29" spans="1:10" x14ac:dyDescent="0.3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spans="1:10" x14ac:dyDescent="0.3">
      <c r="A30" s="11" t="s">
        <v>74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3">
      <c r="A31" s="55" t="s">
        <v>146</v>
      </c>
      <c r="B31" s="55"/>
      <c r="C31" s="55"/>
      <c r="D31" s="55"/>
      <c r="E31" s="55"/>
      <c r="F31" s="55"/>
      <c r="G31" s="55"/>
      <c r="H31" s="55"/>
      <c r="I31" s="55"/>
      <c r="J31" s="55"/>
    </row>
    <row r="32" spans="1:10" x14ac:dyDescent="0.3">
      <c r="A32" s="55" t="s">
        <v>89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10" x14ac:dyDescent="0.3">
      <c r="A33" s="55" t="s">
        <v>69</v>
      </c>
      <c r="B33" s="55"/>
      <c r="C33" s="55"/>
      <c r="D33" s="55"/>
      <c r="E33" s="55"/>
      <c r="F33" s="55"/>
      <c r="G33" s="55"/>
      <c r="H33" s="55"/>
      <c r="I33" s="55"/>
      <c r="J33" s="55"/>
    </row>
    <row r="34" spans="1:10" x14ac:dyDescent="0.3">
      <c r="A34" s="55" t="s">
        <v>73</v>
      </c>
      <c r="B34" s="55"/>
      <c r="C34" s="55"/>
      <c r="D34" s="55"/>
      <c r="E34" s="55"/>
      <c r="F34" s="55"/>
      <c r="G34" s="55"/>
      <c r="H34" s="55"/>
      <c r="I34" s="55"/>
      <c r="J34" s="55"/>
    </row>
    <row r="35" spans="1:10" x14ac:dyDescent="0.3">
      <c r="A35" s="6" t="s">
        <v>70</v>
      </c>
    </row>
    <row r="36" spans="1:10" x14ac:dyDescent="0.3">
      <c r="A36" s="6" t="s">
        <v>71</v>
      </c>
    </row>
    <row r="37" spans="1:10" x14ac:dyDescent="0.3">
      <c r="A37" s="6" t="s">
        <v>72</v>
      </c>
    </row>
  </sheetData>
  <mergeCells count="56">
    <mergeCell ref="A29:J29"/>
    <mergeCell ref="A31:J31"/>
    <mergeCell ref="A32:J32"/>
    <mergeCell ref="A33:J33"/>
    <mergeCell ref="A34:J34"/>
    <mergeCell ref="A26:J26"/>
    <mergeCell ref="B27:D27"/>
    <mergeCell ref="E27:F28"/>
    <mergeCell ref="G27:G28"/>
    <mergeCell ref="H27:I28"/>
    <mergeCell ref="J27:J28"/>
    <mergeCell ref="B28:D28"/>
    <mergeCell ref="A23:E23"/>
    <mergeCell ref="H23:I23"/>
    <mergeCell ref="A24:E24"/>
    <mergeCell ref="H24:I24"/>
    <mergeCell ref="A25:E25"/>
    <mergeCell ref="H25:I25"/>
    <mergeCell ref="A22:J22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4290-BCAB-42E7-BBFA-3EAEB1E16963}">
  <dimension ref="A1:V40"/>
  <sheetViews>
    <sheetView view="pageBreakPreview" topLeftCell="C9" zoomScale="130" zoomScaleNormal="100" zoomScaleSheetLayoutView="130" workbookViewId="0">
      <selection sqref="A1:C1"/>
    </sheetView>
  </sheetViews>
  <sheetFormatPr defaultColWidth="9.109375" defaultRowHeight="14.4" x14ac:dyDescent="0.3"/>
  <cols>
    <col min="1" max="1" width="1.6640625" style="14" customWidth="1"/>
    <col min="2" max="2" width="9" style="14" customWidth="1"/>
    <col min="3" max="3" width="44.33203125" style="14" customWidth="1"/>
    <col min="4" max="4" width="1.6640625" style="14" customWidth="1"/>
    <col min="5" max="5" width="19.33203125" style="32" customWidth="1"/>
    <col min="6" max="6" width="1.6640625" style="32" customWidth="1"/>
    <col min="7" max="7" width="20" style="32" customWidth="1"/>
    <col min="8" max="8" width="1.6640625" style="32" customWidth="1"/>
    <col min="9" max="9" width="20.6640625" style="32" customWidth="1"/>
    <col min="10" max="10" width="1.6640625" style="32" customWidth="1"/>
    <col min="11" max="11" width="15.6640625" style="32" customWidth="1"/>
    <col min="12" max="12" width="1.6640625" style="14" customWidth="1"/>
    <col min="13" max="13" width="15.6640625" style="14" customWidth="1"/>
    <col min="14" max="14" width="1.6640625" style="14" customWidth="1"/>
    <col min="15" max="15" width="15.6640625" style="14" customWidth="1"/>
    <col min="16" max="16" width="1.6640625" style="14" customWidth="1"/>
    <col min="17" max="17" width="15.6640625" style="14" customWidth="1"/>
    <col min="18" max="18" width="1.6640625" style="14" customWidth="1"/>
    <col min="19" max="19" width="15.6640625" style="14" customWidth="1"/>
    <col min="20" max="20" width="21.109375" style="14" customWidth="1"/>
    <col min="21" max="21" width="1.6640625" style="14" customWidth="1"/>
    <col min="22" max="22" width="22.88671875" style="14" customWidth="1"/>
    <col min="23" max="16384" width="9.109375" style="14"/>
  </cols>
  <sheetData>
    <row r="1" spans="1:22" x14ac:dyDescent="0.3">
      <c r="A1" s="13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x14ac:dyDescent="0.3">
      <c r="A2" s="13" t="s">
        <v>91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x14ac:dyDescent="0.3">
      <c r="A3" s="13" t="s">
        <v>92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x14ac:dyDescent="0.3">
      <c r="A4" s="13" t="s">
        <v>93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x14ac:dyDescent="0.3">
      <c r="A5" s="13" t="s">
        <v>94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3">
      <c r="A6" s="15"/>
      <c r="B6" s="15"/>
      <c r="C6" s="15"/>
      <c r="D6" s="15"/>
      <c r="E6" s="16"/>
      <c r="F6" s="16"/>
      <c r="G6" s="16"/>
      <c r="H6" s="16"/>
      <c r="I6" s="16"/>
      <c r="J6" s="16"/>
      <c r="K6" s="16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15" thickBot="1" x14ac:dyDescent="0.35">
      <c r="A7" s="15"/>
      <c r="B7" s="15"/>
      <c r="C7" s="15"/>
      <c r="D7" s="15"/>
      <c r="E7" s="16"/>
      <c r="F7" s="16"/>
      <c r="G7" s="16"/>
      <c r="H7" s="16"/>
      <c r="I7" s="16"/>
      <c r="J7" s="17"/>
      <c r="K7" s="18" t="s">
        <v>95</v>
      </c>
      <c r="L7" s="18"/>
      <c r="M7" s="18"/>
      <c r="N7" s="18"/>
      <c r="O7" s="18"/>
      <c r="P7" s="18"/>
      <c r="Q7" s="18"/>
      <c r="R7" s="18"/>
      <c r="S7" s="18"/>
      <c r="T7" s="18"/>
      <c r="U7" s="15"/>
      <c r="V7" s="15"/>
    </row>
    <row r="8" spans="1:22" x14ac:dyDescent="0.3">
      <c r="A8" s="15"/>
      <c r="B8" s="15"/>
      <c r="C8" s="15"/>
      <c r="D8" s="15"/>
      <c r="E8" s="19" t="s">
        <v>96</v>
      </c>
      <c r="F8" s="20"/>
      <c r="G8" s="19" t="s">
        <v>97</v>
      </c>
      <c r="H8" s="20"/>
      <c r="I8" s="19" t="s">
        <v>98</v>
      </c>
      <c r="J8" s="21"/>
      <c r="K8" s="19" t="s">
        <v>99</v>
      </c>
      <c r="L8" s="15"/>
      <c r="M8" s="19" t="s">
        <v>100</v>
      </c>
      <c r="N8" s="20"/>
      <c r="O8" s="19" t="s">
        <v>101</v>
      </c>
      <c r="P8" s="20"/>
      <c r="Q8" s="19" t="s">
        <v>102</v>
      </c>
      <c r="R8" s="20"/>
      <c r="S8" s="19" t="s">
        <v>103</v>
      </c>
      <c r="T8" s="19" t="s">
        <v>104</v>
      </c>
      <c r="U8" s="20"/>
      <c r="V8" s="19" t="s">
        <v>105</v>
      </c>
    </row>
    <row r="9" spans="1:22" ht="102.6" x14ac:dyDescent="0.3">
      <c r="A9" s="22"/>
      <c r="B9" s="15"/>
      <c r="C9" s="15"/>
      <c r="D9" s="15"/>
      <c r="E9" s="23" t="s">
        <v>106</v>
      </c>
      <c r="F9" s="20"/>
      <c r="G9" s="23" t="s">
        <v>107</v>
      </c>
      <c r="H9" s="20"/>
      <c r="I9" s="24" t="s">
        <v>108</v>
      </c>
      <c r="J9" s="21"/>
      <c r="K9" s="23" t="s">
        <v>109</v>
      </c>
      <c r="L9" s="20"/>
      <c r="M9" s="23" t="s">
        <v>110</v>
      </c>
      <c r="N9" s="15"/>
      <c r="O9" s="23" t="s">
        <v>111</v>
      </c>
      <c r="P9" s="15"/>
      <c r="Q9" s="23" t="s">
        <v>112</v>
      </c>
      <c r="R9" s="15"/>
      <c r="S9" s="23" t="s">
        <v>113</v>
      </c>
      <c r="T9" s="23" t="s">
        <v>114</v>
      </c>
      <c r="U9" s="15"/>
      <c r="V9" s="23" t="s">
        <v>115</v>
      </c>
    </row>
    <row r="10" spans="1:22" x14ac:dyDescent="0.3">
      <c r="A10" s="15"/>
      <c r="B10" s="15"/>
      <c r="C10" s="15"/>
      <c r="D10" s="15"/>
      <c r="E10" s="16"/>
      <c r="F10" s="16"/>
      <c r="G10" s="16"/>
      <c r="H10" s="16"/>
      <c r="I10" s="16"/>
      <c r="J10" s="17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x14ac:dyDescent="0.3">
      <c r="A11" s="22" t="s">
        <v>20</v>
      </c>
      <c r="B11" s="15"/>
      <c r="C11" s="15"/>
      <c r="D11" s="15"/>
      <c r="E11" s="16"/>
      <c r="F11" s="16"/>
      <c r="G11" s="16"/>
      <c r="H11" s="16"/>
      <c r="I11" s="16"/>
      <c r="J11" s="17"/>
      <c r="K11" s="16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x14ac:dyDescent="0.3">
      <c r="A12" s="15"/>
      <c r="B12" s="15" t="s">
        <v>116</v>
      </c>
      <c r="C12" s="15"/>
      <c r="D12" s="15"/>
      <c r="E12" s="25"/>
      <c r="F12" s="25"/>
      <c r="G12" s="25"/>
      <c r="H12" s="25"/>
      <c r="I12" s="26"/>
      <c r="J12" s="27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6">
        <f t="shared" ref="V12:V17" si="0">SUM(K12:T12)</f>
        <v>0</v>
      </c>
    </row>
    <row r="13" spans="1:22" x14ac:dyDescent="0.3">
      <c r="A13" s="15"/>
      <c r="B13" s="15" t="s">
        <v>117</v>
      </c>
      <c r="C13" s="15"/>
      <c r="D13" s="15"/>
      <c r="E13" s="25">
        <v>1269351941.3900001</v>
      </c>
      <c r="F13" s="25"/>
      <c r="G13" s="25">
        <f>E13+1385281189.07</f>
        <v>2654633130.46</v>
      </c>
      <c r="H13" s="25"/>
      <c r="I13" s="26">
        <f>G13-E13</f>
        <v>1385281189.0699999</v>
      </c>
      <c r="J13" s="27"/>
      <c r="K13" s="25"/>
      <c r="L13" s="25"/>
      <c r="M13" s="25"/>
      <c r="N13" s="25"/>
      <c r="O13" s="25"/>
      <c r="P13" s="25"/>
      <c r="Q13" s="25"/>
      <c r="R13" s="25"/>
      <c r="S13" s="25"/>
      <c r="T13" s="25">
        <v>1385281189.0699999</v>
      </c>
      <c r="U13" s="25"/>
      <c r="V13" s="26">
        <f>SUM(K13:T13)</f>
        <v>1385281189.0699999</v>
      </c>
    </row>
    <row r="14" spans="1:22" x14ac:dyDescent="0.3">
      <c r="A14" s="15"/>
      <c r="B14" s="15" t="s">
        <v>118</v>
      </c>
      <c r="C14" s="15"/>
      <c r="D14" s="15"/>
      <c r="E14" s="25"/>
      <c r="F14" s="25"/>
      <c r="G14" s="25"/>
      <c r="H14" s="25"/>
      <c r="I14" s="26"/>
      <c r="J14" s="27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>
        <f t="shared" si="0"/>
        <v>0</v>
      </c>
    </row>
    <row r="15" spans="1:22" x14ac:dyDescent="0.3">
      <c r="A15" s="15"/>
      <c r="B15" s="15" t="s">
        <v>119</v>
      </c>
      <c r="C15" s="15"/>
      <c r="D15" s="15"/>
      <c r="E15" s="25"/>
      <c r="F15" s="25"/>
      <c r="G15" s="25"/>
      <c r="H15" s="25"/>
      <c r="I15" s="26"/>
      <c r="J15" s="27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6">
        <f t="shared" si="0"/>
        <v>0</v>
      </c>
    </row>
    <row r="16" spans="1:22" x14ac:dyDescent="0.3">
      <c r="A16" s="15"/>
      <c r="B16" s="15" t="s">
        <v>120</v>
      </c>
      <c r="C16" s="15"/>
      <c r="D16" s="15"/>
      <c r="E16" s="25"/>
      <c r="F16" s="25"/>
      <c r="G16" s="25"/>
      <c r="H16" s="25"/>
      <c r="I16" s="26"/>
      <c r="J16" s="27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6">
        <f t="shared" si="0"/>
        <v>0</v>
      </c>
    </row>
    <row r="17" spans="1:22" x14ac:dyDescent="0.3">
      <c r="A17" s="15"/>
      <c r="B17" s="15" t="s">
        <v>121</v>
      </c>
      <c r="C17" s="15"/>
      <c r="D17" s="15"/>
      <c r="E17" s="25"/>
      <c r="F17" s="25"/>
      <c r="G17" s="25"/>
      <c r="H17" s="25"/>
      <c r="I17" s="26"/>
      <c r="J17" s="27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6">
        <f t="shared" si="0"/>
        <v>0</v>
      </c>
    </row>
    <row r="18" spans="1:22" x14ac:dyDescent="0.3">
      <c r="A18" s="22" t="s">
        <v>26</v>
      </c>
      <c r="B18" s="15"/>
      <c r="C18" s="15"/>
      <c r="D18" s="15"/>
      <c r="E18" s="25"/>
      <c r="F18" s="25"/>
      <c r="G18" s="25"/>
      <c r="H18" s="25"/>
      <c r="I18" s="26"/>
      <c r="J18" s="27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6"/>
    </row>
    <row r="19" spans="1:22" x14ac:dyDescent="0.3">
      <c r="A19" s="15"/>
      <c r="B19" s="15" t="s">
        <v>122</v>
      </c>
      <c r="C19" s="15"/>
      <c r="D19" s="15"/>
      <c r="E19" s="25"/>
      <c r="F19" s="25"/>
      <c r="G19" s="25"/>
      <c r="H19" s="25"/>
      <c r="I19" s="26"/>
      <c r="J19" s="27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6">
        <f t="shared" ref="V19:V29" si="1">SUM(K19:T19)</f>
        <v>0</v>
      </c>
    </row>
    <row r="20" spans="1:22" x14ac:dyDescent="0.3">
      <c r="A20" s="15"/>
      <c r="B20" s="15" t="s">
        <v>123</v>
      </c>
      <c r="C20" s="15"/>
      <c r="D20" s="15"/>
      <c r="E20" s="25"/>
      <c r="F20" s="25"/>
      <c r="G20" s="25"/>
      <c r="H20" s="25"/>
      <c r="I20" s="26"/>
      <c r="J20" s="27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6">
        <f t="shared" si="1"/>
        <v>0</v>
      </c>
    </row>
    <row r="21" spans="1:22" x14ac:dyDescent="0.3">
      <c r="A21" s="15"/>
      <c r="B21" s="15" t="s">
        <v>124</v>
      </c>
      <c r="C21" s="15"/>
      <c r="D21" s="15"/>
      <c r="E21" s="25"/>
      <c r="F21" s="25"/>
      <c r="G21" s="25"/>
      <c r="H21" s="25"/>
      <c r="I21" s="26"/>
      <c r="J21" s="27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6">
        <f t="shared" si="1"/>
        <v>0</v>
      </c>
    </row>
    <row r="22" spans="1:22" x14ac:dyDescent="0.3">
      <c r="A22" s="15"/>
      <c r="B22" s="15" t="s">
        <v>125</v>
      </c>
      <c r="C22" s="15"/>
      <c r="D22" s="15"/>
      <c r="E22" s="25"/>
      <c r="F22" s="25"/>
      <c r="G22" s="25"/>
      <c r="H22" s="25"/>
      <c r="I22" s="26"/>
      <c r="J22" s="27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6">
        <f t="shared" si="1"/>
        <v>0</v>
      </c>
    </row>
    <row r="23" spans="1:22" x14ac:dyDescent="0.3">
      <c r="A23" s="15"/>
      <c r="B23" s="15" t="s">
        <v>126</v>
      </c>
      <c r="C23" s="15"/>
      <c r="D23" s="15"/>
      <c r="E23" s="25"/>
      <c r="F23" s="25"/>
      <c r="G23" s="25"/>
      <c r="H23" s="25"/>
      <c r="I23" s="26"/>
      <c r="J23" s="27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6">
        <f t="shared" si="1"/>
        <v>0</v>
      </c>
    </row>
    <row r="24" spans="1:22" x14ac:dyDescent="0.3">
      <c r="A24" s="15"/>
      <c r="B24" s="15" t="s">
        <v>127</v>
      </c>
      <c r="C24" s="15"/>
      <c r="D24" s="15"/>
      <c r="E24" s="25"/>
      <c r="F24" s="25"/>
      <c r="G24" s="25"/>
      <c r="H24" s="25"/>
      <c r="I24" s="26"/>
      <c r="J24" s="27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6">
        <f t="shared" si="1"/>
        <v>0</v>
      </c>
    </row>
    <row r="25" spans="1:22" x14ac:dyDescent="0.3">
      <c r="A25" s="15"/>
      <c r="B25" s="15" t="s">
        <v>128</v>
      </c>
      <c r="C25" s="15"/>
      <c r="D25" s="15"/>
      <c r="E25" s="25"/>
      <c r="F25" s="25"/>
      <c r="G25" s="25"/>
      <c r="H25" s="25"/>
      <c r="I25" s="26"/>
      <c r="J25" s="27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6">
        <f t="shared" si="1"/>
        <v>0</v>
      </c>
    </row>
    <row r="26" spans="1:22" x14ac:dyDescent="0.3">
      <c r="A26" s="15"/>
      <c r="B26" s="15" t="s">
        <v>129</v>
      </c>
      <c r="C26" s="15"/>
      <c r="D26" s="15"/>
      <c r="E26" s="25"/>
      <c r="F26" s="25"/>
      <c r="G26" s="25"/>
      <c r="H26" s="25"/>
      <c r="I26" s="26"/>
      <c r="J26" s="27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6">
        <f t="shared" si="1"/>
        <v>0</v>
      </c>
    </row>
    <row r="27" spans="1:22" x14ac:dyDescent="0.3">
      <c r="A27" s="15"/>
      <c r="B27" s="15" t="s">
        <v>130</v>
      </c>
      <c r="C27" s="15"/>
      <c r="D27" s="15"/>
      <c r="E27" s="25"/>
      <c r="F27" s="25"/>
      <c r="G27" s="25"/>
      <c r="H27" s="25"/>
      <c r="I27" s="26">
        <f>G27-E27</f>
        <v>0</v>
      </c>
      <c r="J27" s="27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6">
        <f t="shared" si="1"/>
        <v>0</v>
      </c>
    </row>
    <row r="28" spans="1:22" x14ac:dyDescent="0.3">
      <c r="A28" s="15"/>
      <c r="B28" s="15" t="s">
        <v>131</v>
      </c>
      <c r="C28" s="15"/>
      <c r="D28" s="15"/>
      <c r="E28" s="25"/>
      <c r="F28" s="25"/>
      <c r="G28" s="25"/>
      <c r="H28" s="25"/>
      <c r="I28" s="26"/>
      <c r="J28" s="27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6">
        <f t="shared" si="1"/>
        <v>0</v>
      </c>
    </row>
    <row r="29" spans="1:22" x14ac:dyDescent="0.3">
      <c r="A29" s="15"/>
      <c r="B29" s="15" t="s">
        <v>132</v>
      </c>
      <c r="C29" s="15"/>
      <c r="D29" s="15"/>
      <c r="E29" s="28"/>
      <c r="F29" s="25"/>
      <c r="G29" s="28"/>
      <c r="H29" s="25"/>
      <c r="I29" s="26"/>
      <c r="J29" s="27"/>
      <c r="K29" s="2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6">
        <f t="shared" si="1"/>
        <v>0</v>
      </c>
    </row>
    <row r="30" spans="1:22" ht="15" thickBot="1" x14ac:dyDescent="0.35">
      <c r="A30" s="29" t="s">
        <v>133</v>
      </c>
      <c r="E30" s="30">
        <f>SUM(E12:E29)</f>
        <v>1269351941.3900001</v>
      </c>
      <c r="F30" s="26"/>
      <c r="G30" s="30">
        <f>SUM(G12:G29)</f>
        <v>2654633130.46</v>
      </c>
      <c r="H30" s="26"/>
      <c r="I30" s="30">
        <f>SUM(I12:I29)</f>
        <v>1385281189.0699999</v>
      </c>
      <c r="J30" s="31"/>
      <c r="K30" s="30">
        <f>SUM(K12:K29)</f>
        <v>0</v>
      </c>
      <c r="L30" s="26"/>
      <c r="M30" s="30">
        <f>SUM(M12:M29)</f>
        <v>0</v>
      </c>
      <c r="N30" s="26"/>
      <c r="O30" s="30">
        <f>SUM(O12:O29)</f>
        <v>0</v>
      </c>
      <c r="P30" s="26"/>
      <c r="Q30" s="30">
        <f>SUM(Q12:Q29)</f>
        <v>0</v>
      </c>
      <c r="R30" s="26"/>
      <c r="S30" s="30">
        <f>SUM(S12:S29)</f>
        <v>0</v>
      </c>
      <c r="T30" s="30">
        <f>SUM(T12:T29)</f>
        <v>1385281189.0699999</v>
      </c>
      <c r="U30" s="26"/>
      <c r="V30" s="30">
        <f>SUM(V12:V29)</f>
        <v>1385281189.0699999</v>
      </c>
    </row>
    <row r="31" spans="1:22" ht="15" thickTop="1" x14ac:dyDescent="0.3">
      <c r="A31" s="15"/>
      <c r="B31" s="15"/>
      <c r="C31" s="15"/>
      <c r="D31" s="15"/>
      <c r="E31" s="16"/>
      <c r="F31" s="16"/>
      <c r="G31" s="16"/>
      <c r="H31" s="16"/>
      <c r="I31" s="16"/>
      <c r="J31" s="16"/>
      <c r="K31" s="16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3">
      <c r="A32" s="15"/>
      <c r="B32" s="15"/>
      <c r="C32" s="15"/>
      <c r="D32" s="15"/>
      <c r="E32" s="16"/>
      <c r="F32" s="16"/>
      <c r="G32" s="16"/>
      <c r="H32" s="16"/>
      <c r="I32" s="16"/>
      <c r="J32" s="16"/>
      <c r="K32" s="16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3">
      <c r="A33" s="15" t="s">
        <v>134</v>
      </c>
      <c r="B33" s="15"/>
      <c r="C33" s="15"/>
      <c r="D33" s="15"/>
      <c r="E33" s="16"/>
      <c r="F33" s="16"/>
      <c r="G33" s="16"/>
      <c r="H33" s="16"/>
      <c r="I33" s="16"/>
      <c r="J33" s="16"/>
      <c r="K33" s="16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3">
      <c r="A34" s="15" t="s">
        <v>135</v>
      </c>
      <c r="B34" s="15"/>
      <c r="C34" s="15" t="s">
        <v>136</v>
      </c>
      <c r="D34" s="15"/>
      <c r="E34" s="16"/>
      <c r="F34" s="16"/>
      <c r="G34" s="16"/>
      <c r="H34" s="16"/>
      <c r="I34" s="16"/>
      <c r="J34" s="16"/>
      <c r="K34" s="16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3">
      <c r="A35" s="15" t="s">
        <v>137</v>
      </c>
      <c r="B35" s="15"/>
      <c r="C35" s="15" t="s">
        <v>138</v>
      </c>
      <c r="D35" s="15"/>
      <c r="E35" s="16"/>
      <c r="F35" s="16"/>
      <c r="G35" s="16"/>
      <c r="H35" s="16"/>
      <c r="I35" s="16"/>
      <c r="J35" s="16"/>
      <c r="K35" s="16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3">
      <c r="A36" s="15" t="s">
        <v>139</v>
      </c>
      <c r="B36" s="15"/>
      <c r="C36" s="15" t="s">
        <v>140</v>
      </c>
      <c r="D36" s="15"/>
      <c r="E36" s="16"/>
      <c r="F36" s="16"/>
      <c r="G36" s="16"/>
      <c r="H36" s="16"/>
      <c r="I36" s="16"/>
      <c r="J36" s="16"/>
      <c r="K36" s="16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3">
      <c r="A37" s="15"/>
      <c r="B37" s="15"/>
      <c r="C37" s="15" t="s">
        <v>141</v>
      </c>
      <c r="D37" s="15"/>
      <c r="E37" s="16"/>
      <c r="F37" s="16"/>
      <c r="G37" s="16"/>
      <c r="H37" s="16"/>
      <c r="I37" s="16"/>
      <c r="J37" s="16"/>
      <c r="K37" s="16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3">
      <c r="A38" s="15" t="s">
        <v>142</v>
      </c>
      <c r="B38" s="15"/>
      <c r="C38" s="15" t="s">
        <v>143</v>
      </c>
      <c r="D38" s="15"/>
      <c r="E38" s="16"/>
      <c r="F38" s="16"/>
      <c r="G38" s="16"/>
      <c r="H38" s="16"/>
      <c r="I38" s="16"/>
      <c r="J38" s="16"/>
      <c r="K38" s="16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x14ac:dyDescent="0.3">
      <c r="A39" s="15" t="s">
        <v>144</v>
      </c>
      <c r="B39" s="15"/>
      <c r="C39" s="15" t="s">
        <v>145</v>
      </c>
      <c r="D39" s="15"/>
      <c r="E39" s="16"/>
      <c r="F39" s="16"/>
      <c r="G39" s="16"/>
      <c r="H39" s="16"/>
      <c r="I39" s="16"/>
      <c r="J39" s="16"/>
      <c r="K39" s="16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x14ac:dyDescent="0.3">
      <c r="A40" s="15"/>
      <c r="B40" s="15"/>
      <c r="C40" s="15"/>
      <c r="D40" s="15"/>
      <c r="E40" s="16"/>
      <c r="F40" s="16"/>
      <c r="G40" s="16"/>
      <c r="H40" s="16"/>
      <c r="I40" s="16"/>
      <c r="J40" s="16"/>
      <c r="K40" s="16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printOptions horizontalCentered="1"/>
  <pageMargins left="0" right="0" top="0.75" bottom="0.75" header="0.3" footer="0.3"/>
  <pageSetup scale="53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710F-33E7-486F-8A13-D7E5B24697EE}">
  <dimension ref="A1:O36"/>
  <sheetViews>
    <sheetView showGridLines="0" tabSelected="1" workbookViewId="0">
      <selection activeCell="I7" sqref="I7:J7"/>
    </sheetView>
  </sheetViews>
  <sheetFormatPr defaultColWidth="8.88671875" defaultRowHeight="14.4" x14ac:dyDescent="0.3"/>
  <cols>
    <col min="1" max="1" width="12.33203125" style="6" customWidth="1"/>
    <col min="2" max="2" width="5.33203125" style="6" customWidth="1"/>
    <col min="3" max="3" width="7.6640625" style="6" customWidth="1"/>
    <col min="4" max="4" width="4.5546875" style="6" customWidth="1"/>
    <col min="5" max="5" width="19" style="6" customWidth="1"/>
    <col min="6" max="6" width="20.5546875" style="6" customWidth="1"/>
    <col min="7" max="7" width="16.6640625" style="6" customWidth="1"/>
    <col min="8" max="8" width="14.44140625" style="6" customWidth="1"/>
    <col min="9" max="9" width="3" style="6" customWidth="1"/>
    <col min="10" max="10" width="22.33203125" style="6" customWidth="1"/>
    <col min="11" max="11" width="8.88671875" style="6"/>
    <col min="12" max="12" width="13.44140625" style="6" bestFit="1" customWidth="1"/>
    <col min="13" max="14" width="8.88671875" style="6"/>
    <col min="15" max="15" width="9.5546875" style="6" bestFit="1" customWidth="1"/>
    <col min="16" max="16384" width="8.88671875" style="6"/>
  </cols>
  <sheetData>
    <row r="1" spans="1:15" x14ac:dyDescent="0.3">
      <c r="A1" s="51"/>
      <c r="B1" s="51"/>
      <c r="C1" s="51"/>
      <c r="D1" s="51"/>
      <c r="E1" s="51"/>
      <c r="F1" s="51"/>
      <c r="G1" s="51"/>
      <c r="H1" s="51"/>
      <c r="I1" s="51" t="s">
        <v>75</v>
      </c>
      <c r="J1" s="51"/>
    </row>
    <row r="2" spans="1:15" x14ac:dyDescent="0.3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5" x14ac:dyDescent="0.3">
      <c r="A3" s="52" t="s">
        <v>2</v>
      </c>
      <c r="B3" s="52"/>
      <c r="C3" s="52"/>
      <c r="D3" s="52"/>
      <c r="E3" s="52"/>
      <c r="F3" s="52"/>
      <c r="G3" s="52"/>
      <c r="H3" s="52"/>
      <c r="I3" s="52"/>
      <c r="J3" s="52"/>
    </row>
    <row r="4" spans="1:15" x14ac:dyDescent="0.3">
      <c r="A4" s="52" t="s">
        <v>52</v>
      </c>
      <c r="B4" s="52"/>
      <c r="C4" s="52"/>
      <c r="D4" s="52"/>
      <c r="E4" s="52"/>
      <c r="F4" s="52"/>
      <c r="G4" s="52"/>
      <c r="H4" s="52"/>
      <c r="I4" s="52"/>
      <c r="J4" s="52"/>
    </row>
    <row r="5" spans="1:15" x14ac:dyDescent="0.3">
      <c r="A5" s="52" t="s">
        <v>4</v>
      </c>
      <c r="B5" s="52"/>
      <c r="C5" s="52"/>
      <c r="D5" s="52"/>
      <c r="E5" s="52"/>
      <c r="F5" s="52"/>
      <c r="G5" s="52"/>
      <c r="H5" s="52"/>
      <c r="I5" s="52"/>
      <c r="J5" s="52"/>
    </row>
    <row r="6" spans="1:15" x14ac:dyDescent="0.3">
      <c r="A6" s="52" t="s">
        <v>5</v>
      </c>
      <c r="B6" s="52"/>
      <c r="C6" s="52"/>
      <c r="D6" s="52"/>
      <c r="E6" s="52"/>
      <c r="F6" s="52"/>
      <c r="G6" s="52"/>
      <c r="H6" s="52"/>
      <c r="I6" s="52"/>
      <c r="J6" s="52"/>
    </row>
    <row r="7" spans="1:15" x14ac:dyDescent="0.3">
      <c r="A7" s="49" t="s">
        <v>6</v>
      </c>
      <c r="B7" s="49"/>
      <c r="C7" s="50" t="s">
        <v>7</v>
      </c>
      <c r="D7" s="50"/>
      <c r="E7" s="50"/>
      <c r="F7" s="50"/>
      <c r="G7" s="50"/>
      <c r="H7" s="50"/>
      <c r="I7" s="51" t="s">
        <v>76</v>
      </c>
      <c r="J7" s="51"/>
    </row>
    <row r="8" spans="1:15" x14ac:dyDescent="0.3">
      <c r="A8" s="49" t="s">
        <v>9</v>
      </c>
      <c r="B8" s="49"/>
      <c r="C8" s="50" t="s">
        <v>53</v>
      </c>
      <c r="D8" s="50"/>
      <c r="E8" s="50"/>
      <c r="F8" s="50"/>
      <c r="G8" s="50"/>
      <c r="H8" s="50"/>
      <c r="I8" s="51" t="s">
        <v>77</v>
      </c>
      <c r="J8" s="51"/>
    </row>
    <row r="9" spans="1:15" x14ac:dyDescent="0.3">
      <c r="A9" s="49" t="s">
        <v>12</v>
      </c>
      <c r="B9" s="49"/>
      <c r="C9" s="54"/>
      <c r="D9" s="54"/>
      <c r="E9" s="54"/>
      <c r="F9" s="54"/>
      <c r="G9" s="54"/>
      <c r="H9" s="54"/>
      <c r="I9" s="51" t="s">
        <v>78</v>
      </c>
      <c r="J9" s="51"/>
    </row>
    <row r="10" spans="1:15" x14ac:dyDescent="0.3">
      <c r="A10" s="51"/>
      <c r="B10" s="51"/>
      <c r="C10" s="51"/>
      <c r="D10" s="51"/>
      <c r="E10" s="51"/>
      <c r="F10" s="51"/>
      <c r="G10" s="51"/>
      <c r="H10" s="51"/>
      <c r="I10" s="51"/>
      <c r="J10" s="51"/>
    </row>
    <row r="11" spans="1:15" x14ac:dyDescent="0.3">
      <c r="A11" s="55"/>
      <c r="B11" s="55"/>
      <c r="C11" s="55"/>
      <c r="D11" s="55"/>
      <c r="E11" s="55"/>
      <c r="F11" s="55"/>
      <c r="G11" s="55"/>
      <c r="H11" s="55"/>
      <c r="I11" s="55"/>
      <c r="J11" s="55"/>
    </row>
    <row r="12" spans="1:15" x14ac:dyDescent="0.3">
      <c r="A12" s="56" t="s">
        <v>14</v>
      </c>
      <c r="B12" s="56"/>
      <c r="C12" s="56"/>
      <c r="D12" s="56"/>
      <c r="E12" s="56"/>
      <c r="F12" s="56"/>
      <c r="G12" s="56"/>
      <c r="H12" s="56"/>
      <c r="I12" s="56"/>
      <c r="J12" s="56"/>
    </row>
    <row r="13" spans="1:15" x14ac:dyDescent="0.3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spans="1:15" x14ac:dyDescent="0.3">
      <c r="A14" s="57" t="s">
        <v>15</v>
      </c>
      <c r="B14" s="57"/>
      <c r="C14" s="57"/>
      <c r="D14" s="57"/>
      <c r="E14" s="57"/>
      <c r="F14" s="7" t="s">
        <v>16</v>
      </c>
      <c r="G14" s="7" t="s">
        <v>17</v>
      </c>
      <c r="H14" s="58" t="s">
        <v>18</v>
      </c>
      <c r="I14" s="58"/>
      <c r="J14" s="7" t="s">
        <v>19</v>
      </c>
    </row>
    <row r="15" spans="1:15" x14ac:dyDescent="0.3">
      <c r="A15" s="53" t="s">
        <v>20</v>
      </c>
      <c r="B15" s="53"/>
      <c r="C15" s="53"/>
      <c r="D15" s="53"/>
      <c r="E15" s="53"/>
      <c r="F15" s="53"/>
      <c r="G15" s="53"/>
      <c r="H15" s="53"/>
      <c r="I15" s="53"/>
      <c r="J15" s="53"/>
    </row>
    <row r="16" spans="1:15" x14ac:dyDescent="0.3">
      <c r="A16" s="59" t="s">
        <v>79</v>
      </c>
      <c r="B16" s="59"/>
      <c r="C16" s="59"/>
      <c r="D16" s="59"/>
      <c r="E16" s="59"/>
      <c r="F16" s="8">
        <v>358890752.44</v>
      </c>
      <c r="G16" s="8">
        <v>0</v>
      </c>
      <c r="H16" s="60">
        <v>401147</v>
      </c>
      <c r="I16" s="60"/>
      <c r="J16" s="8">
        <v>358489605.44</v>
      </c>
      <c r="O16" s="9"/>
    </row>
    <row r="17" spans="1:12" x14ac:dyDescent="0.3">
      <c r="A17" s="59" t="s">
        <v>80</v>
      </c>
      <c r="B17" s="59"/>
      <c r="C17" s="59"/>
      <c r="D17" s="59"/>
      <c r="E17" s="59"/>
      <c r="F17" s="8">
        <v>2221383362.6599998</v>
      </c>
      <c r="G17" s="8">
        <v>0</v>
      </c>
      <c r="H17" s="60" t="s">
        <v>148</v>
      </c>
      <c r="I17" s="60"/>
      <c r="J17" s="8">
        <f>F17-1553928</f>
        <v>2219829434.6599998</v>
      </c>
      <c r="L17" s="9"/>
    </row>
    <row r="18" spans="1:12" x14ac:dyDescent="0.3">
      <c r="A18" s="59" t="s">
        <v>83</v>
      </c>
      <c r="B18" s="59"/>
      <c r="C18" s="59"/>
      <c r="D18" s="59"/>
      <c r="E18" s="59"/>
      <c r="F18" s="8">
        <v>2247193.5299999998</v>
      </c>
      <c r="G18" s="8">
        <v>0</v>
      </c>
      <c r="H18" s="60">
        <v>0</v>
      </c>
      <c r="I18" s="60"/>
      <c r="J18" s="8">
        <v>2247193.5299999998</v>
      </c>
    </row>
    <row r="19" spans="1:12" x14ac:dyDescent="0.3">
      <c r="A19" s="59" t="s">
        <v>84</v>
      </c>
      <c r="B19" s="59"/>
      <c r="C19" s="59"/>
      <c r="D19" s="59"/>
      <c r="E19" s="59"/>
      <c r="F19" s="8">
        <v>654545.65</v>
      </c>
      <c r="G19" s="8">
        <v>0</v>
      </c>
      <c r="H19" s="60">
        <v>0</v>
      </c>
      <c r="I19" s="60"/>
      <c r="J19" s="8">
        <v>654545.65</v>
      </c>
    </row>
    <row r="20" spans="1:12" x14ac:dyDescent="0.3">
      <c r="A20" s="59" t="s">
        <v>85</v>
      </c>
      <c r="B20" s="59"/>
      <c r="C20" s="59"/>
      <c r="D20" s="59"/>
      <c r="E20" s="59"/>
      <c r="F20" s="8">
        <v>773074563.47000003</v>
      </c>
      <c r="G20" s="8">
        <v>47603.5</v>
      </c>
      <c r="H20" s="60">
        <v>0</v>
      </c>
      <c r="I20" s="60"/>
      <c r="J20" s="8">
        <v>773122166.97000003</v>
      </c>
    </row>
    <row r="21" spans="1:12" x14ac:dyDescent="0.3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pans="1:12" x14ac:dyDescent="0.3">
      <c r="A22" s="53" t="s">
        <v>26</v>
      </c>
      <c r="B22" s="53"/>
      <c r="C22" s="53"/>
      <c r="D22" s="53"/>
      <c r="E22" s="53"/>
      <c r="F22" s="53"/>
      <c r="G22" s="53"/>
      <c r="H22" s="53"/>
      <c r="I22" s="53"/>
      <c r="J22" s="53"/>
    </row>
    <row r="23" spans="1:12" x14ac:dyDescent="0.3">
      <c r="A23" s="59" t="s">
        <v>86</v>
      </c>
      <c r="B23" s="59"/>
      <c r="C23" s="59"/>
      <c r="D23" s="59"/>
      <c r="E23" s="59"/>
      <c r="F23" s="8">
        <v>4410675.72</v>
      </c>
      <c r="G23" s="8">
        <v>0</v>
      </c>
      <c r="H23" s="60">
        <v>0</v>
      </c>
      <c r="I23" s="60"/>
      <c r="J23" s="8">
        <v>4410675.72</v>
      </c>
    </row>
    <row r="24" spans="1:12" x14ac:dyDescent="0.3">
      <c r="A24" s="59" t="s">
        <v>87</v>
      </c>
      <c r="B24" s="59"/>
      <c r="C24" s="59"/>
      <c r="D24" s="59"/>
      <c r="E24" s="59"/>
      <c r="F24" s="8">
        <v>9853032.5500000007</v>
      </c>
      <c r="G24" s="8">
        <v>0</v>
      </c>
      <c r="H24" s="60">
        <v>0</v>
      </c>
      <c r="I24" s="60"/>
      <c r="J24" s="8">
        <v>9853032.5500000007</v>
      </c>
    </row>
    <row r="25" spans="1:12" x14ac:dyDescent="0.3">
      <c r="A25" s="59" t="s">
        <v>88</v>
      </c>
      <c r="B25" s="59"/>
      <c r="C25" s="59"/>
      <c r="D25" s="59"/>
      <c r="E25" s="59"/>
      <c r="F25" s="8">
        <v>701666</v>
      </c>
      <c r="G25" s="8">
        <v>0</v>
      </c>
      <c r="H25" s="60">
        <v>0</v>
      </c>
      <c r="I25" s="60"/>
      <c r="J25" s="8">
        <v>701666</v>
      </c>
    </row>
    <row r="26" spans="1:12" x14ac:dyDescent="0.3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spans="1:12" x14ac:dyDescent="0.3">
      <c r="A27" s="10" t="s">
        <v>9</v>
      </c>
      <c r="B27" s="61" t="s">
        <v>54</v>
      </c>
      <c r="C27" s="61"/>
      <c r="D27" s="61"/>
      <c r="E27" s="62">
        <f>2419184370.75+1385281189.07</f>
        <v>3804465559.8199997</v>
      </c>
      <c r="F27" s="62"/>
      <c r="G27" s="62">
        <v>47603.5</v>
      </c>
      <c r="H27" s="62">
        <v>1955075</v>
      </c>
      <c r="I27" s="62"/>
      <c r="J27" s="62">
        <f>2417276899.25+1385281189.07</f>
        <v>3802558088.3199997</v>
      </c>
    </row>
    <row r="28" spans="1:12" x14ac:dyDescent="0.3">
      <c r="A28" s="10" t="s">
        <v>33</v>
      </c>
      <c r="B28" s="63"/>
      <c r="C28" s="63"/>
      <c r="D28" s="63"/>
      <c r="E28" s="62"/>
      <c r="F28" s="62"/>
      <c r="G28" s="62"/>
      <c r="H28" s="62"/>
      <c r="I28" s="62"/>
      <c r="J28" s="62"/>
    </row>
    <row r="29" spans="1:12" x14ac:dyDescent="0.3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spans="1:12" x14ac:dyDescent="0.3">
      <c r="A30" s="11" t="s">
        <v>74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2" x14ac:dyDescent="0.3">
      <c r="A31" s="55" t="s">
        <v>147</v>
      </c>
      <c r="B31" s="55"/>
      <c r="C31" s="55"/>
      <c r="D31" s="55"/>
      <c r="E31" s="55"/>
      <c r="F31" s="55"/>
      <c r="G31" s="55"/>
      <c r="H31" s="55"/>
      <c r="I31" s="55"/>
      <c r="J31" s="55"/>
    </row>
    <row r="32" spans="1:12" x14ac:dyDescent="0.3">
      <c r="A32" s="55" t="s">
        <v>69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10" x14ac:dyDescent="0.3">
      <c r="A33" s="55" t="s">
        <v>73</v>
      </c>
      <c r="B33" s="55"/>
      <c r="C33" s="55"/>
      <c r="D33" s="55"/>
      <c r="E33" s="55"/>
      <c r="F33" s="55"/>
      <c r="G33" s="55"/>
      <c r="H33" s="55"/>
      <c r="I33" s="55"/>
      <c r="J33" s="55"/>
    </row>
    <row r="34" spans="1:10" x14ac:dyDescent="0.3">
      <c r="A34" s="6" t="s">
        <v>70</v>
      </c>
    </row>
    <row r="35" spans="1:10" x14ac:dyDescent="0.3">
      <c r="A35" s="6" t="s">
        <v>71</v>
      </c>
    </row>
    <row r="36" spans="1:10" x14ac:dyDescent="0.3">
      <c r="A36" s="6" t="s">
        <v>72</v>
      </c>
    </row>
  </sheetData>
  <mergeCells count="55">
    <mergeCell ref="A4:J4"/>
    <mergeCell ref="A5:J5"/>
    <mergeCell ref="A1:C1"/>
    <mergeCell ref="D1:H1"/>
    <mergeCell ref="I1:J1"/>
    <mergeCell ref="A2:J2"/>
    <mergeCell ref="A3:J3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8:B8"/>
    <mergeCell ref="C8:H8"/>
    <mergeCell ref="I8:J8"/>
    <mergeCell ref="A19:E19"/>
    <mergeCell ref="H19:I19"/>
    <mergeCell ref="A20:E20"/>
    <mergeCell ref="I10:J10"/>
    <mergeCell ref="A11:J11"/>
    <mergeCell ref="A12:J12"/>
    <mergeCell ref="A13:J13"/>
    <mergeCell ref="A14:E14"/>
    <mergeCell ref="H14:I14"/>
    <mergeCell ref="A16:E16"/>
    <mergeCell ref="H16:I16"/>
    <mergeCell ref="A17:E17"/>
    <mergeCell ref="H17:I17"/>
    <mergeCell ref="A18:E18"/>
    <mergeCell ref="H18:I18"/>
    <mergeCell ref="H20:I20"/>
    <mergeCell ref="A21:J21"/>
    <mergeCell ref="A23:E23"/>
    <mergeCell ref="H23:I23"/>
    <mergeCell ref="A24:E24"/>
    <mergeCell ref="H24:I24"/>
    <mergeCell ref="A22:J22"/>
    <mergeCell ref="A29:J29"/>
    <mergeCell ref="A31:J31"/>
    <mergeCell ref="A32:J32"/>
    <mergeCell ref="A33:J33"/>
    <mergeCell ref="A26:J26"/>
    <mergeCell ref="B27:D27"/>
    <mergeCell ref="E27:F28"/>
    <mergeCell ref="G27:G28"/>
    <mergeCell ref="H27:I28"/>
    <mergeCell ref="J27:J28"/>
    <mergeCell ref="B28:D28"/>
    <mergeCell ref="A25:E25"/>
    <mergeCell ref="H25:I2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workbookViewId="0">
      <selection activeCell="L29" sqref="L29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55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56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20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23</v>
      </c>
      <c r="B16" s="35"/>
      <c r="C16" s="35"/>
      <c r="D16" s="35"/>
      <c r="E16" s="35"/>
      <c r="F16" s="4">
        <v>121565.49</v>
      </c>
      <c r="G16" s="4">
        <v>0</v>
      </c>
      <c r="H16" s="36">
        <v>0</v>
      </c>
      <c r="I16" s="36"/>
      <c r="J16" s="4">
        <v>121565.49</v>
      </c>
    </row>
    <row r="17" spans="1:10" x14ac:dyDescent="0.3">
      <c r="A17" s="35" t="s">
        <v>24</v>
      </c>
      <c r="B17" s="35"/>
      <c r="C17" s="35"/>
      <c r="D17" s="35"/>
      <c r="E17" s="35"/>
      <c r="F17" s="4">
        <v>501152.73</v>
      </c>
      <c r="G17" s="4">
        <v>0</v>
      </c>
      <c r="H17" s="36">
        <v>0</v>
      </c>
      <c r="I17" s="36"/>
      <c r="J17" s="4">
        <v>501152.73</v>
      </c>
    </row>
    <row r="18" spans="1:10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 x14ac:dyDescent="0.3">
      <c r="A19" s="40" t="s">
        <v>26</v>
      </c>
      <c r="B19" s="40"/>
      <c r="C19" s="40"/>
      <c r="D19" s="40"/>
      <c r="E19" s="40"/>
      <c r="F19" s="40"/>
      <c r="G19" s="40"/>
      <c r="H19" s="40"/>
      <c r="I19" s="40"/>
      <c r="J19" s="40"/>
    </row>
    <row r="20" spans="1:10" x14ac:dyDescent="0.3">
      <c r="A20" s="35" t="s">
        <v>27</v>
      </c>
      <c r="B20" s="35"/>
      <c r="C20" s="35"/>
      <c r="D20" s="35"/>
      <c r="E20" s="35"/>
      <c r="F20" s="4">
        <v>2570741.7999999998</v>
      </c>
      <c r="G20" s="4">
        <v>0</v>
      </c>
      <c r="H20" s="36">
        <v>0</v>
      </c>
      <c r="I20" s="36"/>
      <c r="J20" s="4">
        <v>2570741.7999999998</v>
      </c>
    </row>
    <row r="21" spans="1:10" x14ac:dyDescent="0.3">
      <c r="A21" s="35" t="s">
        <v>29</v>
      </c>
      <c r="B21" s="35"/>
      <c r="C21" s="35"/>
      <c r="D21" s="35"/>
      <c r="E21" s="35"/>
      <c r="F21" s="4">
        <v>229408.53</v>
      </c>
      <c r="G21" s="4">
        <v>0</v>
      </c>
      <c r="H21" s="36">
        <v>0</v>
      </c>
      <c r="I21" s="36"/>
      <c r="J21" s="4">
        <v>229408.53</v>
      </c>
    </row>
    <row r="22" spans="1:10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x14ac:dyDescent="0.3">
      <c r="A23" s="5" t="s">
        <v>9</v>
      </c>
      <c r="B23" s="37" t="s">
        <v>57</v>
      </c>
      <c r="C23" s="37"/>
      <c r="D23" s="37"/>
      <c r="E23" s="38">
        <v>3422868.5499999993</v>
      </c>
      <c r="F23" s="38"/>
      <c r="G23" s="38">
        <v>0</v>
      </c>
      <c r="H23" s="38">
        <v>0</v>
      </c>
      <c r="I23" s="38"/>
      <c r="J23" s="38">
        <v>3422868.5499999993</v>
      </c>
    </row>
    <row r="24" spans="1:10" x14ac:dyDescent="0.3">
      <c r="A24" s="5" t="s">
        <v>33</v>
      </c>
      <c r="B24" s="39"/>
      <c r="C24" s="39"/>
      <c r="D24" s="39"/>
      <c r="E24" s="38"/>
      <c r="F24" s="38"/>
      <c r="G24" s="38"/>
      <c r="H24" s="38"/>
      <c r="I24" s="38"/>
      <c r="J24" s="38"/>
    </row>
    <row r="25" spans="1:10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 spans="1:10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5:J25"/>
    <mergeCell ref="A26:J26"/>
    <mergeCell ref="A27:J27"/>
    <mergeCell ref="A28:J28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9"/>
  <sheetViews>
    <sheetView showGridLines="0" workbookViewId="0">
      <selection sqref="A1:C1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58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59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20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22</v>
      </c>
      <c r="B16" s="35"/>
      <c r="C16" s="35"/>
      <c r="D16" s="35"/>
      <c r="E16" s="35"/>
      <c r="F16" s="4">
        <v>42475</v>
      </c>
      <c r="G16" s="4">
        <v>0</v>
      </c>
      <c r="H16" s="36">
        <v>0</v>
      </c>
      <c r="I16" s="36"/>
      <c r="J16" s="4">
        <v>42475</v>
      </c>
    </row>
    <row r="17" spans="1:10" x14ac:dyDescent="0.3">
      <c r="A17" s="35" t="s">
        <v>23</v>
      </c>
      <c r="B17" s="35"/>
      <c r="C17" s="35"/>
      <c r="D17" s="35"/>
      <c r="E17" s="35"/>
      <c r="F17" s="4">
        <v>2253542.11</v>
      </c>
      <c r="G17" s="4">
        <v>0</v>
      </c>
      <c r="H17" s="36">
        <v>0</v>
      </c>
      <c r="I17" s="36"/>
      <c r="J17" s="4">
        <v>2253542.11</v>
      </c>
    </row>
    <row r="18" spans="1:10" x14ac:dyDescent="0.3">
      <c r="A18" s="35" t="s">
        <v>25</v>
      </c>
      <c r="B18" s="35"/>
      <c r="C18" s="35"/>
      <c r="D18" s="35"/>
      <c r="E18" s="35"/>
      <c r="F18" s="4">
        <v>2078651.53</v>
      </c>
      <c r="G18" s="4">
        <v>0</v>
      </c>
      <c r="H18" s="36">
        <v>0</v>
      </c>
      <c r="I18" s="36"/>
      <c r="J18" s="4">
        <v>2078651.53</v>
      </c>
    </row>
    <row r="19" spans="1:10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3"/>
    </row>
    <row r="20" spans="1:10" x14ac:dyDescent="0.3">
      <c r="A20" s="40" t="s">
        <v>26</v>
      </c>
      <c r="B20" s="40"/>
      <c r="C20" s="40"/>
      <c r="D20" s="40"/>
      <c r="E20" s="40"/>
      <c r="F20" s="40"/>
      <c r="G20" s="40"/>
      <c r="H20" s="40"/>
      <c r="I20" s="40"/>
      <c r="J20" s="40"/>
    </row>
    <row r="21" spans="1:10" x14ac:dyDescent="0.3">
      <c r="A21" s="35" t="s">
        <v>60</v>
      </c>
      <c r="B21" s="35"/>
      <c r="C21" s="35"/>
      <c r="D21" s="35"/>
      <c r="E21" s="35"/>
      <c r="F21" s="4">
        <v>423649.75</v>
      </c>
      <c r="G21" s="4">
        <v>0</v>
      </c>
      <c r="H21" s="36">
        <v>0</v>
      </c>
      <c r="I21" s="36"/>
      <c r="J21" s="4">
        <v>423649.75</v>
      </c>
    </row>
    <row r="22" spans="1:10" x14ac:dyDescent="0.3">
      <c r="A22" s="35" t="s">
        <v>29</v>
      </c>
      <c r="B22" s="35"/>
      <c r="C22" s="35"/>
      <c r="D22" s="35"/>
      <c r="E22" s="35"/>
      <c r="F22" s="4">
        <v>95501204.799999997</v>
      </c>
      <c r="G22" s="4">
        <v>8130307.0899999999</v>
      </c>
      <c r="H22" s="36">
        <v>60138.879999999997</v>
      </c>
      <c r="I22" s="36"/>
      <c r="J22" s="4">
        <v>103571373.01000001</v>
      </c>
    </row>
    <row r="23" spans="1:10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 x14ac:dyDescent="0.3">
      <c r="A24" s="5" t="s">
        <v>9</v>
      </c>
      <c r="B24" s="37" t="s">
        <v>61</v>
      </c>
      <c r="C24" s="37"/>
      <c r="D24" s="37"/>
      <c r="E24" s="38">
        <v>100299523.19</v>
      </c>
      <c r="F24" s="38"/>
      <c r="G24" s="38">
        <v>8130307.0899999999</v>
      </c>
      <c r="H24" s="38">
        <v>60138.879999999997</v>
      </c>
      <c r="I24" s="38"/>
      <c r="J24" s="38">
        <v>108369691.40000001</v>
      </c>
    </row>
    <row r="25" spans="1:10" x14ac:dyDescent="0.3">
      <c r="A25" s="5" t="s">
        <v>33</v>
      </c>
      <c r="B25" s="39"/>
      <c r="C25" s="39"/>
      <c r="D25" s="39"/>
      <c r="E25" s="38"/>
      <c r="F25" s="38"/>
      <c r="G25" s="38"/>
      <c r="H25" s="38"/>
      <c r="I25" s="38"/>
      <c r="J25" s="38"/>
    </row>
    <row r="26" spans="1:10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 spans="1:10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spans="1:10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E22"/>
    <mergeCell ref="H22:I22"/>
    <mergeCell ref="A26:J26"/>
    <mergeCell ref="A27:J27"/>
    <mergeCell ref="A28:J28"/>
    <mergeCell ref="A29:J29"/>
    <mergeCell ref="A23:J23"/>
    <mergeCell ref="B24:D24"/>
    <mergeCell ref="E24:F25"/>
    <mergeCell ref="G24:G25"/>
    <mergeCell ref="H24:I25"/>
    <mergeCell ref="J24:J25"/>
    <mergeCell ref="B25:D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4"/>
  <sheetViews>
    <sheetView showGridLines="0" workbookViewId="0">
      <selection activeCell="J31" sqref="J31"/>
    </sheetView>
  </sheetViews>
  <sheetFormatPr defaultRowHeight="14.4" x14ac:dyDescent="0.3"/>
  <cols>
    <col min="1" max="1" width="12.3320312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6640625" customWidth="1"/>
    <col min="8" max="8" width="14.44140625" customWidth="1"/>
    <col min="9" max="9" width="3" customWidth="1"/>
    <col min="10" max="10" width="22.33203125" customWidth="1"/>
  </cols>
  <sheetData>
    <row r="1" spans="1:10" x14ac:dyDescent="0.3">
      <c r="A1" s="43"/>
      <c r="B1" s="43"/>
      <c r="C1" s="43"/>
      <c r="D1" s="43"/>
      <c r="E1" s="43"/>
      <c r="F1" s="43"/>
      <c r="G1" s="43"/>
      <c r="H1" s="43"/>
      <c r="I1" s="43" t="s">
        <v>0</v>
      </c>
      <c r="J1" s="43"/>
    </row>
    <row r="2" spans="1:10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48" t="s">
        <v>62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x14ac:dyDescent="0.3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x14ac:dyDescent="0.3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3">
      <c r="A7" s="45" t="s">
        <v>6</v>
      </c>
      <c r="B7" s="45"/>
      <c r="C7" s="46" t="s">
        <v>7</v>
      </c>
      <c r="D7" s="46"/>
      <c r="E7" s="46"/>
      <c r="F7" s="46"/>
      <c r="G7" s="46"/>
      <c r="H7" s="46"/>
      <c r="I7" s="43" t="s">
        <v>8</v>
      </c>
      <c r="J7" s="43"/>
    </row>
    <row r="8" spans="1:10" x14ac:dyDescent="0.3">
      <c r="A8" s="45" t="s">
        <v>9</v>
      </c>
      <c r="B8" s="45"/>
      <c r="C8" s="46" t="s">
        <v>63</v>
      </c>
      <c r="D8" s="46"/>
      <c r="E8" s="46"/>
      <c r="F8" s="46"/>
      <c r="G8" s="46"/>
      <c r="H8" s="46"/>
      <c r="I8" s="43" t="s">
        <v>11</v>
      </c>
      <c r="J8" s="43"/>
    </row>
    <row r="9" spans="1:10" x14ac:dyDescent="0.3">
      <c r="A9" s="45" t="s">
        <v>12</v>
      </c>
      <c r="B9" s="45"/>
      <c r="C9" s="47"/>
      <c r="D9" s="47"/>
      <c r="E9" s="47"/>
      <c r="F9" s="47"/>
      <c r="G9" s="47"/>
      <c r="H9" s="47"/>
      <c r="I9" s="43" t="s">
        <v>13</v>
      </c>
      <c r="J9" s="43"/>
    </row>
    <row r="10" spans="1:1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">
      <c r="A12" s="44" t="s">
        <v>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3">
      <c r="A14" s="41" t="s">
        <v>15</v>
      </c>
      <c r="B14" s="41"/>
      <c r="C14" s="41"/>
      <c r="D14" s="41"/>
      <c r="E14" s="41"/>
      <c r="F14" s="3" t="s">
        <v>16</v>
      </c>
      <c r="G14" s="3" t="s">
        <v>17</v>
      </c>
      <c r="H14" s="42" t="s">
        <v>18</v>
      </c>
      <c r="I14" s="42"/>
      <c r="J14" s="3" t="s">
        <v>19</v>
      </c>
    </row>
    <row r="15" spans="1:10" x14ac:dyDescent="0.3">
      <c r="A15" s="40" t="s">
        <v>26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3">
      <c r="A16" s="35" t="s">
        <v>27</v>
      </c>
      <c r="B16" s="35"/>
      <c r="C16" s="35"/>
      <c r="D16" s="35"/>
      <c r="E16" s="35"/>
      <c r="F16" s="4">
        <v>37025.699999999997</v>
      </c>
      <c r="G16" s="4">
        <v>0</v>
      </c>
      <c r="H16" s="36">
        <v>0</v>
      </c>
      <c r="I16" s="36"/>
      <c r="J16" s="4">
        <v>37025.699999999997</v>
      </c>
    </row>
    <row r="17" spans="1:10" x14ac:dyDescent="0.3">
      <c r="A17" s="35" t="s">
        <v>29</v>
      </c>
      <c r="B17" s="35"/>
      <c r="C17" s="35"/>
      <c r="D17" s="35"/>
      <c r="E17" s="35"/>
      <c r="F17" s="4">
        <v>131219.74</v>
      </c>
      <c r="G17" s="4">
        <v>0</v>
      </c>
      <c r="H17" s="36">
        <v>0</v>
      </c>
      <c r="I17" s="36"/>
      <c r="J17" s="4">
        <v>131219.74</v>
      </c>
    </row>
    <row r="18" spans="1:10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 x14ac:dyDescent="0.3">
      <c r="A19" s="5" t="s">
        <v>9</v>
      </c>
      <c r="B19" s="37" t="s">
        <v>64</v>
      </c>
      <c r="C19" s="37"/>
      <c r="D19" s="37"/>
      <c r="E19" s="38">
        <v>168245.44</v>
      </c>
      <c r="F19" s="38"/>
      <c r="G19" s="38">
        <v>0</v>
      </c>
      <c r="H19" s="38">
        <v>0</v>
      </c>
      <c r="I19" s="38"/>
      <c r="J19" s="38">
        <v>168245.44</v>
      </c>
    </row>
    <row r="20" spans="1:10" x14ac:dyDescent="0.3">
      <c r="A20" s="5" t="s">
        <v>33</v>
      </c>
      <c r="B20" s="39"/>
      <c r="C20" s="39"/>
      <c r="D20" s="39"/>
      <c r="E20" s="38"/>
      <c r="F20" s="38"/>
      <c r="G20" s="38"/>
      <c r="H20" s="38"/>
      <c r="I20" s="38"/>
      <c r="J20" s="38"/>
    </row>
    <row r="21" spans="1:10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1:J21"/>
    <mergeCell ref="A22:J22"/>
    <mergeCell ref="A23:J23"/>
    <mergeCell ref="A24:J24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showGridLines="0" workbookViewId="0">
      <selection activeCell="D28" sqref="D28"/>
    </sheetView>
  </sheetViews>
  <sheetFormatPr defaultRowHeight="14.4" x14ac:dyDescent="0.3"/>
  <cols>
    <col min="1" max="1" width="17.5546875" customWidth="1"/>
    <col min="2" max="2" width="7.6640625" customWidth="1"/>
    <col min="3" max="3" width="75.44140625" customWidth="1"/>
    <col min="4" max="4" width="25.33203125" customWidth="1"/>
  </cols>
  <sheetData>
    <row r="1" spans="1:4" ht="15" x14ac:dyDescent="0.3">
      <c r="A1" s="43"/>
      <c r="B1" s="43"/>
      <c r="C1" s="1"/>
      <c r="D1" s="1" t="s">
        <v>0</v>
      </c>
    </row>
    <row r="2" spans="1:4" x14ac:dyDescent="0.3">
      <c r="A2" s="48" t="s">
        <v>1</v>
      </c>
      <c r="B2" s="48"/>
      <c r="C2" s="48"/>
      <c r="D2" s="48"/>
    </row>
    <row r="3" spans="1:4" x14ac:dyDescent="0.3">
      <c r="A3" s="48" t="s">
        <v>2</v>
      </c>
      <c r="B3" s="48"/>
      <c r="C3" s="48"/>
      <c r="D3" s="48"/>
    </row>
    <row r="4" spans="1:4" x14ac:dyDescent="0.3">
      <c r="A4" s="48" t="s">
        <v>65</v>
      </c>
      <c r="B4" s="48"/>
      <c r="C4" s="48"/>
      <c r="D4" s="48"/>
    </row>
    <row r="5" spans="1:4" x14ac:dyDescent="0.3">
      <c r="A5" s="48" t="s">
        <v>4</v>
      </c>
      <c r="B5" s="48"/>
      <c r="C5" s="48"/>
      <c r="D5" s="48"/>
    </row>
    <row r="6" spans="1:4" x14ac:dyDescent="0.3">
      <c r="A6" s="48" t="s">
        <v>5</v>
      </c>
      <c r="B6" s="48"/>
      <c r="C6" s="48"/>
      <c r="D6" s="48"/>
    </row>
    <row r="7" spans="1:4" x14ac:dyDescent="0.3">
      <c r="A7" s="2" t="s">
        <v>6</v>
      </c>
      <c r="B7" s="46" t="s">
        <v>7</v>
      </c>
      <c r="C7" s="46"/>
      <c r="D7" s="1" t="s">
        <v>8</v>
      </c>
    </row>
    <row r="8" spans="1:4" x14ac:dyDescent="0.3">
      <c r="A8" s="2" t="s">
        <v>9</v>
      </c>
      <c r="B8" s="46" t="s">
        <v>66</v>
      </c>
      <c r="C8" s="46"/>
      <c r="D8" s="1" t="s">
        <v>11</v>
      </c>
    </row>
    <row r="9" spans="1:4" x14ac:dyDescent="0.3">
      <c r="A9" s="2" t="s">
        <v>12</v>
      </c>
      <c r="B9" s="47"/>
      <c r="C9" s="47"/>
      <c r="D9" s="1" t="s">
        <v>13</v>
      </c>
    </row>
    <row r="10" spans="1:4" x14ac:dyDescent="0.3">
      <c r="A10" s="1"/>
      <c r="B10" s="43"/>
      <c r="C10" s="43"/>
      <c r="D10" s="1"/>
    </row>
    <row r="11" spans="1:4" x14ac:dyDescent="0.3">
      <c r="A11" s="33"/>
      <c r="B11" s="33"/>
      <c r="C11" s="33"/>
      <c r="D11" s="33"/>
    </row>
    <row r="12" spans="1:4" x14ac:dyDescent="0.3">
      <c r="A12" s="33"/>
      <c r="B12" s="33"/>
      <c r="C12" s="33"/>
      <c r="D12" s="33"/>
    </row>
    <row r="13" spans="1:4" x14ac:dyDescent="0.3">
      <c r="A13" s="34"/>
      <c r="B13" s="34"/>
      <c r="C13" s="34"/>
      <c r="D13" s="34"/>
    </row>
  </sheetData>
  <mergeCells count="13">
    <mergeCell ref="A1:B1"/>
    <mergeCell ref="A2:D2"/>
    <mergeCell ref="A3:D3"/>
    <mergeCell ref="A4:D4"/>
    <mergeCell ref="A5:D5"/>
    <mergeCell ref="A11:D11"/>
    <mergeCell ref="A12:D12"/>
    <mergeCell ref="A13:D13"/>
    <mergeCell ref="A6:D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showGridLines="0" workbookViewId="0">
      <selection activeCell="D19" sqref="D19"/>
    </sheetView>
  </sheetViews>
  <sheetFormatPr defaultRowHeight="14.4" x14ac:dyDescent="0.3"/>
  <cols>
    <col min="1" max="1" width="17.5546875" customWidth="1"/>
    <col min="2" max="2" width="7.6640625" customWidth="1"/>
    <col min="3" max="3" width="75.44140625" customWidth="1"/>
    <col min="4" max="4" width="25.33203125" customWidth="1"/>
  </cols>
  <sheetData>
    <row r="1" spans="1:4" ht="15" x14ac:dyDescent="0.3">
      <c r="A1" s="43"/>
      <c r="B1" s="43"/>
      <c r="C1" s="1"/>
      <c r="D1" s="1" t="s">
        <v>0</v>
      </c>
    </row>
    <row r="2" spans="1:4" x14ac:dyDescent="0.3">
      <c r="A2" s="48" t="s">
        <v>1</v>
      </c>
      <c r="B2" s="48"/>
      <c r="C2" s="48"/>
      <c r="D2" s="48"/>
    </row>
    <row r="3" spans="1:4" x14ac:dyDescent="0.3">
      <c r="A3" s="48" t="s">
        <v>2</v>
      </c>
      <c r="B3" s="48"/>
      <c r="C3" s="48"/>
      <c r="D3" s="48"/>
    </row>
    <row r="4" spans="1:4" x14ac:dyDescent="0.3">
      <c r="A4" s="48" t="s">
        <v>67</v>
      </c>
      <c r="B4" s="48"/>
      <c r="C4" s="48"/>
      <c r="D4" s="48"/>
    </row>
    <row r="5" spans="1:4" x14ac:dyDescent="0.3">
      <c r="A5" s="48" t="s">
        <v>4</v>
      </c>
      <c r="B5" s="48"/>
      <c r="C5" s="48"/>
      <c r="D5" s="48"/>
    </row>
    <row r="6" spans="1:4" x14ac:dyDescent="0.3">
      <c r="A6" s="48" t="s">
        <v>5</v>
      </c>
      <c r="B6" s="48"/>
      <c r="C6" s="48"/>
      <c r="D6" s="48"/>
    </row>
    <row r="7" spans="1:4" x14ac:dyDescent="0.3">
      <c r="A7" s="2" t="s">
        <v>6</v>
      </c>
      <c r="B7" s="46" t="s">
        <v>7</v>
      </c>
      <c r="C7" s="46"/>
      <c r="D7" s="1" t="s">
        <v>8</v>
      </c>
    </row>
    <row r="8" spans="1:4" x14ac:dyDescent="0.3">
      <c r="A8" s="2" t="s">
        <v>9</v>
      </c>
      <c r="B8" s="46" t="s">
        <v>68</v>
      </c>
      <c r="C8" s="46"/>
      <c r="D8" s="1" t="s">
        <v>11</v>
      </c>
    </row>
    <row r="9" spans="1:4" x14ac:dyDescent="0.3">
      <c r="A9" s="2" t="s">
        <v>12</v>
      </c>
      <c r="B9" s="47"/>
      <c r="C9" s="47"/>
      <c r="D9" s="1" t="s">
        <v>13</v>
      </c>
    </row>
    <row r="10" spans="1:4" x14ac:dyDescent="0.3">
      <c r="A10" s="1"/>
      <c r="B10" s="43"/>
      <c r="C10" s="43"/>
      <c r="D10" s="1"/>
    </row>
    <row r="11" spans="1:4" x14ac:dyDescent="0.3">
      <c r="A11" s="33"/>
      <c r="B11" s="33"/>
      <c r="C11" s="33"/>
      <c r="D11" s="33"/>
    </row>
    <row r="12" spans="1:4" x14ac:dyDescent="0.3">
      <c r="A12" s="33"/>
      <c r="B12" s="33"/>
      <c r="C12" s="33"/>
      <c r="D12" s="33"/>
    </row>
    <row r="13" spans="1:4" x14ac:dyDescent="0.3">
      <c r="A13" s="34"/>
      <c r="B13" s="34"/>
      <c r="C13" s="34"/>
      <c r="D13" s="34"/>
    </row>
  </sheetData>
  <mergeCells count="13">
    <mergeCell ref="A1:B1"/>
    <mergeCell ref="A2:D2"/>
    <mergeCell ref="A3:D3"/>
    <mergeCell ref="A4:D4"/>
    <mergeCell ref="A5:D5"/>
    <mergeCell ref="A11:D11"/>
    <mergeCell ref="A12:D12"/>
    <mergeCell ref="A13:D13"/>
    <mergeCell ref="A6:D6"/>
    <mergeCell ref="B7:C7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29</vt:i4>
      </vt:variant>
    </vt:vector>
  </HeadingPairs>
  <TitlesOfParts>
    <vt:vector size="44" baseType="lpstr">
      <vt:lpstr>F0001</vt:lpstr>
      <vt:lpstr>F0159</vt:lpstr>
      <vt:lpstr>F0587</vt:lpstr>
      <vt:lpstr>F0660</vt:lpstr>
      <vt:lpstr>F0668</vt:lpstr>
      <vt:lpstr>F0890</vt:lpstr>
      <vt:lpstr>F0932</vt:lpstr>
      <vt:lpstr>F3037</vt:lpstr>
      <vt:lpstr>F3037 Diff</vt:lpstr>
      <vt:lpstr>F3037(2)</vt:lpstr>
      <vt:lpstr>F3060</vt:lpstr>
      <vt:lpstr>F3066</vt:lpstr>
      <vt:lpstr>F3085</vt:lpstr>
      <vt:lpstr>3138</vt:lpstr>
      <vt:lpstr>9733</vt:lpstr>
      <vt:lpstr>page\x2dtotal\x2dmaster0_1_1</vt:lpstr>
      <vt:lpstr>page\x2dtotal\x2dmaster0_10_1</vt:lpstr>
      <vt:lpstr>page\x2dtotal\x2dmaster0_11_1</vt:lpstr>
      <vt:lpstr>page\x2dtotal\x2dmaster0_12_1</vt:lpstr>
      <vt:lpstr>page\x2dtotal\x2dmaster0_13_1</vt:lpstr>
      <vt:lpstr>page\x2dtotal\x2dmaster0_2_1</vt:lpstr>
      <vt:lpstr>page\x2dtotal\x2dmaster0_3_1</vt:lpstr>
      <vt:lpstr>page\x2dtotal\x2dmaster0_4_1</vt:lpstr>
      <vt:lpstr>page\x2dtotal\x2dmaster0_5_1</vt:lpstr>
      <vt:lpstr>page\x2dtotal\x2dmaster0_6_1</vt:lpstr>
      <vt:lpstr>page\x2dtotal\x2dmaster0_7_1</vt:lpstr>
      <vt:lpstr>'F3037'!page\x2dtotal\x2dmaster0_8_1</vt:lpstr>
      <vt:lpstr>'F3037(2)'!page\x2dtotal\x2dmaster0_8_1</vt:lpstr>
      <vt:lpstr>page\x2dtotal\x2dmaster0_9_1</vt:lpstr>
      <vt:lpstr>page\x2dtotal_1_1</vt:lpstr>
      <vt:lpstr>page\x2dtotal_10_1</vt:lpstr>
      <vt:lpstr>page\x2dtotal_11_1</vt:lpstr>
      <vt:lpstr>page\x2dtotal_12_1</vt:lpstr>
      <vt:lpstr>page\x2dtotal_13_1</vt:lpstr>
      <vt:lpstr>page\x2dtotal_2_1</vt:lpstr>
      <vt:lpstr>page\x2dtotal_3_1</vt:lpstr>
      <vt:lpstr>page\x2dtotal_4_1</vt:lpstr>
      <vt:lpstr>page\x2dtotal_5_1</vt:lpstr>
      <vt:lpstr>page\x2dtotal_6_1</vt:lpstr>
      <vt:lpstr>page\x2dtotal_7_1</vt:lpstr>
      <vt:lpstr>'F3037'!page\x2dtotal_8_1</vt:lpstr>
      <vt:lpstr>'F3037(2)'!page\x2dtotal_8_1</vt:lpstr>
      <vt:lpstr>page\x2dtotal_9_1</vt:lpstr>
      <vt:lpstr>'F0159'!Print_Area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2024-07-18T20:25:48Z</dcterms:created>
  <dcterms:modified xsi:type="dcterms:W3CDTF">2025-03-17T14:32:59Z</dcterms:modified>
</cp:coreProperties>
</file>