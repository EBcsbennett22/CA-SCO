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tate_Gov_Reporting\2023-24\GAAP\CAPITAL ASSETS &amp; LEASES\3a. Report 18 &amp; 19\BU 3860\"/>
    </mc:Choice>
  </mc:AlternateContent>
  <xr:revisionPtr revIDLastSave="0" documentId="13_ncr:1_{A828C8B3-07C0-415E-AAF8-ACC4E5C05EE7}" xr6:coauthVersionLast="47" xr6:coauthVersionMax="47" xr10:uidLastSave="{00000000-0000-0000-0000-000000000000}"/>
  <bookViews>
    <workbookView xWindow="-24120" yWindow="-120" windowWidth="24240" windowHeight="13140" tabRatio="765" firstSheet="6" activeTab="18" xr2:uid="{E0403F9D-4320-459C-A784-5FC73E07E7B4}"/>
  </bookViews>
  <sheets>
    <sheet name="F6001" sheetId="1" r:id="rId1"/>
    <sheet name="F6001 Diff" sheetId="2" r:id="rId2"/>
    <sheet name="F6005" sheetId="3" r:id="rId3"/>
    <sheet name="F6005 Diff" sheetId="4" r:id="rId4"/>
    <sheet name="F6026" sheetId="5" r:id="rId5"/>
    <sheet name="F6026 Diff" sheetId="6" r:id="rId6"/>
    <sheet name="F6027" sheetId="7" r:id="rId7"/>
    <sheet name="F6027 Diff" sheetId="8" r:id="rId8"/>
    <sheet name="F6031" sheetId="9" r:id="rId9"/>
    <sheet name="F6031 Diff" sheetId="10" r:id="rId10"/>
    <sheet name="F6051" sheetId="11" r:id="rId11"/>
    <sheet name="F6051 Diff" sheetId="12" r:id="rId12"/>
    <sheet name="F6052" sheetId="13" r:id="rId13"/>
    <sheet name="F6083" sheetId="14" r:id="rId14"/>
    <sheet name="F6083 Diff" sheetId="15" r:id="rId15"/>
    <sheet name="F6088" sheetId="16" r:id="rId16"/>
    <sheet name="F6088 Diff" sheetId="17" r:id="rId17"/>
    <sheet name="F9333" sheetId="18" r:id="rId18"/>
    <sheet name="F9333 Diff" sheetId="19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A" localSheetId="2">#REF!</definedName>
    <definedName name="\A" localSheetId="3">#REF!</definedName>
    <definedName name="\A" localSheetId="4">#REF!</definedName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10">#REF!</definedName>
    <definedName name="\A" localSheetId="11">#REF!</definedName>
    <definedName name="\A">#REF!</definedName>
    <definedName name="\B" localSheetId="2">#REF!</definedName>
    <definedName name="\B" localSheetId="3">#REF!</definedName>
    <definedName name="\B" localSheetId="4">#REF!</definedName>
    <definedName name="\B" localSheetId="5">#REF!</definedName>
    <definedName name="\B" localSheetId="6">#REF!</definedName>
    <definedName name="\B" localSheetId="7">#REF!</definedName>
    <definedName name="\B" localSheetId="8">#REF!</definedName>
    <definedName name="\B" localSheetId="9">#REF!</definedName>
    <definedName name="\B" localSheetId="10">#REF!</definedName>
    <definedName name="\B" localSheetId="11">#REF!</definedName>
    <definedName name="\B">#REF!</definedName>
    <definedName name="\C" localSheetId="2">#REF!</definedName>
    <definedName name="\C" localSheetId="3">#REF!</definedName>
    <definedName name="\C" localSheetId="4">#REF!</definedName>
    <definedName name="\C" localSheetId="5">#REF!</definedName>
    <definedName name="\C" localSheetId="6">#REF!</definedName>
    <definedName name="\C" localSheetId="7">#REF!</definedName>
    <definedName name="\C" localSheetId="8">#REF!</definedName>
    <definedName name="\C" localSheetId="9">#REF!</definedName>
    <definedName name="\C" localSheetId="10">#REF!</definedName>
    <definedName name="\C" localSheetId="11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mm">#REF!</definedName>
    <definedName name="\Q">#REF!</definedName>
    <definedName name="\R">#REF!</definedName>
    <definedName name="\S">#REF!</definedName>
    <definedName name="\W">#REF!</definedName>
    <definedName name="\X">#REF!</definedName>
    <definedName name="\Y">#REF!</definedName>
    <definedName name="\Z">#REF!</definedName>
    <definedName name="___DAT1">#REF!</definedName>
    <definedName name="___DAT10">#REF!</definedName>
    <definedName name="___DAT11">#REF!</definedName>
    <definedName name="___DAT12">#REF!</definedName>
    <definedName name="___DAT2">#REF!</definedName>
    <definedName name="___DAT3">#REF!</definedName>
    <definedName name="___DAT4">#REF!</definedName>
    <definedName name="___DAT5">#REF!</definedName>
    <definedName name="___DAT7">#REF!</definedName>
    <definedName name="___DAT8">#REF!</definedName>
    <definedName name="___DAT9">#REF!</definedName>
    <definedName name="___rep5">#REF!</definedName>
    <definedName name="__DAT1">#REF!</definedName>
    <definedName name="__DAT10">#REF!</definedName>
    <definedName name="__DAT11">#REF!</definedName>
    <definedName name="__DAT12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rep5">#REF!</definedName>
    <definedName name="_DAT1">#REF!</definedName>
    <definedName name="_DAT10">#REF!</definedName>
    <definedName name="_DAT11">#REF!</definedName>
    <definedName name="_DAT12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rep5">#REF!</definedName>
    <definedName name="CC">#REF!</definedName>
    <definedName name="DATA1">#REF!</definedName>
    <definedName name="DATA10">#REF!</definedName>
    <definedName name="DATA11">#REF!</definedName>
    <definedName name="DATA12">#REF!</definedName>
    <definedName name="DATA13" localSheetId="2">'[1]Raw Data'!#REF!</definedName>
    <definedName name="DATA13" localSheetId="3">#REF!</definedName>
    <definedName name="DATA13" localSheetId="4">'[1]Raw Data'!#REF!</definedName>
    <definedName name="DATA13" localSheetId="5">'[1]Raw Data'!#REF!</definedName>
    <definedName name="DATA13" localSheetId="6">'[2]Raw Data'!#REF!</definedName>
    <definedName name="DATA13" localSheetId="7">'[2]Raw Data'!#REF!</definedName>
    <definedName name="DATA13" localSheetId="8">#REF!</definedName>
    <definedName name="DATA13" localSheetId="9">#REF!</definedName>
    <definedName name="DATA13" localSheetId="10">'[3]Raw Data'!#REF!</definedName>
    <definedName name="DATA13" localSheetId="11">'[3]Raw Data'!#REF!</definedName>
    <definedName name="DATA13">#REF!</definedName>
    <definedName name="DATA14" localSheetId="2">#REF!</definedName>
    <definedName name="DATA14" localSheetId="3">#REF!</definedName>
    <definedName name="DATA14" localSheetId="4">#REF!</definedName>
    <definedName name="DATA14" localSheetId="5">#REF!</definedName>
    <definedName name="DATA14" localSheetId="6">#REF!</definedName>
    <definedName name="DATA14" localSheetId="7">#REF!</definedName>
    <definedName name="DATA14" localSheetId="10">#REF!</definedName>
    <definedName name="DATA14" localSheetId="11">#REF!</definedName>
    <definedName name="DATA14">#REF!</definedName>
    <definedName name="DATA15" localSheetId="2">#REF!</definedName>
    <definedName name="DATA15" localSheetId="4">#REF!</definedName>
    <definedName name="DATA15" localSheetId="5">#REF!</definedName>
    <definedName name="DATA15" localSheetId="6">#REF!</definedName>
    <definedName name="DATA15" localSheetId="7">#REF!</definedName>
    <definedName name="DATA15" localSheetId="10">#REF!</definedName>
    <definedName name="DATA15" localSheetId="11">#REF!</definedName>
    <definedName name="DATA15">#REF!</definedName>
    <definedName name="DATA16" localSheetId="2">#REF!</definedName>
    <definedName name="DATA16" localSheetId="4">#REF!</definedName>
    <definedName name="DATA16" localSheetId="5">#REF!</definedName>
    <definedName name="DATA16" localSheetId="6">#REF!</definedName>
    <definedName name="DATA16" localSheetId="7">#REF!</definedName>
    <definedName name="DATA16" localSheetId="10">#REF!</definedName>
    <definedName name="DATA16" localSheetId="11">#REF!</definedName>
    <definedName name="DATA16">#REF!</definedName>
    <definedName name="DATA17">#REF!</definedName>
    <definedName name="DATA18">#REF!</definedName>
    <definedName name="DATA19" localSheetId="2">'[4]0793'!#REF!</definedName>
    <definedName name="DATA19" localSheetId="4">'[4]0793'!#REF!</definedName>
    <definedName name="DATA19" localSheetId="5">'[4]0793'!#REF!</definedName>
    <definedName name="DATA19" localSheetId="6">'[4]0793'!#REF!</definedName>
    <definedName name="DATA19" localSheetId="7">'[4]0793'!#REF!</definedName>
    <definedName name="DATA19">'[5]0793'!#REF!</definedName>
    <definedName name="DATA2" localSheetId="2">#REF!</definedName>
    <definedName name="DATA2" localSheetId="3">#REF!</definedName>
    <definedName name="DATA2" localSheetId="4">#REF!</definedName>
    <definedName name="DATA2" localSheetId="5">#REF!</definedName>
    <definedName name="DATA2" localSheetId="6">#REF!</definedName>
    <definedName name="DATA2" localSheetId="7">#REF!</definedName>
    <definedName name="DATA2" localSheetId="8">#REF!</definedName>
    <definedName name="DATA2" localSheetId="9">#REF!</definedName>
    <definedName name="DATA2" localSheetId="10">#REF!</definedName>
    <definedName name="DATA2" localSheetId="11">#REF!</definedName>
    <definedName name="DATA2">#REF!</definedName>
    <definedName name="DATA20" localSheetId="2">#REF!</definedName>
    <definedName name="DATA20" localSheetId="3">'[5]0793'!#REF!</definedName>
    <definedName name="DATA20" localSheetId="4">#REF!</definedName>
    <definedName name="DATA20" localSheetId="5">#REF!</definedName>
    <definedName name="DATA20" localSheetId="6">#REF!</definedName>
    <definedName name="DATA20" localSheetId="7">#REF!</definedName>
    <definedName name="DATA20" localSheetId="10">#REF!</definedName>
    <definedName name="DATA20" localSheetId="11">#REF!</definedName>
    <definedName name="DATA20">'[5]0793'!#REF!</definedName>
    <definedName name="DATA24" localSheetId="2">'[4]0793'!#REF!</definedName>
    <definedName name="DATA24" localSheetId="3">'[5]0793'!#REF!</definedName>
    <definedName name="DATA24" localSheetId="4">'[4]0793'!#REF!</definedName>
    <definedName name="DATA24" localSheetId="5">'[4]0793'!#REF!</definedName>
    <definedName name="DATA24" localSheetId="6">'[4]0793'!#REF!</definedName>
    <definedName name="DATA24" localSheetId="7">'[4]0793'!#REF!</definedName>
    <definedName name="DATA24" localSheetId="10">'[5]0793'!#REF!</definedName>
    <definedName name="DATA24" localSheetId="11">'[5]0793'!#REF!</definedName>
    <definedName name="DATA24">'[5]0793'!#REF!</definedName>
    <definedName name="DATA25" localSheetId="2">#REF!</definedName>
    <definedName name="DATA25" localSheetId="3">'[5]6026'!#REF!</definedName>
    <definedName name="DATA25" localSheetId="4">#REF!</definedName>
    <definedName name="DATA25" localSheetId="5">#REF!</definedName>
    <definedName name="DATA25" localSheetId="6">#REF!</definedName>
    <definedName name="DATA25" localSheetId="7">#REF!</definedName>
    <definedName name="DATA25" localSheetId="10">'[5]6026'!#REF!</definedName>
    <definedName name="DATA25" localSheetId="11">'[5]6026'!#REF!</definedName>
    <definedName name="DATA25">'[5]6026'!#REF!</definedName>
    <definedName name="DATA26" localSheetId="2">#REF!</definedName>
    <definedName name="DATA26" localSheetId="3">'[5]6026'!#REF!</definedName>
    <definedName name="DATA26" localSheetId="4">#REF!</definedName>
    <definedName name="DATA26" localSheetId="5">#REF!</definedName>
    <definedName name="DATA26" localSheetId="6">#REF!</definedName>
    <definedName name="DATA26" localSheetId="7">#REF!</definedName>
    <definedName name="DATA26">'[5]6026'!#REF!</definedName>
    <definedName name="DATA27" localSheetId="2">#REF!</definedName>
    <definedName name="DATA27" localSheetId="3">'[5]6026'!#REF!</definedName>
    <definedName name="DATA27" localSheetId="4">#REF!</definedName>
    <definedName name="DATA27" localSheetId="5">#REF!</definedName>
    <definedName name="DATA27" localSheetId="6">#REF!</definedName>
    <definedName name="DATA27" localSheetId="7">#REF!</definedName>
    <definedName name="DATA27">'[5]6026'!#REF!</definedName>
    <definedName name="DATA28" localSheetId="4">#REF!</definedName>
    <definedName name="DATA28" localSheetId="5">#REF!</definedName>
    <definedName name="DATA28" localSheetId="6">#REF!</definedName>
    <definedName name="DATA28" localSheetId="7">#REF!</definedName>
    <definedName name="DATA28" localSheetId="8">'[6]6026 Encumbrance Reduction'!$N$2</definedName>
    <definedName name="DATA28" localSheetId="9">'[6]6026 Encumbrance Reduction'!$N$2</definedName>
    <definedName name="DATA28" localSheetId="10">'[6]6026 Encumbrance Reduction'!$N$2</definedName>
    <definedName name="DATA28" localSheetId="11">'[6]6026 Encumbrance Reduction'!$N$2</definedName>
    <definedName name="DATA28">#REF!</definedName>
    <definedName name="DATA29" localSheetId="4">#REF!</definedName>
    <definedName name="DATA29" localSheetId="5">#REF!</definedName>
    <definedName name="DATA29" localSheetId="6">#REF!</definedName>
    <definedName name="DATA29" localSheetId="7">#REF!</definedName>
    <definedName name="DATA29" localSheetId="8">'[6]6026 Encumbrance Reduction'!$O$2</definedName>
    <definedName name="DATA29" localSheetId="9">'[6]6026 Encumbrance Reduction'!$O$2</definedName>
    <definedName name="DATA29" localSheetId="10">'[6]6026 Encumbrance Reduction'!$O$2</definedName>
    <definedName name="DATA29" localSheetId="11">'[6]6026 Encumbrance Reduction'!$O$2</definedName>
    <definedName name="DATA29">#REF!</definedName>
    <definedName name="DATA3" localSheetId="2">#REF!</definedName>
    <definedName name="DATA3" localSheetId="3">#REF!</definedName>
    <definedName name="DATA3" localSheetId="8">#REF!</definedName>
    <definedName name="DATA3" localSheetId="9">#REF!</definedName>
    <definedName name="DATA3" localSheetId="10">#REF!</definedName>
    <definedName name="DATA3" localSheetId="11">#REF!</definedName>
    <definedName name="DATA3">#REF!</definedName>
    <definedName name="DATA30" localSheetId="8">'[6]6026 Encumbrance Reduction'!$P$2</definedName>
    <definedName name="DATA30" localSheetId="9">'[6]6026 Encumbrance Reduction'!$P$2</definedName>
    <definedName name="DATA30" localSheetId="10">'[6]6026 Encumbrance Reduction'!$P$2</definedName>
    <definedName name="DATA30" localSheetId="11">'[6]6026 Encumbrance Reduction'!$P$2</definedName>
    <definedName name="DATA30">#REF!</definedName>
    <definedName name="DATA31" localSheetId="2">#REF!</definedName>
    <definedName name="DATA31" localSheetId="4">#REF!</definedName>
    <definedName name="DATA31" localSheetId="5">#REF!</definedName>
    <definedName name="DATA31" localSheetId="6">#REF!</definedName>
    <definedName name="DATA31" localSheetId="7">#REF!</definedName>
    <definedName name="DATA31" localSheetId="8">'[5]6026'!#REF!</definedName>
    <definedName name="DATA31" localSheetId="9">'[5]6026'!#REF!</definedName>
    <definedName name="DATA31" localSheetId="10">'[5]6026'!#REF!</definedName>
    <definedName name="DATA31" localSheetId="11">'[5]6026'!#REF!</definedName>
    <definedName name="DATA31">'[5]6026'!#REF!</definedName>
    <definedName name="DATA33" localSheetId="2">'[4]0140'!#REF!</definedName>
    <definedName name="DATA33" localSheetId="4">'[4]0140'!#REF!</definedName>
    <definedName name="DATA33" localSheetId="5">'[4]0140'!#REF!</definedName>
    <definedName name="DATA33" localSheetId="6">'[4]0140'!#REF!</definedName>
    <definedName name="DATA33" localSheetId="7">'[4]0140'!#REF!</definedName>
    <definedName name="DATA33" localSheetId="8">'[5]0140'!#REF!</definedName>
    <definedName name="DATA33" localSheetId="9">'[5]0140'!#REF!</definedName>
    <definedName name="DATA33" localSheetId="10">'[5]0140'!#REF!</definedName>
    <definedName name="DATA33" localSheetId="11">'[5]0140'!#REF!</definedName>
    <definedName name="DATA33">'[5]0140'!#REF!</definedName>
    <definedName name="DATA35" localSheetId="2">'[4]3057'!#REF!</definedName>
    <definedName name="DATA35" localSheetId="4">'[4]3057'!#REF!</definedName>
    <definedName name="DATA35" localSheetId="5">'[4]3057'!#REF!</definedName>
    <definedName name="DATA35" localSheetId="6">'[4]3057'!#REF!</definedName>
    <definedName name="DATA35" localSheetId="7">'[4]3057'!#REF!</definedName>
    <definedName name="DATA35" localSheetId="8">'[5]3057'!#REF!</definedName>
    <definedName name="DATA35" localSheetId="9">'[5]3057'!#REF!</definedName>
    <definedName name="DATA35" localSheetId="10">'[5]3057'!#REF!</definedName>
    <definedName name="DATA35" localSheetId="11">'[5]3057'!#REF!</definedName>
    <definedName name="DATA35">'[5]3057'!#REF!</definedName>
    <definedName name="DATA4" localSheetId="2">#REF!</definedName>
    <definedName name="DATA4" localSheetId="3">#REF!</definedName>
    <definedName name="DATA4" localSheetId="4">#REF!</definedName>
    <definedName name="DATA4" localSheetId="5">#REF!</definedName>
    <definedName name="DATA4" localSheetId="6">#REF!</definedName>
    <definedName name="DATA4" localSheetId="7">#REF!</definedName>
    <definedName name="DATA4" localSheetId="8">#REF!</definedName>
    <definedName name="DATA4" localSheetId="9">#REF!</definedName>
    <definedName name="DATA4" localSheetId="10">#REF!</definedName>
    <definedName name="DATA4" localSheetId="11">#REF!</definedName>
    <definedName name="DATA4">#REF!</definedName>
    <definedName name="DATA5" localSheetId="2">#REF!</definedName>
    <definedName name="DATA5" localSheetId="3">#REF!</definedName>
    <definedName name="DATA5" localSheetId="4">#REF!</definedName>
    <definedName name="DATA5" localSheetId="5">#REF!</definedName>
    <definedName name="DATA5" localSheetId="6">#REF!</definedName>
    <definedName name="DATA5" localSheetId="7">#REF!</definedName>
    <definedName name="DATA5" localSheetId="8">#REF!</definedName>
    <definedName name="DATA5" localSheetId="9">#REF!</definedName>
    <definedName name="DATA5" localSheetId="10">#REF!</definedName>
    <definedName name="DATA5" localSheetId="11">#REF!</definedName>
    <definedName name="DATA5">#REF!</definedName>
    <definedName name="DATA6" localSheetId="2">#REF!</definedName>
    <definedName name="DATA6" localSheetId="3">#REF!</definedName>
    <definedName name="DATA6" localSheetId="4">#REF!</definedName>
    <definedName name="DATA6" localSheetId="5">#REF!</definedName>
    <definedName name="DATA6" localSheetId="6">#REF!</definedName>
    <definedName name="DATA6" localSheetId="7">#REF!</definedName>
    <definedName name="DATA6" localSheetId="8">#REF!</definedName>
    <definedName name="DATA6" localSheetId="9">#REF!</definedName>
    <definedName name="DATA6" localSheetId="10">#REF!</definedName>
    <definedName name="DATA6" localSheetId="11">#REF!</definedName>
    <definedName name="DATA6">#REF!</definedName>
    <definedName name="DATA7">#REF!</definedName>
    <definedName name="DATA8">#REF!</definedName>
    <definedName name="DATA9">#REF!</definedName>
    <definedName name="dd">#REF!</definedName>
    <definedName name="Fund" localSheetId="6">#REF!</definedName>
    <definedName name="Fund" localSheetId="7">#REF!</definedName>
    <definedName name="Fund" localSheetId="10">#REF!</definedName>
    <definedName name="Fund" localSheetId="11">#REF!</definedName>
    <definedName name="Fund">[7]FundOrder!$A$1:$C$296</definedName>
    <definedName name="g" localSheetId="2">#REF!</definedName>
    <definedName name="g" localSheetId="3">#REF!</definedName>
    <definedName name="g" localSheetId="4">#REF!</definedName>
    <definedName name="g" localSheetId="5">#REF!</definedName>
    <definedName name="g" localSheetId="6">#REF!</definedName>
    <definedName name="g" localSheetId="7">#REF!</definedName>
    <definedName name="g" localSheetId="8">#REF!</definedName>
    <definedName name="g" localSheetId="9">#REF!</definedName>
    <definedName name="g" localSheetId="10">#REF!</definedName>
    <definedName name="g" localSheetId="11">#REF!</definedName>
    <definedName name="g">#REF!</definedName>
    <definedName name="groupdata" localSheetId="10">[8]groupdata!$A$1:$X$34</definedName>
    <definedName name="groupdata" localSheetId="11">[8]groupdata!$A$1:$X$34</definedName>
    <definedName name="groupdata">[9]groupdata!$A$1:$X$34</definedName>
    <definedName name="IOLOOK">#REF!</definedName>
    <definedName name="IOLOOKUP">#REF!</definedName>
    <definedName name="ll" localSheetId="2">#REF!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7">#REF!</definedName>
    <definedName name="ll" localSheetId="8">#REF!</definedName>
    <definedName name="ll" localSheetId="9">#REF!</definedName>
    <definedName name="ll" localSheetId="10">#REF!</definedName>
    <definedName name="ll" localSheetId="11">#REF!</definedName>
    <definedName name="ll">#REF!</definedName>
    <definedName name="m" localSheetId="4">#REF!</definedName>
    <definedName name="m" localSheetId="5">#REF!</definedName>
    <definedName name="m" localSheetId="6">#REF!</definedName>
    <definedName name="m" localSheetId="7">#REF!</definedName>
    <definedName name="m" localSheetId="10">#REF!</definedName>
    <definedName name="m" localSheetId="11">#REF!</definedName>
    <definedName name="m">#REF!</definedName>
    <definedName name="page\x2dtotal" localSheetId="0">#REF!</definedName>
    <definedName name="page\x2dtotal" localSheetId="4">#REF!</definedName>
    <definedName name="page\x2dtotal" localSheetId="6">#REF!</definedName>
    <definedName name="page\x2dtotal" localSheetId="8">#REF!</definedName>
    <definedName name="page\x2dtotal" localSheetId="10">#REF!</definedName>
    <definedName name="page\x2dtotal" localSheetId="12">#REF!</definedName>
    <definedName name="page\x2dtotal" localSheetId="13">#REF!</definedName>
    <definedName name="page\x2dtotal" localSheetId="14">#REF!</definedName>
    <definedName name="page\x2dtotal" localSheetId="15">#REF!</definedName>
    <definedName name="page\x2dtotal" localSheetId="16">#REF!</definedName>
    <definedName name="page\x2dtotal" localSheetId="17">#REF!</definedName>
    <definedName name="page\x2dtotal" localSheetId="18">#REF!</definedName>
    <definedName name="page\x2dtotal">#REF!</definedName>
    <definedName name="page\x2dtotal\x2dmaster0" localSheetId="0">#REF!</definedName>
    <definedName name="page\x2dtotal\x2dmaster0" localSheetId="4">#REF!</definedName>
    <definedName name="page\x2dtotal\x2dmaster0" localSheetId="6">#REF!</definedName>
    <definedName name="page\x2dtotal\x2dmaster0" localSheetId="8">#REF!</definedName>
    <definedName name="page\x2dtotal\x2dmaster0" localSheetId="10">#REF!</definedName>
    <definedName name="page\x2dtotal\x2dmaster0" localSheetId="12">#REF!</definedName>
    <definedName name="page\x2dtotal\x2dmaster0" localSheetId="13">#REF!</definedName>
    <definedName name="page\x2dtotal\x2dmaster0" localSheetId="14">#REF!</definedName>
    <definedName name="page\x2dtotal\x2dmaster0" localSheetId="15">#REF!</definedName>
    <definedName name="page\x2dtotal\x2dmaster0" localSheetId="16">#REF!</definedName>
    <definedName name="page\x2dtotal\x2dmaster0" localSheetId="17">#REF!</definedName>
    <definedName name="page\x2dtotal\x2dmaster0" localSheetId="18">#REF!</definedName>
    <definedName name="page\x2dtotal\x2dmaster0">#REF!</definedName>
    <definedName name="page\x2dtotal\x2dmaster0_1_1" localSheetId="0">#REF!</definedName>
    <definedName name="page\x2dtotal\x2dmaster0_1_1" localSheetId="4">#REF!</definedName>
    <definedName name="page\x2dtotal\x2dmaster0_1_1" localSheetId="6">#REF!</definedName>
    <definedName name="page\x2dtotal\x2dmaster0_1_1" localSheetId="8">#REF!</definedName>
    <definedName name="page\x2dtotal\x2dmaster0_1_1" localSheetId="10">#REF!</definedName>
    <definedName name="page\x2dtotal\x2dmaster0_1_1" localSheetId="12">#REF!</definedName>
    <definedName name="page\x2dtotal\x2dmaster0_1_1" localSheetId="13">#REF!</definedName>
    <definedName name="page\x2dtotal\x2dmaster0_1_1" localSheetId="14">#REF!</definedName>
    <definedName name="page\x2dtotal\x2dmaster0_1_1" localSheetId="15">#REF!</definedName>
    <definedName name="page\x2dtotal\x2dmaster0_1_1" localSheetId="16">#REF!</definedName>
    <definedName name="page\x2dtotal\x2dmaster0_1_1" localSheetId="17">#REF!</definedName>
    <definedName name="page\x2dtotal\x2dmaster0_1_1" localSheetId="18">#REF!</definedName>
    <definedName name="page\x2dtotal\x2dmaster0_1_1">#REF!</definedName>
    <definedName name="page\x2dtotal\x2dmaster0_2_1" localSheetId="2">'F6005'!$A$31</definedName>
    <definedName name="page\x2dtotal\x2dmaster0_2_1" localSheetId="3">'F6005'!$A$31</definedName>
    <definedName name="page\x2dtotal\x2dmaster0_2_1" localSheetId="4">'F6026'!$A$29</definedName>
    <definedName name="page\x2dtotal\x2dmaster0_2_1" localSheetId="5">'F6026'!$A$29</definedName>
    <definedName name="page\x2dtotal\x2dmaster0_2_1" localSheetId="6">'F6027'!$A$29</definedName>
    <definedName name="page\x2dtotal\x2dmaster0_2_1" localSheetId="7">#REF!</definedName>
    <definedName name="page\x2dtotal\x2dmaster0_2_1" localSheetId="8">'F6031'!$A$31</definedName>
    <definedName name="page\x2dtotal\x2dmaster0_2_1" localSheetId="9">'F6031'!$A$31</definedName>
    <definedName name="page\x2dtotal\x2dmaster0_2_1" localSheetId="10">'F6051'!$A$32</definedName>
    <definedName name="page\x2dtotal\x2dmaster0_2_1" localSheetId="11">'F6051'!$A$32</definedName>
    <definedName name="page\x2dtotal\x2dmaster0_2_1" localSheetId="12">'F6052'!$A$30</definedName>
    <definedName name="page\x2dtotal\x2dmaster0_2_1" localSheetId="13">'F6083'!$A$30</definedName>
    <definedName name="page\x2dtotal\x2dmaster0_2_1" localSheetId="14">'F6083'!$A$30</definedName>
    <definedName name="page\x2dtotal\x2dmaster0_2_1" localSheetId="15">'F6088'!$A$30</definedName>
    <definedName name="page\x2dtotal\x2dmaster0_2_1" localSheetId="16">'F6088'!$A$30</definedName>
    <definedName name="page\x2dtotal\x2dmaster0_2_1" localSheetId="17">'F9333'!$A$29</definedName>
    <definedName name="page\x2dtotal\x2dmaster0_2_1" localSheetId="18">'F9333'!$A$29</definedName>
    <definedName name="page\x2dtotal\x2dmaster0_2_1">'F6001'!$A$29</definedName>
    <definedName name="page\x2dtotal\x2dmaster0_3_1" localSheetId="0">#REF!</definedName>
    <definedName name="page\x2dtotal\x2dmaster0_3_1" localSheetId="2">#REF!</definedName>
    <definedName name="page\x2dtotal\x2dmaster0_3_1" localSheetId="3">#REF!</definedName>
    <definedName name="page\x2dtotal\x2dmaster0_3_1" localSheetId="4">#REF!</definedName>
    <definedName name="page\x2dtotal\x2dmaster0_3_1" localSheetId="5">#REF!</definedName>
    <definedName name="page\x2dtotal\x2dmaster0_3_1" localSheetId="6">#REF!</definedName>
    <definedName name="page\x2dtotal\x2dmaster0_3_1" localSheetId="7">#REF!</definedName>
    <definedName name="page\x2dtotal\x2dmaster0_3_1" localSheetId="8">#REF!</definedName>
    <definedName name="page\x2dtotal\x2dmaster0_3_1" localSheetId="9">#REF!</definedName>
    <definedName name="page\x2dtotal\x2dmaster0_3_1" localSheetId="10">#REF!</definedName>
    <definedName name="page\x2dtotal\x2dmaster0_3_1" localSheetId="11">#REF!</definedName>
    <definedName name="page\x2dtotal\x2dmaster0_3_1" localSheetId="12">#REF!</definedName>
    <definedName name="page\x2dtotal\x2dmaster0_3_1" localSheetId="13">#REF!</definedName>
    <definedName name="page\x2dtotal\x2dmaster0_3_1" localSheetId="14">#REF!</definedName>
    <definedName name="page\x2dtotal\x2dmaster0_3_1" localSheetId="15">#REF!</definedName>
    <definedName name="page\x2dtotal\x2dmaster0_3_1" localSheetId="16">#REF!</definedName>
    <definedName name="page\x2dtotal\x2dmaster0_3_1" localSheetId="17">#REF!</definedName>
    <definedName name="page\x2dtotal\x2dmaster0_3_1" localSheetId="18">#REF!</definedName>
    <definedName name="page\x2dtotal\x2dmaster0_3_1">#REF!</definedName>
    <definedName name="page\x2dtotal\x2dmaster0_4_1" localSheetId="0">#REF!</definedName>
    <definedName name="page\x2dtotal\x2dmaster0_4_1" localSheetId="2">#REF!</definedName>
    <definedName name="page\x2dtotal\x2dmaster0_4_1" localSheetId="3">#REF!</definedName>
    <definedName name="page\x2dtotal\x2dmaster0_4_1" localSheetId="4">#REF!</definedName>
    <definedName name="page\x2dtotal\x2dmaster0_4_1" localSheetId="6">#REF!</definedName>
    <definedName name="page\x2dtotal\x2dmaster0_4_1" localSheetId="8">#REF!</definedName>
    <definedName name="page\x2dtotal\x2dmaster0_4_1" localSheetId="10">#REF!</definedName>
    <definedName name="page\x2dtotal\x2dmaster0_4_1" localSheetId="12">#REF!</definedName>
    <definedName name="page\x2dtotal\x2dmaster0_4_1" localSheetId="13">#REF!</definedName>
    <definedName name="page\x2dtotal\x2dmaster0_4_1" localSheetId="14">#REF!</definedName>
    <definedName name="page\x2dtotal\x2dmaster0_4_1" localSheetId="15">#REF!</definedName>
    <definedName name="page\x2dtotal\x2dmaster0_4_1" localSheetId="16">#REF!</definedName>
    <definedName name="page\x2dtotal\x2dmaster0_4_1" localSheetId="17">#REF!</definedName>
    <definedName name="page\x2dtotal\x2dmaster0_4_1" localSheetId="18">#REF!</definedName>
    <definedName name="page\x2dtotal\x2dmaster0_4_1">#REF!</definedName>
    <definedName name="page\x2dtotal\x2dmaster0_5_1" localSheetId="0">#REF!</definedName>
    <definedName name="page\x2dtotal\x2dmaster0_5_1" localSheetId="2">#REF!</definedName>
    <definedName name="page\x2dtotal\x2dmaster0_5_1" localSheetId="3">#REF!</definedName>
    <definedName name="page\x2dtotal\x2dmaster0_5_1" localSheetId="4">#REF!</definedName>
    <definedName name="page\x2dtotal\x2dmaster0_5_1" localSheetId="6">#REF!</definedName>
    <definedName name="page\x2dtotal\x2dmaster0_5_1" localSheetId="8">#REF!</definedName>
    <definedName name="page\x2dtotal\x2dmaster0_5_1" localSheetId="10">#REF!</definedName>
    <definedName name="page\x2dtotal\x2dmaster0_5_1" localSheetId="12">#REF!</definedName>
    <definedName name="page\x2dtotal\x2dmaster0_5_1" localSheetId="13">#REF!</definedName>
    <definedName name="page\x2dtotal\x2dmaster0_5_1" localSheetId="14">#REF!</definedName>
    <definedName name="page\x2dtotal\x2dmaster0_5_1" localSheetId="15">#REF!</definedName>
    <definedName name="page\x2dtotal\x2dmaster0_5_1" localSheetId="16">#REF!</definedName>
    <definedName name="page\x2dtotal\x2dmaster0_5_1" localSheetId="17">#REF!</definedName>
    <definedName name="page\x2dtotal\x2dmaster0_5_1" localSheetId="18">#REF!</definedName>
    <definedName name="page\x2dtotal\x2dmaster0_5_1">#REF!</definedName>
    <definedName name="page\x2dtotal_1_1">#REF!</definedName>
    <definedName name="page\x2dtotal_2_1" localSheetId="2">'F6005'!$A$31</definedName>
    <definedName name="page\x2dtotal_2_1" localSheetId="3">'F6005'!$A$31</definedName>
    <definedName name="page\x2dtotal_2_1" localSheetId="4">'F6026'!$A$29</definedName>
    <definedName name="page\x2dtotal_2_1" localSheetId="5">'F6026'!$A$29</definedName>
    <definedName name="page\x2dtotal_2_1" localSheetId="6">'F6027'!$A$29</definedName>
    <definedName name="page\x2dtotal_2_1" localSheetId="7">#REF!</definedName>
    <definedName name="page\x2dtotal_2_1" localSheetId="8">'F6031'!$A$31</definedName>
    <definedName name="page\x2dtotal_2_1" localSheetId="9">'F6031'!$A$31</definedName>
    <definedName name="page\x2dtotal_2_1" localSheetId="10">'F6051'!$A$32</definedName>
    <definedName name="page\x2dtotal_2_1" localSheetId="11">'F6051'!$A$32</definedName>
    <definedName name="page\x2dtotal_2_1" localSheetId="12">'F6052'!$A$30</definedName>
    <definedName name="page\x2dtotal_2_1" localSheetId="13">'F6083'!$A$30</definedName>
    <definedName name="page\x2dtotal_2_1" localSheetId="14">'F6083'!$A$30</definedName>
    <definedName name="page\x2dtotal_2_1" localSheetId="15">'F6088'!$A$30</definedName>
    <definedName name="page\x2dtotal_2_1" localSheetId="16">'F6088'!$A$30</definedName>
    <definedName name="page\x2dtotal_2_1" localSheetId="17">'F9333'!$A$29</definedName>
    <definedName name="page\x2dtotal_2_1" localSheetId="18">'F9333'!$A$29</definedName>
    <definedName name="page\x2dtotal_2_1">'F6001'!$A$29</definedName>
    <definedName name="page\x2dtotal_3_1" localSheetId="0">#REF!</definedName>
    <definedName name="page\x2dtotal_3_1" localSheetId="2">#REF!</definedName>
    <definedName name="page\x2dtotal_3_1" localSheetId="3">#REF!</definedName>
    <definedName name="page\x2dtotal_3_1" localSheetId="4">#REF!</definedName>
    <definedName name="page\x2dtotal_3_1" localSheetId="5">#REF!</definedName>
    <definedName name="page\x2dtotal_3_1" localSheetId="6">#REF!</definedName>
    <definedName name="page\x2dtotal_3_1" localSheetId="7">#REF!</definedName>
    <definedName name="page\x2dtotal_3_1" localSheetId="8">#REF!</definedName>
    <definedName name="page\x2dtotal_3_1" localSheetId="9">#REF!</definedName>
    <definedName name="page\x2dtotal_3_1" localSheetId="10">#REF!</definedName>
    <definedName name="page\x2dtotal_3_1" localSheetId="11">#REF!</definedName>
    <definedName name="page\x2dtotal_3_1" localSheetId="12">#REF!</definedName>
    <definedName name="page\x2dtotal_3_1" localSheetId="13">#REF!</definedName>
    <definedName name="page\x2dtotal_3_1" localSheetId="14">#REF!</definedName>
    <definedName name="page\x2dtotal_3_1" localSheetId="15">#REF!</definedName>
    <definedName name="page\x2dtotal_3_1" localSheetId="16">#REF!</definedName>
    <definedName name="page\x2dtotal_3_1" localSheetId="17">#REF!</definedName>
    <definedName name="page\x2dtotal_3_1" localSheetId="18">#REF!</definedName>
    <definedName name="page\x2dtotal_3_1">#REF!</definedName>
    <definedName name="page\x2dtotal_4_1" localSheetId="0">#REF!</definedName>
    <definedName name="page\x2dtotal_4_1" localSheetId="2">#REF!</definedName>
    <definedName name="page\x2dtotal_4_1" localSheetId="3">#REF!</definedName>
    <definedName name="page\x2dtotal_4_1" localSheetId="4">#REF!</definedName>
    <definedName name="page\x2dtotal_4_1" localSheetId="6">#REF!</definedName>
    <definedName name="page\x2dtotal_4_1" localSheetId="8">#REF!</definedName>
    <definedName name="page\x2dtotal_4_1" localSheetId="10">#REF!</definedName>
    <definedName name="page\x2dtotal_4_1" localSheetId="12">#REF!</definedName>
    <definedName name="page\x2dtotal_4_1" localSheetId="13">#REF!</definedName>
    <definedName name="page\x2dtotal_4_1" localSheetId="14">#REF!</definedName>
    <definedName name="page\x2dtotal_4_1" localSheetId="15">#REF!</definedName>
    <definedName name="page\x2dtotal_4_1" localSheetId="16">#REF!</definedName>
    <definedName name="page\x2dtotal_4_1" localSheetId="17">#REF!</definedName>
    <definedName name="page\x2dtotal_4_1" localSheetId="18">#REF!</definedName>
    <definedName name="page\x2dtotal_4_1">#REF!</definedName>
    <definedName name="page\x2dtotal_5_1" localSheetId="0">#REF!</definedName>
    <definedName name="page\x2dtotal_5_1" localSheetId="2">#REF!</definedName>
    <definedName name="page\x2dtotal_5_1" localSheetId="3">#REF!</definedName>
    <definedName name="page\x2dtotal_5_1" localSheetId="4">#REF!</definedName>
    <definedName name="page\x2dtotal_5_1" localSheetId="6">#REF!</definedName>
    <definedName name="page\x2dtotal_5_1" localSheetId="8">#REF!</definedName>
    <definedName name="page\x2dtotal_5_1" localSheetId="10">#REF!</definedName>
    <definedName name="page\x2dtotal_5_1" localSheetId="12">#REF!</definedName>
    <definedName name="page\x2dtotal_5_1" localSheetId="13">#REF!</definedName>
    <definedName name="page\x2dtotal_5_1" localSheetId="14">#REF!</definedName>
    <definedName name="page\x2dtotal_5_1" localSheetId="15">#REF!</definedName>
    <definedName name="page\x2dtotal_5_1" localSheetId="16">#REF!</definedName>
    <definedName name="page\x2dtotal_5_1" localSheetId="17">#REF!</definedName>
    <definedName name="page\x2dtotal_5_1" localSheetId="18">#REF!</definedName>
    <definedName name="page\x2dtotal_5_1">#REF!</definedName>
    <definedName name="parenthst">#REF!</definedName>
    <definedName name="parentparcel">#REF!</definedName>
    <definedName name="_xlnm.Print_Area" localSheetId="0">'F6001'!$A$1:$J$27</definedName>
    <definedName name="_xlnm.Print_Area" localSheetId="2">'F6005'!$A$1:$K$31</definedName>
    <definedName name="_xlnm.Print_Area" localSheetId="4">'F6026'!$A$1:$J$27</definedName>
    <definedName name="_xlnm.Print_Area" localSheetId="6">'F6027'!$A$1:$J$27</definedName>
    <definedName name="_xlnm.Print_Area" localSheetId="8">'F6031'!$A$1:$J$29</definedName>
    <definedName name="_xlnm.Print_Area" localSheetId="10">'F6051'!$A$1:$J$30</definedName>
    <definedName name="_xlnm.Print_Area" localSheetId="12">'F6052'!$A$1:$J$28</definedName>
    <definedName name="_xlnm.Print_Area" localSheetId="13">'F6083'!$A$1:$J$28</definedName>
    <definedName name="_xlnm.Print_Area" localSheetId="15">'F6088'!$A$1:$J$28</definedName>
    <definedName name="_xlnm.Print_Area" localSheetId="17">'F9333'!$A$1:$J$27</definedName>
    <definedName name="Report_5_FY_2019" localSheetId="4">#REF!</definedName>
    <definedName name="Report_5_FY_2019" localSheetId="5">#REF!</definedName>
    <definedName name="Report_5_FY_2019" localSheetId="6">#REF!</definedName>
    <definedName name="Report_5_FY_2019" localSheetId="7">#REF!</definedName>
    <definedName name="Report_5_FY_2019" localSheetId="8">#REF!</definedName>
    <definedName name="Report_5_FY_2019" localSheetId="9">#REF!</definedName>
    <definedName name="Report_5_FY_2019" localSheetId="10">#REF!</definedName>
    <definedName name="Report_5_FY_2019" localSheetId="11">#REF!</definedName>
    <definedName name="Report_5_FY_2019">#REF!</definedName>
    <definedName name="Report1Pg3o3" localSheetId="4">#REF!</definedName>
    <definedName name="Report1Pg3o3" localSheetId="5">#REF!</definedName>
    <definedName name="Report1Pg3o3" localSheetId="6">#REF!</definedName>
    <definedName name="Report1Pg3o3" localSheetId="7">#REF!</definedName>
    <definedName name="Report1Pg3o3" localSheetId="8">#REF!</definedName>
    <definedName name="Report1Pg3o3" localSheetId="9">#REF!</definedName>
    <definedName name="Report1Pg3o3" localSheetId="10">#REF!</definedName>
    <definedName name="Report1Pg3o3" localSheetId="11">#REF!</definedName>
    <definedName name="Report1Pg3o3">#REF!</definedName>
    <definedName name="Report1Pg6" localSheetId="4">#REF!</definedName>
    <definedName name="Report1Pg6" localSheetId="5">#REF!</definedName>
    <definedName name="Report1Pg6" localSheetId="6">#REF!</definedName>
    <definedName name="Report1Pg6" localSheetId="7">#REF!</definedName>
    <definedName name="Report1Pg6" localSheetId="8">#REF!</definedName>
    <definedName name="Report1Pg6" localSheetId="9">#REF!</definedName>
    <definedName name="Report1Pg6" localSheetId="10">#REF!</definedName>
    <definedName name="Report1Pg6" localSheetId="11">#REF!</definedName>
    <definedName name="Report1Pg6">#REF!</definedName>
    <definedName name="s" localSheetId="2">#REF!</definedName>
    <definedName name="s" localSheetId="3">#REF!</definedName>
    <definedName name="s">#REF!</definedName>
    <definedName name="TEST0" localSheetId="2">#REF!</definedName>
    <definedName name="TEST0" localSheetId="3">#REF!</definedName>
    <definedName name="TEST0">#REF!</definedName>
    <definedName name="TEST1" localSheetId="2">#REF!</definedName>
    <definedName name="TEST1" localSheetId="3">#REF!</definedName>
    <definedName name="TEST1" localSheetId="10">'[10]SAP Data'!#REF!</definedName>
    <definedName name="TEST1" localSheetId="11">'[10]SAP Data'!#REF!</definedName>
    <definedName name="TEST1">#REF!</definedName>
    <definedName name="TEST2" localSheetId="10">'[10]SAP Data'!#REF!</definedName>
    <definedName name="TEST2" localSheetId="11">'[10]SAP Data'!#REF!</definedName>
    <definedName name="TEST2">#REF!</definedName>
    <definedName name="TEST3" localSheetId="10">#REF!</definedName>
    <definedName name="TEST3" localSheetId="11">#REF!</definedName>
    <definedName name="TEST3">#REF!</definedName>
    <definedName name="TEST4" localSheetId="10">#REF!</definedName>
    <definedName name="TEST4" localSheetId="11">#REF!</definedName>
    <definedName name="TEST4">#REF!</definedName>
    <definedName name="TEST5" localSheetId="10">#REF!</definedName>
    <definedName name="TEST5" localSheetId="11">#REF!</definedName>
    <definedName name="TEST5">#REF!</definedName>
    <definedName name="TESTHKEY">#REF!</definedName>
    <definedName name="TESTKEYS">#REF!</definedName>
    <definedName name="TESTVKEY">#REF!</definedName>
    <definedName name="title">#REF!</definedName>
    <definedName name="X">#REF!</definedName>
    <definedName name="XXXX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" i="19" l="1"/>
  <c r="V13" i="19"/>
  <c r="V14" i="19"/>
  <c r="V15" i="19"/>
  <c r="V16" i="19"/>
  <c r="V17" i="19"/>
  <c r="V19" i="19"/>
  <c r="V20" i="19"/>
  <c r="V21" i="19"/>
  <c r="I22" i="19"/>
  <c r="V22" i="19"/>
  <c r="V23" i="19"/>
  <c r="I24" i="19"/>
  <c r="V24" i="19"/>
  <c r="V25" i="19"/>
  <c r="V26" i="19"/>
  <c r="V27" i="19"/>
  <c r="V28" i="19"/>
  <c r="V29" i="19"/>
  <c r="E30" i="19"/>
  <c r="G30" i="19"/>
  <c r="I30" i="19"/>
  <c r="K30" i="19"/>
  <c r="M30" i="19"/>
  <c r="O30" i="19"/>
  <c r="Q30" i="19"/>
  <c r="S30" i="19"/>
  <c r="T30" i="19"/>
  <c r="J16" i="18"/>
  <c r="J17" i="18"/>
  <c r="J20" i="18"/>
  <c r="J21" i="18"/>
  <c r="J22" i="18"/>
  <c r="J25" i="18" s="1"/>
  <c r="E25" i="18"/>
  <c r="H25" i="18"/>
  <c r="V30" i="19" l="1"/>
  <c r="I12" i="17"/>
  <c r="V12" i="17"/>
  <c r="V13" i="17"/>
  <c r="V30" i="17" s="1"/>
  <c r="V14" i="17"/>
  <c r="I15" i="17"/>
  <c r="V15" i="17"/>
  <c r="V16" i="17"/>
  <c r="V17" i="17"/>
  <c r="V19" i="17"/>
  <c r="V20" i="17"/>
  <c r="V21" i="17"/>
  <c r="V22" i="17"/>
  <c r="V23" i="17"/>
  <c r="I24" i="17"/>
  <c r="V24" i="17"/>
  <c r="I25" i="17"/>
  <c r="I30" i="17" s="1"/>
  <c r="V25" i="17"/>
  <c r="I26" i="17"/>
  <c r="V26" i="17"/>
  <c r="V27" i="17"/>
  <c r="V28" i="17"/>
  <c r="V29" i="17"/>
  <c r="E30" i="17"/>
  <c r="G30" i="17"/>
  <c r="K30" i="17"/>
  <c r="M30" i="17"/>
  <c r="O30" i="17"/>
  <c r="Q30" i="17"/>
  <c r="S30" i="17"/>
  <c r="T30" i="17"/>
  <c r="J16" i="16"/>
  <c r="J17" i="16"/>
  <c r="J18" i="16"/>
  <c r="J21" i="16"/>
  <c r="J22" i="16"/>
  <c r="J23" i="16"/>
  <c r="E26" i="16"/>
  <c r="G26" i="16"/>
  <c r="H26" i="16"/>
  <c r="J26" i="16"/>
  <c r="V12" i="15" l="1"/>
  <c r="V13" i="15"/>
  <c r="V14" i="15"/>
  <c r="I15" i="15"/>
  <c r="V15" i="15"/>
  <c r="V16" i="15"/>
  <c r="V17" i="15"/>
  <c r="V19" i="15"/>
  <c r="V20" i="15"/>
  <c r="V21" i="15"/>
  <c r="V22" i="15"/>
  <c r="V23" i="15"/>
  <c r="I24" i="15"/>
  <c r="V24" i="15"/>
  <c r="I25" i="15"/>
  <c r="V25" i="15"/>
  <c r="V30" i="15" s="1"/>
  <c r="V26" i="15"/>
  <c r="V27" i="15"/>
  <c r="V28" i="15"/>
  <c r="V29" i="15"/>
  <c r="E30" i="15"/>
  <c r="G30" i="15"/>
  <c r="K30" i="15"/>
  <c r="M30" i="15"/>
  <c r="O30" i="15"/>
  <c r="Q30" i="15"/>
  <c r="S30" i="15"/>
  <c r="T30" i="15"/>
  <c r="J16" i="14"/>
  <c r="J17" i="14"/>
  <c r="J18" i="14"/>
  <c r="J21" i="14"/>
  <c r="J22" i="14"/>
  <c r="J23" i="14"/>
  <c r="E26" i="14"/>
  <c r="G26" i="14"/>
  <c r="H26" i="14"/>
  <c r="J26" i="14"/>
  <c r="I30" i="15" l="1"/>
  <c r="J16" i="13"/>
  <c r="J26" i="13" s="1"/>
  <c r="J17" i="13"/>
  <c r="J18" i="13"/>
  <c r="J21" i="13"/>
  <c r="J22" i="13"/>
  <c r="J23" i="13"/>
  <c r="E26" i="13"/>
  <c r="H26" i="13"/>
  <c r="G12" i="12" l="1"/>
  <c r="I12" i="12" s="1"/>
  <c r="V12" i="12"/>
  <c r="V13" i="12"/>
  <c r="V14" i="12"/>
  <c r="G15" i="12"/>
  <c r="I15" i="12" s="1"/>
  <c r="V15" i="12"/>
  <c r="V16" i="12"/>
  <c r="V17" i="12"/>
  <c r="V19" i="12"/>
  <c r="V20" i="12"/>
  <c r="V21" i="12"/>
  <c r="V22" i="12"/>
  <c r="V23" i="12"/>
  <c r="I24" i="12"/>
  <c r="T24" i="12" s="1"/>
  <c r="V25" i="12"/>
  <c r="I26" i="12"/>
  <c r="S26" i="12" s="1"/>
  <c r="V27" i="12"/>
  <c r="I28" i="12"/>
  <c r="V28" i="12"/>
  <c r="V29" i="12"/>
  <c r="V30" i="12"/>
  <c r="E31" i="12"/>
  <c r="G31" i="12"/>
  <c r="K31" i="12"/>
  <c r="M31" i="12"/>
  <c r="O31" i="12"/>
  <c r="Q31" i="12"/>
  <c r="J16" i="11"/>
  <c r="J17" i="11"/>
  <c r="J18" i="11"/>
  <c r="J21" i="11"/>
  <c r="J28" i="11" s="1"/>
  <c r="J22" i="11"/>
  <c r="J23" i="11"/>
  <c r="J24" i="11"/>
  <c r="J25" i="11"/>
  <c r="E28" i="11"/>
  <c r="G28" i="11"/>
  <c r="H28" i="11"/>
  <c r="I31" i="12" l="1"/>
  <c r="S31" i="12"/>
  <c r="V26" i="12"/>
  <c r="V24" i="12"/>
  <c r="V31" i="12" s="1"/>
  <c r="T31" i="12"/>
  <c r="V12" i="10"/>
  <c r="V13" i="10"/>
  <c r="V14" i="10"/>
  <c r="I15" i="10"/>
  <c r="V15" i="10"/>
  <c r="V16" i="10"/>
  <c r="V17" i="10"/>
  <c r="V19" i="10"/>
  <c r="V20" i="10"/>
  <c r="V21" i="10"/>
  <c r="V22" i="10"/>
  <c r="V23" i="10"/>
  <c r="I24" i="10"/>
  <c r="V24" i="10"/>
  <c r="V25" i="10"/>
  <c r="I26" i="10"/>
  <c r="V26" i="10"/>
  <c r="V27" i="10"/>
  <c r="I28" i="10"/>
  <c r="V28" i="10"/>
  <c r="V29" i="10"/>
  <c r="V30" i="10"/>
  <c r="E31" i="10"/>
  <c r="G31" i="10"/>
  <c r="K31" i="10"/>
  <c r="M31" i="10"/>
  <c r="O31" i="10"/>
  <c r="Q31" i="10"/>
  <c r="S31" i="10"/>
  <c r="T31" i="10"/>
  <c r="J16" i="9"/>
  <c r="J17" i="9"/>
  <c r="J18" i="9"/>
  <c r="J21" i="9"/>
  <c r="J22" i="9"/>
  <c r="J27" i="9" s="1"/>
  <c r="J23" i="9"/>
  <c r="J24" i="9"/>
  <c r="J25" i="9"/>
  <c r="E27" i="9"/>
  <c r="G27" i="9"/>
  <c r="H27" i="9"/>
  <c r="A1" i="8"/>
  <c r="A4" i="8"/>
  <c r="V12" i="8"/>
  <c r="V13" i="8"/>
  <c r="V14" i="8"/>
  <c r="V15" i="8"/>
  <c r="V16" i="8"/>
  <c r="V17" i="8"/>
  <c r="V30" i="8" s="1"/>
  <c r="V19" i="8"/>
  <c r="V20" i="8"/>
  <c r="V21" i="8"/>
  <c r="V22" i="8"/>
  <c r="V23" i="8"/>
  <c r="I24" i="8"/>
  <c r="V24" i="8"/>
  <c r="I25" i="8"/>
  <c r="I30" i="8" s="1"/>
  <c r="V25" i="8"/>
  <c r="V26" i="8"/>
  <c r="V27" i="8"/>
  <c r="V28" i="8"/>
  <c r="V29" i="8"/>
  <c r="E30" i="8"/>
  <c r="G30" i="8"/>
  <c r="K30" i="8"/>
  <c r="M30" i="8"/>
  <c r="O30" i="8"/>
  <c r="Q30" i="8"/>
  <c r="S30" i="8"/>
  <c r="T30" i="8"/>
  <c r="A4" i="7"/>
  <c r="J16" i="7"/>
  <c r="J17" i="7"/>
  <c r="J20" i="7"/>
  <c r="J25" i="7" s="1"/>
  <c r="J21" i="7"/>
  <c r="J22" i="7"/>
  <c r="E25" i="7"/>
  <c r="G25" i="7"/>
  <c r="H25" i="7"/>
  <c r="A1" i="6"/>
  <c r="A4" i="6"/>
  <c r="V12" i="6"/>
  <c r="V13" i="6"/>
  <c r="V14" i="6"/>
  <c r="I15" i="6"/>
  <c r="I30" i="6" s="1"/>
  <c r="V15" i="6"/>
  <c r="V16" i="6"/>
  <c r="V17" i="6"/>
  <c r="V19" i="6"/>
  <c r="V20" i="6"/>
  <c r="V21" i="6"/>
  <c r="V22" i="6"/>
  <c r="V23" i="6"/>
  <c r="I24" i="6"/>
  <c r="V24" i="6"/>
  <c r="I25" i="6"/>
  <c r="V25" i="6"/>
  <c r="V26" i="6"/>
  <c r="V27" i="6"/>
  <c r="V28" i="6"/>
  <c r="V29" i="6"/>
  <c r="E30" i="6"/>
  <c r="G30" i="6"/>
  <c r="K30" i="6"/>
  <c r="M30" i="6"/>
  <c r="O30" i="6"/>
  <c r="Q30" i="6"/>
  <c r="S30" i="6"/>
  <c r="T30" i="6"/>
  <c r="V30" i="6"/>
  <c r="A3" i="5"/>
  <c r="A4" i="5"/>
  <c r="J16" i="5"/>
  <c r="J17" i="5"/>
  <c r="J25" i="5" s="1"/>
  <c r="J20" i="5"/>
  <c r="J21" i="5"/>
  <c r="J22" i="5"/>
  <c r="E25" i="5"/>
  <c r="G25" i="5"/>
  <c r="H25" i="5"/>
  <c r="I12" i="4"/>
  <c r="V12" i="4"/>
  <c r="I13" i="4"/>
  <c r="V13" i="4"/>
  <c r="I14" i="4"/>
  <c r="V14" i="4"/>
  <c r="I15" i="4"/>
  <c r="V15" i="4"/>
  <c r="I16" i="4"/>
  <c r="V16" i="4"/>
  <c r="I17" i="4"/>
  <c r="V17" i="4"/>
  <c r="I19" i="4"/>
  <c r="V19" i="4"/>
  <c r="I20" i="4"/>
  <c r="V20" i="4"/>
  <c r="I21" i="4"/>
  <c r="V21" i="4"/>
  <c r="I22" i="4"/>
  <c r="V22" i="4"/>
  <c r="I23" i="4"/>
  <c r="V23" i="4"/>
  <c r="I24" i="4"/>
  <c r="V24" i="4"/>
  <c r="I25" i="4"/>
  <c r="V25" i="4"/>
  <c r="I26" i="4"/>
  <c r="V26" i="4"/>
  <c r="I27" i="4"/>
  <c r="V27" i="4"/>
  <c r="I28" i="4"/>
  <c r="V28" i="4"/>
  <c r="I29" i="4"/>
  <c r="V29" i="4"/>
  <c r="I30" i="4"/>
  <c r="V30" i="4"/>
  <c r="E31" i="4"/>
  <c r="G31" i="4"/>
  <c r="K31" i="4"/>
  <c r="M31" i="4"/>
  <c r="O31" i="4"/>
  <c r="Q31" i="4"/>
  <c r="S31" i="4"/>
  <c r="T31" i="4"/>
  <c r="J16" i="3"/>
  <c r="J17" i="3"/>
  <c r="J20" i="3"/>
  <c r="J21" i="3"/>
  <c r="J22" i="3"/>
  <c r="J23" i="3"/>
  <c r="J24" i="3"/>
  <c r="E27" i="3"/>
  <c r="G27" i="3"/>
  <c r="H27" i="3"/>
  <c r="J27" i="3"/>
  <c r="V31" i="10" l="1"/>
  <c r="I31" i="10"/>
  <c r="V31" i="4"/>
  <c r="I31" i="4"/>
  <c r="T31" i="2"/>
  <c r="S31" i="2"/>
  <c r="Q31" i="2"/>
  <c r="O31" i="2"/>
  <c r="M31" i="2"/>
  <c r="K31" i="2"/>
  <c r="G31" i="2"/>
  <c r="E31" i="2"/>
  <c r="V30" i="2"/>
  <c r="V29" i="2"/>
  <c r="V28" i="2"/>
  <c r="I28" i="2"/>
  <c r="V27" i="2"/>
  <c r="V26" i="2"/>
  <c r="I26" i="2"/>
  <c r="I31" i="2" s="1"/>
  <c r="V25" i="2"/>
  <c r="V24" i="2"/>
  <c r="I24" i="2"/>
  <c r="V23" i="2"/>
  <c r="V22" i="2"/>
  <c r="V21" i="2"/>
  <c r="V20" i="2"/>
  <c r="V19" i="2"/>
  <c r="V17" i="2"/>
  <c r="V16" i="2"/>
  <c r="V15" i="2"/>
  <c r="V14" i="2"/>
  <c r="V13" i="2"/>
  <c r="V12" i="2"/>
  <c r="V31" i="2" s="1"/>
  <c r="H25" i="1"/>
  <c r="E25" i="1"/>
  <c r="J22" i="1"/>
  <c r="J21" i="1"/>
  <c r="J20" i="1"/>
  <c r="J17" i="1"/>
  <c r="J16" i="1"/>
</calcChain>
</file>

<file path=xl/sharedStrings.xml><?xml version="1.0" encoding="utf-8"?>
<sst xmlns="http://schemas.openxmlformats.org/spreadsheetml/2006/main" count="792" uniqueCount="133">
  <si>
    <r>
      <rPr>
        <b/>
        <sz val="11"/>
        <color theme="1"/>
        <rFont val="Arial"/>
        <family val="2"/>
      </rPr>
      <t>Page No</t>
    </r>
    <r>
      <rPr>
        <sz val="12"/>
        <color theme="1"/>
        <rFont val="Arial"/>
        <family val="2"/>
      </rPr>
      <t xml:space="preserve"> :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1</t>
    </r>
  </si>
  <si>
    <t>REPORT 18 – STATEMENT OF CHANGES IN CAPITAL ASSETS</t>
  </si>
  <si>
    <t>DEPARTMENT OF WATER RESOURCES (3860)</t>
  </si>
  <si>
    <t>Fiscal Year 2023-24</t>
  </si>
  <si>
    <t>As of 06/30/2024</t>
  </si>
  <si>
    <t>Business Unit:</t>
  </si>
  <si>
    <t>3860 - Department of Water Resources</t>
  </si>
  <si>
    <t>Fund:</t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</si>
  <si>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</si>
  <si>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</si>
  <si>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</si>
  <si>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</si>
  <si>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</si>
  <si>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</si>
  <si>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</si>
  <si>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  <family val="2"/>
      </rPr>
      <t>2310</t>
    </r>
    <r>
      <rPr>
        <sz val="10"/>
        <color theme="1"/>
        <rFont val="Arial"/>
        <family val="2"/>
      </rPr>
      <t xml:space="preserve"> - Land</t>
    </r>
  </si>
  <si>
    <r>
      <rPr>
        <sz val="11"/>
        <color theme="1"/>
        <rFont val="Calibri"/>
        <family val="2"/>
      </rPr>
      <t>2350</t>
    </r>
    <r>
      <rPr>
        <sz val="10"/>
        <color theme="1"/>
        <rFont val="Arial"/>
        <family val="2"/>
      </rPr>
      <t xml:space="preserve"> - Construction Work in Progress</t>
    </r>
  </si>
  <si>
    <t>Intangible Assets</t>
  </si>
  <si>
    <r>
      <rPr>
        <sz val="11"/>
        <color theme="1"/>
        <rFont val="Calibri"/>
        <family val="2"/>
      </rPr>
      <t>2412</t>
    </r>
    <r>
      <rPr>
        <sz val="10"/>
        <color theme="1"/>
        <rFont val="Arial"/>
        <family val="2"/>
      </rPr>
      <t xml:space="preserve"> - Land Use Rights - Amortizable</t>
    </r>
  </si>
  <si>
    <r>
      <rPr>
        <sz val="11"/>
        <color theme="1"/>
        <rFont val="Calibri"/>
        <family val="2"/>
      </rPr>
      <t>2414</t>
    </r>
    <r>
      <rPr>
        <sz val="10"/>
        <color theme="1"/>
        <rFont val="Arial"/>
        <family val="2"/>
      </rPr>
      <t xml:space="preserve"> - Other Intangible Assets-Amorti</t>
    </r>
  </si>
  <si>
    <r>
      <rPr>
        <sz val="11"/>
        <color theme="1"/>
        <rFont val="Calibri"/>
        <family val="2"/>
      </rPr>
      <t>2422</t>
    </r>
    <r>
      <rPr>
        <sz val="10"/>
        <color theme="1"/>
        <rFont val="Arial"/>
        <family val="2"/>
      </rPr>
      <t xml:space="preserve"> - Land Use Rights - Non-Amorti</t>
    </r>
  </si>
  <si>
    <t>Fund#</t>
  </si>
  <si>
    <t>Statement of Changes in Capital Assets Group of Accounts - Report 18</t>
  </si>
  <si>
    <t>Beginning Balance Differential Report</t>
  </si>
  <si>
    <t>As of June 30, 2024</t>
  </si>
  <si>
    <t>Breakdown of Difference: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</si>
  <si>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</si>
  <si>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</si>
  <si>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</si>
  <si>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</si>
  <si>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</si>
  <si>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</si>
  <si>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</si>
  <si>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</si>
  <si>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</si>
  <si>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</si>
  <si>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Prior Year Ending Balance</t>
  </si>
  <si>
    <t>Current Year Beginning Balance</t>
  </si>
  <si>
    <t>Difference</t>
  </si>
  <si>
    <t>Assets unreported in the prior year</t>
  </si>
  <si>
    <t>Non-capitalizable assets reported as capital assets in the prior year</t>
  </si>
  <si>
    <r>
      <t xml:space="preserve">Transfers from other departments
</t>
    </r>
    <r>
      <rPr>
        <sz val="11"/>
        <color theme="1"/>
        <rFont val="Calibri"/>
        <family val="2"/>
      </rPr>
      <t>(at historical cost/book value)</t>
    </r>
  </si>
  <si>
    <r>
      <t xml:space="preserve">Other amounts that make up the difference </t>
    </r>
    <r>
      <rPr>
        <sz val="11"/>
        <color theme="1"/>
        <rFont val="Calibri"/>
        <family val="2"/>
      </rPr>
      <t xml:space="preserve">(provide description): 
</t>
    </r>
    <r>
      <rPr>
        <b/>
        <u/>
        <sz val="8"/>
        <color theme="1"/>
        <rFont val="Aptos Narrow"/>
        <family val="2"/>
        <scheme val="minor"/>
      </rPr>
      <t>prior year asset classification was incorrect</t>
    </r>
  </si>
  <si>
    <r>
      <t xml:space="preserve">Other amounts that make up the difference </t>
    </r>
    <r>
      <rPr>
        <sz val="11"/>
        <color theme="1"/>
        <rFont val="Calibri"/>
        <family val="2"/>
      </rPr>
      <t xml:space="preserve">(provide description): </t>
    </r>
    <r>
      <rPr>
        <b/>
        <u/>
        <sz val="8"/>
        <color theme="1"/>
        <rFont val="Aptos Narrow"/>
        <family val="2"/>
        <scheme val="minor"/>
      </rPr>
      <t>GASB 96 - 
Year over Year Cost Allocation Percentage Difference</t>
    </r>
  </si>
  <si>
    <r>
      <t xml:space="preserve">Other amounts that make up the difference </t>
    </r>
    <r>
      <rPr>
        <sz val="11"/>
        <color theme="1"/>
        <rFont val="Calibri"/>
        <family val="2"/>
      </rPr>
      <t xml:space="preserve">(provide description): </t>
    </r>
    <r>
      <rPr>
        <b/>
        <u/>
        <sz val="8"/>
        <color theme="1"/>
        <rFont val="Aptos Narrow"/>
        <family val="2"/>
        <scheme val="minor"/>
      </rPr>
      <t>GASB 87 - 
Year over Year Cost Allocation Percentage Difference</t>
    </r>
  </si>
  <si>
    <r>
      <t xml:space="preserve">Restatement Amount 
</t>
    </r>
    <r>
      <rPr>
        <sz val="11"/>
        <color theme="1"/>
        <rFont val="Calibri"/>
        <family val="2"/>
      </rPr>
      <t>(should agree to the difference calculated)</t>
    </r>
  </si>
  <si>
    <t>Land</t>
  </si>
  <si>
    <t>Buildings</t>
  </si>
  <si>
    <t>Improvements Other Than Buildings</t>
  </si>
  <si>
    <t>Equipment</t>
  </si>
  <si>
    <t>Construction Work in Progress</t>
  </si>
  <si>
    <t>Infrastructure - Depreciable</t>
  </si>
  <si>
    <t>Computer Software - Amortizable</t>
  </si>
  <si>
    <t>Land Use Rights - Amortizable</t>
  </si>
  <si>
    <t>Patents, Copyrights, and Trademarks - Amortizable</t>
  </si>
  <si>
    <t>Other Intangible Assets - Amortizable</t>
  </si>
  <si>
    <t>Right-to-Use Leased Land - Amortizable</t>
  </si>
  <si>
    <t>Right-to-Use Leased Buildings - Amortizable</t>
  </si>
  <si>
    <t>Right-to-Use Leased Equipment - Amortizable</t>
  </si>
  <si>
    <t>Right-to-Use SBITA - Amortizable</t>
  </si>
  <si>
    <t>Land Use Rights - Non-Amortizable</t>
  </si>
  <si>
    <t>Patents, Copyrights, and Trademarks - Non-Amortizable</t>
  </si>
  <si>
    <t>Other Intangible Assets - Non-Amortizable</t>
  </si>
  <si>
    <t>Internally Generated Intangible Assets in Progress</t>
  </si>
  <si>
    <t>Total</t>
  </si>
  <si>
    <t>Report Instructions:</t>
  </si>
  <si>
    <t>Col. 1 -</t>
  </si>
  <si>
    <t>Enter Ending Balance from Prior Year Report 18.</t>
  </si>
  <si>
    <t>Col. 2 -</t>
  </si>
  <si>
    <t>Enter Beginning Balance from Current Year Report 18.</t>
  </si>
  <si>
    <t>Col. 3 -</t>
  </si>
  <si>
    <t>Compute difference between current year beginning balance and prior year ending balance.</t>
  </si>
  <si>
    <t>Research posting and source documents to identify and explain the difference.</t>
  </si>
  <si>
    <t>Col. 4 - 9</t>
  </si>
  <si>
    <t>Breakdown and categorize the differences in columns 4 to 9.</t>
  </si>
  <si>
    <t>Col. 10 -</t>
  </si>
  <si>
    <t>Compute the sum of columns 4 to 8. The amount should agree with the computed difference in column 3.</t>
  </si>
  <si>
    <t>6001 - Safe Drinking, Clean Water, Watershed Protection &amp; Flood Protection</t>
  </si>
  <si>
    <t>SAFE DRINKING, CLEAN WATER, WATERSHED PROTECTION &amp; FLOOD PROTECTION (6001)</t>
  </si>
  <si>
    <t xml:space="preserve">due to Fund 6005 was a negative percentage allocation. </t>
  </si>
  <si>
    <t>*Fund 6005 is one of multiple ultimate funds receiving cost allocation for GASB 87/96 reporting values. The cost allocation split at 06/30/24</t>
  </si>
  <si>
    <t>*</t>
  </si>
  <si>
    <r>
      <t>2418</t>
    </r>
    <r>
      <rPr>
        <sz val="10"/>
        <color theme="1"/>
        <rFont val="Arial"/>
        <family val="2"/>
      </rPr>
      <t xml:space="preserve"> - Right-to-Use SBITA - Amortizable</t>
    </r>
  </si>
  <si>
    <r>
      <rPr>
        <sz val="11"/>
        <color theme="1"/>
        <rFont val="Calibri"/>
        <family val="2"/>
      </rPr>
      <t>2416</t>
    </r>
    <r>
      <rPr>
        <sz val="10"/>
        <color theme="1"/>
        <rFont val="Arial"/>
        <family val="2"/>
      </rPr>
      <t xml:space="preserve"> - Right-to-Use Leased Buildings - Amortizable</t>
    </r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</si>
  <si>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</t>
    </r>
  </si>
  <si>
    <t>Run Date:</t>
  </si>
  <si>
    <t>6005 - Flood Protection Corridor Subaccount</t>
  </si>
  <si>
    <r>
      <rPr>
        <b/>
        <sz val="11"/>
        <color theme="1"/>
        <rFont val="Arial"/>
        <family val="2"/>
      </rPr>
      <t>Report ID:</t>
    </r>
    <r>
      <rPr>
        <sz val="11"/>
        <color theme="1"/>
        <rFont val="Arial"/>
        <family val="2"/>
      </rPr>
      <t xml:space="preserve"> </t>
    </r>
  </si>
  <si>
    <t xml:space="preserve">Flood Protection Corridor Subaccount (6005) </t>
  </si>
  <si>
    <t>Department of Water Resources (3860)</t>
  </si>
  <si>
    <r>
      <t xml:space="preserve">Restatement Amount 
</t>
    </r>
    <r>
      <rPr>
        <sz val="11"/>
        <color theme="1"/>
        <rFont val="Aptos Narrow"/>
        <family val="2"/>
        <scheme val="minor"/>
      </rPr>
      <t>(should agree to the difference calculated)</t>
    </r>
  </si>
  <si>
    <r>
      <t xml:space="preserve">Other amounts that make up the difference </t>
    </r>
    <r>
      <rPr>
        <sz val="11"/>
        <color theme="1"/>
        <rFont val="Aptos Narrow"/>
        <family val="2"/>
        <scheme val="minor"/>
      </rPr>
      <t xml:space="preserve">(provide description): </t>
    </r>
    <r>
      <rPr>
        <b/>
        <u/>
        <sz val="8"/>
        <color theme="1"/>
        <rFont val="Aptos Narrow"/>
        <family val="2"/>
        <scheme val="minor"/>
      </rPr>
      <t>GASB 87 - 
Year over Year Cost Allocation Percentage Difference</t>
    </r>
  </si>
  <si>
    <r>
      <t xml:space="preserve">Other amounts that make up the difference </t>
    </r>
    <r>
      <rPr>
        <sz val="11"/>
        <color theme="1"/>
        <rFont val="Aptos Narrow"/>
        <family val="2"/>
        <scheme val="minor"/>
      </rPr>
      <t xml:space="preserve">(provide description): </t>
    </r>
    <r>
      <rPr>
        <b/>
        <u/>
        <sz val="8"/>
        <color theme="1"/>
        <rFont val="Aptos Narrow"/>
        <family val="2"/>
        <scheme val="minor"/>
      </rPr>
      <t>GASB 96 - 
Year over Year Cost Allocation Percentage Difference</t>
    </r>
  </si>
  <si>
    <r>
      <t xml:space="preserve">Other amounts that make up the difference </t>
    </r>
    <r>
      <rPr>
        <sz val="11"/>
        <color theme="1"/>
        <rFont val="Aptos Narrow"/>
        <family val="2"/>
        <scheme val="minor"/>
      </rPr>
      <t xml:space="preserve">(provide description): 
</t>
    </r>
    <r>
      <rPr>
        <b/>
        <u/>
        <sz val="8"/>
        <color theme="1"/>
        <rFont val="Aptos Narrow"/>
        <family val="2"/>
        <scheme val="minor"/>
      </rPr>
      <t>prior year asset classification was incorrect</t>
    </r>
  </si>
  <si>
    <r>
      <t xml:space="preserve">Transfers from other departments
</t>
    </r>
    <r>
      <rPr>
        <sz val="11"/>
        <color theme="1"/>
        <rFont val="Aptos Narrow"/>
        <family val="2"/>
        <scheme val="minor"/>
      </rPr>
      <t>(at historical cost/book value)</t>
    </r>
  </si>
  <si>
    <t>6026000</t>
  </si>
  <si>
    <t>2418 - Right-to-Use SBITA - Amortizable</t>
  </si>
  <si>
    <t>2341 - Equipment</t>
  </si>
  <si>
    <t>6026000 - Bay-Delta Multipurpose Water Management Subaccount</t>
  </si>
  <si>
    <t>Run Time:</t>
  </si>
  <si>
    <r>
      <rPr>
        <b/>
        <sz val="11"/>
        <color theme="1"/>
        <rFont val="Arial"/>
        <family val="2"/>
      </rPr>
      <t>Run Date:</t>
    </r>
    <r>
      <rPr>
        <sz val="11"/>
        <color theme="1"/>
        <rFont val="Arial"/>
        <family val="2"/>
      </rPr>
      <t xml:space="preserve"> </t>
    </r>
  </si>
  <si>
    <t xml:space="preserve">6027 - Interim Wtr Supply &amp; Wtr Qlty Infrastructure &amp; Mgmt Subaccount </t>
  </si>
  <si>
    <r>
      <rPr>
        <sz val="11"/>
        <color theme="1"/>
        <rFont val="Calibri"/>
        <family val="2"/>
      </rPr>
      <t>2422</t>
    </r>
    <r>
      <rPr>
        <sz val="10"/>
        <color theme="1"/>
        <rFont val="Arial"/>
        <family val="2"/>
      </rPr>
      <t xml:space="preserve"> - Right-to-Use SBITA - Amortizable</t>
    </r>
  </si>
  <si>
    <r>
      <rPr>
        <sz val="11"/>
        <color theme="1"/>
        <rFont val="Calibri"/>
        <family val="2"/>
      </rPr>
      <t>2416</t>
    </r>
    <r>
      <rPr>
        <sz val="10"/>
        <color theme="1"/>
        <rFont val="Arial"/>
        <family val="2"/>
      </rPr>
      <t xml:space="preserve"> - Right-to-Use Leased Buildings- Amortizable</t>
    </r>
  </si>
  <si>
    <r>
      <rPr>
        <sz val="11"/>
        <color theme="1"/>
        <rFont val="Calibri"/>
        <family val="2"/>
      </rPr>
      <t>2340</t>
    </r>
    <r>
      <rPr>
        <sz val="10"/>
        <color theme="1"/>
        <rFont val="Arial"/>
        <family val="2"/>
      </rPr>
      <t xml:space="preserve"> - Equipment</t>
    </r>
  </si>
  <si>
    <t>6031 - Water Security, Clean Drinking Coastal and Beach Protection Fund</t>
  </si>
  <si>
    <t>WATER SECURITY, CLEAN DRINKING COASTAL AND BEACH PROTECTION FUND (6031)</t>
  </si>
  <si>
    <t>Water Security, Clean Drinking Coastal and Beach Protection Fund (6031)</t>
  </si>
  <si>
    <t xml:space="preserve">2418 - Right-to-Use SBITA - Amortizable </t>
  </si>
  <si>
    <r>
      <t>2416</t>
    </r>
    <r>
      <rPr>
        <sz val="10"/>
        <color theme="1"/>
        <rFont val="Arial"/>
        <family val="2"/>
      </rPr>
      <t xml:space="preserve"> - Right-to-Use Leased Buildings - Amortizable</t>
    </r>
  </si>
  <si>
    <r>
      <rPr>
        <sz val="11"/>
        <color theme="1"/>
        <rFont val="Calibri"/>
        <family val="2"/>
      </rPr>
      <t>2341</t>
    </r>
    <r>
      <rPr>
        <sz val="10"/>
        <color theme="1"/>
        <rFont val="Arial"/>
        <family val="2"/>
      </rPr>
      <t xml:space="preserve"> - Equipment </t>
    </r>
  </si>
  <si>
    <t>6051 - Safe Drinking Water, Water Quality and Supply, Flood Control, River and Coastal Protection Fund of 2006 (6051016)</t>
  </si>
  <si>
    <t>Safe Drinking Water, Water Quality and Supply, Flood Control, River and Coastal Protection Fund of 2006 (6051)</t>
  </si>
  <si>
    <t>Safe Drinking Water, Water Quality and Supply, Flood Control, River and Coastal Protection Fund of 2006 (6051016)</t>
  </si>
  <si>
    <t>6052 - DISASTER PREPAREDNESS &amp; FLOOD PREVENTION BOND FD 2006</t>
  </si>
  <si>
    <t>3860 - DEPARTMENT OF WATER RESOURCES</t>
  </si>
  <si>
    <t>DISASTER PREPAREDNESS &amp; FLOOD PREVENTION BOND FD 2006 (6052)</t>
  </si>
  <si>
    <t>2416 - Right-to-Use Leased Buildings - Amortizable</t>
  </si>
  <si>
    <t>6083 - Water Quality, Supply &amp; Infrastructure Improvement Fund of 2014</t>
  </si>
  <si>
    <t>Report ID:</t>
  </si>
  <si>
    <t>WATER QUALITY, SUPPLY, &amp; INFRASTRCTRE IMPRV FD OF 2014 (6083)</t>
  </si>
  <si>
    <t>6088 - California Drought, Wtr, Prks, Climate, Coastal Protection &amp; Outdoor Access</t>
  </si>
  <si>
    <t>CA DRGHT,WTR,PRKS,CLMTE,COASTL PROT, &amp; OUTDR ACCESS (6088)</t>
  </si>
  <si>
    <r>
      <t>2418</t>
    </r>
    <r>
      <rPr>
        <sz val="10"/>
        <color theme="1"/>
        <rFont val="Arial"/>
        <family val="2"/>
      </rPr>
      <t xml:space="preserve"> - Right-to-use SBITA - Amortizable</t>
    </r>
  </si>
  <si>
    <t>9333 DWR Charge Fund</t>
  </si>
  <si>
    <t>3860 Department of Water Resources</t>
  </si>
  <si>
    <t xml:space="preserve">Fiscal Year 2023-24							</t>
  </si>
  <si>
    <t xml:space="preserve">DWR Charge Fund - 9333							</t>
  </si>
  <si>
    <t xml:space="preserve">Department of Water Resources - 3860							</t>
  </si>
  <si>
    <r>
      <t xml:space="preserve">Other amounts that make up the difference </t>
    </r>
    <r>
      <rPr>
        <sz val="11"/>
        <color theme="1"/>
        <rFont val="Calibri"/>
        <family val="2"/>
      </rPr>
      <t xml:space="preserve">(provide description): </t>
    </r>
    <r>
      <rPr>
        <b/>
        <u/>
        <sz val="8"/>
        <color theme="1"/>
        <rFont val="Aptos Narrow"/>
        <family val="2"/>
        <scheme val="minor"/>
      </rPr>
      <t>GASB 87 new labor assessment rate adjustment</t>
    </r>
  </si>
  <si>
    <r>
      <t xml:space="preserve">Other amounts that make up the difference </t>
    </r>
    <r>
      <rPr>
        <sz val="11"/>
        <color theme="1"/>
        <rFont val="Calibri"/>
        <family val="2"/>
      </rPr>
      <t xml:space="preserve">(provide description): </t>
    </r>
    <r>
      <rPr>
        <u/>
        <sz val="8"/>
        <color theme="1"/>
        <rFont val="Aptos Narrow"/>
        <family val="2"/>
        <scheme val="minor"/>
      </rPr>
      <t>GASB 96 FY 2021-2023 implementation beginning balance</t>
    </r>
  </si>
  <si>
    <r>
      <t xml:space="preserve">Other amounts that make up the difference </t>
    </r>
    <r>
      <rPr>
        <sz val="11"/>
        <color theme="1"/>
        <rFont val="Calibri"/>
        <family val="2"/>
      </rPr>
      <t xml:space="preserve">(provide description): 
</t>
    </r>
    <r>
      <rPr>
        <u/>
        <sz val="8"/>
        <color theme="1"/>
        <rFont val="Calibri"/>
        <family val="2"/>
      </rPr>
      <t>GASB 87 FY22-23 new Lease Implementation</t>
    </r>
  </si>
  <si>
    <t>Fund Name (9333)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</si>
</sst>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0"/>
      <color rgb="FFFF0000"/>
      <name val="Arial"/>
      <family val="2"/>
    </font>
    <font>
      <sz val="11"/>
      <color rgb="FF00008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0000"/>
      <name val="Calibri"/>
      <family val="2"/>
    </font>
    <font>
      <u/>
      <sz val="10"/>
      <color theme="1"/>
      <name val="Arial"/>
      <family val="2"/>
    </font>
    <font>
      <b/>
      <u/>
      <sz val="8"/>
      <color theme="1"/>
      <name val="Aptos Narrow"/>
      <family val="2"/>
      <scheme val="minor"/>
    </font>
    <font>
      <sz val="11"/>
      <color theme="1"/>
      <name val="Calibri"/>
    </font>
    <font>
      <u/>
      <sz val="8"/>
      <color theme="1"/>
      <name val="Aptos Narrow"/>
      <family val="2"/>
      <scheme val="minor"/>
    </font>
    <font>
      <u/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2">
    <xf numFmtId="0" fontId="0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5" fillId="0" borderId="0"/>
  </cellStyleXfs>
  <cellXfs count="258">
    <xf numFmtId="0" fontId="0" fillId="0" borderId="0" xfId="0"/>
    <xf numFmtId="0" fontId="3" fillId="0" borderId="0" xfId="1" applyAlignment="1">
      <alignment horizontal="left" vertical="top" wrapText="1"/>
    </xf>
    <xf numFmtId="0" fontId="3" fillId="0" borderId="0" xfId="1"/>
    <xf numFmtId="0" fontId="3" fillId="0" borderId="0" xfId="1" applyAlignment="1">
      <alignment horizontal="left" indent="1"/>
    </xf>
    <xf numFmtId="0" fontId="9" fillId="0" borderId="0" xfId="1" applyFont="1" applyAlignment="1">
      <alignment horizontal="left" vertical="center" wrapText="1"/>
    </xf>
    <xf numFmtId="0" fontId="9" fillId="0" borderId="0" xfId="1" applyFont="1" applyAlignment="1">
      <alignment horizontal="right" vertical="center" wrapText="1"/>
    </xf>
    <xf numFmtId="0" fontId="10" fillId="0" borderId="0" xfId="1" applyFont="1" applyAlignment="1">
      <alignment horizontal="left" indent="1"/>
    </xf>
    <xf numFmtId="39" fontId="11" fillId="0" borderId="0" xfId="1" applyNumberFormat="1" applyFont="1" applyAlignment="1">
      <alignment horizontal="right" vertical="top" wrapText="1"/>
    </xf>
    <xf numFmtId="0" fontId="12" fillId="0" borderId="0" xfId="1" applyFont="1" applyAlignment="1">
      <alignment horizontal="left" vertical="top"/>
    </xf>
    <xf numFmtId="0" fontId="12" fillId="0" borderId="0" xfId="1" applyFont="1" applyAlignment="1">
      <alignment vertical="top" wrapText="1"/>
    </xf>
    <xf numFmtId="0" fontId="2" fillId="0" borderId="0" xfId="2" applyFont="1" applyAlignment="1" applyProtection="1">
      <alignment horizontal="centerContinuous"/>
      <protection locked="0"/>
    </xf>
    <xf numFmtId="0" fontId="1" fillId="0" borderId="0" xfId="2"/>
    <xf numFmtId="0" fontId="1" fillId="0" borderId="0" xfId="2" applyProtection="1">
      <protection locked="0"/>
    </xf>
    <xf numFmtId="43" fontId="1" fillId="0" borderId="0" xfId="2" applyNumberFormat="1" applyProtection="1">
      <protection locked="0"/>
    </xf>
    <xf numFmtId="43" fontId="1" fillId="2" borderId="0" xfId="2" applyNumberFormat="1" applyFill="1" applyProtection="1">
      <protection locked="0"/>
    </xf>
    <xf numFmtId="43" fontId="2" fillId="0" borderId="1" xfId="2" applyNumberFormat="1" applyFont="1" applyBorder="1" applyAlignment="1" applyProtection="1">
      <alignment horizontal="centerContinuous"/>
      <protection locked="0"/>
    </xf>
    <xf numFmtId="0" fontId="1" fillId="0" borderId="0" xfId="2" quotePrefix="1" applyAlignment="1" applyProtection="1">
      <alignment horizontal="center"/>
      <protection locked="0"/>
    </xf>
    <xf numFmtId="0" fontId="1" fillId="0" borderId="0" xfId="2" applyAlignment="1" applyProtection="1">
      <alignment horizontal="center"/>
      <protection locked="0"/>
    </xf>
    <xf numFmtId="0" fontId="1" fillId="2" borderId="0" xfId="2" applyFill="1" applyAlignment="1" applyProtection="1">
      <alignment horizontal="center"/>
      <protection locked="0"/>
    </xf>
    <xf numFmtId="0" fontId="2" fillId="0" borderId="0" xfId="2" applyFont="1" applyProtection="1">
      <protection locked="0"/>
    </xf>
    <xf numFmtId="0" fontId="2" fillId="0" borderId="2" xfId="2" applyFont="1" applyBorder="1" applyAlignment="1" applyProtection="1">
      <alignment horizontal="center" vertical="top" wrapText="1"/>
      <protection locked="0"/>
    </xf>
    <xf numFmtId="0" fontId="2" fillId="0" borderId="2" xfId="2" applyFont="1" applyBorder="1" applyAlignment="1" applyProtection="1">
      <alignment horizontal="center" vertical="top"/>
      <protection locked="0"/>
    </xf>
    <xf numFmtId="41" fontId="1" fillId="0" borderId="0" xfId="2" applyNumberFormat="1" applyProtection="1">
      <protection locked="0"/>
    </xf>
    <xf numFmtId="41" fontId="1" fillId="0" borderId="0" xfId="2" applyNumberFormat="1"/>
    <xf numFmtId="41" fontId="1" fillId="2" borderId="0" xfId="2" applyNumberFormat="1" applyFill="1" applyProtection="1">
      <protection locked="0"/>
    </xf>
    <xf numFmtId="0" fontId="1" fillId="0" borderId="0" xfId="3" applyProtection="1">
      <protection locked="0"/>
    </xf>
    <xf numFmtId="41" fontId="1" fillId="0" borderId="2" xfId="2" applyNumberFormat="1" applyBorder="1" applyProtection="1">
      <protection locked="0"/>
    </xf>
    <xf numFmtId="0" fontId="2" fillId="0" borderId="0" xfId="2" applyFont="1"/>
    <xf numFmtId="41" fontId="2" fillId="0" borderId="3" xfId="2" applyNumberFormat="1" applyFont="1" applyBorder="1"/>
    <xf numFmtId="41" fontId="1" fillId="2" borderId="0" xfId="2" applyNumberFormat="1" applyFill="1"/>
    <xf numFmtId="43" fontId="1" fillId="0" borderId="0" xfId="2" applyNumberFormat="1"/>
    <xf numFmtId="0" fontId="3" fillId="0" borderId="0" xfId="4"/>
    <xf numFmtId="0" fontId="3" fillId="0" borderId="0" xfId="4" applyAlignment="1">
      <alignment horizontal="left" indent="1"/>
    </xf>
    <xf numFmtId="0" fontId="9" fillId="0" borderId="0" xfId="4" applyFont="1" applyAlignment="1">
      <alignment horizontal="left" vertical="center" wrapText="1"/>
    </xf>
    <xf numFmtId="0" fontId="12" fillId="0" borderId="0" xfId="4" applyFont="1" applyAlignment="1">
      <alignment vertical="top" wrapText="1"/>
    </xf>
    <xf numFmtId="0" fontId="12" fillId="0" borderId="0" xfId="4" applyFont="1" applyAlignment="1">
      <alignment horizontal="left" vertical="top"/>
    </xf>
    <xf numFmtId="39" fontId="11" fillId="0" borderId="0" xfId="4" applyNumberFormat="1" applyFont="1" applyAlignment="1">
      <alignment horizontal="right" vertical="top" wrapText="1"/>
    </xf>
    <xf numFmtId="0" fontId="3" fillId="0" borderId="0" xfId="4" applyAlignment="1">
      <alignment horizontal="left" vertical="top" wrapText="1"/>
    </xf>
    <xf numFmtId="0" fontId="10" fillId="0" borderId="0" xfId="4" applyFont="1" applyAlignment="1">
      <alignment horizontal="left" indent="1"/>
    </xf>
    <xf numFmtId="0" fontId="9" fillId="0" borderId="0" xfId="4" applyFont="1" applyAlignment="1">
      <alignment horizontal="right" vertical="center" wrapText="1"/>
    </xf>
    <xf numFmtId="43" fontId="0" fillId="0" borderId="0" xfId="0" applyNumberFormat="1"/>
    <xf numFmtId="0" fontId="0" fillId="0" borderId="0" xfId="0" applyProtection="1">
      <protection locked="0"/>
    </xf>
    <xf numFmtId="43" fontId="0" fillId="0" borderId="0" xfId="0" applyNumberFormat="1" applyProtection="1">
      <protection locked="0"/>
    </xf>
    <xf numFmtId="41" fontId="2" fillId="0" borderId="3" xfId="0" applyNumberFormat="1" applyFont="1" applyBorder="1"/>
    <xf numFmtId="41" fontId="0" fillId="0" borderId="0" xfId="0" applyNumberFormat="1"/>
    <xf numFmtId="41" fontId="0" fillId="2" borderId="0" xfId="0" applyNumberFormat="1" applyFill="1"/>
    <xf numFmtId="0" fontId="2" fillId="0" borderId="0" xfId="0" applyFont="1"/>
    <xf numFmtId="41" fontId="0" fillId="0" borderId="0" xfId="0" applyNumberFormat="1" applyProtection="1">
      <protection locked="0"/>
    </xf>
    <xf numFmtId="41" fontId="0" fillId="0" borderId="2" xfId="0" applyNumberFormat="1" applyBorder="1" applyProtection="1">
      <protection locked="0"/>
    </xf>
    <xf numFmtId="41" fontId="0" fillId="2" borderId="0" xfId="0" applyNumberFormat="1" applyFill="1" applyProtection="1">
      <protection locked="0"/>
    </xf>
    <xf numFmtId="0" fontId="2" fillId="0" borderId="0" xfId="0" applyFont="1" applyProtection="1">
      <protection locked="0"/>
    </xf>
    <xf numFmtId="43" fontId="0" fillId="2" borderId="0" xfId="0" applyNumberFormat="1" applyFill="1" applyProtection="1">
      <protection locked="0"/>
    </xf>
    <xf numFmtId="0" fontId="2" fillId="0" borderId="2" xfId="0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 vertical="top"/>
      <protection locked="0"/>
    </xf>
    <xf numFmtId="0" fontId="0" fillId="0" borderId="0" xfId="0" quotePrefix="1" applyAlignment="1" applyProtection="1">
      <alignment horizontal="center"/>
      <protection locked="0"/>
    </xf>
    <xf numFmtId="43" fontId="2" fillId="0" borderId="1" xfId="0" applyNumberFormat="1" applyFont="1" applyBorder="1" applyAlignment="1" applyProtection="1">
      <alignment horizontal="centerContinuous"/>
      <protection locked="0"/>
    </xf>
    <xf numFmtId="0" fontId="2" fillId="0" borderId="0" xfId="0" applyFont="1" applyAlignment="1" applyProtection="1">
      <alignment horizontal="centerContinuous"/>
      <protection locked="0"/>
    </xf>
    <xf numFmtId="0" fontId="3" fillId="0" borderId="0" xfId="5"/>
    <xf numFmtId="39" fontId="3" fillId="0" borderId="0" xfId="5" applyNumberFormat="1"/>
    <xf numFmtId="37" fontId="9" fillId="0" borderId="0" xfId="5" applyNumberFormat="1" applyFont="1" applyAlignment="1">
      <alignment horizontal="left" vertical="center" wrapText="1"/>
    </xf>
    <xf numFmtId="37" fontId="12" fillId="0" borderId="0" xfId="5" applyNumberFormat="1" applyFont="1" applyAlignment="1">
      <alignment vertical="top" wrapText="1"/>
    </xf>
    <xf numFmtId="37" fontId="12" fillId="0" borderId="0" xfId="5" applyNumberFormat="1" applyFont="1" applyAlignment="1">
      <alignment horizontal="left" vertical="top"/>
    </xf>
    <xf numFmtId="37" fontId="11" fillId="0" borderId="0" xfId="5" applyNumberFormat="1" applyFont="1" applyAlignment="1">
      <alignment horizontal="right" vertical="top" wrapText="1"/>
    </xf>
    <xf numFmtId="37" fontId="3" fillId="0" borderId="0" xfId="5" applyNumberFormat="1" applyAlignment="1">
      <alignment horizontal="left" vertical="top" wrapText="1"/>
    </xf>
    <xf numFmtId="39" fontId="11" fillId="0" borderId="0" xfId="5" applyNumberFormat="1" applyFont="1" applyAlignment="1">
      <alignment horizontal="right" vertical="top" wrapText="1"/>
    </xf>
    <xf numFmtId="37" fontId="10" fillId="0" borderId="0" xfId="5" applyNumberFormat="1" applyFont="1" applyAlignment="1">
      <alignment horizontal="left" indent="1"/>
    </xf>
    <xf numFmtId="37" fontId="3" fillId="0" borderId="0" xfId="5" applyNumberFormat="1" applyAlignment="1">
      <alignment horizontal="left" indent="1"/>
    </xf>
    <xf numFmtId="0" fontId="9" fillId="0" borderId="0" xfId="5" applyFont="1" applyAlignment="1">
      <alignment horizontal="right" vertical="center" wrapText="1"/>
    </xf>
    <xf numFmtId="0" fontId="1" fillId="0" borderId="0" xfId="6"/>
    <xf numFmtId="43" fontId="1" fillId="0" borderId="0" xfId="6" applyNumberFormat="1"/>
    <xf numFmtId="0" fontId="1" fillId="0" borderId="0" xfId="6" applyProtection="1">
      <protection locked="0"/>
    </xf>
    <xf numFmtId="43" fontId="1" fillId="0" borderId="0" xfId="6" applyNumberFormat="1" applyProtection="1">
      <protection locked="0"/>
    </xf>
    <xf numFmtId="41" fontId="1" fillId="0" borderId="0" xfId="6" applyNumberFormat="1" applyProtection="1">
      <protection locked="0"/>
    </xf>
    <xf numFmtId="41" fontId="2" fillId="0" borderId="3" xfId="6" applyNumberFormat="1" applyFont="1" applyBorder="1"/>
    <xf numFmtId="164" fontId="1" fillId="0" borderId="0" xfId="6" applyNumberFormat="1"/>
    <xf numFmtId="41" fontId="1" fillId="0" borderId="0" xfId="6" applyNumberFormat="1"/>
    <xf numFmtId="41" fontId="1" fillId="2" borderId="0" xfId="6" applyNumberFormat="1" applyFill="1"/>
    <xf numFmtId="0" fontId="2" fillId="0" borderId="0" xfId="6" applyFont="1"/>
    <xf numFmtId="41" fontId="1" fillId="0" borderId="2" xfId="6" applyNumberFormat="1" applyBorder="1" applyProtection="1">
      <protection locked="0"/>
    </xf>
    <xf numFmtId="41" fontId="1" fillId="2" borderId="0" xfId="6" applyNumberFormat="1" applyFill="1" applyProtection="1">
      <protection locked="0"/>
    </xf>
    <xf numFmtId="0" fontId="2" fillId="0" borderId="0" xfId="6" applyFont="1" applyProtection="1">
      <protection locked="0"/>
    </xf>
    <xf numFmtId="43" fontId="1" fillId="2" borderId="0" xfId="6" applyNumberFormat="1" applyFill="1" applyProtection="1">
      <protection locked="0"/>
    </xf>
    <xf numFmtId="0" fontId="2" fillId="0" borderId="2" xfId="6" applyFont="1" applyBorder="1" applyAlignment="1" applyProtection="1">
      <alignment horizontal="center" vertical="top" wrapText="1"/>
      <protection locked="0"/>
    </xf>
    <xf numFmtId="0" fontId="1" fillId="0" borderId="0" xfId="6" applyAlignment="1" applyProtection="1">
      <alignment horizontal="center"/>
      <protection locked="0"/>
    </xf>
    <xf numFmtId="0" fontId="1" fillId="2" borderId="0" xfId="6" applyFill="1" applyAlignment="1" applyProtection="1">
      <alignment horizontal="center"/>
      <protection locked="0"/>
    </xf>
    <xf numFmtId="0" fontId="2" fillId="0" borderId="2" xfId="6" applyFont="1" applyBorder="1" applyAlignment="1" applyProtection="1">
      <alignment horizontal="center" vertical="top"/>
      <protection locked="0"/>
    </xf>
    <xf numFmtId="0" fontId="1" fillId="0" borderId="0" xfId="6" quotePrefix="1" applyAlignment="1" applyProtection="1">
      <alignment horizontal="center"/>
      <protection locked="0"/>
    </xf>
    <xf numFmtId="43" fontId="2" fillId="0" borderId="1" xfId="6" applyNumberFormat="1" applyFont="1" applyBorder="1" applyAlignment="1" applyProtection="1">
      <alignment horizontal="centerContinuous"/>
      <protection locked="0"/>
    </xf>
    <xf numFmtId="0" fontId="2" fillId="0" borderId="0" xfId="6" applyFont="1" applyAlignment="1" applyProtection="1">
      <alignment horizontal="centerContinuous"/>
      <protection locked="0"/>
    </xf>
    <xf numFmtId="39" fontId="2" fillId="0" borderId="0" xfId="6" applyNumberFormat="1" applyFont="1" applyAlignment="1" applyProtection="1">
      <alignment horizontal="centerContinuous"/>
      <protection locked="0"/>
    </xf>
    <xf numFmtId="0" fontId="3" fillId="0" borderId="0" xfId="7"/>
    <xf numFmtId="0" fontId="3" fillId="0" borderId="0" xfId="7" applyAlignment="1">
      <alignment horizontal="left" indent="1"/>
    </xf>
    <xf numFmtId="0" fontId="9" fillId="0" borderId="0" xfId="7" applyFont="1" applyAlignment="1">
      <alignment horizontal="left" vertical="center" wrapText="1"/>
    </xf>
    <xf numFmtId="0" fontId="12" fillId="0" borderId="0" xfId="7" applyFont="1" applyAlignment="1">
      <alignment vertical="top" wrapText="1"/>
    </xf>
    <xf numFmtId="0" fontId="12" fillId="0" borderId="0" xfId="7" applyFont="1" applyAlignment="1">
      <alignment horizontal="left" vertical="top"/>
    </xf>
    <xf numFmtId="39" fontId="11" fillId="0" borderId="0" xfId="7" applyNumberFormat="1" applyFont="1" applyAlignment="1">
      <alignment horizontal="right" vertical="top" wrapText="1"/>
    </xf>
    <xf numFmtId="0" fontId="3" fillId="0" borderId="0" xfId="7" applyAlignment="1">
      <alignment horizontal="left" vertical="top" wrapText="1"/>
    </xf>
    <xf numFmtId="37" fontId="11" fillId="0" borderId="0" xfId="7" applyNumberFormat="1" applyFont="1" applyAlignment="1">
      <alignment horizontal="right" vertical="top" wrapText="1"/>
    </xf>
    <xf numFmtId="0" fontId="10" fillId="0" borderId="0" xfId="7" applyFont="1" applyAlignment="1">
      <alignment horizontal="left" indent="1"/>
    </xf>
    <xf numFmtId="0" fontId="9" fillId="0" borderId="0" xfId="7" applyFont="1" applyAlignment="1">
      <alignment horizontal="right" vertical="center" wrapText="1"/>
    </xf>
    <xf numFmtId="0" fontId="1" fillId="0" borderId="0" xfId="8"/>
    <xf numFmtId="43" fontId="1" fillId="0" borderId="0" xfId="8" applyNumberFormat="1"/>
    <xf numFmtId="0" fontId="1" fillId="0" borderId="0" xfId="8" applyProtection="1">
      <protection locked="0"/>
    </xf>
    <xf numFmtId="43" fontId="1" fillId="0" borderId="0" xfId="8" applyNumberFormat="1" applyProtection="1">
      <protection locked="0"/>
    </xf>
    <xf numFmtId="41" fontId="2" fillId="0" borderId="3" xfId="8" applyNumberFormat="1" applyFont="1" applyBorder="1"/>
    <xf numFmtId="41" fontId="1" fillId="0" borderId="0" xfId="8" applyNumberFormat="1"/>
    <xf numFmtId="41" fontId="1" fillId="2" borderId="0" xfId="8" applyNumberFormat="1" applyFill="1"/>
    <xf numFmtId="0" fontId="2" fillId="0" borderId="0" xfId="8" applyFont="1"/>
    <xf numFmtId="164" fontId="1" fillId="0" borderId="0" xfId="8" applyNumberFormat="1"/>
    <xf numFmtId="164" fontId="1" fillId="0" borderId="0" xfId="8" applyNumberFormat="1" applyProtection="1">
      <protection locked="0"/>
    </xf>
    <xf numFmtId="41" fontId="1" fillId="0" borderId="0" xfId="8" applyNumberFormat="1" applyProtection="1">
      <protection locked="0"/>
    </xf>
    <xf numFmtId="41" fontId="1" fillId="0" borderId="2" xfId="8" applyNumberFormat="1" applyBorder="1" applyProtection="1">
      <protection locked="0"/>
    </xf>
    <xf numFmtId="41" fontId="1" fillId="2" borderId="0" xfId="8" applyNumberFormat="1" applyFill="1" applyProtection="1">
      <protection locked="0"/>
    </xf>
    <xf numFmtId="0" fontId="2" fillId="0" borderId="0" xfId="8" applyFont="1" applyProtection="1">
      <protection locked="0"/>
    </xf>
    <xf numFmtId="43" fontId="1" fillId="2" borderId="0" xfId="8" applyNumberFormat="1" applyFill="1" applyProtection="1">
      <protection locked="0"/>
    </xf>
    <xf numFmtId="0" fontId="2" fillId="0" borderId="2" xfId="8" applyFont="1" applyBorder="1" applyAlignment="1" applyProtection="1">
      <alignment horizontal="center" vertical="top" wrapText="1"/>
      <protection locked="0"/>
    </xf>
    <xf numFmtId="0" fontId="1" fillId="0" borderId="0" xfId="8" applyAlignment="1" applyProtection="1">
      <alignment horizontal="center"/>
      <protection locked="0"/>
    </xf>
    <xf numFmtId="0" fontId="1" fillId="2" borderId="0" xfId="8" applyFill="1" applyAlignment="1" applyProtection="1">
      <alignment horizontal="center"/>
      <protection locked="0"/>
    </xf>
    <xf numFmtId="0" fontId="2" fillId="0" borderId="2" xfId="8" applyFont="1" applyBorder="1" applyAlignment="1" applyProtection="1">
      <alignment horizontal="center" vertical="top"/>
      <protection locked="0"/>
    </xf>
    <xf numFmtId="0" fontId="1" fillId="0" borderId="0" xfId="8" quotePrefix="1" applyAlignment="1" applyProtection="1">
      <alignment horizontal="center"/>
      <protection locked="0"/>
    </xf>
    <xf numFmtId="43" fontId="2" fillId="0" borderId="1" xfId="8" applyNumberFormat="1" applyFont="1" applyBorder="1" applyAlignment="1" applyProtection="1">
      <alignment horizontal="centerContinuous"/>
      <protection locked="0"/>
    </xf>
    <xf numFmtId="0" fontId="2" fillId="0" borderId="0" xfId="8" applyFont="1" applyAlignment="1" applyProtection="1">
      <alignment horizontal="centerContinuous"/>
      <protection locked="0"/>
    </xf>
    <xf numFmtId="39" fontId="2" fillId="0" borderId="0" xfId="8" applyNumberFormat="1" applyFont="1" applyAlignment="1" applyProtection="1">
      <alignment horizontal="centerContinuous"/>
      <protection locked="0"/>
    </xf>
    <xf numFmtId="0" fontId="3" fillId="0" borderId="0" xfId="9"/>
    <xf numFmtId="0" fontId="3" fillId="0" borderId="0" xfId="9" applyAlignment="1">
      <alignment horizontal="left" indent="1"/>
    </xf>
    <xf numFmtId="0" fontId="9" fillId="0" borderId="0" xfId="9" applyFont="1" applyAlignment="1">
      <alignment horizontal="left" vertical="center" wrapText="1"/>
    </xf>
    <xf numFmtId="0" fontId="12" fillId="0" borderId="0" xfId="9" applyFont="1" applyAlignment="1">
      <alignment vertical="top" wrapText="1"/>
    </xf>
    <xf numFmtId="0" fontId="3" fillId="0" borderId="0" xfId="9" applyAlignment="1">
      <alignment horizontal="left" vertical="top" wrapText="1"/>
    </xf>
    <xf numFmtId="39" fontId="11" fillId="0" borderId="0" xfId="9" applyNumberFormat="1" applyFont="1" applyAlignment="1">
      <alignment horizontal="right" vertical="top" wrapText="1"/>
    </xf>
    <xf numFmtId="0" fontId="10" fillId="0" borderId="0" xfId="9" applyFont="1" applyAlignment="1">
      <alignment horizontal="left" indent="1"/>
    </xf>
    <xf numFmtId="0" fontId="9" fillId="0" borderId="0" xfId="9" applyFont="1" applyAlignment="1">
      <alignment horizontal="right" vertical="center" wrapText="1"/>
    </xf>
    <xf numFmtId="0" fontId="3" fillId="0" borderId="0" xfId="10"/>
    <xf numFmtId="0" fontId="3" fillId="0" borderId="0" xfId="10" applyAlignment="1">
      <alignment horizontal="left" indent="1"/>
    </xf>
    <xf numFmtId="0" fontId="9" fillId="0" borderId="0" xfId="10" applyFont="1" applyAlignment="1">
      <alignment horizontal="left" vertical="center" wrapText="1"/>
    </xf>
    <xf numFmtId="0" fontId="12" fillId="0" borderId="0" xfId="10" applyFont="1" applyAlignment="1">
      <alignment vertical="top" wrapText="1"/>
    </xf>
    <xf numFmtId="0" fontId="12" fillId="0" borderId="0" xfId="10" applyFont="1" applyAlignment="1">
      <alignment horizontal="left" vertical="top"/>
    </xf>
    <xf numFmtId="39" fontId="11" fillId="0" borderId="0" xfId="10" applyNumberFormat="1" applyFont="1" applyAlignment="1">
      <alignment horizontal="right" vertical="top" wrapText="1"/>
    </xf>
    <xf numFmtId="0" fontId="3" fillId="0" borderId="0" xfId="10" applyAlignment="1">
      <alignment horizontal="left" vertical="top" wrapText="1"/>
    </xf>
    <xf numFmtId="0" fontId="10" fillId="0" borderId="0" xfId="10" applyFont="1" applyAlignment="1">
      <alignment horizontal="left" indent="1"/>
    </xf>
    <xf numFmtId="0" fontId="9" fillId="0" borderId="0" xfId="10" applyFont="1" applyAlignment="1">
      <alignment horizontal="right" vertical="center" wrapText="1"/>
    </xf>
    <xf numFmtId="0" fontId="4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3" fillId="0" borderId="0" xfId="1" applyAlignment="1">
      <alignment horizontal="left" vertical="top" wrapText="1"/>
    </xf>
    <xf numFmtId="0" fontId="4" fillId="0" borderId="0" xfId="1" applyFont="1" applyAlignment="1">
      <alignment horizontal="center" vertical="top" wrapText="1"/>
    </xf>
    <xf numFmtId="0" fontId="10" fillId="0" borderId="0" xfId="1" applyFont="1" applyAlignment="1">
      <alignment horizontal="left" indent="1"/>
    </xf>
    <xf numFmtId="0" fontId="7" fillId="0" borderId="0" xfId="1" applyFont="1" applyAlignment="1">
      <alignment horizontal="left" vertical="top" wrapText="1"/>
    </xf>
    <xf numFmtId="0" fontId="3" fillId="0" borderId="0" xfId="1" applyAlignment="1">
      <alignment horizontal="left" indent="1"/>
    </xf>
    <xf numFmtId="0" fontId="8" fillId="0" borderId="0" xfId="1" applyFont="1" applyAlignment="1">
      <alignment horizontal="left" indent="1"/>
    </xf>
    <xf numFmtId="0" fontId="9" fillId="0" borderId="0" xfId="1" applyFont="1" applyAlignment="1">
      <alignment horizontal="left" vertical="center" wrapText="1"/>
    </xf>
    <xf numFmtId="0" fontId="9" fillId="0" borderId="0" xfId="1" applyFont="1" applyAlignment="1">
      <alignment horizontal="right" vertical="center" wrapText="1"/>
    </xf>
    <xf numFmtId="39" fontId="11" fillId="0" borderId="0" xfId="1" applyNumberFormat="1" applyFont="1" applyAlignment="1">
      <alignment horizontal="right" vertical="top" wrapText="1"/>
    </xf>
    <xf numFmtId="0" fontId="3" fillId="0" borderId="0" xfId="1" applyAlignment="1">
      <alignment horizontal="center" indent="1"/>
    </xf>
    <xf numFmtId="0" fontId="11" fillId="0" borderId="0" xfId="1" applyFont="1" applyAlignment="1">
      <alignment horizontal="right" vertical="center" wrapText="1"/>
    </xf>
    <xf numFmtId="39" fontId="13" fillId="0" borderId="0" xfId="1" applyNumberFormat="1" applyFont="1" applyAlignment="1">
      <alignment horizontal="right" vertical="center" wrapText="1"/>
    </xf>
    <xf numFmtId="0" fontId="3" fillId="0" borderId="0" xfId="4" applyAlignment="1">
      <alignment horizontal="center" indent="1"/>
    </xf>
    <xf numFmtId="0" fontId="3" fillId="0" borderId="0" xfId="4" applyAlignment="1">
      <alignment horizontal="left" vertical="top" wrapText="1"/>
    </xf>
    <xf numFmtId="39" fontId="11" fillId="0" borderId="0" xfId="4" applyNumberFormat="1" applyFont="1" applyAlignment="1">
      <alignment horizontal="right" vertical="top" wrapText="1"/>
    </xf>
    <xf numFmtId="0" fontId="11" fillId="0" borderId="0" xfId="4" quotePrefix="1" applyFont="1" applyAlignment="1">
      <alignment horizontal="right" vertical="center" wrapText="1"/>
    </xf>
    <xf numFmtId="0" fontId="11" fillId="0" borderId="0" xfId="4" applyFont="1" applyAlignment="1">
      <alignment horizontal="right" vertical="center" wrapText="1"/>
    </xf>
    <xf numFmtId="39" fontId="13" fillId="0" borderId="0" xfId="4" applyNumberFormat="1" applyFont="1" applyAlignment="1">
      <alignment horizontal="right" vertical="center" wrapText="1"/>
    </xf>
    <xf numFmtId="0" fontId="3" fillId="0" borderId="0" xfId="4" applyAlignment="1">
      <alignment horizontal="left" indent="1"/>
    </xf>
    <xf numFmtId="0" fontId="9" fillId="0" borderId="0" xfId="4" applyFont="1" applyAlignment="1">
      <alignment horizontal="left" vertical="center" wrapText="1"/>
    </xf>
    <xf numFmtId="0" fontId="9" fillId="0" borderId="0" xfId="4" applyFont="1" applyAlignment="1">
      <alignment horizontal="right" vertical="center" wrapText="1"/>
    </xf>
    <xf numFmtId="0" fontId="10" fillId="0" borderId="0" xfId="4" applyFont="1" applyAlignment="1">
      <alignment horizontal="left" indent="1"/>
    </xf>
    <xf numFmtId="0" fontId="4" fillId="0" borderId="0" xfId="4" applyFont="1" applyAlignment="1">
      <alignment horizontal="left" vertical="top" wrapText="1"/>
    </xf>
    <xf numFmtId="0" fontId="6" fillId="0" borderId="0" xfId="4" applyFont="1" applyAlignment="1">
      <alignment horizontal="left" vertical="top" wrapText="1"/>
    </xf>
    <xf numFmtId="0" fontId="4" fillId="0" borderId="0" xfId="4" applyFont="1" applyAlignment="1">
      <alignment horizontal="center" vertical="top" wrapText="1"/>
    </xf>
    <xf numFmtId="0" fontId="8" fillId="0" borderId="0" xfId="4" applyFont="1" applyAlignment="1">
      <alignment horizontal="left" indent="1"/>
    </xf>
    <xf numFmtId="0" fontId="7" fillId="0" borderId="0" xfId="4" applyFont="1" applyAlignment="1">
      <alignment horizontal="left" vertical="top" wrapText="1"/>
    </xf>
    <xf numFmtId="37" fontId="11" fillId="0" borderId="0" xfId="5" applyNumberFormat="1" applyFont="1" applyAlignment="1">
      <alignment horizontal="right" vertical="center" wrapText="1"/>
    </xf>
    <xf numFmtId="0" fontId="3" fillId="0" borderId="0" xfId="5" applyAlignment="1">
      <alignment horizontal="left" indent="1"/>
    </xf>
    <xf numFmtId="0" fontId="3" fillId="0" borderId="0" xfId="5" applyAlignment="1">
      <alignment horizontal="center" indent="1"/>
    </xf>
    <xf numFmtId="37" fontId="3" fillId="0" borderId="0" xfId="5" applyNumberFormat="1" applyAlignment="1">
      <alignment horizontal="left" vertical="top" wrapText="1"/>
    </xf>
    <xf numFmtId="39" fontId="11" fillId="0" borderId="0" xfId="5" applyNumberFormat="1" applyFont="1" applyAlignment="1">
      <alignment horizontal="right" vertical="top" wrapText="1"/>
    </xf>
    <xf numFmtId="37" fontId="11" fillId="0" borderId="0" xfId="5" applyNumberFormat="1" applyFont="1" applyAlignment="1">
      <alignment horizontal="right" vertical="top" wrapText="1"/>
    </xf>
    <xf numFmtId="37" fontId="11" fillId="0" borderId="0" xfId="5" quotePrefix="1" applyNumberFormat="1" applyFont="1" applyAlignment="1">
      <alignment horizontal="right" vertical="center" wrapText="1"/>
    </xf>
    <xf numFmtId="39" fontId="13" fillId="0" borderId="0" xfId="5" applyNumberFormat="1" applyFont="1" applyAlignment="1">
      <alignment horizontal="right" vertical="center" wrapText="1"/>
    </xf>
    <xf numFmtId="0" fontId="3" fillId="0" borderId="0" xfId="5" applyAlignment="1">
      <alignment horizontal="left" vertical="top" wrapText="1"/>
    </xf>
    <xf numFmtId="0" fontId="8" fillId="0" borderId="0" xfId="5" applyFont="1" applyAlignment="1">
      <alignment horizontal="left" indent="1"/>
    </xf>
    <xf numFmtId="0" fontId="9" fillId="0" borderId="0" xfId="5" applyFont="1" applyAlignment="1">
      <alignment horizontal="left" vertical="center" wrapText="1"/>
    </xf>
    <xf numFmtId="0" fontId="9" fillId="0" borderId="0" xfId="5" applyFont="1" applyAlignment="1">
      <alignment horizontal="right" vertical="center" wrapText="1"/>
    </xf>
    <xf numFmtId="0" fontId="4" fillId="0" borderId="0" xfId="5" applyFont="1" applyAlignment="1">
      <alignment horizontal="center" vertical="top" wrapText="1"/>
    </xf>
    <xf numFmtId="39" fontId="4" fillId="0" borderId="0" xfId="5" applyNumberFormat="1" applyFont="1" applyAlignment="1">
      <alignment horizontal="center" vertical="top" wrapText="1"/>
    </xf>
    <xf numFmtId="0" fontId="10" fillId="0" borderId="0" xfId="5" applyFont="1" applyAlignment="1">
      <alignment horizontal="left" indent="1"/>
    </xf>
    <xf numFmtId="0" fontId="4" fillId="0" borderId="0" xfId="5" applyFont="1" applyAlignment="1">
      <alignment horizontal="left" vertical="top" wrapText="1"/>
    </xf>
    <xf numFmtId="0" fontId="7" fillId="0" borderId="0" xfId="5" applyFont="1" applyAlignment="1">
      <alignment horizontal="left" vertical="top" wrapText="1"/>
    </xf>
    <xf numFmtId="0" fontId="6" fillId="0" borderId="0" xfId="5" applyFont="1" applyAlignment="1">
      <alignment horizontal="left" vertical="top" wrapText="1"/>
    </xf>
    <xf numFmtId="0" fontId="11" fillId="0" borderId="0" xfId="7" applyFont="1" applyAlignment="1">
      <alignment horizontal="right" vertical="center" wrapText="1"/>
    </xf>
    <xf numFmtId="0" fontId="3" fillId="0" borderId="0" xfId="7" applyAlignment="1">
      <alignment horizontal="left" indent="1"/>
    </xf>
    <xf numFmtId="0" fontId="3" fillId="0" borderId="0" xfId="7" applyAlignment="1">
      <alignment horizontal="center" indent="1"/>
    </xf>
    <xf numFmtId="0" fontId="3" fillId="0" borderId="0" xfId="7" applyAlignment="1">
      <alignment horizontal="left" vertical="top" wrapText="1"/>
    </xf>
    <xf numFmtId="37" fontId="11" fillId="0" borderId="0" xfId="7" applyNumberFormat="1" applyFont="1" applyAlignment="1">
      <alignment horizontal="right" vertical="top" wrapText="1"/>
    </xf>
    <xf numFmtId="39" fontId="11" fillId="0" borderId="0" xfId="7" applyNumberFormat="1" applyFont="1" applyAlignment="1">
      <alignment horizontal="right" vertical="top" wrapText="1"/>
    </xf>
    <xf numFmtId="37" fontId="13" fillId="0" borderId="0" xfId="7" applyNumberFormat="1" applyFont="1" applyAlignment="1">
      <alignment horizontal="right" vertical="center" wrapText="1"/>
    </xf>
    <xf numFmtId="0" fontId="8" fillId="0" borderId="0" xfId="7" applyFont="1" applyAlignment="1">
      <alignment horizontal="left" indent="1"/>
    </xf>
    <xf numFmtId="0" fontId="9" fillId="0" borderId="0" xfId="7" applyFont="1" applyAlignment="1">
      <alignment horizontal="left" vertical="center" wrapText="1"/>
    </xf>
    <xf numFmtId="0" fontId="9" fillId="0" borderId="0" xfId="7" applyFont="1" applyAlignment="1">
      <alignment horizontal="right" vertical="center" wrapText="1"/>
    </xf>
    <xf numFmtId="0" fontId="4" fillId="0" borderId="0" xfId="7" applyFont="1" applyAlignment="1">
      <alignment horizontal="center" vertical="top" wrapText="1"/>
    </xf>
    <xf numFmtId="0" fontId="4" fillId="0" borderId="0" xfId="7" applyFont="1" applyAlignment="1">
      <alignment horizontal="left" vertical="top" wrapText="1"/>
    </xf>
    <xf numFmtId="0" fontId="6" fillId="0" borderId="0" xfId="7" applyFont="1" applyAlignment="1">
      <alignment horizontal="left" vertical="top" wrapText="1"/>
    </xf>
    <xf numFmtId="0" fontId="10" fillId="0" borderId="0" xfId="7" applyFont="1" applyAlignment="1">
      <alignment horizontal="left" indent="1"/>
    </xf>
    <xf numFmtId="0" fontId="7" fillId="0" borderId="0" xfId="7" applyFont="1" applyAlignment="1">
      <alignment horizontal="left" vertical="top" wrapText="1"/>
    </xf>
    <xf numFmtId="39" fontId="4" fillId="0" borderId="0" xfId="7" applyNumberFormat="1" applyFont="1" applyAlignment="1">
      <alignment horizontal="center" vertical="top" wrapText="1"/>
    </xf>
    <xf numFmtId="0" fontId="4" fillId="0" borderId="0" xfId="9" applyFont="1" applyAlignment="1">
      <alignment horizontal="center" vertical="top" wrapText="1"/>
    </xf>
    <xf numFmtId="0" fontId="4" fillId="0" borderId="0" xfId="9" applyFont="1" applyAlignment="1">
      <alignment horizontal="left" vertical="top" wrapText="1"/>
    </xf>
    <xf numFmtId="0" fontId="6" fillId="0" borderId="0" xfId="9" applyFont="1" applyAlignment="1">
      <alignment horizontal="left" vertical="top" wrapText="1"/>
    </xf>
    <xf numFmtId="0" fontId="3" fillId="0" borderId="0" xfId="9" applyAlignment="1">
      <alignment horizontal="left" vertical="top" wrapText="1"/>
    </xf>
    <xf numFmtId="0" fontId="9" fillId="0" borderId="0" xfId="9" applyFont="1" applyAlignment="1">
      <alignment horizontal="left" vertical="center" wrapText="1"/>
    </xf>
    <xf numFmtId="0" fontId="9" fillId="0" borderId="0" xfId="9" applyFont="1" applyAlignment="1">
      <alignment horizontal="right" vertical="center" wrapText="1"/>
    </xf>
    <xf numFmtId="0" fontId="10" fillId="0" borderId="0" xfId="9" applyFont="1" applyAlignment="1">
      <alignment horizontal="left" indent="1"/>
    </xf>
    <xf numFmtId="0" fontId="7" fillId="0" borderId="0" xfId="9" applyFont="1" applyAlignment="1">
      <alignment horizontal="left" vertical="top" wrapText="1"/>
    </xf>
    <xf numFmtId="0" fontId="3" fillId="0" borderId="0" xfId="9" applyAlignment="1">
      <alignment horizontal="left" indent="1"/>
    </xf>
    <xf numFmtId="0" fontId="8" fillId="0" borderId="0" xfId="9" applyFont="1" applyAlignment="1">
      <alignment horizontal="left" indent="1"/>
    </xf>
    <xf numFmtId="39" fontId="11" fillId="0" borderId="0" xfId="9" applyNumberFormat="1" applyFont="1" applyAlignment="1">
      <alignment horizontal="right" vertical="top" wrapText="1"/>
    </xf>
    <xf numFmtId="0" fontId="11" fillId="0" borderId="0" xfId="9" applyFont="1" applyAlignment="1">
      <alignment horizontal="right" vertical="center" wrapText="1"/>
    </xf>
    <xf numFmtId="0" fontId="3" fillId="0" borderId="0" xfId="9" applyAlignment="1">
      <alignment horizontal="center" indent="1"/>
    </xf>
    <xf numFmtId="39" fontId="13" fillId="0" borderId="0" xfId="9" applyNumberFormat="1" applyFont="1" applyAlignment="1">
      <alignment horizontal="right" vertical="center" wrapText="1"/>
    </xf>
    <xf numFmtId="0" fontId="3" fillId="0" borderId="0" xfId="10" applyAlignment="1">
      <alignment horizontal="left" indent="1"/>
    </xf>
    <xf numFmtId="0" fontId="3" fillId="0" borderId="0" xfId="10" applyAlignment="1">
      <alignment horizontal="center" indent="1"/>
    </xf>
    <xf numFmtId="39" fontId="13" fillId="0" borderId="0" xfId="10" applyNumberFormat="1" applyFont="1" applyAlignment="1">
      <alignment horizontal="right" vertical="center" wrapText="1"/>
    </xf>
    <xf numFmtId="0" fontId="11" fillId="0" borderId="0" xfId="10" applyFont="1" applyAlignment="1">
      <alignment horizontal="right" vertical="center" wrapText="1"/>
    </xf>
    <xf numFmtId="0" fontId="3" fillId="0" borderId="0" xfId="10" applyAlignment="1">
      <alignment horizontal="left" vertical="top" wrapText="1"/>
    </xf>
    <xf numFmtId="39" fontId="11" fillId="0" borderId="0" xfId="10" applyNumberFormat="1" applyFont="1" applyAlignment="1">
      <alignment horizontal="right" vertical="top" wrapText="1"/>
    </xf>
    <xf numFmtId="0" fontId="9" fillId="0" borderId="0" xfId="10" applyFont="1" applyAlignment="1">
      <alignment horizontal="left" vertical="center" wrapText="1"/>
    </xf>
    <xf numFmtId="0" fontId="9" fillId="0" borderId="0" xfId="10" applyFont="1" applyAlignment="1">
      <alignment horizontal="right" vertical="center" wrapText="1"/>
    </xf>
    <xf numFmtId="0" fontId="4" fillId="0" borderId="0" xfId="10" applyFont="1" applyAlignment="1">
      <alignment horizontal="left" vertical="top" wrapText="1"/>
    </xf>
    <xf numFmtId="0" fontId="6" fillId="0" borderId="0" xfId="10" applyFont="1" applyAlignment="1">
      <alignment horizontal="left" vertical="top" wrapText="1"/>
    </xf>
    <xf numFmtId="0" fontId="8" fillId="0" borderId="0" xfId="10" applyFont="1" applyAlignment="1">
      <alignment horizontal="left" indent="1"/>
    </xf>
    <xf numFmtId="0" fontId="4" fillId="0" borderId="0" xfId="10" applyFont="1" applyAlignment="1">
      <alignment horizontal="center" vertical="top" wrapText="1"/>
    </xf>
    <xf numFmtId="0" fontId="10" fillId="0" borderId="0" xfId="10" applyFont="1" applyAlignment="1">
      <alignment horizontal="left" indent="1"/>
    </xf>
    <xf numFmtId="0" fontId="7" fillId="0" borderId="0" xfId="10" applyFont="1" applyAlignment="1">
      <alignment horizontal="left" vertical="top" wrapText="1"/>
    </xf>
    <xf numFmtId="0" fontId="15" fillId="0" borderId="0" xfId="11"/>
    <xf numFmtId="0" fontId="15" fillId="0" borderId="0" xfId="11" applyAlignment="1">
      <alignment horizontal="center" indent="1"/>
    </xf>
    <xf numFmtId="0" fontId="15" fillId="0" borderId="0" xfId="11" applyAlignment="1">
      <alignment horizontal="left" indent="1"/>
    </xf>
    <xf numFmtId="39" fontId="13" fillId="0" borderId="0" xfId="11" applyNumberFormat="1" applyFont="1" applyAlignment="1">
      <alignment horizontal="right" vertical="center" wrapText="1"/>
    </xf>
    <xf numFmtId="0" fontId="11" fillId="0" borderId="0" xfId="11" applyFont="1" applyAlignment="1">
      <alignment horizontal="right" vertical="center" wrapText="1"/>
    </xf>
    <xf numFmtId="0" fontId="9" fillId="0" borderId="0" xfId="11" applyFont="1" applyAlignment="1">
      <alignment horizontal="left" vertical="center" wrapText="1"/>
    </xf>
    <xf numFmtId="0" fontId="12" fillId="0" borderId="0" xfId="11" applyFont="1" applyAlignment="1">
      <alignment vertical="top" wrapText="1"/>
    </xf>
    <xf numFmtId="0" fontId="12" fillId="0" borderId="0" xfId="11" applyFont="1" applyAlignment="1">
      <alignment horizontal="left" vertical="top"/>
    </xf>
    <xf numFmtId="39" fontId="11" fillId="0" borderId="0" xfId="11" applyNumberFormat="1" applyFont="1" applyAlignment="1">
      <alignment horizontal="right" vertical="top" wrapText="1"/>
    </xf>
    <xf numFmtId="0" fontId="15" fillId="0" borderId="0" xfId="11" applyAlignment="1">
      <alignment horizontal="left" vertical="top" wrapText="1"/>
    </xf>
    <xf numFmtId="39" fontId="11" fillId="0" borderId="0" xfId="11" applyNumberFormat="1" applyFont="1" applyAlignment="1">
      <alignment horizontal="right" vertical="top" wrapText="1"/>
    </xf>
    <xf numFmtId="0" fontId="15" fillId="0" borderId="0" xfId="11" applyAlignment="1">
      <alignment horizontal="left" vertical="top" wrapText="1"/>
    </xf>
    <xf numFmtId="0" fontId="10" fillId="0" borderId="0" xfId="11" applyFont="1" applyAlignment="1">
      <alignment horizontal="left" indent="1"/>
    </xf>
    <xf numFmtId="0" fontId="15" fillId="0" borderId="0" xfId="11" applyAlignment="1">
      <alignment horizontal="left" indent="1"/>
    </xf>
    <xf numFmtId="0" fontId="15" fillId="0" borderId="0" xfId="11" applyAlignment="1">
      <alignment horizontal="left" vertical="top"/>
    </xf>
    <xf numFmtId="0" fontId="10" fillId="0" borderId="0" xfId="11" applyFont="1" applyAlignment="1">
      <alignment horizontal="left" indent="1"/>
    </xf>
    <xf numFmtId="0" fontId="9" fillId="0" borderId="0" xfId="11" applyFont="1" applyAlignment="1">
      <alignment horizontal="right" vertical="center" wrapText="1"/>
    </xf>
    <xf numFmtId="0" fontId="9" fillId="0" borderId="0" xfId="11" applyFont="1" applyAlignment="1">
      <alignment horizontal="right" vertical="center" wrapText="1"/>
    </xf>
    <xf numFmtId="0" fontId="9" fillId="0" borderId="0" xfId="11" applyFont="1" applyAlignment="1">
      <alignment horizontal="left" vertical="center" wrapText="1"/>
    </xf>
    <xf numFmtId="0" fontId="8" fillId="0" borderId="0" xfId="11" applyFont="1" applyAlignment="1">
      <alignment horizontal="left" indent="1"/>
    </xf>
    <xf numFmtId="0" fontId="7" fillId="0" borderId="0" xfId="11" applyFont="1" applyAlignment="1">
      <alignment horizontal="left" vertical="top" wrapText="1"/>
    </xf>
    <xf numFmtId="0" fontId="4" fillId="0" borderId="0" xfId="11" applyFont="1" applyAlignment="1">
      <alignment horizontal="left" vertical="top" wrapText="1"/>
    </xf>
    <xf numFmtId="0" fontId="6" fillId="0" borderId="0" xfId="11" applyFont="1" applyAlignment="1">
      <alignment horizontal="left" vertical="top" wrapText="1"/>
    </xf>
    <xf numFmtId="0" fontId="4" fillId="0" borderId="0" xfId="11" applyFont="1" applyAlignment="1">
      <alignment horizontal="center" vertical="top" wrapText="1"/>
    </xf>
    <xf numFmtId="0" fontId="3" fillId="0" borderId="0" xfId="11" applyFont="1" applyAlignment="1">
      <alignment horizontal="left" vertical="top" wrapText="1"/>
    </xf>
  </cellXfs>
  <cellStyles count="12">
    <cellStyle name="Normal" xfId="0" builtinId="0"/>
    <cellStyle name="Normal 14" xfId="7" xr:uid="{53957C50-FFC5-4057-8AB0-0CEA20B8E0F5}"/>
    <cellStyle name="Normal 17 2" xfId="10" xr:uid="{C40908DD-409D-4B27-BBB8-A808395E0D3B}"/>
    <cellStyle name="Normal 2" xfId="11" xr:uid="{97614A3B-2BD3-4A43-89FB-03BD58370F46}"/>
    <cellStyle name="Normal 2 2 2" xfId="8" xr:uid="{256E9137-3847-4863-8A48-7C7D40F5B72F}"/>
    <cellStyle name="Normal 2 3" xfId="2" xr:uid="{7B70B893-D98A-46CF-B521-4D82520FF8FD}"/>
    <cellStyle name="Normal 2 5" xfId="6" xr:uid="{0707E7B2-17E6-4F1C-9C79-295E9982B5E2}"/>
    <cellStyle name="Normal 25" xfId="5" xr:uid="{9A473277-BD61-4E4A-A2D8-F0F1BAA8128F}"/>
    <cellStyle name="Normal 26" xfId="4" xr:uid="{C8D091FA-86BC-4485-88DE-DBBB649EC494}"/>
    <cellStyle name="Normal 4" xfId="9" xr:uid="{B1227515-1F50-4EC0-B8D9-B71A7CEB3B61}"/>
    <cellStyle name="Normal 6 2" xfId="3" xr:uid="{A903B164-89E9-4A58-A2E0-D9F64F322DA4}"/>
    <cellStyle name="Normal 7" xfId="1" xr:uid="{6E2AB00C-E40E-4849-B844-203D6F72E9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eneral%20Ledger%20Section\SCO%20Reconciliations%20-%202016\6026-2016\Period%2013%206026000%20Jun%20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General%20Ledger%20Section\SCO%20Reconciliations%20-%202016\6026-2016\Period%2013%206026000%20Jun%20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water-my.sharepoint.com/General%20Ledger%20Section/SCO%20Reconciliations%20-%202016/6026-2016/Period%2013%206026000%20Jun%20201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eneral%20Ledger%20Section\LEGAL%20STATEMENTS\JUNE%202021%20FISCAL%20YEAR%20END\Encumbrance%20Adjustments%20FY20-21\Encumbrance%20Revision%20FY20-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dts\FISCAL%20SHARE\Fiscal\Fiscal%20Share\General%20Ledger%20Section\LEGAL%20STATEMENTS\JUNE%202021%20FISCAL%20YEAR%20END\Encumbrance%20Adjustments%20FY20-21\Encumbrance%20Revision%20FY20-21%20IN-PROGRES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eneral%20Ledger%20Section\LEGAL%20STATEMENTS\JUNE%202021%20FISCAL%20YEAR%20END\2021%20Legal%20Statements%20-%20All%20Funds\6026-2021%20Bay-Delta%20Multipurpose%20Water\6026000%20%20Legal%20Statement%20FY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dts\FISCAL%20SHARE\Fiscal%20Share\General%20Ledger%20Section\SCO%20Reconciliations%20-%202016\6052-2016\6052001-2016\Period%206-%20December%20201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dts\FISCAL%20SHARE\WIP%20SCO%20Rec's\13-6031-June%202007%20per%201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P%20SCO%20Rec's\13-6031-June%202007%20per%201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water-my.sharepoint.com/General%20Ledger%20Section/SCO%20Reconciliations%20-%202020/6051-2020/6051016-2020/P-8%206051016%20February%202020%20-%20Park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Fiscal\FISCAL%20SHARE\General%20Ledger%20Section\LEGAL%20STATEMENTS\JUNE%202024%20FISCAL%20YEAR%20END\2024%20Legal%20Statements%20-%20All%20GAB%20Funds\6026-2024%20Bay-Delta%20Multipurpose%20Water\Support%20Docs\6026000%20%20Legal%20Statement%20FY23-24.xlsx" TargetMode="External"/><Relationship Id="rId1" Type="http://schemas.openxmlformats.org/officeDocument/2006/relationships/externalLinkPath" Target="file:///Z:\Fiscal\FISCAL%20SHARE\General%20Ledger%20Section\LEGAL%20STATEMENTS\JUNE%202024%20FISCAL%20YEAR%20END\2024%20Legal%20Statements%20-%20All%20GAB%20Funds\6026-2024%20Bay-Delta%20Multipurpose%20Water\Support%20Docs\6026000%20%20Legal%20Statement%20FY23-24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Z:\Fiscal\FISCAL%20SHARE\General%20Ledger%20Section\LEGAL%20STATEMENTS\JUNE%202024%20FISCAL%20YEAR%20END\2024%20Legal%20Statements%20-%20All%20GAB%20Funds\6027-2024%20Interim%20Water%20Supply%20and%20Water%20Quality\Support%20Docs\6027%20Legal%20Statement%20FY23-24.xlsx" TargetMode="External"/><Relationship Id="rId2" Type="http://schemas.microsoft.com/office/2019/04/relationships/externalLinkLongPath" Target="file:///Z:\Fiscal\FISCAL%20SHARE\General%20Ledger%20Section\LEGAL%20STATEMENTS\JUNE%202024%20FISCAL%20YEAR%20END\2024%20Legal%20Statements%20-%20All%20GAB%20Funds\6027-2024%20Interim%20Water%20Supply%20and%20Water%20Quality\Support%20Docs\6027%20Legal%20Statement%20FY23-24.xlsx?63823336" TargetMode="External"/><Relationship Id="rId1" Type="http://schemas.openxmlformats.org/officeDocument/2006/relationships/externalLinkPath" Target="file:///\\63823336\6027%20Legal%20Statement%20FY23-24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tate_Gov_Reporting\2023-24\GAAP\CAPITAL%20ASSETS%20&amp;%20LEASES\3a.%20Report%2018%20&amp;%2019\BU%203860\6052.xlsx" TargetMode="External"/><Relationship Id="rId1" Type="http://schemas.openxmlformats.org/officeDocument/2006/relationships/externalLinkPath" Target="6052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tate_Gov_Reporting\2023-24\GAAP\CAPITAL%20ASSETS%20&amp;%20LEASES\3a.%20Report%2018%20&amp;%2019\BU%203860\6083.xlsx" TargetMode="External"/><Relationship Id="rId1" Type="http://schemas.openxmlformats.org/officeDocument/2006/relationships/externalLinkPath" Target="6083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tate_Gov_Reporting\2023-24\GAAP\CAPITAL%20ASSETS%20&amp;%20LEASES\3a.%20Report%2018%20&amp;%2019\BU%203860\6088.xlsx" TargetMode="External"/><Relationship Id="rId1" Type="http://schemas.openxmlformats.org/officeDocument/2006/relationships/externalLinkPath" Target="6088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tate_Gov_Reporting\2023-24\GAAP\CAPITAL%20ASSETS%20&amp;%20LEASES\3a.%20Report%2018%20&amp;%2019\BU%203860\9333.xlsx" TargetMode="External"/><Relationship Id="rId1" Type="http://schemas.openxmlformats.org/officeDocument/2006/relationships/externalLinkPath" Target="933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Pivot"/>
      <sheetName val="PT Col Order"/>
      <sheetName val="RevExp Rec"/>
      <sheetName val="AA Rec"/>
      <sheetName val="9000"/>
      <sheetName val="1140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Pivot"/>
      <sheetName val="PT Col Order"/>
      <sheetName val="RevExp Rec"/>
      <sheetName val="AA Rec"/>
      <sheetName val="9000"/>
      <sheetName val="1140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Pivot"/>
      <sheetName val="PT Col Order"/>
      <sheetName val="RevExp Rec"/>
      <sheetName val="AA Rec"/>
      <sheetName val="9000"/>
      <sheetName val="1140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"/>
      <sheetName val="0001"/>
      <sheetName val="0140"/>
      <sheetName val="0465"/>
      <sheetName val="0793"/>
      <sheetName val="0890"/>
      <sheetName val="3057"/>
      <sheetName val="6031"/>
      <sheetName val="6051"/>
      <sheetName val="6052"/>
      <sheetName val="6083"/>
      <sheetName val="608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"/>
      <sheetName val="0001"/>
      <sheetName val="0140"/>
      <sheetName val="0465"/>
      <sheetName val="0793"/>
      <sheetName val="0890"/>
      <sheetName val="3057"/>
      <sheetName val="6026"/>
      <sheetName val="6031"/>
      <sheetName val="6051"/>
      <sheetName val="6052"/>
      <sheetName val="6083"/>
      <sheetName val="608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CERT"/>
      <sheetName val="Rept 1A"/>
      <sheetName val="Rpt 1A"/>
      <sheetName val="Rpt 1B"/>
      <sheetName val="Rpt 1AB"/>
      <sheetName val="Rpt 1C"/>
      <sheetName val="Rpt 2"/>
      <sheetName val="RPT4"/>
      <sheetName val="Rpt 5 2009 301"/>
      <sheetName val="Rpt 5 2017 001"/>
      <sheetName val="Rpt 5 2018 001"/>
      <sheetName val="Rpt 5 2019 001"/>
      <sheetName val="Rpt 5 2020 001"/>
      <sheetName val="Rpt 15"/>
      <sheetName val="Rpt 7"/>
      <sheetName val="Rpt 8"/>
      <sheetName val="Report 18"/>
      <sheetName val="Rpt 18"/>
      <sheetName val="DTDF_Supplement"/>
      <sheetName val="MVF"/>
      <sheetName val="6026 Encumbrance Reduction"/>
      <sheetName val="TB FY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N2">
            <v>425.08</v>
          </cell>
          <cell r="O2">
            <v>44392</v>
          </cell>
          <cell r="P2">
            <v>44392</v>
          </cell>
        </row>
      </sheetData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0"/>
      <sheetName val="FY2016"/>
      <sheetName val="FY2015"/>
      <sheetName val="FY2014"/>
      <sheetName val="FY2013"/>
      <sheetName val="FY2012"/>
      <sheetName val="FY2011"/>
      <sheetName val="FY2010"/>
      <sheetName val="FY2009"/>
      <sheetName val="FY2008"/>
      <sheetName val="6052RRR001_FY1966_FY1991"/>
      <sheetName val="All Funds"/>
      <sheetName val="Pivot"/>
      <sheetName val="Data"/>
      <sheetName val="FundOrd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A1" t="str">
            <v>Fund</v>
          </cell>
          <cell r="B1" t="str">
            <v>PT Col Order</v>
          </cell>
          <cell r="C1" t="str">
            <v>SCO Account PT</v>
          </cell>
        </row>
        <row r="2">
          <cell r="A2" t="str">
            <v>6052999999</v>
          </cell>
          <cell r="B2">
            <v>1</v>
          </cell>
          <cell r="C2">
            <v>6052999</v>
          </cell>
        </row>
        <row r="3">
          <cell r="A3" t="str">
            <v>6052RRR001</v>
          </cell>
          <cell r="B3">
            <v>2</v>
          </cell>
          <cell r="C3">
            <v>6052001</v>
          </cell>
        </row>
        <row r="4">
          <cell r="A4" t="str">
            <v>6052S31966</v>
          </cell>
          <cell r="B4">
            <v>3</v>
          </cell>
          <cell r="C4" t="str">
            <v>6052001 3860 1965 501</v>
          </cell>
        </row>
        <row r="5">
          <cell r="A5" t="str">
            <v>6052S11988</v>
          </cell>
          <cell r="B5">
            <v>9999</v>
          </cell>
          <cell r="C5" t="str">
            <v>6052001 3860 1987 504</v>
          </cell>
        </row>
        <row r="6">
          <cell r="A6" t="str">
            <v>6052S21992</v>
          </cell>
          <cell r="B6">
            <v>5</v>
          </cell>
          <cell r="C6" t="str">
            <v>6052001  3860 1991 595</v>
          </cell>
        </row>
        <row r="7">
          <cell r="A7" t="str">
            <v>6052S31992</v>
          </cell>
          <cell r="B7">
            <v>6</v>
          </cell>
          <cell r="C7" t="str">
            <v>6052001  3860 1991 596</v>
          </cell>
        </row>
        <row r="8">
          <cell r="A8" t="str">
            <v>6052L12008</v>
          </cell>
          <cell r="B8">
            <v>201</v>
          </cell>
          <cell r="C8" t="str">
            <v>6052001 3860 2007 001</v>
          </cell>
        </row>
        <row r="9">
          <cell r="A9" t="str">
            <v>6052S12008</v>
          </cell>
          <cell r="B9">
            <v>202</v>
          </cell>
          <cell r="C9" t="str">
            <v>6052001 3860 2007 001 10</v>
          </cell>
        </row>
        <row r="10">
          <cell r="A10" t="str">
            <v>6052S32008</v>
          </cell>
          <cell r="B10">
            <v>2500</v>
          </cell>
          <cell r="C10" t="str">
            <v>6052001 3860 2007  001 30</v>
          </cell>
        </row>
        <row r="11">
          <cell r="A11" t="str">
            <v>6052CI2008</v>
          </cell>
          <cell r="B11">
            <v>203</v>
          </cell>
          <cell r="C11" t="str">
            <v>6052001 3860 2007  301 30 95 245</v>
          </cell>
        </row>
        <row r="12">
          <cell r="A12" t="str">
            <v>6052DH2008</v>
          </cell>
          <cell r="B12">
            <v>2501</v>
          </cell>
          <cell r="C12" t="str">
            <v>6052001 3860 2007  301 30 95 260</v>
          </cell>
        </row>
        <row r="13">
          <cell r="A13" t="str">
            <v>6052FH2008</v>
          </cell>
          <cell r="B13">
            <v>204</v>
          </cell>
          <cell r="C13" t="str">
            <v>6052001 3860 2007  301 90 30 95 260</v>
          </cell>
        </row>
        <row r="14">
          <cell r="A14" t="str">
            <v>6052DO2008</v>
          </cell>
          <cell r="B14">
            <v>205</v>
          </cell>
          <cell r="C14" t="str">
            <v>6052001 3860 2007  301 30 95 328</v>
          </cell>
        </row>
        <row r="15">
          <cell r="A15" t="str">
            <v>6052FO2008</v>
          </cell>
          <cell r="B15">
            <v>206</v>
          </cell>
          <cell r="C15" t="str">
            <v>6052001 3860 2007  301 90 30 95 328</v>
          </cell>
        </row>
        <row r="16">
          <cell r="A16" t="str">
            <v>6052CQ2008</v>
          </cell>
          <cell r="B16">
            <v>2502</v>
          </cell>
          <cell r="C16" t="str">
            <v>6052001 3860 2007  302 30 95 341</v>
          </cell>
        </row>
        <row r="17">
          <cell r="A17" t="str">
            <v>6052S82008</v>
          </cell>
          <cell r="B17">
            <v>207</v>
          </cell>
          <cell r="C17" t="str">
            <v>6052001  2007   00107 30</v>
          </cell>
        </row>
        <row r="18">
          <cell r="A18" t="str">
            <v>6052S92008</v>
          </cell>
          <cell r="B18">
            <v>208</v>
          </cell>
          <cell r="C18" t="str">
            <v>6052001 2007 001 30</v>
          </cell>
        </row>
        <row r="19">
          <cell r="A19" t="str">
            <v>6052L32008</v>
          </cell>
          <cell r="B19">
            <v>209</v>
          </cell>
          <cell r="C19" t="str">
            <v>6052001 3860 2007 101</v>
          </cell>
        </row>
        <row r="20">
          <cell r="A20" t="str">
            <v>6052DD2008</v>
          </cell>
          <cell r="B20">
            <v>210</v>
          </cell>
          <cell r="C20" t="str">
            <v>6052001 3860 2007  301 30 95 155</v>
          </cell>
        </row>
        <row r="21">
          <cell r="A21" t="str">
            <v>6052GD2008</v>
          </cell>
          <cell r="B21">
            <v>211</v>
          </cell>
          <cell r="C21" t="str">
            <v>6052001 3860 2007  301 30 95 155</v>
          </cell>
        </row>
        <row r="22">
          <cell r="A22" t="str">
            <v>6052FD2008</v>
          </cell>
          <cell r="B22">
            <v>212</v>
          </cell>
          <cell r="C22" t="str">
            <v>6052001 3860 2007  301 90 30 95 155</v>
          </cell>
        </row>
        <row r="23">
          <cell r="A23" t="str">
            <v>6052GH2008</v>
          </cell>
          <cell r="B23">
            <v>2503</v>
          </cell>
          <cell r="C23" t="str">
            <v>6052001 3860 2007  301 30 95 260</v>
          </cell>
        </row>
        <row r="24">
          <cell r="A24" t="str">
            <v>6052GO2008</v>
          </cell>
          <cell r="B24">
            <v>2504</v>
          </cell>
          <cell r="C24" t="str">
            <v>6052001 3860 2007  301 30 95 328</v>
          </cell>
        </row>
        <row r="25">
          <cell r="A25" t="str">
            <v>6052GM2008</v>
          </cell>
          <cell r="B25">
            <v>215</v>
          </cell>
          <cell r="C25" t="str">
            <v>6052001 3860 2007  301 30 95 330</v>
          </cell>
        </row>
        <row r="26">
          <cell r="A26" t="str">
            <v>6052CR2008</v>
          </cell>
          <cell r="B26">
            <v>216</v>
          </cell>
          <cell r="C26" t="str">
            <v>6052001 3860 2007  301 30 95 342</v>
          </cell>
        </row>
        <row r="27">
          <cell r="A27" t="str">
            <v>6052CP2008</v>
          </cell>
          <cell r="B27">
            <v>217</v>
          </cell>
          <cell r="C27" t="str">
            <v>6052001 3860 2007  301 30 95 343</v>
          </cell>
        </row>
        <row r="28">
          <cell r="A28" t="str">
            <v>6052DS2008</v>
          </cell>
          <cell r="B28">
            <v>218</v>
          </cell>
          <cell r="C28" t="str">
            <v>6052001 3860 2007  302 30 95 130</v>
          </cell>
        </row>
        <row r="29">
          <cell r="A29" t="str">
            <v>6052GS2008</v>
          </cell>
          <cell r="B29">
            <v>219</v>
          </cell>
          <cell r="C29" t="str">
            <v>6052001 3860 2007  302 30 95 130</v>
          </cell>
        </row>
        <row r="30">
          <cell r="A30" t="str">
            <v>6052FS2008</v>
          </cell>
          <cell r="B30">
            <v>220</v>
          </cell>
          <cell r="C30" t="str">
            <v>6052001 3860 2007  302 90 30 95 130</v>
          </cell>
        </row>
        <row r="31">
          <cell r="A31" t="str">
            <v>6052CN2008</v>
          </cell>
          <cell r="B31">
            <v>221</v>
          </cell>
          <cell r="C31" t="str">
            <v>6052001 3860 2007  302 30 95 340</v>
          </cell>
        </row>
        <row r="32">
          <cell r="A32" t="str">
            <v>6052S32009</v>
          </cell>
          <cell r="B32">
            <v>301</v>
          </cell>
          <cell r="C32" t="str">
            <v>6052001 3860 2008  001 30</v>
          </cell>
        </row>
        <row r="33">
          <cell r="A33" t="str">
            <v>6052L32009</v>
          </cell>
          <cell r="B33">
            <v>302</v>
          </cell>
          <cell r="C33" t="str">
            <v>6052001 3860 2008 101</v>
          </cell>
        </row>
        <row r="34">
          <cell r="A34" t="str">
            <v>6052L12009</v>
          </cell>
          <cell r="B34">
            <v>3500</v>
          </cell>
          <cell r="C34" t="str">
            <v>6052001 3860 2008 001</v>
          </cell>
        </row>
        <row r="35">
          <cell r="A35" t="str">
            <v>6052S12009</v>
          </cell>
          <cell r="B35">
            <v>3501</v>
          </cell>
          <cell r="C35" t="str">
            <v>6052001 3860 2008 001 10</v>
          </cell>
        </row>
        <row r="36">
          <cell r="A36" t="str">
            <v>6052S92009</v>
          </cell>
          <cell r="B36">
            <v>3502</v>
          </cell>
          <cell r="C36" t="str">
            <v>6052001 3860 2008  001 35</v>
          </cell>
        </row>
        <row r="37">
          <cell r="A37" t="str">
            <v>6052DD2009</v>
          </cell>
          <cell r="B37">
            <v>303</v>
          </cell>
          <cell r="C37" t="str">
            <v>6052001 3860 2008  301 30 95 155</v>
          </cell>
        </row>
        <row r="38">
          <cell r="A38" t="str">
            <v>6052GD2009</v>
          </cell>
          <cell r="B38">
            <v>304</v>
          </cell>
          <cell r="C38" t="str">
            <v>6052001 3860 2008  301 30 95 155</v>
          </cell>
        </row>
        <row r="39">
          <cell r="A39" t="str">
            <v>6052DC2009</v>
          </cell>
          <cell r="B39">
            <v>3503</v>
          </cell>
          <cell r="C39" t="str">
            <v>6052001 3860 2008  301 30 95 115</v>
          </cell>
        </row>
        <row r="40">
          <cell r="A40" t="str">
            <v>6052FD2009</v>
          </cell>
          <cell r="B40">
            <v>306</v>
          </cell>
          <cell r="C40" t="str">
            <v>6052001 3860 2008  301 90 30 95 155</v>
          </cell>
        </row>
        <row r="41">
          <cell r="A41" t="str">
            <v>6052GC2009</v>
          </cell>
          <cell r="B41">
            <v>3504</v>
          </cell>
          <cell r="C41" t="str">
            <v>6052001 3860 2008  301 30 95 115</v>
          </cell>
        </row>
        <row r="42">
          <cell r="A42" t="str">
            <v>6052FC2009</v>
          </cell>
          <cell r="B42">
            <v>3505</v>
          </cell>
          <cell r="C42" t="str">
            <v>6052001 3860 2008  301 90 30 95 115</v>
          </cell>
        </row>
        <row r="43">
          <cell r="A43" t="str">
            <v>6052DG2009</v>
          </cell>
          <cell r="B43">
            <v>3506</v>
          </cell>
          <cell r="C43" t="str">
            <v>6052001 3860 2008  301 30 95 250</v>
          </cell>
        </row>
        <row r="44">
          <cell r="A44" t="str">
            <v>6052GG2009</v>
          </cell>
          <cell r="B44">
            <v>3507</v>
          </cell>
          <cell r="C44" t="str">
            <v>6052001 3860 2008  301 30 95 250</v>
          </cell>
        </row>
        <row r="45">
          <cell r="A45" t="str">
            <v>6052FG2009</v>
          </cell>
          <cell r="B45">
            <v>3508</v>
          </cell>
          <cell r="C45" t="str">
            <v>6052001 3860 2008  301 90 30 95 250</v>
          </cell>
        </row>
        <row r="46">
          <cell r="A46" t="str">
            <v>6052DT2009</v>
          </cell>
          <cell r="B46">
            <v>312</v>
          </cell>
          <cell r="C46" t="str">
            <v>6052001 3860 2008  301 30 95 251</v>
          </cell>
        </row>
        <row r="47">
          <cell r="A47" t="str">
            <v>6052GT2009</v>
          </cell>
          <cell r="B47">
            <v>313</v>
          </cell>
          <cell r="C47" t="str">
            <v>6052001 3860 2008  301 30 95 251</v>
          </cell>
        </row>
        <row r="48">
          <cell r="A48" t="str">
            <v>6052FT2009</v>
          </cell>
          <cell r="B48">
            <v>314</v>
          </cell>
          <cell r="C48" t="str">
            <v>6052001 3860 2008  301 90 30 95 251</v>
          </cell>
        </row>
        <row r="49">
          <cell r="A49" t="str">
            <v>6052DH2009</v>
          </cell>
          <cell r="B49">
            <v>3509</v>
          </cell>
          <cell r="C49" t="str">
            <v>6052001 3860 2008  301 30 95 260</v>
          </cell>
        </row>
        <row r="50">
          <cell r="A50" t="str">
            <v>6052GH2009</v>
          </cell>
          <cell r="B50">
            <v>3510</v>
          </cell>
          <cell r="C50" t="str">
            <v>6052001 3860 2008  301 30 95 260</v>
          </cell>
        </row>
        <row r="51">
          <cell r="A51" t="str">
            <v>6052FH2009</v>
          </cell>
          <cell r="B51">
            <v>3511</v>
          </cell>
          <cell r="C51" t="str">
            <v>6052001 3860 2008  301 90 30 95 260</v>
          </cell>
        </row>
        <row r="52">
          <cell r="A52" t="str">
            <v>6052DL2009</v>
          </cell>
          <cell r="B52">
            <v>318</v>
          </cell>
          <cell r="C52" t="str">
            <v>6052001 3860 2008  301 30 95 311</v>
          </cell>
        </row>
        <row r="53">
          <cell r="A53" t="str">
            <v>6052GL2009</v>
          </cell>
          <cell r="B53">
            <v>319</v>
          </cell>
          <cell r="C53" t="str">
            <v>6052001 3860 2008  301 30 95 311</v>
          </cell>
        </row>
        <row r="54">
          <cell r="A54" t="str">
            <v>6052FL2009</v>
          </cell>
          <cell r="B54">
            <v>320</v>
          </cell>
          <cell r="C54" t="str">
            <v>6052001 3860 2008  301 90 30 95 311</v>
          </cell>
        </row>
        <row r="55">
          <cell r="A55" t="str">
            <v>6052DU2009</v>
          </cell>
          <cell r="B55">
            <v>321</v>
          </cell>
          <cell r="C55" t="str">
            <v>6052001 3860 2008  301 30 95 316</v>
          </cell>
        </row>
        <row r="56">
          <cell r="A56" t="str">
            <v>6052GU2009</v>
          </cell>
          <cell r="B56">
            <v>322</v>
          </cell>
          <cell r="C56" t="str">
            <v>6052001 3860 2008  301 30 95 316</v>
          </cell>
        </row>
        <row r="57">
          <cell r="A57" t="str">
            <v>6052FU2009</v>
          </cell>
          <cell r="B57">
            <v>323</v>
          </cell>
          <cell r="C57" t="str">
            <v>6052001 3860 2008  301 90 30 95 316</v>
          </cell>
        </row>
        <row r="58">
          <cell r="A58" t="str">
            <v>6052CP2009</v>
          </cell>
          <cell r="B58">
            <v>324</v>
          </cell>
          <cell r="C58" t="str">
            <v>6052001 3860 2008  301 30 95 343</v>
          </cell>
        </row>
        <row r="59">
          <cell r="A59" t="str">
            <v>6052DS2009</v>
          </cell>
          <cell r="B59">
            <v>3512</v>
          </cell>
          <cell r="C59" t="str">
            <v>6052001 3860 2008  302 30 95 130</v>
          </cell>
        </row>
        <row r="60">
          <cell r="A60" t="str">
            <v>6052GS2009</v>
          </cell>
          <cell r="B60">
            <v>3513</v>
          </cell>
          <cell r="C60" t="str">
            <v>6052001 3860 2008  302 30 95 130</v>
          </cell>
        </row>
        <row r="61">
          <cell r="A61" t="str">
            <v>6052FS2009</v>
          </cell>
          <cell r="B61">
            <v>3514</v>
          </cell>
          <cell r="C61" t="str">
            <v>6052001 3860 2008  302 90 30 95 130</v>
          </cell>
        </row>
        <row r="62">
          <cell r="A62" t="str">
            <v>6052CT2009</v>
          </cell>
          <cell r="B62">
            <v>328</v>
          </cell>
          <cell r="C62" t="str">
            <v>6052001 3860 2008  302 30 95 160</v>
          </cell>
        </row>
        <row r="63">
          <cell r="A63" t="str">
            <v>6052CU2009</v>
          </cell>
          <cell r="B63">
            <v>329</v>
          </cell>
          <cell r="C63" t="str">
            <v>6052001 3860 2008  302 30 95 206</v>
          </cell>
        </row>
        <row r="64">
          <cell r="A64" t="str">
            <v>6052CN2009</v>
          </cell>
          <cell r="B64">
            <v>330</v>
          </cell>
          <cell r="C64" t="str">
            <v>6052001 3860 2008  302 30 95 340</v>
          </cell>
        </row>
        <row r="65">
          <cell r="A65" t="str">
            <v>6052S72009</v>
          </cell>
          <cell r="B65">
            <v>331</v>
          </cell>
          <cell r="C65" t="str">
            <v>6052001 3860 2008 503 10 29</v>
          </cell>
        </row>
        <row r="66">
          <cell r="A66" t="str">
            <v>6052S82009</v>
          </cell>
          <cell r="B66">
            <v>332</v>
          </cell>
          <cell r="C66" t="str">
            <v>6052001 3860 2008 503 30 10</v>
          </cell>
        </row>
        <row r="67">
          <cell r="A67" t="str">
            <v>6052L72009</v>
          </cell>
          <cell r="B67">
            <v>333</v>
          </cell>
          <cell r="C67" t="str">
            <v>6052001 3860 2008 603 10 29</v>
          </cell>
        </row>
        <row r="68">
          <cell r="A68" t="str">
            <v>6052L82009</v>
          </cell>
          <cell r="B68">
            <v>334</v>
          </cell>
          <cell r="C68" t="str">
            <v>6052001 3860 2008 603 30 10</v>
          </cell>
        </row>
        <row r="69">
          <cell r="A69" t="str">
            <v>6052S32010</v>
          </cell>
          <cell r="B69">
            <v>401</v>
          </cell>
          <cell r="C69" t="str">
            <v>6052001 3860 2009 001 30</v>
          </cell>
        </row>
        <row r="70">
          <cell r="A70" t="str">
            <v>6052S82010</v>
          </cell>
          <cell r="B70">
            <v>402</v>
          </cell>
          <cell r="C70" t="str">
            <v>6052001 3860 2009 00109 30</v>
          </cell>
        </row>
        <row r="71">
          <cell r="A71" t="str">
            <v>6052L12010</v>
          </cell>
          <cell r="B71">
            <v>403</v>
          </cell>
          <cell r="C71" t="str">
            <v>6052001 3860 2009 101</v>
          </cell>
        </row>
        <row r="72">
          <cell r="A72" t="str">
            <v>6052L32010</v>
          </cell>
          <cell r="B72">
            <v>4500</v>
          </cell>
          <cell r="C72" t="str">
            <v>6052001 3860 2009 101</v>
          </cell>
        </row>
        <row r="73">
          <cell r="A73" t="str">
            <v>6052DH2010</v>
          </cell>
          <cell r="B73">
            <v>4501</v>
          </cell>
          <cell r="C73" t="str">
            <v>6052001 3860 2009 301 30 95 260</v>
          </cell>
        </row>
        <row r="74">
          <cell r="A74" t="str">
            <v>6052GH2010</v>
          </cell>
          <cell r="B74">
            <v>409</v>
          </cell>
          <cell r="C74" t="str">
            <v>6052001 3860 2009 301 30 95 260</v>
          </cell>
        </row>
        <row r="75">
          <cell r="A75" t="str">
            <v>6052FH2010</v>
          </cell>
          <cell r="B75">
            <v>4508</v>
          </cell>
          <cell r="C75" t="str">
            <v>6052001 3860 2009 301 90 30 95 260</v>
          </cell>
        </row>
        <row r="76">
          <cell r="A76" t="str">
            <v>6052DL2010</v>
          </cell>
          <cell r="B76">
            <v>411</v>
          </cell>
          <cell r="C76" t="str">
            <v>6052001 3860 2009 301 30 95 311</v>
          </cell>
        </row>
        <row r="77">
          <cell r="A77" t="str">
            <v>6052GL2010</v>
          </cell>
          <cell r="B77">
            <v>4502</v>
          </cell>
          <cell r="C77" t="str">
            <v>6052001 3860 2009 301 30 95 311</v>
          </cell>
        </row>
        <row r="78">
          <cell r="A78" t="str">
            <v>6052FL2010</v>
          </cell>
          <cell r="B78">
            <v>413</v>
          </cell>
          <cell r="C78" t="str">
            <v>6052001 3860 2009 301 90 30 95 311</v>
          </cell>
        </row>
        <row r="79">
          <cell r="A79" t="str">
            <v>6052CQ2010</v>
          </cell>
          <cell r="B79">
            <v>414</v>
          </cell>
          <cell r="C79" t="str">
            <v>6052001 3860 2009 301 30 95 341</v>
          </cell>
        </row>
        <row r="80">
          <cell r="A80" t="str">
            <v>6052CR2010</v>
          </cell>
          <cell r="B80">
            <v>4503</v>
          </cell>
          <cell r="C80" t="str">
            <v>6052001 3860 2009 301 30 95 342</v>
          </cell>
        </row>
        <row r="81">
          <cell r="A81" t="str">
            <v>6052CP2010</v>
          </cell>
          <cell r="B81">
            <v>416</v>
          </cell>
          <cell r="C81" t="str">
            <v>6052001 3860 2009 301 30 95 343</v>
          </cell>
        </row>
        <row r="82">
          <cell r="A82" t="str">
            <v>6052CV2010</v>
          </cell>
          <cell r="B82">
            <v>417</v>
          </cell>
          <cell r="C82" t="str">
            <v>6052001 3860 2009 301 30 95 344</v>
          </cell>
        </row>
        <row r="83">
          <cell r="A83" t="str">
            <v>6052CW2010</v>
          </cell>
          <cell r="B83">
            <v>418</v>
          </cell>
          <cell r="C83" t="str">
            <v>6052001 3860 2009 301 30 95 345</v>
          </cell>
        </row>
        <row r="84">
          <cell r="A84" t="str">
            <v>6052CT2010</v>
          </cell>
          <cell r="B84">
            <v>419</v>
          </cell>
          <cell r="C84" t="str">
            <v>6052001 3860 2009 302 30 95 160</v>
          </cell>
        </row>
        <row r="85">
          <cell r="A85" t="str">
            <v>6052CN2010</v>
          </cell>
          <cell r="B85">
            <v>420</v>
          </cell>
          <cell r="C85" t="str">
            <v>6052001 3860 2009 302 30 95 340</v>
          </cell>
        </row>
        <row r="86">
          <cell r="A86" t="str">
            <v>6052S72010</v>
          </cell>
          <cell r="B86">
            <v>421</v>
          </cell>
          <cell r="C86" t="str">
            <v>6052001 3860 2009 505 10 29</v>
          </cell>
        </row>
        <row r="87">
          <cell r="A87" t="str">
            <v>6052S62010</v>
          </cell>
          <cell r="B87">
            <v>422</v>
          </cell>
          <cell r="C87" t="str">
            <v>6052001 3860 2009 505 30 20</v>
          </cell>
        </row>
        <row r="88">
          <cell r="A88" t="str">
            <v>6052L72010</v>
          </cell>
          <cell r="B88">
            <v>423</v>
          </cell>
          <cell r="C88" t="str">
            <v>6052001 3860 2009 605 10 29</v>
          </cell>
        </row>
        <row r="89">
          <cell r="A89" t="str">
            <v>6052L82010</v>
          </cell>
          <cell r="B89">
            <v>424</v>
          </cell>
          <cell r="C89" t="str">
            <v>6052001 3860 2009 605 30 20</v>
          </cell>
        </row>
        <row r="90">
          <cell r="A90" t="str">
            <v>6052S92010</v>
          </cell>
          <cell r="B90">
            <v>4504</v>
          </cell>
          <cell r="C90" t="str">
            <v>6052001 3860 2009 001 35</v>
          </cell>
        </row>
        <row r="91">
          <cell r="A91" t="str">
            <v>6052DC2010</v>
          </cell>
          <cell r="B91">
            <v>4505</v>
          </cell>
          <cell r="C91" t="str">
            <v>6052001 3860 2009 301 30 95 115</v>
          </cell>
        </row>
        <row r="92">
          <cell r="A92" t="str">
            <v>6052GC2010</v>
          </cell>
          <cell r="B92">
            <v>4506</v>
          </cell>
          <cell r="C92" t="str">
            <v>6052001 3860 2009 301 30 95 115</v>
          </cell>
        </row>
        <row r="93">
          <cell r="A93" t="str">
            <v>6052FC2010</v>
          </cell>
          <cell r="B93">
            <v>4507</v>
          </cell>
          <cell r="C93" t="str">
            <v>6052001 3860 2009 301 90 30 95 115</v>
          </cell>
        </row>
        <row r="94">
          <cell r="A94" t="str">
            <v>6052S32011</v>
          </cell>
          <cell r="B94">
            <v>502</v>
          </cell>
          <cell r="C94" t="str">
            <v>6052001 3860 2010 001 30</v>
          </cell>
        </row>
        <row r="95">
          <cell r="A95" t="str">
            <v>6052S92011</v>
          </cell>
          <cell r="B95">
            <v>5500</v>
          </cell>
          <cell r="C95" t="str">
            <v>6052001 3860 2010 001 35</v>
          </cell>
        </row>
        <row r="96">
          <cell r="A96" t="str">
            <v>6052S82011</v>
          </cell>
          <cell r="B96">
            <v>5504</v>
          </cell>
          <cell r="C96" t="str">
            <v xml:space="preserve">6052001 3860 2010 00110  </v>
          </cell>
        </row>
        <row r="97">
          <cell r="A97" t="str">
            <v>6052L32011</v>
          </cell>
          <cell r="B97">
            <v>505</v>
          </cell>
          <cell r="C97" t="str">
            <v xml:space="preserve">6052001 3860 2010 101  </v>
          </cell>
        </row>
        <row r="98">
          <cell r="A98" t="str">
            <v>6052L12011</v>
          </cell>
          <cell r="B98">
            <v>506</v>
          </cell>
          <cell r="C98" t="str">
            <v>6052001 3860 2010 101</v>
          </cell>
        </row>
        <row r="99">
          <cell r="A99" t="str">
            <v>6052L82011</v>
          </cell>
          <cell r="B99">
            <v>507</v>
          </cell>
          <cell r="C99" t="str">
            <v xml:space="preserve">6052001 3860 2010 10110 </v>
          </cell>
        </row>
        <row r="100">
          <cell r="A100" t="str">
            <v>6052DC2011</v>
          </cell>
          <cell r="B100">
            <v>508</v>
          </cell>
          <cell r="C100" t="str">
            <v>6052001 3860 2010  301 30 95 115</v>
          </cell>
        </row>
        <row r="101">
          <cell r="A101" t="str">
            <v>6052GC2011</v>
          </cell>
          <cell r="B101">
            <v>509</v>
          </cell>
          <cell r="C101" t="str">
            <v>6052001 3860 2010  301 30 95 115</v>
          </cell>
        </row>
        <row r="102">
          <cell r="A102" t="str">
            <v>6052FC2011</v>
          </cell>
          <cell r="B102">
            <v>510</v>
          </cell>
          <cell r="C102" t="str">
            <v>6052001 3860 2010  301 90 30 95 115</v>
          </cell>
        </row>
        <row r="103">
          <cell r="A103" t="str">
            <v>6052DS2011</v>
          </cell>
          <cell r="B103">
            <v>511</v>
          </cell>
          <cell r="C103" t="str">
            <v>6052001 3860 2010  301 30 95 130</v>
          </cell>
        </row>
        <row r="104">
          <cell r="A104" t="str">
            <v>6052GS2011</v>
          </cell>
          <cell r="B104">
            <v>512</v>
          </cell>
          <cell r="C104" t="str">
            <v>6052001 3860 2010  301 30 95 130</v>
          </cell>
        </row>
        <row r="105">
          <cell r="A105" t="str">
            <v>6052FS2011</v>
          </cell>
          <cell r="B105">
            <v>513</v>
          </cell>
          <cell r="C105" t="str">
            <v>6052001 3860 2010  301 90 30 95 130</v>
          </cell>
        </row>
        <row r="106">
          <cell r="A106" t="str">
            <v>6052DD2011</v>
          </cell>
          <cell r="B106">
            <v>515</v>
          </cell>
          <cell r="C106" t="str">
            <v>6052001 3860 2010  301 30 95 155</v>
          </cell>
        </row>
        <row r="107">
          <cell r="A107" t="str">
            <v>6052GD2011</v>
          </cell>
          <cell r="B107">
            <v>516</v>
          </cell>
          <cell r="C107" t="str">
            <v>6052001 3860 2010  301 30 95 155</v>
          </cell>
        </row>
        <row r="108">
          <cell r="A108" t="str">
            <v>6052FD2011</v>
          </cell>
          <cell r="B108">
            <v>517</v>
          </cell>
          <cell r="C108" t="str">
            <v>6052001 3860 2010  301 90 30 95 155</v>
          </cell>
        </row>
        <row r="109">
          <cell r="A109" t="str">
            <v>6052DG2011</v>
          </cell>
          <cell r="B109">
            <v>518</v>
          </cell>
          <cell r="C109" t="str">
            <v>6052001 3860 2010  301 30 95 250</v>
          </cell>
        </row>
        <row r="110">
          <cell r="A110" t="str">
            <v>6052GG2011</v>
          </cell>
          <cell r="B110">
            <v>519</v>
          </cell>
          <cell r="C110" t="str">
            <v>6052001 3860 2010  301 30 95 250</v>
          </cell>
        </row>
        <row r="111">
          <cell r="A111" t="str">
            <v>6052FG2011</v>
          </cell>
          <cell r="B111">
            <v>520</v>
          </cell>
          <cell r="C111" t="str">
            <v>6052001 3860 2010  301 90 30 95 250</v>
          </cell>
        </row>
        <row r="112">
          <cell r="A112" t="str">
            <v>6052DH2011</v>
          </cell>
          <cell r="B112">
            <v>521</v>
          </cell>
          <cell r="C112" t="str">
            <v>6052001 3860 2010  301 30 95 260</v>
          </cell>
        </row>
        <row r="113">
          <cell r="A113" t="str">
            <v>6052GH2011</v>
          </cell>
          <cell r="B113">
            <v>522</v>
          </cell>
          <cell r="C113" t="str">
            <v>6052001 3860 2010  301 30 95 260</v>
          </cell>
        </row>
        <row r="114">
          <cell r="A114" t="str">
            <v>6052FH2011</v>
          </cell>
          <cell r="B114">
            <v>523</v>
          </cell>
          <cell r="C114" t="str">
            <v>6052001 3860 2010  301 90 30 95 260</v>
          </cell>
        </row>
        <row r="115">
          <cell r="A115" t="str">
            <v>6052DI2011</v>
          </cell>
          <cell r="B115">
            <v>524</v>
          </cell>
          <cell r="C115" t="str">
            <v>6052001 3860 2010  301 30 95 280</v>
          </cell>
        </row>
        <row r="116">
          <cell r="A116" t="str">
            <v>6052GI2011</v>
          </cell>
          <cell r="B116">
            <v>525</v>
          </cell>
          <cell r="C116" t="str">
            <v>6052001 3860 2010  301 30 95 280</v>
          </cell>
        </row>
        <row r="117">
          <cell r="A117" t="str">
            <v>6052FI2011</v>
          </cell>
          <cell r="B117">
            <v>526</v>
          </cell>
          <cell r="C117" t="str">
            <v>6052001 3860 2010  301 90 30 95 280</v>
          </cell>
        </row>
        <row r="118">
          <cell r="A118" t="str">
            <v>6052DV2011</v>
          </cell>
          <cell r="B118">
            <v>527</v>
          </cell>
          <cell r="C118" t="str">
            <v>6052001 3860 2010  301 30 95 302</v>
          </cell>
        </row>
        <row r="119">
          <cell r="A119" t="str">
            <v>6052GV2011</v>
          </cell>
          <cell r="B119">
            <v>5505</v>
          </cell>
          <cell r="C119" t="str">
            <v>6052001 3860 2010  301 30 95 302</v>
          </cell>
        </row>
        <row r="120">
          <cell r="A120" t="str">
            <v>6052FV2011</v>
          </cell>
          <cell r="B120">
            <v>529</v>
          </cell>
          <cell r="C120" t="str">
            <v>6052001 3860 2010  301 90 30 95 302</v>
          </cell>
        </row>
        <row r="121">
          <cell r="A121" t="str">
            <v>6052DW2011</v>
          </cell>
          <cell r="B121">
            <v>530</v>
          </cell>
          <cell r="C121" t="str">
            <v>6052001 3860 2010  301 30 95 310</v>
          </cell>
        </row>
        <row r="122">
          <cell r="A122" t="str">
            <v>6052GW2011</v>
          </cell>
          <cell r="B122">
            <v>531</v>
          </cell>
          <cell r="C122" t="str">
            <v>6052001 3860 2010  301 30 95 310</v>
          </cell>
        </row>
        <row r="123">
          <cell r="A123" t="str">
            <v>6052FW2011</v>
          </cell>
          <cell r="B123">
            <v>532</v>
          </cell>
          <cell r="C123" t="str">
            <v>6052001 3860 2010  301 90 30 95 310</v>
          </cell>
        </row>
        <row r="124">
          <cell r="A124" t="str">
            <v>6052DL2011</v>
          </cell>
          <cell r="B124">
            <v>533</v>
          </cell>
          <cell r="C124" t="str">
            <v>6052001 3860 2010  301 30 95 311</v>
          </cell>
        </row>
        <row r="125">
          <cell r="A125" t="str">
            <v>6052GL2011</v>
          </cell>
          <cell r="B125">
            <v>534</v>
          </cell>
          <cell r="C125" t="str">
            <v>6052001 3860 2010  301 30 95 311</v>
          </cell>
        </row>
        <row r="126">
          <cell r="A126" t="str">
            <v>6052FL2011</v>
          </cell>
          <cell r="B126">
            <v>535</v>
          </cell>
          <cell r="C126" t="str">
            <v>6052001 3860 2010  301 90 30 95 311</v>
          </cell>
        </row>
        <row r="127">
          <cell r="A127" t="str">
            <v>6052CX2011</v>
          </cell>
          <cell r="B127">
            <v>5502</v>
          </cell>
          <cell r="C127" t="str">
            <v>6052001 3860 2010  301 30 95 320</v>
          </cell>
        </row>
        <row r="128">
          <cell r="A128" t="str">
            <v>6052CY2011</v>
          </cell>
          <cell r="B128">
            <v>537</v>
          </cell>
          <cell r="C128" t="str">
            <v>6052001 3860 2010  301 30 95 337</v>
          </cell>
        </row>
        <row r="129">
          <cell r="A129" t="str">
            <v>6052CP2011</v>
          </cell>
          <cell r="B129">
            <v>5503</v>
          </cell>
          <cell r="C129" t="str">
            <v>6052001 3860 2010  301 30 95 343</v>
          </cell>
        </row>
        <row r="130">
          <cell r="A130" t="str">
            <v>6052GD0111</v>
          </cell>
          <cell r="B130">
            <v>539</v>
          </cell>
          <cell r="C130" t="str">
            <v>6052001 3860 2010 30113 30 95 155</v>
          </cell>
        </row>
        <row r="131">
          <cell r="A131" t="str">
            <v>6052C12011</v>
          </cell>
          <cell r="B131">
            <v>540</v>
          </cell>
          <cell r="C131" t="str">
            <v>6052001 3860 2010  302 30 95 021</v>
          </cell>
        </row>
        <row r="132">
          <cell r="A132" t="str">
            <v>6052CN2011</v>
          </cell>
          <cell r="B132">
            <v>541</v>
          </cell>
          <cell r="C132" t="str">
            <v>6052001 3860 2010  302 30 95 340</v>
          </cell>
        </row>
        <row r="133">
          <cell r="A133" t="str">
            <v>6052CN0111</v>
          </cell>
          <cell r="B133">
            <v>542</v>
          </cell>
          <cell r="C133" t="str">
            <v>6052001 3860 2010  302 30 95 340</v>
          </cell>
        </row>
        <row r="134">
          <cell r="A134" t="str">
            <v>6052S72011</v>
          </cell>
          <cell r="B134">
            <v>543</v>
          </cell>
          <cell r="C134" t="str">
            <v>6052001 3860 2010 505 10 29</v>
          </cell>
        </row>
        <row r="135">
          <cell r="A135" t="str">
            <v>6052S62011</v>
          </cell>
          <cell r="B135">
            <v>544</v>
          </cell>
          <cell r="C135" t="str">
            <v>6052001 3860 2010 505 30 20</v>
          </cell>
        </row>
        <row r="136">
          <cell r="A136" t="str">
            <v>6052L72011</v>
          </cell>
          <cell r="B136">
            <v>545</v>
          </cell>
          <cell r="C136" t="str">
            <v>6052001 3860 2010 605 10 29</v>
          </cell>
        </row>
        <row r="137">
          <cell r="A137" t="str">
            <v>6052L62011</v>
          </cell>
          <cell r="B137">
            <v>546</v>
          </cell>
          <cell r="C137" t="str">
            <v>6052001 3860 2010 605 30 20</v>
          </cell>
        </row>
        <row r="138">
          <cell r="A138" t="str">
            <v>6052S12011</v>
          </cell>
          <cell r="B138">
            <v>5501</v>
          </cell>
          <cell r="C138" t="str">
            <v>6052001 3860 2010 001 10</v>
          </cell>
        </row>
        <row r="139">
          <cell r="A139" t="str">
            <v>6052S32012</v>
          </cell>
          <cell r="B139">
            <v>602</v>
          </cell>
          <cell r="C139" t="str">
            <v>6052001 3860 2011 001 30</v>
          </cell>
        </row>
        <row r="140">
          <cell r="A140" t="str">
            <v>6052S82012</v>
          </cell>
          <cell r="B140">
            <v>603</v>
          </cell>
          <cell r="C140" t="str">
            <v>6052001 3860 2011 00111 30</v>
          </cell>
        </row>
        <row r="141">
          <cell r="A141" t="str">
            <v>6052L32012</v>
          </cell>
          <cell r="B141">
            <v>605</v>
          </cell>
          <cell r="C141" t="str">
            <v>6052001 3860 2011 101</v>
          </cell>
        </row>
        <row r="142">
          <cell r="A142" t="str">
            <v>6052DC2012</v>
          </cell>
          <cell r="B142">
            <v>606</v>
          </cell>
          <cell r="C142" t="str">
            <v>6052001 3860 2011 301 30 95 115 206</v>
          </cell>
        </row>
        <row r="143">
          <cell r="A143" t="str">
            <v>6052GC2012</v>
          </cell>
          <cell r="B143">
            <v>607</v>
          </cell>
          <cell r="C143" t="str">
            <v>6052001 3860 2011 301 30 95 115 206</v>
          </cell>
        </row>
        <row r="144">
          <cell r="A144" t="str">
            <v>6052FC2012</v>
          </cell>
          <cell r="B144">
            <v>608</v>
          </cell>
          <cell r="C144" t="str">
            <v>6052001 3860 2011 301 90 30 95 115</v>
          </cell>
        </row>
        <row r="145">
          <cell r="A145" t="str">
            <v>6052DS2012</v>
          </cell>
          <cell r="B145">
            <v>609</v>
          </cell>
          <cell r="C145" t="str">
            <v>6052001 3860 2011 301 30 95 130</v>
          </cell>
        </row>
        <row r="146">
          <cell r="A146" t="str">
            <v>6052GS2012</v>
          </cell>
          <cell r="B146">
            <v>610</v>
          </cell>
          <cell r="C146" t="str">
            <v>6052001 3860 2011 301 30 95 130</v>
          </cell>
        </row>
        <row r="147">
          <cell r="A147" t="str">
            <v>6052FS2012</v>
          </cell>
          <cell r="B147">
            <v>611</v>
          </cell>
          <cell r="C147" t="str">
            <v>6052001 3860 2011 301 90 30 95 130</v>
          </cell>
        </row>
        <row r="148">
          <cell r="A148" t="str">
            <v>6052DY2012</v>
          </cell>
          <cell r="B148">
            <v>612</v>
          </cell>
          <cell r="C148" t="str">
            <v>6052001 3860 2011 301 30 95 135</v>
          </cell>
        </row>
        <row r="149">
          <cell r="A149" t="str">
            <v>6052FY2012</v>
          </cell>
          <cell r="B149">
            <v>614</v>
          </cell>
          <cell r="C149" t="str">
            <v>6052001 3860 2011 301 90 30 95 135</v>
          </cell>
        </row>
        <row r="150">
          <cell r="A150" t="str">
            <v>6052DD2012</v>
          </cell>
          <cell r="B150">
            <v>615</v>
          </cell>
          <cell r="C150" t="str">
            <v>6052001 3860 2011 301 30 95 155</v>
          </cell>
        </row>
        <row r="151">
          <cell r="A151" t="str">
            <v>6052GD2012</v>
          </cell>
          <cell r="B151">
            <v>616</v>
          </cell>
          <cell r="C151" t="str">
            <v>6052001 3860 2011 301 30 95 155</v>
          </cell>
        </row>
        <row r="152">
          <cell r="A152" t="str">
            <v>6052FD2012</v>
          </cell>
          <cell r="B152">
            <v>617</v>
          </cell>
          <cell r="C152" t="str">
            <v>6052001 3860 2011 301 90 30 95 155</v>
          </cell>
        </row>
        <row r="153">
          <cell r="A153" t="str">
            <v>6052DG2012</v>
          </cell>
          <cell r="B153">
            <v>618</v>
          </cell>
          <cell r="C153" t="str">
            <v>6052001 3860 2011 301 30 95 250</v>
          </cell>
        </row>
        <row r="154">
          <cell r="A154" t="str">
            <v>6052GG2012</v>
          </cell>
          <cell r="B154">
            <v>619</v>
          </cell>
          <cell r="C154" t="str">
            <v>6052001 3860 2011 301 30 95 250</v>
          </cell>
        </row>
        <row r="155">
          <cell r="A155" t="str">
            <v>6052FG2012</v>
          </cell>
          <cell r="B155">
            <v>620</v>
          </cell>
          <cell r="C155" t="str">
            <v>6052001 3860 2011 301 90 30 95 250</v>
          </cell>
        </row>
        <row r="156">
          <cell r="A156" t="str">
            <v>6052DT2012</v>
          </cell>
          <cell r="B156">
            <v>621</v>
          </cell>
          <cell r="C156" t="str">
            <v>6052001 3860 2011 301 30 95 251</v>
          </cell>
        </row>
        <row r="157">
          <cell r="A157" t="str">
            <v>6052GT2012</v>
          </cell>
          <cell r="B157">
            <v>622</v>
          </cell>
          <cell r="C157" t="str">
            <v>6052001 3860 2011 301 30 95 251</v>
          </cell>
        </row>
        <row r="158">
          <cell r="A158" t="str">
            <v>6052FT2012</v>
          </cell>
          <cell r="B158">
            <v>623</v>
          </cell>
          <cell r="C158" t="str">
            <v>6052001 3860 2011 301 90 30 95 251</v>
          </cell>
        </row>
        <row r="159">
          <cell r="A159" t="str">
            <v>6052DH2012</v>
          </cell>
          <cell r="B159">
            <v>624</v>
          </cell>
          <cell r="C159" t="str">
            <v>6052001 3860 2011 301 30 95 260</v>
          </cell>
        </row>
        <row r="160">
          <cell r="A160" t="str">
            <v>6052GH2012</v>
          </cell>
          <cell r="B160">
            <v>625</v>
          </cell>
          <cell r="C160" t="str">
            <v>6052001 3860 2011 301 30 95 260</v>
          </cell>
        </row>
        <row r="161">
          <cell r="A161" t="str">
            <v>6052FH2012</v>
          </cell>
          <cell r="B161">
            <v>626</v>
          </cell>
          <cell r="C161" t="str">
            <v>6052001 3860 2011 301 90 30 95 260</v>
          </cell>
        </row>
        <row r="162">
          <cell r="A162" t="str">
            <v>6052DV2012</v>
          </cell>
          <cell r="B162">
            <v>627</v>
          </cell>
          <cell r="C162" t="str">
            <v>6052001 3860 2011 301 30 95 302</v>
          </cell>
        </row>
        <row r="163">
          <cell r="A163" t="str">
            <v>6052FV2012</v>
          </cell>
          <cell r="B163">
            <v>629</v>
          </cell>
          <cell r="C163" t="str">
            <v>6052001 3860 2011 301 90 30 95 302</v>
          </cell>
        </row>
        <row r="164">
          <cell r="A164" t="str">
            <v>6052DP2012</v>
          </cell>
          <cell r="B164">
            <v>630</v>
          </cell>
          <cell r="C164" t="str">
            <v>6052001 3860 2011 301 30 95 305</v>
          </cell>
        </row>
        <row r="165">
          <cell r="A165" t="str">
            <v>6052GP2012</v>
          </cell>
          <cell r="B165">
            <v>631</v>
          </cell>
          <cell r="C165" t="str">
            <v>6052001 3860 2011 301 30 95 305 207</v>
          </cell>
        </row>
        <row r="166">
          <cell r="A166" t="str">
            <v>6052FP2012</v>
          </cell>
          <cell r="B166">
            <v>632</v>
          </cell>
          <cell r="C166" t="str">
            <v>6052001 3860 2011 301 90 30 95 305 207</v>
          </cell>
        </row>
        <row r="167">
          <cell r="A167" t="str">
            <v>6052DL2012</v>
          </cell>
          <cell r="B167">
            <v>633</v>
          </cell>
          <cell r="C167" t="str">
            <v>6052001 3860 2011 301 30 95 311</v>
          </cell>
        </row>
        <row r="168">
          <cell r="A168" t="str">
            <v>6052GL2012</v>
          </cell>
          <cell r="B168">
            <v>634</v>
          </cell>
          <cell r="C168" t="str">
            <v>6052001 3860 2011 301 30 95 311</v>
          </cell>
        </row>
        <row r="169">
          <cell r="A169" t="str">
            <v>6052FL2012</v>
          </cell>
          <cell r="B169">
            <v>635</v>
          </cell>
          <cell r="C169" t="str">
            <v>6052001 3860 2011 301 90 30 95 311</v>
          </cell>
        </row>
        <row r="170">
          <cell r="A170" t="str">
            <v>6052DR2012</v>
          </cell>
          <cell r="B170">
            <v>636</v>
          </cell>
          <cell r="C170" t="str">
            <v>6052001 3860 2011 301 30 95 314</v>
          </cell>
        </row>
        <row r="171">
          <cell r="A171" t="str">
            <v>6052GR2012</v>
          </cell>
          <cell r="B171">
            <v>637</v>
          </cell>
          <cell r="C171" t="str">
            <v>6052001 3860 2011 301 30 95 314</v>
          </cell>
        </row>
        <row r="172">
          <cell r="A172" t="str">
            <v>6052FR2012</v>
          </cell>
          <cell r="B172">
            <v>638</v>
          </cell>
          <cell r="C172" t="str">
            <v>6052001 3860 2011 301 90 30 95 314</v>
          </cell>
        </row>
        <row r="173">
          <cell r="A173" t="str">
            <v>6052DQ2012</v>
          </cell>
          <cell r="B173">
            <v>639</v>
          </cell>
          <cell r="C173" t="str">
            <v>6052001 3860 2011 301 30 95 315</v>
          </cell>
        </row>
        <row r="174">
          <cell r="A174" t="str">
            <v>6052GQ2012</v>
          </cell>
          <cell r="B174">
            <v>640</v>
          </cell>
          <cell r="C174" t="str">
            <v>6052001 3860 2011 301 30 95 315</v>
          </cell>
        </row>
        <row r="175">
          <cell r="A175" t="str">
            <v>6052FQ2012</v>
          </cell>
          <cell r="B175">
            <v>641</v>
          </cell>
          <cell r="C175" t="str">
            <v>6052001 3860 2011 301 90 30 95 315</v>
          </cell>
        </row>
        <row r="176">
          <cell r="A176" t="str">
            <v>6052DU2012</v>
          </cell>
          <cell r="B176">
            <v>642</v>
          </cell>
          <cell r="C176" t="str">
            <v>6052001 3860 2011 301 30 95 316</v>
          </cell>
        </row>
        <row r="177">
          <cell r="A177" t="str">
            <v>6052GU2012</v>
          </cell>
          <cell r="B177">
            <v>643</v>
          </cell>
          <cell r="C177" t="str">
            <v>6052001 3860 2011 301 30 95 316</v>
          </cell>
        </row>
        <row r="178">
          <cell r="A178" t="str">
            <v>6052FU2012</v>
          </cell>
          <cell r="B178">
            <v>644</v>
          </cell>
          <cell r="C178" t="str">
            <v>6052001 3860 2011 301 90 30 95 316</v>
          </cell>
        </row>
        <row r="179">
          <cell r="A179" t="str">
            <v>6052DX2012</v>
          </cell>
          <cell r="B179">
            <v>645</v>
          </cell>
          <cell r="C179" t="str">
            <v>6052001 3860 2011 301 30 95 320</v>
          </cell>
        </row>
        <row r="180">
          <cell r="A180" t="str">
            <v>6052GX2012</v>
          </cell>
          <cell r="B180">
            <v>646</v>
          </cell>
          <cell r="C180" t="str">
            <v>6052001 3860 2011 301 30 95 320</v>
          </cell>
        </row>
        <row r="181">
          <cell r="A181" t="str">
            <v>6052FX2012</v>
          </cell>
          <cell r="B181">
            <v>647</v>
          </cell>
          <cell r="C181" t="str">
            <v>6052001 3860 2011 301 90 30 95 320</v>
          </cell>
        </row>
        <row r="182">
          <cell r="A182" t="str">
            <v>6052C12012</v>
          </cell>
          <cell r="B182">
            <v>648</v>
          </cell>
          <cell r="C182" t="str">
            <v>6052001 3860 2011 302 30 95 021</v>
          </cell>
        </row>
        <row r="183">
          <cell r="A183" t="str">
            <v>6052CN2012</v>
          </cell>
          <cell r="B183">
            <v>649</v>
          </cell>
          <cell r="C183" t="str">
            <v>6052001 3860 2011 302 30 95 340</v>
          </cell>
        </row>
        <row r="184">
          <cell r="A184" t="str">
            <v>6052S12012</v>
          </cell>
          <cell r="B184">
            <v>6601</v>
          </cell>
          <cell r="C184" t="str">
            <v>6052001 3860 2011 001 10</v>
          </cell>
        </row>
        <row r="185">
          <cell r="A185" t="str">
            <v>6052S92012</v>
          </cell>
          <cell r="B185">
            <v>6602</v>
          </cell>
          <cell r="C185" t="str">
            <v>6052001 3860 2011 001 35</v>
          </cell>
        </row>
        <row r="186">
          <cell r="A186" t="str">
            <v>6052GY2012</v>
          </cell>
          <cell r="B186">
            <v>6603</v>
          </cell>
          <cell r="C186" t="str">
            <v>6052001 3860 2011 301 30 95 135</v>
          </cell>
        </row>
        <row r="187">
          <cell r="A187" t="str">
            <v>6052GV2012</v>
          </cell>
          <cell r="B187">
            <v>6604</v>
          </cell>
          <cell r="C187" t="str">
            <v>6052001 3860 2011 301 30 95 302</v>
          </cell>
        </row>
        <row r="188">
          <cell r="A188" t="str">
            <v>6052S12013</v>
          </cell>
          <cell r="B188">
            <v>701</v>
          </cell>
          <cell r="C188" t="str">
            <v>6052001 3860 2012 001 10</v>
          </cell>
        </row>
        <row r="189">
          <cell r="A189" t="str">
            <v>6052S32013</v>
          </cell>
          <cell r="B189">
            <v>702</v>
          </cell>
          <cell r="C189" t="str">
            <v>6052001 3860 2012 001 30</v>
          </cell>
        </row>
        <row r="190">
          <cell r="A190" t="str">
            <v>6052S92013</v>
          </cell>
          <cell r="B190">
            <v>703</v>
          </cell>
          <cell r="C190" t="str">
            <v>6052001 3860 2012 001 35</v>
          </cell>
        </row>
        <row r="191">
          <cell r="A191" t="str">
            <v>6052L32013</v>
          </cell>
          <cell r="B191">
            <v>704</v>
          </cell>
          <cell r="C191" t="str">
            <v>6052001 3860 2012 101</v>
          </cell>
        </row>
        <row r="192">
          <cell r="A192" t="str">
            <v>6052L72013</v>
          </cell>
          <cell r="B192">
            <v>705</v>
          </cell>
          <cell r="C192" t="str">
            <v>6052001 3860 2012 10112</v>
          </cell>
        </row>
        <row r="193">
          <cell r="A193" t="str">
            <v>6052C12013</v>
          </cell>
          <cell r="B193">
            <v>706</v>
          </cell>
          <cell r="C193" t="str">
            <v>6052001 3860 2012 301 3095 021</v>
          </cell>
        </row>
        <row r="194">
          <cell r="A194" t="str">
            <v>6052DY2013</v>
          </cell>
          <cell r="B194">
            <v>707</v>
          </cell>
          <cell r="C194" t="str">
            <v>6052001 3860 2012 301 3095 135</v>
          </cell>
        </row>
        <row r="195">
          <cell r="A195" t="str">
            <v>6052GY2013</v>
          </cell>
          <cell r="B195">
            <v>708</v>
          </cell>
          <cell r="C195" t="str">
            <v>6052001 3860 2012 301 3095 135</v>
          </cell>
        </row>
        <row r="196">
          <cell r="A196" t="str">
            <v>6052FY2013</v>
          </cell>
          <cell r="B196">
            <v>709</v>
          </cell>
          <cell r="C196" t="str">
            <v>6052001 3860 2012 301 90 3095 135</v>
          </cell>
        </row>
        <row r="197">
          <cell r="A197" t="str">
            <v>6052CT2013</v>
          </cell>
          <cell r="B197">
            <v>710</v>
          </cell>
          <cell r="C197" t="str">
            <v>6052001 3860 2012 302 3095 160</v>
          </cell>
        </row>
        <row r="198">
          <cell r="A198" t="str">
            <v>6052DV2013</v>
          </cell>
          <cell r="B198">
            <v>711</v>
          </cell>
          <cell r="C198" t="str">
            <v>6052001 3860 2012 301 3095 302</v>
          </cell>
        </row>
        <row r="199">
          <cell r="A199" t="str">
            <v>6052GV2013</v>
          </cell>
          <cell r="B199">
            <v>712</v>
          </cell>
          <cell r="C199" t="str">
            <v>6052001 3860 2012 301 3095 302</v>
          </cell>
        </row>
        <row r="200">
          <cell r="A200" t="str">
            <v>6052FV2013</v>
          </cell>
          <cell r="B200">
            <v>713</v>
          </cell>
          <cell r="C200" t="str">
            <v>6052001 3860 2012 301 90 3095 302</v>
          </cell>
        </row>
        <row r="201">
          <cell r="A201" t="str">
            <v>6052DP2013</v>
          </cell>
          <cell r="B201">
            <v>714</v>
          </cell>
          <cell r="C201" t="str">
            <v>6052001 3860 2012 301 3095 305</v>
          </cell>
        </row>
        <row r="202">
          <cell r="A202" t="str">
            <v>6052GP2013</v>
          </cell>
          <cell r="B202">
            <v>715</v>
          </cell>
          <cell r="C202" t="str">
            <v>6052001 3860 2012 301 3095 305</v>
          </cell>
        </row>
        <row r="203">
          <cell r="A203" t="str">
            <v>6052FP2013</v>
          </cell>
          <cell r="B203">
            <v>716</v>
          </cell>
          <cell r="C203" t="str">
            <v>6052001 3860 2012 301 90 3095 305</v>
          </cell>
        </row>
        <row r="204">
          <cell r="A204" t="str">
            <v>6052DW2013</v>
          </cell>
          <cell r="B204">
            <v>717</v>
          </cell>
          <cell r="C204" t="str">
            <v>6052001 3860 2012 301 3095 310</v>
          </cell>
        </row>
        <row r="205">
          <cell r="A205" t="str">
            <v>6052GW2013</v>
          </cell>
          <cell r="B205">
            <v>718</v>
          </cell>
          <cell r="C205" t="str">
            <v>6052001 3860 2012 301 3095 310</v>
          </cell>
        </row>
        <row r="206">
          <cell r="A206" t="str">
            <v>6052FW2013</v>
          </cell>
          <cell r="B206">
            <v>719</v>
          </cell>
          <cell r="C206" t="str">
            <v>6052001 3860 2012 301 90 3095 310</v>
          </cell>
        </row>
        <row r="207">
          <cell r="A207" t="str">
            <v>6052DL2013</v>
          </cell>
          <cell r="B207">
            <v>720</v>
          </cell>
          <cell r="C207" t="str">
            <v>6052001 3860 2012 301 3095 311</v>
          </cell>
        </row>
        <row r="208">
          <cell r="A208" t="str">
            <v>6052GL2013</v>
          </cell>
          <cell r="B208">
            <v>721</v>
          </cell>
          <cell r="C208" t="str">
            <v>6052001 3860 2012 301 3095 311</v>
          </cell>
        </row>
        <row r="209">
          <cell r="A209" t="str">
            <v>6052FL2013</v>
          </cell>
          <cell r="B209">
            <v>722</v>
          </cell>
          <cell r="C209" t="str">
            <v>6052001 3860 2012 302  90 3095 311</v>
          </cell>
        </row>
        <row r="210">
          <cell r="A210" t="str">
            <v>6052DR2013</v>
          </cell>
          <cell r="B210">
            <v>723</v>
          </cell>
          <cell r="C210" t="str">
            <v>6052001 3860 2012 301 3095 314</v>
          </cell>
        </row>
        <row r="211">
          <cell r="A211" t="str">
            <v>6052GR2013</v>
          </cell>
          <cell r="B211">
            <v>724</v>
          </cell>
          <cell r="C211" t="str">
            <v>6052001 3860 2012 301 3095 314</v>
          </cell>
        </row>
        <row r="212">
          <cell r="A212" t="str">
            <v>6052FR2013</v>
          </cell>
          <cell r="B212">
            <v>725</v>
          </cell>
          <cell r="C212" t="str">
            <v>6052001 3860 2012 301 90 3095 314</v>
          </cell>
        </row>
        <row r="213">
          <cell r="A213" t="str">
            <v>6052DQ2013</v>
          </cell>
          <cell r="B213">
            <v>726</v>
          </cell>
          <cell r="C213" t="str">
            <v>6052001 3860 2012 301 3095 315</v>
          </cell>
        </row>
        <row r="214">
          <cell r="A214" t="str">
            <v>6052GQ2013</v>
          </cell>
          <cell r="B214">
            <v>727</v>
          </cell>
          <cell r="C214" t="str">
            <v>6052001 3860 2012 301 3095 315</v>
          </cell>
        </row>
        <row r="215">
          <cell r="A215" t="str">
            <v>6052FQ2013</v>
          </cell>
          <cell r="B215">
            <v>728</v>
          </cell>
          <cell r="C215" t="str">
            <v>6052001 3860 2012 301 90 3095 315</v>
          </cell>
        </row>
        <row r="216">
          <cell r="A216" t="str">
            <v>6052DU2013</v>
          </cell>
          <cell r="B216">
            <v>729</v>
          </cell>
          <cell r="C216" t="str">
            <v>6052001 3860 2012 301 3095 316</v>
          </cell>
        </row>
        <row r="217">
          <cell r="A217" t="str">
            <v>6052GU2013</v>
          </cell>
          <cell r="B217">
            <v>730</v>
          </cell>
          <cell r="C217" t="str">
            <v>6052001 3860 2012 301 3095 316</v>
          </cell>
        </row>
        <row r="218">
          <cell r="A218" t="str">
            <v>6052FU2013</v>
          </cell>
          <cell r="B218">
            <v>731</v>
          </cell>
          <cell r="C218" t="str">
            <v>6052001 3860 2012 301 90 3095 316</v>
          </cell>
        </row>
        <row r="219">
          <cell r="A219" t="str">
            <v>6052DX2013</v>
          </cell>
          <cell r="B219">
            <v>732</v>
          </cell>
          <cell r="C219" t="str">
            <v>6052001 3860 2012 301 3095 320</v>
          </cell>
        </row>
        <row r="220">
          <cell r="A220" t="str">
            <v>6052GX2013</v>
          </cell>
          <cell r="B220">
            <v>733</v>
          </cell>
          <cell r="C220" t="str">
            <v>6052001 3860 2012 301 3095 320</v>
          </cell>
        </row>
        <row r="221">
          <cell r="A221" t="str">
            <v>6052GX0113</v>
          </cell>
          <cell r="B221">
            <v>734</v>
          </cell>
          <cell r="C221" t="str">
            <v>6052001 3860 2012 301 3095 320</v>
          </cell>
        </row>
        <row r="222">
          <cell r="A222" t="str">
            <v>6052FX2013</v>
          </cell>
          <cell r="B222">
            <v>735</v>
          </cell>
          <cell r="C222" t="str">
            <v>6052001 3860 2012 301 90 3095 320</v>
          </cell>
        </row>
        <row r="223">
          <cell r="A223" t="str">
            <v>6052C32013</v>
          </cell>
          <cell r="B223">
            <v>736</v>
          </cell>
          <cell r="C223" t="str">
            <v>6052001 3860 2012 301 3095 327</v>
          </cell>
        </row>
        <row r="224">
          <cell r="A224" t="str">
            <v>6052C22013</v>
          </cell>
          <cell r="B224">
            <v>737</v>
          </cell>
          <cell r="C224" t="str">
            <v>6052001 3860 2012 302 3095 140</v>
          </cell>
        </row>
        <row r="225">
          <cell r="A225" t="str">
            <v>6052S12014</v>
          </cell>
          <cell r="B225">
            <v>801</v>
          </cell>
          <cell r="C225" t="str">
            <v>6052001 3860 2013 001 10</v>
          </cell>
        </row>
        <row r="226">
          <cell r="A226" t="str">
            <v>6052S32014</v>
          </cell>
          <cell r="B226">
            <v>802</v>
          </cell>
          <cell r="C226" t="str">
            <v>6052001 3860 2013 001 30</v>
          </cell>
        </row>
        <row r="227">
          <cell r="A227" t="str">
            <v>6052S92014</v>
          </cell>
          <cell r="B227">
            <v>803</v>
          </cell>
          <cell r="C227" t="str">
            <v>6052001 3860 2013 001 35</v>
          </cell>
        </row>
        <row r="228">
          <cell r="A228" t="str">
            <v>6052S82014</v>
          </cell>
          <cell r="B228">
            <v>804</v>
          </cell>
          <cell r="C228" t="str">
            <v>6052001 3860 2013 00113 30</v>
          </cell>
        </row>
        <row r="229">
          <cell r="A229" t="str">
            <v>6052L32014</v>
          </cell>
          <cell r="B229">
            <v>805</v>
          </cell>
          <cell r="C229" t="str">
            <v>6052001 3860 2013 101</v>
          </cell>
        </row>
        <row r="230">
          <cell r="A230" t="str">
            <v>6052L82014</v>
          </cell>
          <cell r="B230">
            <v>806</v>
          </cell>
          <cell r="C230" t="str">
            <v>6052001 3860 2013 10113</v>
          </cell>
        </row>
        <row r="231">
          <cell r="A231" t="str">
            <v>6052C42014</v>
          </cell>
          <cell r="B231">
            <v>807</v>
          </cell>
          <cell r="C231" t="str">
            <v>6052001 3860 2013 301 30 95 022</v>
          </cell>
        </row>
        <row r="232">
          <cell r="A232" t="str">
            <v>6052DY2014</v>
          </cell>
          <cell r="B232">
            <v>808</v>
          </cell>
          <cell r="C232" t="str">
            <v>6052001 3860 2013 301 30 95 135</v>
          </cell>
        </row>
        <row r="233">
          <cell r="A233" t="str">
            <v>6052GY2014</v>
          </cell>
          <cell r="B233">
            <v>809</v>
          </cell>
          <cell r="C233" t="str">
            <v>6052001 3860 2013 301 30 95 135</v>
          </cell>
        </row>
        <row r="234">
          <cell r="A234" t="str">
            <v>6052FY2014</v>
          </cell>
          <cell r="B234">
            <v>810</v>
          </cell>
          <cell r="C234" t="str">
            <v>6052001 3860 2013 301 90 30 95 135</v>
          </cell>
        </row>
        <row r="235">
          <cell r="A235" t="str">
            <v>6052DG2014</v>
          </cell>
          <cell r="B235">
            <v>811</v>
          </cell>
          <cell r="C235" t="str">
            <v>6052001 3860 2013 301 30 95 250</v>
          </cell>
        </row>
        <row r="236">
          <cell r="A236" t="str">
            <v>6052GG2014</v>
          </cell>
          <cell r="B236">
            <v>812</v>
          </cell>
          <cell r="C236" t="str">
            <v>6052001 3860 2013 301 30 95 250</v>
          </cell>
        </row>
        <row r="237">
          <cell r="A237" t="str">
            <v>6052FG2014</v>
          </cell>
          <cell r="B237">
            <v>813</v>
          </cell>
          <cell r="C237" t="str">
            <v>6052001 3860 2013 301 90 30 95 250</v>
          </cell>
        </row>
        <row r="238">
          <cell r="A238" t="str">
            <v>6052DT2014</v>
          </cell>
          <cell r="B238">
            <v>814</v>
          </cell>
          <cell r="C238" t="str">
            <v>6052001 3860 2013 301 30 95 251</v>
          </cell>
        </row>
        <row r="239">
          <cell r="A239" t="str">
            <v>6052GT2014</v>
          </cell>
          <cell r="B239">
            <v>815</v>
          </cell>
          <cell r="C239" t="str">
            <v>6052001 3860 2013 301 90 30 95 251</v>
          </cell>
        </row>
        <row r="240">
          <cell r="A240" t="str">
            <v>6052FT2014</v>
          </cell>
          <cell r="B240">
            <v>816</v>
          </cell>
          <cell r="C240" t="str">
            <v>6052001 3860 2013 301 90 30 95 251</v>
          </cell>
        </row>
        <row r="241">
          <cell r="A241" t="str">
            <v>6052DV2014</v>
          </cell>
          <cell r="B241">
            <v>817</v>
          </cell>
          <cell r="C241" t="str">
            <v>6052001 3860 2013 301 30 95 302</v>
          </cell>
        </row>
        <row r="242">
          <cell r="A242" t="str">
            <v>6052GV2014</v>
          </cell>
          <cell r="B242">
            <v>818</v>
          </cell>
          <cell r="C242" t="str">
            <v>6052001 3860 2013 301 30 95 302</v>
          </cell>
        </row>
        <row r="243">
          <cell r="A243" t="str">
            <v>6052FV2014</v>
          </cell>
          <cell r="B243">
            <v>819</v>
          </cell>
          <cell r="C243" t="str">
            <v>6052001 3860 2013 301 90 30 95 302</v>
          </cell>
        </row>
        <row r="244">
          <cell r="A244" t="str">
            <v>6052DW2014</v>
          </cell>
          <cell r="B244">
            <v>820</v>
          </cell>
          <cell r="C244" t="str">
            <v>6052001 3860 2013 301 30 95 310</v>
          </cell>
        </row>
        <row r="245">
          <cell r="A245" t="str">
            <v>6052GW2014</v>
          </cell>
          <cell r="B245">
            <v>821</v>
          </cell>
          <cell r="C245" t="str">
            <v>6052001 3860 2013 301 30 95 310</v>
          </cell>
        </row>
        <row r="246">
          <cell r="A246" t="str">
            <v>6052FW2014</v>
          </cell>
          <cell r="B246">
            <v>822</v>
          </cell>
          <cell r="C246" t="str">
            <v>6052001 3860 2013 301 90 30 95 310</v>
          </cell>
        </row>
        <row r="247">
          <cell r="A247" t="str">
            <v>6052DL2014</v>
          </cell>
          <cell r="B247">
            <v>823</v>
          </cell>
          <cell r="C247" t="str">
            <v>6052001 3860 2013 301 30 95 311</v>
          </cell>
        </row>
        <row r="248">
          <cell r="A248" t="str">
            <v>6052GL2014</v>
          </cell>
          <cell r="B248">
            <v>824</v>
          </cell>
          <cell r="C248" t="str">
            <v>6052001 3860 2013 301 30 95 311</v>
          </cell>
        </row>
        <row r="249">
          <cell r="A249" t="str">
            <v>6052FL2014</v>
          </cell>
          <cell r="B249">
            <v>825</v>
          </cell>
          <cell r="C249" t="str">
            <v>6052001 3860 2013 301 90 30 95 311</v>
          </cell>
        </row>
        <row r="250">
          <cell r="A250" t="str">
            <v>6052GX2014</v>
          </cell>
          <cell r="B250">
            <v>826</v>
          </cell>
          <cell r="C250" t="str">
            <v>6052001 3860 2013 301 30 95 320</v>
          </cell>
        </row>
        <row r="251">
          <cell r="A251" t="str">
            <v>6052C32014</v>
          </cell>
          <cell r="B251">
            <v>827</v>
          </cell>
          <cell r="C251" t="str">
            <v>6052001 3860 2013 301 30 95 327</v>
          </cell>
        </row>
        <row r="252">
          <cell r="A252" t="str">
            <v>6052DO2014</v>
          </cell>
          <cell r="B252">
            <v>828</v>
          </cell>
          <cell r="C252" t="str">
            <v>6052001 3860 2013 301 30 95 328</v>
          </cell>
        </row>
        <row r="253">
          <cell r="A253" t="str">
            <v>6052GO2014</v>
          </cell>
          <cell r="B253">
            <v>829</v>
          </cell>
          <cell r="C253" t="str">
            <v>6052001 3860 2013 301 30 95 328</v>
          </cell>
        </row>
        <row r="254">
          <cell r="A254" t="str">
            <v>6052FO2014</v>
          </cell>
          <cell r="B254">
            <v>830</v>
          </cell>
          <cell r="C254" t="str">
            <v>6052001 3860 2013 301 90 30 95 328</v>
          </cell>
        </row>
        <row r="255">
          <cell r="A255" t="str">
            <v>6052S12015</v>
          </cell>
          <cell r="B255">
            <v>901</v>
          </cell>
          <cell r="C255" t="str">
            <v>6052001 3860 2014 001 10</v>
          </cell>
        </row>
        <row r="256">
          <cell r="A256" t="str">
            <v>6052S32015</v>
          </cell>
          <cell r="B256">
            <v>902</v>
          </cell>
          <cell r="C256" t="str">
            <v>6052001 3860 2014 001 30</v>
          </cell>
        </row>
        <row r="257">
          <cell r="A257" t="str">
            <v>6052S92015</v>
          </cell>
          <cell r="B257">
            <v>903</v>
          </cell>
          <cell r="C257" t="str">
            <v>6052001 3860 2014 001 35</v>
          </cell>
        </row>
        <row r="258">
          <cell r="A258" t="str">
            <v>6052L32015</v>
          </cell>
          <cell r="B258">
            <v>904</v>
          </cell>
          <cell r="C258" t="str">
            <v>6052001 3860 2014 101</v>
          </cell>
        </row>
        <row r="259">
          <cell r="A259" t="str">
            <v>6052GY2015</v>
          </cell>
          <cell r="B259">
            <v>905</v>
          </cell>
          <cell r="C259" t="str">
            <v>6052001 3860 2014 301 30 95 135</v>
          </cell>
        </row>
        <row r="260">
          <cell r="A260" t="str">
            <v>6052G12015</v>
          </cell>
          <cell r="B260">
            <v>906</v>
          </cell>
          <cell r="C260" t="str">
            <v>6052001 3860 2014 301 30 95 350</v>
          </cell>
        </row>
        <row r="261">
          <cell r="A261" t="str">
            <v>6052C52015</v>
          </cell>
          <cell r="B261">
            <v>907</v>
          </cell>
          <cell r="C261" t="str">
            <v>6052001 3860 2014 301 30 95 360</v>
          </cell>
        </row>
        <row r="262">
          <cell r="A262" t="str">
            <v>6052S12016</v>
          </cell>
          <cell r="B262">
            <v>1000</v>
          </cell>
          <cell r="C262" t="str">
            <v>6052001 3860 2015 001 10</v>
          </cell>
        </row>
        <row r="263">
          <cell r="A263" t="str">
            <v>6052S32016</v>
          </cell>
          <cell r="B263">
            <v>1001</v>
          </cell>
          <cell r="C263" t="str">
            <v>6052001 3860 2015 001 30</v>
          </cell>
        </row>
        <row r="264">
          <cell r="A264" t="str">
            <v>6052S92016</v>
          </cell>
          <cell r="B264">
            <v>1002</v>
          </cell>
          <cell r="C264" t="str">
            <v>6052001 3860 2015 001 35</v>
          </cell>
        </row>
        <row r="265">
          <cell r="A265" t="str">
            <v>6052C62016</v>
          </cell>
          <cell r="B265">
            <v>1003</v>
          </cell>
          <cell r="C265" t="str">
            <v>6052001 3860 2015 301 30 95 370</v>
          </cell>
        </row>
        <row r="266">
          <cell r="A266" t="str">
            <v>6052310I09</v>
          </cell>
          <cell r="B266">
            <v>248</v>
          </cell>
        </row>
        <row r="267">
          <cell r="A267" t="str">
            <v>6052320J09</v>
          </cell>
        </row>
        <row r="268">
          <cell r="A268" t="str">
            <v>6052351I10</v>
          </cell>
        </row>
        <row r="269">
          <cell r="A269" t="str">
            <v>6052371J09</v>
          </cell>
        </row>
        <row r="270">
          <cell r="A270" t="str">
            <v>6052RRR302</v>
          </cell>
        </row>
        <row r="271">
          <cell r="A271" t="str">
            <v>6052RRR303</v>
          </cell>
        </row>
        <row r="272">
          <cell r="A272" t="str">
            <v>6052RRR304</v>
          </cell>
        </row>
        <row r="273">
          <cell r="A273" t="str">
            <v>6052RRR305</v>
          </cell>
        </row>
        <row r="274">
          <cell r="A274" t="str">
            <v>6052RRR306</v>
          </cell>
        </row>
        <row r="275">
          <cell r="A275" t="str">
            <v>6052RRR307</v>
          </cell>
        </row>
        <row r="276">
          <cell r="A276" t="str">
            <v>6052RRR308</v>
          </cell>
        </row>
        <row r="277">
          <cell r="A277" t="str">
            <v>6052RRR310</v>
          </cell>
        </row>
        <row r="278">
          <cell r="A278" t="str">
            <v>6052RRR311</v>
          </cell>
        </row>
        <row r="279">
          <cell r="A279" t="str">
            <v>6052RRR312</v>
          </cell>
        </row>
        <row r="280">
          <cell r="A280" t="str">
            <v>6052RRR320</v>
          </cell>
        </row>
        <row r="281">
          <cell r="A281" t="str">
            <v>6052RRR325</v>
          </cell>
        </row>
        <row r="282">
          <cell r="A282" t="str">
            <v>6052RRR330</v>
          </cell>
        </row>
        <row r="283">
          <cell r="A283" t="str">
            <v>6052RRR340</v>
          </cell>
        </row>
        <row r="284">
          <cell r="A284" t="str">
            <v>6052RRR350</v>
          </cell>
        </row>
        <row r="285">
          <cell r="A285" t="str">
            <v>6052RRR351</v>
          </cell>
        </row>
        <row r="286">
          <cell r="A286" t="str">
            <v>6052RRR355</v>
          </cell>
        </row>
        <row r="287">
          <cell r="A287" t="str">
            <v>6052RRR361</v>
          </cell>
        </row>
        <row r="288">
          <cell r="A288" t="str">
            <v>6052RRR365</v>
          </cell>
        </row>
        <row r="289">
          <cell r="A289" t="str">
            <v>6052RRR371</v>
          </cell>
        </row>
        <row r="290">
          <cell r="A290" t="str">
            <v>6052RRR379</v>
          </cell>
        </row>
        <row r="291">
          <cell r="A291" t="str">
            <v>6052RRR381</v>
          </cell>
        </row>
        <row r="292">
          <cell r="A292" t="str">
            <v>6052RRR389</v>
          </cell>
        </row>
        <row r="293">
          <cell r="A293" t="str">
            <v>6052RRR400</v>
          </cell>
        </row>
        <row r="294">
          <cell r="A294" t="str">
            <v>6052RRR401</v>
          </cell>
        </row>
        <row r="295">
          <cell r="A295" t="str">
            <v>6052RRR700</v>
          </cell>
        </row>
        <row r="296">
          <cell r="A296" t="str">
            <v>6052RRR999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 13 recon"/>
      <sheetName val="Period 13 Working Data "/>
      <sheetName val="June Fixed Assets"/>
      <sheetName val="groupdata"/>
    </sheetNames>
    <sheetDataSet>
      <sheetData sheetId="0"/>
      <sheetData sheetId="1"/>
      <sheetData sheetId="2"/>
      <sheetData sheetId="3" refreshError="1">
        <row r="1">
          <cell r="A1" t="str">
            <v>DWR Fund</v>
          </cell>
          <cell r="B1" t="str">
            <v>Fund</v>
          </cell>
          <cell r="C1" t="str">
            <v>SCO Account</v>
          </cell>
          <cell r="D1" t="str">
            <v>Name</v>
          </cell>
          <cell r="E1" t="str">
            <v>Type</v>
          </cell>
          <cell r="F1" t="str">
            <v>FY for Group</v>
          </cell>
          <cell r="G1" t="str">
            <v>Fund</v>
          </cell>
          <cell r="H1" t="str">
            <v>Reference</v>
          </cell>
          <cell r="I1" t="str">
            <v>Sub</v>
          </cell>
          <cell r="J1" t="str">
            <v>Federal Ca</v>
          </cell>
          <cell r="K1" t="str">
            <v>Category</v>
          </cell>
          <cell r="L1" t="str">
            <v>Program</v>
          </cell>
          <cell r="M1" t="str">
            <v>Element</v>
          </cell>
          <cell r="N1" t="str">
            <v>Component</v>
          </cell>
          <cell r="O1" t="str">
            <v>Task</v>
          </cell>
          <cell r="P1" t="str">
            <v>Chapter</v>
          </cell>
          <cell r="Q1" t="str">
            <v>Item</v>
          </cell>
          <cell r="R1" t="str">
            <v>Statute</v>
          </cell>
          <cell r="S1" t="str">
            <v>Description</v>
          </cell>
          <cell r="T1" t="str">
            <v>Valid from</v>
          </cell>
          <cell r="U1" t="str">
            <v>Valid to</v>
          </cell>
          <cell r="V1" t="str">
            <v>Active until</v>
          </cell>
          <cell r="W1" t="str">
            <v>Expir.date</v>
          </cell>
          <cell r="X1" t="str">
            <v>ReversDate</v>
          </cell>
        </row>
        <row r="2">
          <cell r="A2" t="str">
            <v>6031S22003</v>
          </cell>
          <cell r="B2" t="str">
            <v>6031</v>
          </cell>
          <cell r="C2" t="str">
            <v>6031001-2002-001--10----</v>
          </cell>
          <cell r="D2" t="str">
            <v>Prop 50 - Wtr Sec-SO</v>
          </cell>
          <cell r="E2" t="str">
            <v>D</v>
          </cell>
          <cell r="F2" t="str">
            <v>2003</v>
          </cell>
          <cell r="G2" t="str">
            <v>6031001</v>
          </cell>
          <cell r="H2" t="str">
            <v>001</v>
          </cell>
          <cell r="I2" t="str">
            <v>001</v>
          </cell>
          <cell r="J2" t="str">
            <v/>
          </cell>
          <cell r="K2" t="str">
            <v/>
          </cell>
          <cell r="L2" t="str">
            <v>10</v>
          </cell>
          <cell r="M2" t="str">
            <v/>
          </cell>
          <cell r="N2" t="str">
            <v/>
          </cell>
          <cell r="O2" t="str">
            <v/>
          </cell>
          <cell r="P2" t="str">
            <v>379</v>
          </cell>
          <cell r="Q2" t="str">
            <v>3860-001-6031</v>
          </cell>
          <cell r="R2" t="str">
            <v>2002</v>
          </cell>
          <cell r="S2" t="str">
            <v>State Ops - Pg10 Wtr Sec,Cln Drnkg Wr,CB</v>
          </cell>
          <cell r="T2">
            <v>37438</v>
          </cell>
          <cell r="U2">
            <v>39263</v>
          </cell>
          <cell r="V2" t="str">
            <v>Active until 6/30/07</v>
          </cell>
          <cell r="W2">
            <v>37803</v>
          </cell>
          <cell r="X2">
            <v>39263</v>
          </cell>
        </row>
        <row r="3">
          <cell r="A3" t="str">
            <v>6031S12003</v>
          </cell>
          <cell r="B3" t="str">
            <v>6031</v>
          </cell>
          <cell r="C3" t="str">
            <v>6031001-2002-001--15----</v>
          </cell>
          <cell r="D3" t="str">
            <v>Prop 50 - Wtr Sec-SO</v>
          </cell>
          <cell r="E3" t="str">
            <v>D</v>
          </cell>
          <cell r="F3" t="str">
            <v>2003</v>
          </cell>
          <cell r="G3" t="str">
            <v>6031001</v>
          </cell>
          <cell r="H3" t="str">
            <v>001</v>
          </cell>
          <cell r="I3" t="str">
            <v>001</v>
          </cell>
          <cell r="J3" t="str">
            <v/>
          </cell>
          <cell r="K3" t="str">
            <v/>
          </cell>
          <cell r="L3" t="str">
            <v>15</v>
          </cell>
          <cell r="M3" t="str">
            <v/>
          </cell>
          <cell r="N3" t="str">
            <v/>
          </cell>
          <cell r="O3" t="str">
            <v/>
          </cell>
          <cell r="P3" t="str">
            <v>379</v>
          </cell>
          <cell r="Q3" t="str">
            <v>3860-001-6031</v>
          </cell>
          <cell r="R3" t="str">
            <v>2002</v>
          </cell>
          <cell r="S3" t="str">
            <v>State Ops - Pg15 Wtr Sec,Cln Drnkg Wr,CB</v>
          </cell>
          <cell r="T3">
            <v>37438</v>
          </cell>
          <cell r="U3">
            <v>39263</v>
          </cell>
          <cell r="V3" t="str">
            <v>Active until 6/30/07</v>
          </cell>
          <cell r="W3">
            <v>37803</v>
          </cell>
          <cell r="X3">
            <v>39263</v>
          </cell>
        </row>
        <row r="4">
          <cell r="A4" t="str">
            <v>6031L12003</v>
          </cell>
          <cell r="B4" t="str">
            <v>6031</v>
          </cell>
          <cell r="C4" t="str">
            <v>6031001-2002-101--10-10---</v>
          </cell>
          <cell r="D4" t="str">
            <v>Prop 50 - Wtr Sec-LA</v>
          </cell>
          <cell r="E4" t="str">
            <v>D</v>
          </cell>
          <cell r="F4" t="str">
            <v>2003</v>
          </cell>
          <cell r="G4" t="str">
            <v>6031001</v>
          </cell>
          <cell r="H4" t="str">
            <v>101</v>
          </cell>
          <cell r="I4" t="str">
            <v>001</v>
          </cell>
          <cell r="J4" t="str">
            <v/>
          </cell>
          <cell r="K4" t="str">
            <v/>
          </cell>
          <cell r="L4" t="str">
            <v>10</v>
          </cell>
          <cell r="M4" t="str">
            <v>10</v>
          </cell>
          <cell r="N4" t="str">
            <v/>
          </cell>
          <cell r="O4" t="str">
            <v/>
          </cell>
          <cell r="P4" t="str">
            <v>379</v>
          </cell>
          <cell r="Q4" t="str">
            <v>3860-101-6031</v>
          </cell>
          <cell r="R4" t="str">
            <v>2002</v>
          </cell>
          <cell r="S4" t="str">
            <v>Local Asst - Pg10 WtrSec,Cln Drnkg Wr,CB</v>
          </cell>
          <cell r="T4">
            <v>37438</v>
          </cell>
          <cell r="U4">
            <v>39263</v>
          </cell>
          <cell r="V4" t="str">
            <v>Active until 6/30/07</v>
          </cell>
          <cell r="W4">
            <v>37803</v>
          </cell>
          <cell r="X4">
            <v>39263</v>
          </cell>
        </row>
        <row r="5">
          <cell r="A5" t="str">
            <v>6031S12005</v>
          </cell>
          <cell r="B5" t="str">
            <v>6031</v>
          </cell>
          <cell r="C5" t="str">
            <v>6031001-2004-001--10----</v>
          </cell>
          <cell r="D5" t="str">
            <v>Prop 50 - SO WS Bond</v>
          </cell>
          <cell r="E5" t="str">
            <v>D</v>
          </cell>
          <cell r="F5" t="str">
            <v>2005</v>
          </cell>
          <cell r="G5" t="str">
            <v>6031001</v>
          </cell>
          <cell r="H5" t="str">
            <v>001</v>
          </cell>
          <cell r="I5" t="str">
            <v>001</v>
          </cell>
          <cell r="J5" t="str">
            <v/>
          </cell>
          <cell r="K5" t="str">
            <v/>
          </cell>
          <cell r="L5" t="str">
            <v>10</v>
          </cell>
          <cell r="M5" t="str">
            <v/>
          </cell>
          <cell r="N5" t="str">
            <v/>
          </cell>
          <cell r="O5" t="str">
            <v/>
          </cell>
          <cell r="P5" t="str">
            <v>208</v>
          </cell>
          <cell r="Q5" t="str">
            <v>3860-001-6031</v>
          </cell>
          <cell r="R5" t="str">
            <v>2004</v>
          </cell>
          <cell r="S5" t="str">
            <v>State Ops - Pg 10 Water Security Prop 50</v>
          </cell>
          <cell r="T5">
            <v>38169</v>
          </cell>
          <cell r="U5">
            <v>39263</v>
          </cell>
          <cell r="V5" t="str">
            <v>Active until 6/30/07</v>
          </cell>
          <cell r="W5">
            <v>38534</v>
          </cell>
          <cell r="X5">
            <v>39263</v>
          </cell>
        </row>
        <row r="6">
          <cell r="A6" t="str">
            <v>6031S32005</v>
          </cell>
          <cell r="B6" t="str">
            <v>6031</v>
          </cell>
          <cell r="C6" t="str">
            <v>6031001-2004-001--30----</v>
          </cell>
          <cell r="D6" t="str">
            <v>Prop 50 - SO WS Bond</v>
          </cell>
          <cell r="E6" t="str">
            <v>D</v>
          </cell>
          <cell r="F6" t="str">
            <v>2005</v>
          </cell>
          <cell r="G6" t="str">
            <v>6031001</v>
          </cell>
          <cell r="H6" t="str">
            <v>001</v>
          </cell>
          <cell r="I6" t="str">
            <v>001</v>
          </cell>
          <cell r="J6" t="str">
            <v/>
          </cell>
          <cell r="K6" t="str">
            <v/>
          </cell>
          <cell r="L6" t="str">
            <v>30</v>
          </cell>
          <cell r="M6" t="str">
            <v/>
          </cell>
          <cell r="N6" t="str">
            <v/>
          </cell>
          <cell r="O6" t="str">
            <v/>
          </cell>
          <cell r="P6" t="str">
            <v>208</v>
          </cell>
          <cell r="Q6" t="str">
            <v>3860-001-6031</v>
          </cell>
          <cell r="R6" t="str">
            <v>2004</v>
          </cell>
          <cell r="S6" t="str">
            <v>State Ops - Pg 30 Water Security Prop 50</v>
          </cell>
          <cell r="T6">
            <v>38169</v>
          </cell>
          <cell r="U6">
            <v>39263</v>
          </cell>
          <cell r="V6" t="str">
            <v>Active until 6/30/07</v>
          </cell>
          <cell r="W6">
            <v>38534</v>
          </cell>
          <cell r="X6">
            <v>39263</v>
          </cell>
        </row>
        <row r="7">
          <cell r="A7" t="str">
            <v>6031L12005</v>
          </cell>
          <cell r="B7" t="str">
            <v>6031</v>
          </cell>
          <cell r="C7" t="str">
            <v>6031001-2004-101-11-----</v>
          </cell>
          <cell r="D7" t="str">
            <v>Prop 50 - LA WS Bond</v>
          </cell>
          <cell r="E7" t="str">
            <v>D</v>
          </cell>
          <cell r="F7" t="str">
            <v>2005</v>
          </cell>
          <cell r="G7" t="str">
            <v>6031001</v>
          </cell>
          <cell r="H7" t="str">
            <v>101</v>
          </cell>
          <cell r="I7" t="str">
            <v>001</v>
          </cell>
          <cell r="J7" t="str">
            <v/>
          </cell>
          <cell r="K7" t="str">
            <v>11</v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>208</v>
          </cell>
          <cell r="Q7" t="str">
            <v/>
          </cell>
          <cell r="R7" t="str">
            <v>2004</v>
          </cell>
          <cell r="S7" t="str">
            <v>Local Assistance Pg 10 Wtr Security Pr50</v>
          </cell>
          <cell r="T7">
            <v>38169</v>
          </cell>
          <cell r="U7">
            <v>39263</v>
          </cell>
          <cell r="V7" t="str">
            <v>Active until 6/30/07</v>
          </cell>
          <cell r="W7">
            <v>38534</v>
          </cell>
          <cell r="X7">
            <v>39263</v>
          </cell>
        </row>
        <row r="8">
          <cell r="A8" t="str">
            <v>6031L32005</v>
          </cell>
          <cell r="B8" t="str">
            <v>6031</v>
          </cell>
          <cell r="C8" t="str">
            <v>6031001-2004-101-11-----</v>
          </cell>
          <cell r="D8" t="str">
            <v>Prop 50 - LA WS Bond</v>
          </cell>
          <cell r="E8" t="str">
            <v>D</v>
          </cell>
          <cell r="F8" t="str">
            <v>2005</v>
          </cell>
          <cell r="G8" t="str">
            <v>6031001</v>
          </cell>
          <cell r="H8" t="str">
            <v>101</v>
          </cell>
          <cell r="I8" t="str">
            <v>001</v>
          </cell>
          <cell r="J8" t="str">
            <v/>
          </cell>
          <cell r="K8" t="str">
            <v>11</v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>208</v>
          </cell>
          <cell r="Q8" t="str">
            <v>3860-101-6031</v>
          </cell>
          <cell r="R8" t="str">
            <v>2004</v>
          </cell>
          <cell r="S8" t="str">
            <v>Local Assistance Pg 30 Wtr Security Pr50</v>
          </cell>
          <cell r="T8">
            <v>38169</v>
          </cell>
          <cell r="U8">
            <v>39263</v>
          </cell>
          <cell r="V8" t="str">
            <v>Active until 6/30/07</v>
          </cell>
          <cell r="W8">
            <v>38534</v>
          </cell>
          <cell r="X8">
            <v>39263</v>
          </cell>
        </row>
        <row r="9">
          <cell r="A9" t="str">
            <v>6031S22004</v>
          </cell>
          <cell r="B9" t="str">
            <v>6031</v>
          </cell>
          <cell r="C9" t="str">
            <v>6031001-2003-00104--30----</v>
          </cell>
          <cell r="D9" t="str">
            <v>Prop 50-SO WtrS Bond</v>
          </cell>
          <cell r="E9" t="str">
            <v>D</v>
          </cell>
          <cell r="F9" t="str">
            <v>2004</v>
          </cell>
          <cell r="G9" t="str">
            <v>6031001</v>
          </cell>
          <cell r="H9" t="str">
            <v>00104</v>
          </cell>
          <cell r="I9" t="str">
            <v>001</v>
          </cell>
          <cell r="J9" t="str">
            <v/>
          </cell>
          <cell r="K9" t="str">
            <v/>
          </cell>
          <cell r="L9" t="str">
            <v>30</v>
          </cell>
          <cell r="M9" t="str">
            <v/>
          </cell>
          <cell r="N9" t="str">
            <v/>
          </cell>
          <cell r="O9" t="str">
            <v/>
          </cell>
          <cell r="P9" t="str">
            <v>157</v>
          </cell>
          <cell r="Q9" t="str">
            <v>3860-00104-6031</v>
          </cell>
          <cell r="R9" t="str">
            <v>2003</v>
          </cell>
          <cell r="S9" t="str">
            <v>REAPPROP Pg 30 SO Water Security Prop 50</v>
          </cell>
          <cell r="T9">
            <v>37803</v>
          </cell>
          <cell r="U9">
            <v>39629</v>
          </cell>
          <cell r="V9" t="str">
            <v>Active until 6/30/08</v>
          </cell>
          <cell r="W9">
            <v>38899</v>
          </cell>
          <cell r="X9">
            <v>39629</v>
          </cell>
        </row>
        <row r="10">
          <cell r="A10" t="str">
            <v>6031S72004</v>
          </cell>
          <cell r="B10" t="str">
            <v>6031</v>
          </cell>
          <cell r="C10" t="str">
            <v>6031001-2003-001--10----</v>
          </cell>
          <cell r="D10" t="str">
            <v>Prop 50 - SO WS Bond</v>
          </cell>
          <cell r="E10" t="str">
            <v>D</v>
          </cell>
          <cell r="F10" t="str">
            <v>2004</v>
          </cell>
          <cell r="G10" t="str">
            <v>6031001</v>
          </cell>
          <cell r="H10" t="str">
            <v>001</v>
          </cell>
          <cell r="I10" t="str">
            <v>001</v>
          </cell>
          <cell r="J10" t="str">
            <v/>
          </cell>
          <cell r="K10" t="str">
            <v/>
          </cell>
          <cell r="L10" t="str">
            <v>10</v>
          </cell>
          <cell r="M10" t="str">
            <v/>
          </cell>
          <cell r="N10" t="str">
            <v/>
          </cell>
          <cell r="O10" t="str">
            <v/>
          </cell>
          <cell r="P10" t="str">
            <v>157</v>
          </cell>
          <cell r="Q10" t="str">
            <v>3860-001-6031</v>
          </cell>
          <cell r="R10" t="str">
            <v>2003</v>
          </cell>
          <cell r="S10" t="str">
            <v>State Ops - Pg 10 Water Security Prop 50</v>
          </cell>
          <cell r="T10">
            <v>37803</v>
          </cell>
          <cell r="U10">
            <v>39629</v>
          </cell>
          <cell r="V10" t="str">
            <v>Active until 6/30/08</v>
          </cell>
          <cell r="W10">
            <v>38169</v>
          </cell>
          <cell r="X10">
            <v>39629</v>
          </cell>
        </row>
        <row r="11">
          <cell r="A11" t="str">
            <v>6031L32004</v>
          </cell>
          <cell r="B11" t="str">
            <v>6031</v>
          </cell>
          <cell r="C11" t="str">
            <v>6031001-2003-101------</v>
          </cell>
          <cell r="D11" t="str">
            <v>Prop 50 - LA WS Bond</v>
          </cell>
          <cell r="E11" t="str">
            <v>D</v>
          </cell>
          <cell r="F11" t="str">
            <v>2004</v>
          </cell>
          <cell r="G11" t="str">
            <v>6031001</v>
          </cell>
          <cell r="H11" t="str">
            <v>101</v>
          </cell>
          <cell r="I11" t="str">
            <v>001</v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>157</v>
          </cell>
          <cell r="Q11" t="str">
            <v>3860-101-6031</v>
          </cell>
          <cell r="R11" t="str">
            <v>2003</v>
          </cell>
          <cell r="S11" t="str">
            <v>Local Assistance Wtr Security Pr50 PG30</v>
          </cell>
          <cell r="T11">
            <v>37803</v>
          </cell>
          <cell r="U11">
            <v>39629</v>
          </cell>
          <cell r="V11" t="str">
            <v>Active until 6/30/08</v>
          </cell>
          <cell r="W11">
            <v>38169</v>
          </cell>
          <cell r="X11">
            <v>39629</v>
          </cell>
        </row>
        <row r="12">
          <cell r="A12" t="str">
            <v>6031L72005</v>
          </cell>
          <cell r="B12" t="str">
            <v>6031</v>
          </cell>
          <cell r="C12" t="str">
            <v>6031001-2004-101-12-----</v>
          </cell>
          <cell r="D12" t="str">
            <v>Prop 50 - LA WS Bond</v>
          </cell>
          <cell r="E12" t="str">
            <v>D</v>
          </cell>
          <cell r="F12" t="str">
            <v>2005</v>
          </cell>
          <cell r="G12" t="str">
            <v>6031001</v>
          </cell>
          <cell r="H12" t="str">
            <v>101</v>
          </cell>
          <cell r="I12" t="str">
            <v>001</v>
          </cell>
          <cell r="J12" t="str">
            <v/>
          </cell>
          <cell r="K12" t="str">
            <v>12</v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>208</v>
          </cell>
          <cell r="Q12" t="str">
            <v>3860-101-6031</v>
          </cell>
          <cell r="R12" t="str">
            <v>2004</v>
          </cell>
          <cell r="S12" t="str">
            <v>LA Pg 10 Wtr Security Prop 50 $19 Approp</v>
          </cell>
          <cell r="T12">
            <v>38169</v>
          </cell>
          <cell r="U12">
            <v>39629</v>
          </cell>
          <cell r="V12" t="str">
            <v>Active until 6/30/08</v>
          </cell>
          <cell r="W12">
            <v>38899</v>
          </cell>
          <cell r="X12">
            <v>39629</v>
          </cell>
        </row>
        <row r="13">
          <cell r="A13" t="str">
            <v>6031S12006</v>
          </cell>
          <cell r="B13" t="str">
            <v>6031</v>
          </cell>
          <cell r="C13" t="str">
            <v>6031001-2005-001--10----</v>
          </cell>
          <cell r="D13" t="str">
            <v>Prop 50 - SO WS Bond</v>
          </cell>
          <cell r="E13" t="str">
            <v>D</v>
          </cell>
          <cell r="F13" t="str">
            <v>2006</v>
          </cell>
          <cell r="G13" t="str">
            <v>6031001</v>
          </cell>
          <cell r="H13" t="str">
            <v>001</v>
          </cell>
          <cell r="I13" t="str">
            <v>001</v>
          </cell>
          <cell r="J13" t="str">
            <v/>
          </cell>
          <cell r="K13" t="str">
            <v/>
          </cell>
          <cell r="L13" t="str">
            <v>10</v>
          </cell>
          <cell r="M13" t="str">
            <v/>
          </cell>
          <cell r="N13" t="str">
            <v/>
          </cell>
          <cell r="O13" t="str">
            <v/>
          </cell>
          <cell r="P13" t="str">
            <v>38</v>
          </cell>
          <cell r="Q13" t="str">
            <v>3860-001-6031</v>
          </cell>
          <cell r="R13" t="str">
            <v>2005</v>
          </cell>
          <cell r="S13" t="str">
            <v>State Ops - Pg 10 Water Security Prop 50</v>
          </cell>
          <cell r="T13">
            <v>38534</v>
          </cell>
          <cell r="U13">
            <v>39629</v>
          </cell>
          <cell r="V13" t="str">
            <v>Active until 6/30/08</v>
          </cell>
          <cell r="W13">
            <v>38899</v>
          </cell>
          <cell r="X13">
            <v>39629</v>
          </cell>
        </row>
        <row r="14">
          <cell r="A14" t="str">
            <v>6031S32006</v>
          </cell>
          <cell r="B14" t="str">
            <v>6031</v>
          </cell>
          <cell r="C14" t="str">
            <v>6031001-2005-001--30----</v>
          </cell>
          <cell r="D14" t="str">
            <v>Prop 50 - SO WS Bond</v>
          </cell>
          <cell r="E14" t="str">
            <v>D</v>
          </cell>
          <cell r="F14" t="str">
            <v>2006</v>
          </cell>
          <cell r="G14" t="str">
            <v>6031001</v>
          </cell>
          <cell r="H14" t="str">
            <v>001</v>
          </cell>
          <cell r="I14" t="str">
            <v>001</v>
          </cell>
          <cell r="J14" t="str">
            <v/>
          </cell>
          <cell r="K14" t="str">
            <v/>
          </cell>
          <cell r="L14" t="str">
            <v>30</v>
          </cell>
          <cell r="M14" t="str">
            <v/>
          </cell>
          <cell r="N14" t="str">
            <v/>
          </cell>
          <cell r="O14" t="str">
            <v/>
          </cell>
          <cell r="P14" t="str">
            <v>38</v>
          </cell>
          <cell r="Q14" t="str">
            <v>3860-001-6031</v>
          </cell>
          <cell r="R14" t="str">
            <v>2005</v>
          </cell>
          <cell r="S14" t="str">
            <v>State Ops - Pg 30 Water Security Prop 50</v>
          </cell>
          <cell r="T14">
            <v>38534</v>
          </cell>
          <cell r="U14">
            <v>39629</v>
          </cell>
          <cell r="V14" t="str">
            <v>Active until 6/30/08</v>
          </cell>
          <cell r="W14">
            <v>38899</v>
          </cell>
          <cell r="X14">
            <v>39629</v>
          </cell>
        </row>
        <row r="15">
          <cell r="A15" t="str">
            <v>6031L32006</v>
          </cell>
          <cell r="B15" t="str">
            <v>6031</v>
          </cell>
          <cell r="C15" t="str">
            <v>6031001-2005-101------</v>
          </cell>
          <cell r="D15" t="str">
            <v>Prop 50 - LA WS Bond</v>
          </cell>
          <cell r="E15" t="str">
            <v>D</v>
          </cell>
          <cell r="F15" t="str">
            <v>2006</v>
          </cell>
          <cell r="G15" t="str">
            <v>6031001</v>
          </cell>
          <cell r="H15" t="str">
            <v>101</v>
          </cell>
          <cell r="I15" t="str">
            <v>001</v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>38</v>
          </cell>
          <cell r="Q15" t="str">
            <v>3860-101-6031</v>
          </cell>
          <cell r="R15" t="str">
            <v>2005</v>
          </cell>
          <cell r="S15" t="str">
            <v>Local Assistance Pg 30 Wtr Security Pr50</v>
          </cell>
          <cell r="T15">
            <v>38534</v>
          </cell>
          <cell r="U15">
            <v>39629</v>
          </cell>
          <cell r="V15" t="str">
            <v>Active until 6/30/08</v>
          </cell>
          <cell r="W15">
            <v>38899</v>
          </cell>
          <cell r="X15">
            <v>39629</v>
          </cell>
        </row>
        <row r="16">
          <cell r="A16" t="str">
            <v>6031S72005</v>
          </cell>
          <cell r="B16" t="str">
            <v>6031</v>
          </cell>
          <cell r="C16" t="str">
            <v>6031001-2004-00105--10----</v>
          </cell>
          <cell r="D16" t="str">
            <v>Prop 50 FY05 Reappro</v>
          </cell>
          <cell r="E16" t="str">
            <v>D</v>
          </cell>
          <cell r="F16" t="str">
            <v>2005</v>
          </cell>
          <cell r="G16" t="str">
            <v>6031001</v>
          </cell>
          <cell r="H16" t="str">
            <v>00105</v>
          </cell>
          <cell r="I16" t="str">
            <v>001</v>
          </cell>
          <cell r="J16" t="str">
            <v/>
          </cell>
          <cell r="K16" t="str">
            <v/>
          </cell>
          <cell r="L16" t="str">
            <v>10</v>
          </cell>
          <cell r="M16" t="str">
            <v/>
          </cell>
          <cell r="N16" t="str">
            <v/>
          </cell>
          <cell r="O16" t="str">
            <v/>
          </cell>
          <cell r="P16" t="str">
            <v>208</v>
          </cell>
          <cell r="Q16" t="str">
            <v>3860-00105-6031</v>
          </cell>
          <cell r="R16" t="str">
            <v>2004</v>
          </cell>
          <cell r="S16" t="str">
            <v>State Ops - Program 10 Prop 50 Reapprop</v>
          </cell>
          <cell r="T16">
            <v>38169</v>
          </cell>
          <cell r="U16">
            <v>39994</v>
          </cell>
          <cell r="V16" t="str">
            <v>Active until 6/30/09</v>
          </cell>
          <cell r="W16">
            <v>39264</v>
          </cell>
          <cell r="X16">
            <v>39994</v>
          </cell>
        </row>
        <row r="17">
          <cell r="A17" t="str">
            <v>6031S12007</v>
          </cell>
          <cell r="B17" t="str">
            <v>6031</v>
          </cell>
          <cell r="C17" t="str">
            <v>6031001-2006-001--10----</v>
          </cell>
          <cell r="D17" t="str">
            <v>Prop 50 - SO WS Bond</v>
          </cell>
          <cell r="E17" t="str">
            <v>D</v>
          </cell>
          <cell r="F17" t="str">
            <v>2007</v>
          </cell>
          <cell r="G17" t="str">
            <v>6031001</v>
          </cell>
          <cell r="H17" t="str">
            <v>001</v>
          </cell>
          <cell r="I17" t="str">
            <v>001</v>
          </cell>
          <cell r="J17" t="str">
            <v/>
          </cell>
          <cell r="K17" t="str">
            <v/>
          </cell>
          <cell r="L17" t="str">
            <v>10</v>
          </cell>
          <cell r="M17" t="str">
            <v/>
          </cell>
          <cell r="N17" t="str">
            <v/>
          </cell>
          <cell r="O17" t="str">
            <v/>
          </cell>
          <cell r="P17" t="str">
            <v>47</v>
          </cell>
          <cell r="Q17" t="str">
            <v>3860-001-6031</v>
          </cell>
          <cell r="R17" t="str">
            <v>2006</v>
          </cell>
          <cell r="S17" t="str">
            <v>State Ops - Pg 10 Water Security Prop 50</v>
          </cell>
          <cell r="T17">
            <v>38899</v>
          </cell>
          <cell r="U17">
            <v>39994</v>
          </cell>
          <cell r="V17" t="str">
            <v>Active until 6/30/09</v>
          </cell>
          <cell r="W17">
            <v>39264</v>
          </cell>
          <cell r="X17">
            <v>39994</v>
          </cell>
        </row>
        <row r="18">
          <cell r="A18" t="str">
            <v>6031S32007</v>
          </cell>
          <cell r="B18" t="str">
            <v>6031</v>
          </cell>
          <cell r="C18" t="str">
            <v>6031001-2006-001--30----</v>
          </cell>
          <cell r="D18" t="str">
            <v>Prop 50 - SO WS Bond</v>
          </cell>
          <cell r="E18" t="str">
            <v>D</v>
          </cell>
          <cell r="F18" t="str">
            <v>2007</v>
          </cell>
          <cell r="G18" t="str">
            <v>6031001</v>
          </cell>
          <cell r="H18" t="str">
            <v>001</v>
          </cell>
          <cell r="I18" t="str">
            <v>001</v>
          </cell>
          <cell r="J18" t="str">
            <v/>
          </cell>
          <cell r="K18" t="str">
            <v/>
          </cell>
          <cell r="L18" t="str">
            <v>30</v>
          </cell>
          <cell r="M18" t="str">
            <v/>
          </cell>
          <cell r="N18" t="str">
            <v/>
          </cell>
          <cell r="O18" t="str">
            <v/>
          </cell>
          <cell r="P18" t="str">
            <v>47</v>
          </cell>
          <cell r="Q18" t="str">
            <v>3860-001-6031</v>
          </cell>
          <cell r="R18" t="str">
            <v>2006</v>
          </cell>
          <cell r="S18" t="str">
            <v>State Ops - Pg 30 Water Security Prop 50</v>
          </cell>
          <cell r="T18">
            <v>38899</v>
          </cell>
          <cell r="U18">
            <v>39994</v>
          </cell>
          <cell r="V18" t="str">
            <v>Active until 6/30/09</v>
          </cell>
          <cell r="W18">
            <v>39264</v>
          </cell>
          <cell r="X18">
            <v>39994</v>
          </cell>
        </row>
        <row r="19">
          <cell r="A19" t="str">
            <v>6031L32007</v>
          </cell>
          <cell r="B19" t="str">
            <v>6031</v>
          </cell>
          <cell r="C19" t="str">
            <v>6031001-2006-101------</v>
          </cell>
          <cell r="D19" t="str">
            <v>Prop 50 - LA WS Bond</v>
          </cell>
          <cell r="E19" t="str">
            <v>D</v>
          </cell>
          <cell r="F19" t="str">
            <v>2007</v>
          </cell>
          <cell r="G19" t="str">
            <v>6031001</v>
          </cell>
          <cell r="H19" t="str">
            <v>101</v>
          </cell>
          <cell r="I19" t="str">
            <v>001</v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>2006</v>
          </cell>
          <cell r="S19" t="str">
            <v>INVALID FUND - NOT APPROPRIATED AT SCO</v>
          </cell>
          <cell r="T19">
            <v>38899</v>
          </cell>
          <cell r="U19">
            <v>39994</v>
          </cell>
          <cell r="V19" t="str">
            <v>Active until 6/30/09</v>
          </cell>
          <cell r="W19">
            <v>39264</v>
          </cell>
          <cell r="X19">
            <v>39994</v>
          </cell>
        </row>
        <row r="20">
          <cell r="A20" t="str">
            <v>6031L12007</v>
          </cell>
          <cell r="B20" t="str">
            <v>6031</v>
          </cell>
          <cell r="C20" t="str">
            <v>6031001-2006-101--10----</v>
          </cell>
          <cell r="D20" t="str">
            <v>Prop 50 - LA WS Bond</v>
          </cell>
          <cell r="E20" t="str">
            <v>D</v>
          </cell>
          <cell r="F20" t="str">
            <v>2007</v>
          </cell>
          <cell r="G20" t="str">
            <v>6031001</v>
          </cell>
          <cell r="H20" t="str">
            <v>101</v>
          </cell>
          <cell r="I20" t="str">
            <v>001</v>
          </cell>
          <cell r="J20" t="str">
            <v/>
          </cell>
          <cell r="K20" t="str">
            <v/>
          </cell>
          <cell r="L20" t="str">
            <v>10</v>
          </cell>
          <cell r="M20" t="str">
            <v/>
          </cell>
          <cell r="N20" t="str">
            <v/>
          </cell>
          <cell r="O20" t="str">
            <v/>
          </cell>
          <cell r="P20" t="str">
            <v>47</v>
          </cell>
          <cell r="Q20" t="str">
            <v>3860-101-6031</v>
          </cell>
          <cell r="R20" t="str">
            <v>2006</v>
          </cell>
          <cell r="S20" t="str">
            <v>INVALID FUND - NOT APPROPRIATED AT SCO</v>
          </cell>
          <cell r="T20">
            <v>38899</v>
          </cell>
          <cell r="U20">
            <v>39994</v>
          </cell>
          <cell r="V20" t="str">
            <v>Active until 6/30/09</v>
          </cell>
          <cell r="W20">
            <v>39264</v>
          </cell>
          <cell r="X20">
            <v>39994</v>
          </cell>
        </row>
        <row r="21">
          <cell r="A21" t="str">
            <v>6031S12004</v>
          </cell>
          <cell r="B21" t="str">
            <v>6031</v>
          </cell>
          <cell r="C21" t="str">
            <v>6031001-2003-00104--10----</v>
          </cell>
          <cell r="D21" t="str">
            <v>Prop 50-SO WtrS Bond</v>
          </cell>
          <cell r="E21" t="str">
            <v>D</v>
          </cell>
          <cell r="F21" t="str">
            <v>2004</v>
          </cell>
          <cell r="G21" t="str">
            <v>6031001</v>
          </cell>
          <cell r="H21" t="str">
            <v>00104</v>
          </cell>
          <cell r="I21" t="str">
            <v>001</v>
          </cell>
          <cell r="J21" t="str">
            <v/>
          </cell>
          <cell r="K21" t="str">
            <v/>
          </cell>
          <cell r="L21" t="str">
            <v>10</v>
          </cell>
          <cell r="M21" t="str">
            <v/>
          </cell>
          <cell r="N21" t="str">
            <v/>
          </cell>
          <cell r="O21" t="str">
            <v/>
          </cell>
          <cell r="P21" t="str">
            <v>157</v>
          </cell>
          <cell r="Q21" t="str">
            <v>3860-00104-6031</v>
          </cell>
          <cell r="R21" t="str">
            <v>2003</v>
          </cell>
          <cell r="S21" t="str">
            <v>REAPPROP Pg 10 SO Water Security Prop 50</v>
          </cell>
          <cell r="T21">
            <v>37803</v>
          </cell>
          <cell r="U21">
            <v>40359</v>
          </cell>
          <cell r="V21" t="str">
            <v>Active until 6/30/10</v>
          </cell>
          <cell r="W21">
            <v>39630</v>
          </cell>
          <cell r="X21">
            <v>40359</v>
          </cell>
        </row>
        <row r="22">
          <cell r="A22" t="str">
            <v>6031L12004</v>
          </cell>
          <cell r="B22" t="str">
            <v>6031</v>
          </cell>
          <cell r="C22" t="str">
            <v>6031001-2003-10104------</v>
          </cell>
          <cell r="D22" t="str">
            <v>Prop 50-LA WtrS Bond</v>
          </cell>
          <cell r="E22" t="str">
            <v>D</v>
          </cell>
          <cell r="F22" t="str">
            <v>2004</v>
          </cell>
          <cell r="G22" t="str">
            <v>6031001</v>
          </cell>
          <cell r="H22" t="str">
            <v>10104</v>
          </cell>
          <cell r="I22" t="str">
            <v>001</v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>157</v>
          </cell>
          <cell r="Q22" t="str">
            <v>3860-10104-60</v>
          </cell>
          <cell r="R22" t="str">
            <v>2003</v>
          </cell>
          <cell r="S22" t="str">
            <v>REAPPROP LA Pg 10 Wtr Security Prop 50</v>
          </cell>
          <cell r="T22">
            <v>37803</v>
          </cell>
          <cell r="U22">
            <v>40359</v>
          </cell>
          <cell r="V22" t="str">
            <v>Active until 6/30/10</v>
          </cell>
          <cell r="W22">
            <v>39630</v>
          </cell>
          <cell r="X22">
            <v>40359</v>
          </cell>
        </row>
        <row r="23">
          <cell r="A23" t="str">
            <v>6031S72006</v>
          </cell>
          <cell r="B23" t="str">
            <v>6031</v>
          </cell>
          <cell r="C23" t="str">
            <v>6031001-2005-001------</v>
          </cell>
          <cell r="D23" t="str">
            <v>Prop 50-SO WtrS Bond</v>
          </cell>
          <cell r="E23" t="str">
            <v>D</v>
          </cell>
          <cell r="F23" t="str">
            <v>2006</v>
          </cell>
          <cell r="G23" t="str">
            <v>6031001</v>
          </cell>
          <cell r="H23" t="str">
            <v>001</v>
          </cell>
          <cell r="I23" t="str">
            <v>001</v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>38</v>
          </cell>
          <cell r="Q23" t="str">
            <v>3860-001-6031</v>
          </cell>
          <cell r="R23" t="str">
            <v>2005</v>
          </cell>
          <cell r="S23" t="str">
            <v>INVALID FUND - NOT APPROPRIATED AT SCO</v>
          </cell>
          <cell r="T23">
            <v>38534</v>
          </cell>
          <cell r="U23">
            <v>40359</v>
          </cell>
          <cell r="V23" t="str">
            <v>Active until 6/30/10</v>
          </cell>
          <cell r="W23">
            <v>39630</v>
          </cell>
          <cell r="X23">
            <v>40359</v>
          </cell>
        </row>
        <row r="24">
          <cell r="A24" t="str">
            <v>6031L12006</v>
          </cell>
          <cell r="B24" t="str">
            <v>6031</v>
          </cell>
          <cell r="C24" t="str">
            <v>6031001-2005-101------</v>
          </cell>
          <cell r="D24" t="str">
            <v>Prop 50 - LA WS Bond</v>
          </cell>
          <cell r="E24" t="str">
            <v>D</v>
          </cell>
          <cell r="F24" t="str">
            <v>2006</v>
          </cell>
          <cell r="G24" t="str">
            <v>6031001</v>
          </cell>
          <cell r="H24" t="str">
            <v>101</v>
          </cell>
          <cell r="I24" t="str">
            <v>001</v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>38</v>
          </cell>
          <cell r="Q24" t="str">
            <v>3860-101-6031</v>
          </cell>
          <cell r="R24" t="str">
            <v>2005</v>
          </cell>
          <cell r="S24" t="str">
            <v>Local Assistance Pg 10 Wtr Security Pr50</v>
          </cell>
          <cell r="T24">
            <v>38534</v>
          </cell>
          <cell r="U24">
            <v>40359</v>
          </cell>
          <cell r="V24" t="str">
            <v>Active until 6/30/10</v>
          </cell>
          <cell r="W24">
            <v>39630</v>
          </cell>
          <cell r="X24">
            <v>40359</v>
          </cell>
        </row>
        <row r="25">
          <cell r="A25" t="str">
            <v>6031L72006</v>
          </cell>
          <cell r="B25" t="str">
            <v>6031</v>
          </cell>
          <cell r="C25" t="str">
            <v>6031001-2005-101------</v>
          </cell>
          <cell r="D25" t="str">
            <v>Prop 50-LA WtrS Bon</v>
          </cell>
          <cell r="E25" t="str">
            <v>D</v>
          </cell>
          <cell r="F25" t="str">
            <v>2006</v>
          </cell>
          <cell r="G25" t="str">
            <v>6031001</v>
          </cell>
          <cell r="H25" t="str">
            <v>101</v>
          </cell>
          <cell r="I25" t="str">
            <v>001</v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>38</v>
          </cell>
          <cell r="Q25" t="str">
            <v>3860-101-6031</v>
          </cell>
          <cell r="R25" t="str">
            <v>2005</v>
          </cell>
          <cell r="S25" t="str">
            <v>INVALID FUND - NOT APPROPRIATED AT SCO</v>
          </cell>
          <cell r="T25">
            <v>38534</v>
          </cell>
          <cell r="U25">
            <v>40359</v>
          </cell>
          <cell r="V25" t="str">
            <v>Active until 6/30/10</v>
          </cell>
          <cell r="W25">
            <v>39630</v>
          </cell>
          <cell r="X25">
            <v>40359</v>
          </cell>
        </row>
        <row r="26">
          <cell r="A26" t="str">
            <v>6031BB2007</v>
          </cell>
          <cell r="B26" t="str">
            <v>6031</v>
          </cell>
          <cell r="C26" t="str">
            <v>6031001-2006-301------</v>
          </cell>
          <cell r="D26" t="str">
            <v>Prop 50 - FranksTrac</v>
          </cell>
          <cell r="E26" t="str">
            <v>D</v>
          </cell>
          <cell r="F26" t="str">
            <v>2007</v>
          </cell>
          <cell r="G26" t="str">
            <v>6031001</v>
          </cell>
          <cell r="H26" t="str">
            <v>301</v>
          </cell>
          <cell r="I26" t="str">
            <v>001</v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>2006</v>
          </cell>
          <cell r="S26" t="str">
            <v>INVALID FUND - NOT APPROPRIATED AT SCO</v>
          </cell>
          <cell r="T26">
            <v>38899</v>
          </cell>
          <cell r="U26">
            <v>40724</v>
          </cell>
          <cell r="V26" t="str">
            <v>Active until 6/30/11</v>
          </cell>
          <cell r="W26">
            <v>39995</v>
          </cell>
          <cell r="X26">
            <v>40724</v>
          </cell>
        </row>
        <row r="27">
          <cell r="A27" t="str">
            <v>6031BA2007</v>
          </cell>
          <cell r="B27" t="str">
            <v>6031</v>
          </cell>
          <cell r="C27" t="str">
            <v>6031001-2006-301-90-10-95-015--</v>
          </cell>
          <cell r="D27" t="str">
            <v>Prop 50 - BayDlta-CO</v>
          </cell>
          <cell r="E27" t="str">
            <v>D</v>
          </cell>
          <cell r="F27" t="str">
            <v>2007</v>
          </cell>
          <cell r="G27" t="str">
            <v>6031001</v>
          </cell>
          <cell r="H27" t="str">
            <v>301</v>
          </cell>
          <cell r="I27" t="str">
            <v>001</v>
          </cell>
          <cell r="J27" t="str">
            <v/>
          </cell>
          <cell r="K27" t="str">
            <v>90</v>
          </cell>
          <cell r="L27" t="str">
            <v>10</v>
          </cell>
          <cell r="M27" t="str">
            <v>95</v>
          </cell>
          <cell r="N27" t="str">
            <v>015</v>
          </cell>
          <cell r="O27" t="str">
            <v/>
          </cell>
          <cell r="P27" t="str">
            <v>47</v>
          </cell>
          <cell r="Q27" t="str">
            <v>3860-301-6031</v>
          </cell>
          <cell r="R27" t="str">
            <v>2006</v>
          </cell>
          <cell r="S27" t="str">
            <v>Cap Outlay-Pg 10 Bay Delta MultiPurpose</v>
          </cell>
          <cell r="T27">
            <v>38899</v>
          </cell>
          <cell r="U27">
            <v>40724</v>
          </cell>
          <cell r="V27" t="str">
            <v>Active until 6/30/11</v>
          </cell>
          <cell r="W27">
            <v>39995</v>
          </cell>
          <cell r="X27">
            <v>40724</v>
          </cell>
        </row>
        <row r="28">
          <cell r="A28" t="str">
            <v>6031S11988</v>
          </cell>
          <cell r="B28" t="str">
            <v>6031</v>
          </cell>
          <cell r="C28" t="str">
            <v>6031001-1987-502------</v>
          </cell>
          <cell r="D28" t="str">
            <v>Prop50 PMIA Loan Int</v>
          </cell>
          <cell r="E28" t="str">
            <v>D</v>
          </cell>
          <cell r="F28" t="str">
            <v>1988</v>
          </cell>
          <cell r="G28" t="str">
            <v>6031001</v>
          </cell>
          <cell r="H28" t="str">
            <v>502</v>
          </cell>
          <cell r="I28" t="str">
            <v>001</v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>6/87</v>
          </cell>
          <cell r="Q28" t="str">
            <v/>
          </cell>
          <cell r="R28" t="str">
            <v>1987</v>
          </cell>
          <cell r="S28" t="str">
            <v>Pro 50 PMIA Loan Interest Cost to PMIA</v>
          </cell>
          <cell r="T28">
            <v>31959</v>
          </cell>
          <cell r="U28">
            <v>2958281</v>
          </cell>
          <cell r="V28" t="str">
            <v>Active until 6/30/99</v>
          </cell>
          <cell r="W28">
            <v>2958281</v>
          </cell>
          <cell r="X28">
            <v>2958281</v>
          </cell>
        </row>
        <row r="29">
          <cell r="A29" t="str">
            <v>6031S11992</v>
          </cell>
          <cell r="B29" t="str">
            <v>6031</v>
          </cell>
          <cell r="C29" t="str">
            <v>6031001-1991-596------</v>
          </cell>
          <cell r="D29" t="str">
            <v>Prop50 Admin Costs</v>
          </cell>
          <cell r="E29" t="str">
            <v>D</v>
          </cell>
          <cell r="F29" t="str">
            <v>1992</v>
          </cell>
          <cell r="G29" t="str">
            <v>6031001</v>
          </cell>
          <cell r="H29" t="str">
            <v>596</v>
          </cell>
          <cell r="I29" t="str">
            <v>001</v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>856/91</v>
          </cell>
          <cell r="Q29" t="str">
            <v/>
          </cell>
          <cell r="R29" t="str">
            <v>1991</v>
          </cell>
          <cell r="S29" t="str">
            <v>Prop50 Admin Costs</v>
          </cell>
          <cell r="T29">
            <v>33420</v>
          </cell>
          <cell r="U29">
            <v>2958281</v>
          </cell>
          <cell r="V29" t="str">
            <v>Active until 6/30/99</v>
          </cell>
          <cell r="W29">
            <v>2958281</v>
          </cell>
          <cell r="X29">
            <v>2958281</v>
          </cell>
        </row>
        <row r="30">
          <cell r="A30" t="str">
            <v>6031RRR001</v>
          </cell>
          <cell r="B30" t="str">
            <v>6031</v>
          </cell>
          <cell r="C30" t="str">
            <v>6031001 Revenue</v>
          </cell>
          <cell r="D30" t="str">
            <v>WtrScClnDrnk-Revenue</v>
          </cell>
          <cell r="E30" t="str">
            <v>R</v>
          </cell>
          <cell r="F30" t="str">
            <v>R</v>
          </cell>
          <cell r="G30" t="str">
            <v>6031001</v>
          </cell>
          <cell r="H30" t="str">
            <v/>
          </cell>
          <cell r="I30" t="str">
            <v>001</v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>R</v>
          </cell>
          <cell r="S30" t="str">
            <v>Wtr Sec,Cln Drnkg Wtr, Cst Bch - Revenue</v>
          </cell>
          <cell r="T30">
            <v>37438</v>
          </cell>
          <cell r="U30">
            <v>2958281</v>
          </cell>
          <cell r="V30" t="str">
            <v>Revenue</v>
          </cell>
          <cell r="W30">
            <v>2958281</v>
          </cell>
          <cell r="X30">
            <v>2958281</v>
          </cell>
        </row>
        <row r="31">
          <cell r="A31" t="str">
            <v>6031RRR701</v>
          </cell>
          <cell r="B31" t="str">
            <v>6031</v>
          </cell>
          <cell r="C31" t="str">
            <v>6031701 Revenue</v>
          </cell>
          <cell r="D31" t="str">
            <v>WtrScClnDrnk-CstlBch</v>
          </cell>
          <cell r="E31" t="str">
            <v>R</v>
          </cell>
          <cell r="F31" t="str">
            <v>R</v>
          </cell>
          <cell r="G31" t="str">
            <v>6031001</v>
          </cell>
          <cell r="H31" t="str">
            <v/>
          </cell>
          <cell r="I31" t="str">
            <v>701</v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>R</v>
          </cell>
          <cell r="S31" t="str">
            <v>PMIB 023105-01 WaterSecurity,ClnDrnk-Rev</v>
          </cell>
          <cell r="T31">
            <v>37438</v>
          </cell>
          <cell r="U31">
            <v>2958281</v>
          </cell>
          <cell r="V31" t="str">
            <v>Revenue</v>
          </cell>
          <cell r="W31">
            <v>2958281</v>
          </cell>
          <cell r="X31">
            <v>2958281</v>
          </cell>
        </row>
        <row r="32">
          <cell r="A32" t="str">
            <v>6031RRR702</v>
          </cell>
          <cell r="B32" t="str">
            <v>6031</v>
          </cell>
          <cell r="C32" t="str">
            <v>6031702 Revenue</v>
          </cell>
          <cell r="D32" t="str">
            <v>WtrScClnDrnk-CstlBch</v>
          </cell>
          <cell r="E32" t="str">
            <v>R</v>
          </cell>
          <cell r="F32" t="str">
            <v>R</v>
          </cell>
          <cell r="G32" t="str">
            <v>6031001</v>
          </cell>
          <cell r="H32" t="str">
            <v/>
          </cell>
          <cell r="I32" t="str">
            <v>702</v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>R</v>
          </cell>
          <cell r="S32" t="str">
            <v>PMIB 023105-02 WaterSecurity,ClnDrnk-Rev</v>
          </cell>
          <cell r="T32">
            <v>37438</v>
          </cell>
          <cell r="U32">
            <v>2958281</v>
          </cell>
          <cell r="V32" t="str">
            <v>Revenue</v>
          </cell>
          <cell r="W32">
            <v>2958281</v>
          </cell>
          <cell r="X32">
            <v>2958281</v>
          </cell>
        </row>
        <row r="33">
          <cell r="A33" t="str">
            <v>6031RRR703</v>
          </cell>
          <cell r="B33" t="str">
            <v>6031</v>
          </cell>
          <cell r="C33" t="str">
            <v>6031703 Revenue</v>
          </cell>
          <cell r="D33" t="str">
            <v>WtrScClnDrnk-CstlBch</v>
          </cell>
          <cell r="E33" t="str">
            <v>R</v>
          </cell>
          <cell r="F33" t="str">
            <v>R</v>
          </cell>
          <cell r="G33" t="str">
            <v>6031001</v>
          </cell>
          <cell r="H33" t="str">
            <v/>
          </cell>
          <cell r="I33" t="str">
            <v>703</v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>R</v>
          </cell>
          <cell r="S33" t="str">
            <v>PMIB 023105-03 WaterSecurity,ClnDrnk-Rev</v>
          </cell>
          <cell r="T33">
            <v>37438</v>
          </cell>
          <cell r="U33">
            <v>2958281</v>
          </cell>
          <cell r="V33" t="str">
            <v>Revenue</v>
          </cell>
          <cell r="W33">
            <v>2958281</v>
          </cell>
          <cell r="X33">
            <v>2958281</v>
          </cell>
        </row>
        <row r="34">
          <cell r="A34" t="str">
            <v>6031RRR704</v>
          </cell>
          <cell r="B34" t="str">
            <v>6031</v>
          </cell>
          <cell r="C34" t="str">
            <v>6031704 Revenue</v>
          </cell>
          <cell r="D34" t="str">
            <v>Prop 50 Rev/Wtr Sect</v>
          </cell>
          <cell r="E34" t="str">
            <v>R</v>
          </cell>
          <cell r="F34" t="str">
            <v>R</v>
          </cell>
          <cell r="G34" t="str">
            <v>6031001</v>
          </cell>
          <cell r="H34" t="str">
            <v/>
          </cell>
          <cell r="I34" t="str">
            <v>704</v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>R</v>
          </cell>
          <cell r="S34" t="str">
            <v>Prop 50 Wtr Security Act of 2002-Revenue</v>
          </cell>
          <cell r="T34">
            <v>31959</v>
          </cell>
          <cell r="U34">
            <v>2958281</v>
          </cell>
          <cell r="V34" t="str">
            <v>Revenue</v>
          </cell>
          <cell r="W34">
            <v>2958281</v>
          </cell>
          <cell r="X34">
            <v>2958281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 13 recon"/>
      <sheetName val="Period 13 Working Data "/>
      <sheetName val="June Fixed Assets"/>
      <sheetName val="groupdata"/>
    </sheetNames>
    <sheetDataSet>
      <sheetData sheetId="0"/>
      <sheetData sheetId="1"/>
      <sheetData sheetId="2"/>
      <sheetData sheetId="3" refreshError="1">
        <row r="1">
          <cell r="A1" t="str">
            <v>DWR Fund</v>
          </cell>
          <cell r="B1" t="str">
            <v>Fund</v>
          </cell>
          <cell r="C1" t="str">
            <v>SCO Account</v>
          </cell>
          <cell r="D1" t="str">
            <v>Name</v>
          </cell>
          <cell r="E1" t="str">
            <v>Type</v>
          </cell>
          <cell r="F1" t="str">
            <v>FY for Group</v>
          </cell>
          <cell r="G1" t="str">
            <v>Fund</v>
          </cell>
          <cell r="H1" t="str">
            <v>Reference</v>
          </cell>
          <cell r="I1" t="str">
            <v>Sub</v>
          </cell>
          <cell r="J1" t="str">
            <v>Federal Ca</v>
          </cell>
          <cell r="K1" t="str">
            <v>Category</v>
          </cell>
          <cell r="L1" t="str">
            <v>Program</v>
          </cell>
          <cell r="M1" t="str">
            <v>Element</v>
          </cell>
          <cell r="N1" t="str">
            <v>Component</v>
          </cell>
          <cell r="O1" t="str">
            <v>Task</v>
          </cell>
          <cell r="P1" t="str">
            <v>Chapter</v>
          </cell>
          <cell r="Q1" t="str">
            <v>Item</v>
          </cell>
          <cell r="R1" t="str">
            <v>Statute</v>
          </cell>
          <cell r="S1" t="str">
            <v>Description</v>
          </cell>
          <cell r="T1" t="str">
            <v>Valid from</v>
          </cell>
          <cell r="U1" t="str">
            <v>Valid to</v>
          </cell>
          <cell r="V1" t="str">
            <v>Active until</v>
          </cell>
          <cell r="W1" t="str">
            <v>Expir.date</v>
          </cell>
          <cell r="X1" t="str">
            <v>ReversDate</v>
          </cell>
        </row>
        <row r="2">
          <cell r="A2" t="str">
            <v>6031S22003</v>
          </cell>
          <cell r="B2" t="str">
            <v>6031</v>
          </cell>
          <cell r="C2" t="str">
            <v>6031001-2002-001--10----</v>
          </cell>
          <cell r="D2" t="str">
            <v>Prop 50 - Wtr Sec-SO</v>
          </cell>
          <cell r="E2" t="str">
            <v>D</v>
          </cell>
          <cell r="F2" t="str">
            <v>2003</v>
          </cell>
          <cell r="G2" t="str">
            <v>6031001</v>
          </cell>
          <cell r="H2" t="str">
            <v>001</v>
          </cell>
          <cell r="I2" t="str">
            <v>001</v>
          </cell>
          <cell r="J2" t="str">
            <v/>
          </cell>
          <cell r="K2" t="str">
            <v/>
          </cell>
          <cell r="L2" t="str">
            <v>10</v>
          </cell>
          <cell r="M2" t="str">
            <v/>
          </cell>
          <cell r="N2" t="str">
            <v/>
          </cell>
          <cell r="O2" t="str">
            <v/>
          </cell>
          <cell r="P2" t="str">
            <v>379</v>
          </cell>
          <cell r="Q2" t="str">
            <v>3860-001-6031</v>
          </cell>
          <cell r="R2" t="str">
            <v>2002</v>
          </cell>
          <cell r="S2" t="str">
            <v>State Ops - Pg10 Wtr Sec,Cln Drnkg Wr,CB</v>
          </cell>
          <cell r="T2">
            <v>37438</v>
          </cell>
          <cell r="U2">
            <v>39263</v>
          </cell>
          <cell r="V2" t="str">
            <v>Active until 6/30/07</v>
          </cell>
          <cell r="W2">
            <v>37803</v>
          </cell>
          <cell r="X2">
            <v>39263</v>
          </cell>
        </row>
        <row r="3">
          <cell r="A3" t="str">
            <v>6031S12003</v>
          </cell>
          <cell r="B3" t="str">
            <v>6031</v>
          </cell>
          <cell r="C3" t="str">
            <v>6031001-2002-001--15----</v>
          </cell>
          <cell r="D3" t="str">
            <v>Prop 50 - Wtr Sec-SO</v>
          </cell>
          <cell r="E3" t="str">
            <v>D</v>
          </cell>
          <cell r="F3" t="str">
            <v>2003</v>
          </cell>
          <cell r="G3" t="str">
            <v>6031001</v>
          </cell>
          <cell r="H3" t="str">
            <v>001</v>
          </cell>
          <cell r="I3" t="str">
            <v>001</v>
          </cell>
          <cell r="J3" t="str">
            <v/>
          </cell>
          <cell r="K3" t="str">
            <v/>
          </cell>
          <cell r="L3" t="str">
            <v>15</v>
          </cell>
          <cell r="M3" t="str">
            <v/>
          </cell>
          <cell r="N3" t="str">
            <v/>
          </cell>
          <cell r="O3" t="str">
            <v/>
          </cell>
          <cell r="P3" t="str">
            <v>379</v>
          </cell>
          <cell r="Q3" t="str">
            <v>3860-001-6031</v>
          </cell>
          <cell r="R3" t="str">
            <v>2002</v>
          </cell>
          <cell r="S3" t="str">
            <v>State Ops - Pg15 Wtr Sec,Cln Drnkg Wr,CB</v>
          </cell>
          <cell r="T3">
            <v>37438</v>
          </cell>
          <cell r="U3">
            <v>39263</v>
          </cell>
          <cell r="V3" t="str">
            <v>Active until 6/30/07</v>
          </cell>
          <cell r="W3">
            <v>37803</v>
          </cell>
          <cell r="X3">
            <v>39263</v>
          </cell>
        </row>
        <row r="4">
          <cell r="A4" t="str">
            <v>6031L12003</v>
          </cell>
          <cell r="B4" t="str">
            <v>6031</v>
          </cell>
          <cell r="C4" t="str">
            <v>6031001-2002-101--10-10---</v>
          </cell>
          <cell r="D4" t="str">
            <v>Prop 50 - Wtr Sec-LA</v>
          </cell>
          <cell r="E4" t="str">
            <v>D</v>
          </cell>
          <cell r="F4" t="str">
            <v>2003</v>
          </cell>
          <cell r="G4" t="str">
            <v>6031001</v>
          </cell>
          <cell r="H4" t="str">
            <v>101</v>
          </cell>
          <cell r="I4" t="str">
            <v>001</v>
          </cell>
          <cell r="J4" t="str">
            <v/>
          </cell>
          <cell r="K4" t="str">
            <v/>
          </cell>
          <cell r="L4" t="str">
            <v>10</v>
          </cell>
          <cell r="M4" t="str">
            <v>10</v>
          </cell>
          <cell r="N4" t="str">
            <v/>
          </cell>
          <cell r="O4" t="str">
            <v/>
          </cell>
          <cell r="P4" t="str">
            <v>379</v>
          </cell>
          <cell r="Q4" t="str">
            <v>3860-101-6031</v>
          </cell>
          <cell r="R4" t="str">
            <v>2002</v>
          </cell>
          <cell r="S4" t="str">
            <v>Local Asst - Pg10 WtrSec,Cln Drnkg Wr,CB</v>
          </cell>
          <cell r="T4">
            <v>37438</v>
          </cell>
          <cell r="U4">
            <v>39263</v>
          </cell>
          <cell r="V4" t="str">
            <v>Active until 6/30/07</v>
          </cell>
          <cell r="W4">
            <v>37803</v>
          </cell>
          <cell r="X4">
            <v>39263</v>
          </cell>
        </row>
        <row r="5">
          <cell r="A5" t="str">
            <v>6031S12005</v>
          </cell>
          <cell r="B5" t="str">
            <v>6031</v>
          </cell>
          <cell r="C5" t="str">
            <v>6031001-2004-001--10----</v>
          </cell>
          <cell r="D5" t="str">
            <v>Prop 50 - SO WS Bond</v>
          </cell>
          <cell r="E5" t="str">
            <v>D</v>
          </cell>
          <cell r="F5" t="str">
            <v>2005</v>
          </cell>
          <cell r="G5" t="str">
            <v>6031001</v>
          </cell>
          <cell r="H5" t="str">
            <v>001</v>
          </cell>
          <cell r="I5" t="str">
            <v>001</v>
          </cell>
          <cell r="J5" t="str">
            <v/>
          </cell>
          <cell r="K5" t="str">
            <v/>
          </cell>
          <cell r="L5" t="str">
            <v>10</v>
          </cell>
          <cell r="M5" t="str">
            <v/>
          </cell>
          <cell r="N5" t="str">
            <v/>
          </cell>
          <cell r="O5" t="str">
            <v/>
          </cell>
          <cell r="P5" t="str">
            <v>208</v>
          </cell>
          <cell r="Q5" t="str">
            <v>3860-001-6031</v>
          </cell>
          <cell r="R5" t="str">
            <v>2004</v>
          </cell>
          <cell r="S5" t="str">
            <v>State Ops - Pg 10 Water Security Prop 50</v>
          </cell>
          <cell r="T5">
            <v>38169</v>
          </cell>
          <cell r="U5">
            <v>39263</v>
          </cell>
          <cell r="V5" t="str">
            <v>Active until 6/30/07</v>
          </cell>
          <cell r="W5">
            <v>38534</v>
          </cell>
          <cell r="X5">
            <v>39263</v>
          </cell>
        </row>
        <row r="6">
          <cell r="A6" t="str">
            <v>6031S32005</v>
          </cell>
          <cell r="B6" t="str">
            <v>6031</v>
          </cell>
          <cell r="C6" t="str">
            <v>6031001-2004-001--30----</v>
          </cell>
          <cell r="D6" t="str">
            <v>Prop 50 - SO WS Bond</v>
          </cell>
          <cell r="E6" t="str">
            <v>D</v>
          </cell>
          <cell r="F6" t="str">
            <v>2005</v>
          </cell>
          <cell r="G6" t="str">
            <v>6031001</v>
          </cell>
          <cell r="H6" t="str">
            <v>001</v>
          </cell>
          <cell r="I6" t="str">
            <v>001</v>
          </cell>
          <cell r="J6" t="str">
            <v/>
          </cell>
          <cell r="K6" t="str">
            <v/>
          </cell>
          <cell r="L6" t="str">
            <v>30</v>
          </cell>
          <cell r="M6" t="str">
            <v/>
          </cell>
          <cell r="N6" t="str">
            <v/>
          </cell>
          <cell r="O6" t="str">
            <v/>
          </cell>
          <cell r="P6" t="str">
            <v>208</v>
          </cell>
          <cell r="Q6" t="str">
            <v>3860-001-6031</v>
          </cell>
          <cell r="R6" t="str">
            <v>2004</v>
          </cell>
          <cell r="S6" t="str">
            <v>State Ops - Pg 30 Water Security Prop 50</v>
          </cell>
          <cell r="T6">
            <v>38169</v>
          </cell>
          <cell r="U6">
            <v>39263</v>
          </cell>
          <cell r="V6" t="str">
            <v>Active until 6/30/07</v>
          </cell>
          <cell r="W6">
            <v>38534</v>
          </cell>
          <cell r="X6">
            <v>39263</v>
          </cell>
        </row>
        <row r="7">
          <cell r="A7" t="str">
            <v>6031L12005</v>
          </cell>
          <cell r="B7" t="str">
            <v>6031</v>
          </cell>
          <cell r="C7" t="str">
            <v>6031001-2004-101-11-----</v>
          </cell>
          <cell r="D7" t="str">
            <v>Prop 50 - LA WS Bond</v>
          </cell>
          <cell r="E7" t="str">
            <v>D</v>
          </cell>
          <cell r="F7" t="str">
            <v>2005</v>
          </cell>
          <cell r="G7" t="str">
            <v>6031001</v>
          </cell>
          <cell r="H7" t="str">
            <v>101</v>
          </cell>
          <cell r="I7" t="str">
            <v>001</v>
          </cell>
          <cell r="J7" t="str">
            <v/>
          </cell>
          <cell r="K7" t="str">
            <v>11</v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>208</v>
          </cell>
          <cell r="Q7" t="str">
            <v/>
          </cell>
          <cell r="R7" t="str">
            <v>2004</v>
          </cell>
          <cell r="S7" t="str">
            <v>Local Assistance Pg 10 Wtr Security Pr50</v>
          </cell>
          <cell r="T7">
            <v>38169</v>
          </cell>
          <cell r="U7">
            <v>39263</v>
          </cell>
          <cell r="V7" t="str">
            <v>Active until 6/30/07</v>
          </cell>
          <cell r="W7">
            <v>38534</v>
          </cell>
          <cell r="X7">
            <v>39263</v>
          </cell>
        </row>
        <row r="8">
          <cell r="A8" t="str">
            <v>6031L32005</v>
          </cell>
          <cell r="B8" t="str">
            <v>6031</v>
          </cell>
          <cell r="C8" t="str">
            <v>6031001-2004-101-11-----</v>
          </cell>
          <cell r="D8" t="str">
            <v>Prop 50 - LA WS Bond</v>
          </cell>
          <cell r="E8" t="str">
            <v>D</v>
          </cell>
          <cell r="F8" t="str">
            <v>2005</v>
          </cell>
          <cell r="G8" t="str">
            <v>6031001</v>
          </cell>
          <cell r="H8" t="str">
            <v>101</v>
          </cell>
          <cell r="I8" t="str">
            <v>001</v>
          </cell>
          <cell r="J8" t="str">
            <v/>
          </cell>
          <cell r="K8" t="str">
            <v>11</v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>208</v>
          </cell>
          <cell r="Q8" t="str">
            <v>3860-101-6031</v>
          </cell>
          <cell r="R8" t="str">
            <v>2004</v>
          </cell>
          <cell r="S8" t="str">
            <v>Local Assistance Pg 30 Wtr Security Pr50</v>
          </cell>
          <cell r="T8">
            <v>38169</v>
          </cell>
          <cell r="U8">
            <v>39263</v>
          </cell>
          <cell r="V8" t="str">
            <v>Active until 6/30/07</v>
          </cell>
          <cell r="W8">
            <v>38534</v>
          </cell>
          <cell r="X8">
            <v>39263</v>
          </cell>
        </row>
        <row r="9">
          <cell r="A9" t="str">
            <v>6031S22004</v>
          </cell>
          <cell r="B9" t="str">
            <v>6031</v>
          </cell>
          <cell r="C9" t="str">
            <v>6031001-2003-00104--30----</v>
          </cell>
          <cell r="D9" t="str">
            <v>Prop 50-SO WtrS Bond</v>
          </cell>
          <cell r="E9" t="str">
            <v>D</v>
          </cell>
          <cell r="F9" t="str">
            <v>2004</v>
          </cell>
          <cell r="G9" t="str">
            <v>6031001</v>
          </cell>
          <cell r="H9" t="str">
            <v>00104</v>
          </cell>
          <cell r="I9" t="str">
            <v>001</v>
          </cell>
          <cell r="J9" t="str">
            <v/>
          </cell>
          <cell r="K9" t="str">
            <v/>
          </cell>
          <cell r="L9" t="str">
            <v>30</v>
          </cell>
          <cell r="M9" t="str">
            <v/>
          </cell>
          <cell r="N9" t="str">
            <v/>
          </cell>
          <cell r="O9" t="str">
            <v/>
          </cell>
          <cell r="P9" t="str">
            <v>157</v>
          </cell>
          <cell r="Q9" t="str">
            <v>3860-00104-6031</v>
          </cell>
          <cell r="R9" t="str">
            <v>2003</v>
          </cell>
          <cell r="S9" t="str">
            <v>REAPPROP Pg 30 SO Water Security Prop 50</v>
          </cell>
          <cell r="T9">
            <v>37803</v>
          </cell>
          <cell r="U9">
            <v>39629</v>
          </cell>
          <cell r="V9" t="str">
            <v>Active until 6/30/08</v>
          </cell>
          <cell r="W9">
            <v>38899</v>
          </cell>
          <cell r="X9">
            <v>39629</v>
          </cell>
        </row>
        <row r="10">
          <cell r="A10" t="str">
            <v>6031S72004</v>
          </cell>
          <cell r="B10" t="str">
            <v>6031</v>
          </cell>
          <cell r="C10" t="str">
            <v>6031001-2003-001--10----</v>
          </cell>
          <cell r="D10" t="str">
            <v>Prop 50 - SO WS Bond</v>
          </cell>
          <cell r="E10" t="str">
            <v>D</v>
          </cell>
          <cell r="F10" t="str">
            <v>2004</v>
          </cell>
          <cell r="G10" t="str">
            <v>6031001</v>
          </cell>
          <cell r="H10" t="str">
            <v>001</v>
          </cell>
          <cell r="I10" t="str">
            <v>001</v>
          </cell>
          <cell r="J10" t="str">
            <v/>
          </cell>
          <cell r="K10" t="str">
            <v/>
          </cell>
          <cell r="L10" t="str">
            <v>10</v>
          </cell>
          <cell r="M10" t="str">
            <v/>
          </cell>
          <cell r="N10" t="str">
            <v/>
          </cell>
          <cell r="O10" t="str">
            <v/>
          </cell>
          <cell r="P10" t="str">
            <v>157</v>
          </cell>
          <cell r="Q10" t="str">
            <v>3860-001-6031</v>
          </cell>
          <cell r="R10" t="str">
            <v>2003</v>
          </cell>
          <cell r="S10" t="str">
            <v>State Ops - Pg 10 Water Security Prop 50</v>
          </cell>
          <cell r="T10">
            <v>37803</v>
          </cell>
          <cell r="U10">
            <v>39629</v>
          </cell>
          <cell r="V10" t="str">
            <v>Active until 6/30/08</v>
          </cell>
          <cell r="W10">
            <v>38169</v>
          </cell>
          <cell r="X10">
            <v>39629</v>
          </cell>
        </row>
        <row r="11">
          <cell r="A11" t="str">
            <v>6031L32004</v>
          </cell>
          <cell r="B11" t="str">
            <v>6031</v>
          </cell>
          <cell r="C11" t="str">
            <v>6031001-2003-101------</v>
          </cell>
          <cell r="D11" t="str">
            <v>Prop 50 - LA WS Bond</v>
          </cell>
          <cell r="E11" t="str">
            <v>D</v>
          </cell>
          <cell r="F11" t="str">
            <v>2004</v>
          </cell>
          <cell r="G11" t="str">
            <v>6031001</v>
          </cell>
          <cell r="H11" t="str">
            <v>101</v>
          </cell>
          <cell r="I11" t="str">
            <v>001</v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>157</v>
          </cell>
          <cell r="Q11" t="str">
            <v>3860-101-6031</v>
          </cell>
          <cell r="R11" t="str">
            <v>2003</v>
          </cell>
          <cell r="S11" t="str">
            <v>Local Assistance Wtr Security Pr50 PG30</v>
          </cell>
          <cell r="T11">
            <v>37803</v>
          </cell>
          <cell r="U11">
            <v>39629</v>
          </cell>
          <cell r="V11" t="str">
            <v>Active until 6/30/08</v>
          </cell>
          <cell r="W11">
            <v>38169</v>
          </cell>
          <cell r="X11">
            <v>39629</v>
          </cell>
        </row>
        <row r="12">
          <cell r="A12" t="str">
            <v>6031L72005</v>
          </cell>
          <cell r="B12" t="str">
            <v>6031</v>
          </cell>
          <cell r="C12" t="str">
            <v>6031001-2004-101-12-----</v>
          </cell>
          <cell r="D12" t="str">
            <v>Prop 50 - LA WS Bond</v>
          </cell>
          <cell r="E12" t="str">
            <v>D</v>
          </cell>
          <cell r="F12" t="str">
            <v>2005</v>
          </cell>
          <cell r="G12" t="str">
            <v>6031001</v>
          </cell>
          <cell r="H12" t="str">
            <v>101</v>
          </cell>
          <cell r="I12" t="str">
            <v>001</v>
          </cell>
          <cell r="J12" t="str">
            <v/>
          </cell>
          <cell r="K12" t="str">
            <v>12</v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>208</v>
          </cell>
          <cell r="Q12" t="str">
            <v>3860-101-6031</v>
          </cell>
          <cell r="R12" t="str">
            <v>2004</v>
          </cell>
          <cell r="S12" t="str">
            <v>LA Pg 10 Wtr Security Prop 50 $19 Approp</v>
          </cell>
          <cell r="T12">
            <v>38169</v>
          </cell>
          <cell r="U12">
            <v>39629</v>
          </cell>
          <cell r="V12" t="str">
            <v>Active until 6/30/08</v>
          </cell>
          <cell r="W12">
            <v>38899</v>
          </cell>
          <cell r="X12">
            <v>39629</v>
          </cell>
        </row>
        <row r="13">
          <cell r="A13" t="str">
            <v>6031S12006</v>
          </cell>
          <cell r="B13" t="str">
            <v>6031</v>
          </cell>
          <cell r="C13" t="str">
            <v>6031001-2005-001--10----</v>
          </cell>
          <cell r="D13" t="str">
            <v>Prop 50 - SO WS Bond</v>
          </cell>
          <cell r="E13" t="str">
            <v>D</v>
          </cell>
          <cell r="F13" t="str">
            <v>2006</v>
          </cell>
          <cell r="G13" t="str">
            <v>6031001</v>
          </cell>
          <cell r="H13" t="str">
            <v>001</v>
          </cell>
          <cell r="I13" t="str">
            <v>001</v>
          </cell>
          <cell r="J13" t="str">
            <v/>
          </cell>
          <cell r="K13" t="str">
            <v/>
          </cell>
          <cell r="L13" t="str">
            <v>10</v>
          </cell>
          <cell r="M13" t="str">
            <v/>
          </cell>
          <cell r="N13" t="str">
            <v/>
          </cell>
          <cell r="O13" t="str">
            <v/>
          </cell>
          <cell r="P13" t="str">
            <v>38</v>
          </cell>
          <cell r="Q13" t="str">
            <v>3860-001-6031</v>
          </cell>
          <cell r="R13" t="str">
            <v>2005</v>
          </cell>
          <cell r="S13" t="str">
            <v>State Ops - Pg 10 Water Security Prop 50</v>
          </cell>
          <cell r="T13">
            <v>38534</v>
          </cell>
          <cell r="U13">
            <v>39629</v>
          </cell>
          <cell r="V13" t="str">
            <v>Active until 6/30/08</v>
          </cell>
          <cell r="W13">
            <v>38899</v>
          </cell>
          <cell r="X13">
            <v>39629</v>
          </cell>
        </row>
        <row r="14">
          <cell r="A14" t="str">
            <v>6031S32006</v>
          </cell>
          <cell r="B14" t="str">
            <v>6031</v>
          </cell>
          <cell r="C14" t="str">
            <v>6031001-2005-001--30----</v>
          </cell>
          <cell r="D14" t="str">
            <v>Prop 50 - SO WS Bond</v>
          </cell>
          <cell r="E14" t="str">
            <v>D</v>
          </cell>
          <cell r="F14" t="str">
            <v>2006</v>
          </cell>
          <cell r="G14" t="str">
            <v>6031001</v>
          </cell>
          <cell r="H14" t="str">
            <v>001</v>
          </cell>
          <cell r="I14" t="str">
            <v>001</v>
          </cell>
          <cell r="J14" t="str">
            <v/>
          </cell>
          <cell r="K14" t="str">
            <v/>
          </cell>
          <cell r="L14" t="str">
            <v>30</v>
          </cell>
          <cell r="M14" t="str">
            <v/>
          </cell>
          <cell r="N14" t="str">
            <v/>
          </cell>
          <cell r="O14" t="str">
            <v/>
          </cell>
          <cell r="P14" t="str">
            <v>38</v>
          </cell>
          <cell r="Q14" t="str">
            <v>3860-001-6031</v>
          </cell>
          <cell r="R14" t="str">
            <v>2005</v>
          </cell>
          <cell r="S14" t="str">
            <v>State Ops - Pg 30 Water Security Prop 50</v>
          </cell>
          <cell r="T14">
            <v>38534</v>
          </cell>
          <cell r="U14">
            <v>39629</v>
          </cell>
          <cell r="V14" t="str">
            <v>Active until 6/30/08</v>
          </cell>
          <cell r="W14">
            <v>38899</v>
          </cell>
          <cell r="X14">
            <v>39629</v>
          </cell>
        </row>
        <row r="15">
          <cell r="A15" t="str">
            <v>6031L32006</v>
          </cell>
          <cell r="B15" t="str">
            <v>6031</v>
          </cell>
          <cell r="C15" t="str">
            <v>6031001-2005-101------</v>
          </cell>
          <cell r="D15" t="str">
            <v>Prop 50 - LA WS Bond</v>
          </cell>
          <cell r="E15" t="str">
            <v>D</v>
          </cell>
          <cell r="F15" t="str">
            <v>2006</v>
          </cell>
          <cell r="G15" t="str">
            <v>6031001</v>
          </cell>
          <cell r="H15" t="str">
            <v>101</v>
          </cell>
          <cell r="I15" t="str">
            <v>001</v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>38</v>
          </cell>
          <cell r="Q15" t="str">
            <v>3860-101-6031</v>
          </cell>
          <cell r="R15" t="str">
            <v>2005</v>
          </cell>
          <cell r="S15" t="str">
            <v>Local Assistance Pg 30 Wtr Security Pr50</v>
          </cell>
          <cell r="T15">
            <v>38534</v>
          </cell>
          <cell r="U15">
            <v>39629</v>
          </cell>
          <cell r="V15" t="str">
            <v>Active until 6/30/08</v>
          </cell>
          <cell r="W15">
            <v>38899</v>
          </cell>
          <cell r="X15">
            <v>39629</v>
          </cell>
        </row>
        <row r="16">
          <cell r="A16" t="str">
            <v>6031S72005</v>
          </cell>
          <cell r="B16" t="str">
            <v>6031</v>
          </cell>
          <cell r="C16" t="str">
            <v>6031001-2004-00105--10----</v>
          </cell>
          <cell r="D16" t="str">
            <v>Prop 50 FY05 Reappro</v>
          </cell>
          <cell r="E16" t="str">
            <v>D</v>
          </cell>
          <cell r="F16" t="str">
            <v>2005</v>
          </cell>
          <cell r="G16" t="str">
            <v>6031001</v>
          </cell>
          <cell r="H16" t="str">
            <v>00105</v>
          </cell>
          <cell r="I16" t="str">
            <v>001</v>
          </cell>
          <cell r="J16" t="str">
            <v/>
          </cell>
          <cell r="K16" t="str">
            <v/>
          </cell>
          <cell r="L16" t="str">
            <v>10</v>
          </cell>
          <cell r="M16" t="str">
            <v/>
          </cell>
          <cell r="N16" t="str">
            <v/>
          </cell>
          <cell r="O16" t="str">
            <v/>
          </cell>
          <cell r="P16" t="str">
            <v>208</v>
          </cell>
          <cell r="Q16" t="str">
            <v>3860-00105-6031</v>
          </cell>
          <cell r="R16" t="str">
            <v>2004</v>
          </cell>
          <cell r="S16" t="str">
            <v>State Ops - Program 10 Prop 50 Reapprop</v>
          </cell>
          <cell r="T16">
            <v>38169</v>
          </cell>
          <cell r="U16">
            <v>39994</v>
          </cell>
          <cell r="V16" t="str">
            <v>Active until 6/30/09</v>
          </cell>
          <cell r="W16">
            <v>39264</v>
          </cell>
          <cell r="X16">
            <v>39994</v>
          </cell>
        </row>
        <row r="17">
          <cell r="A17" t="str">
            <v>6031S12007</v>
          </cell>
          <cell r="B17" t="str">
            <v>6031</v>
          </cell>
          <cell r="C17" t="str">
            <v>6031001-2006-001--10----</v>
          </cell>
          <cell r="D17" t="str">
            <v>Prop 50 - SO WS Bond</v>
          </cell>
          <cell r="E17" t="str">
            <v>D</v>
          </cell>
          <cell r="F17" t="str">
            <v>2007</v>
          </cell>
          <cell r="G17" t="str">
            <v>6031001</v>
          </cell>
          <cell r="H17" t="str">
            <v>001</v>
          </cell>
          <cell r="I17" t="str">
            <v>001</v>
          </cell>
          <cell r="J17" t="str">
            <v/>
          </cell>
          <cell r="K17" t="str">
            <v/>
          </cell>
          <cell r="L17" t="str">
            <v>10</v>
          </cell>
          <cell r="M17" t="str">
            <v/>
          </cell>
          <cell r="N17" t="str">
            <v/>
          </cell>
          <cell r="O17" t="str">
            <v/>
          </cell>
          <cell r="P17" t="str">
            <v>47</v>
          </cell>
          <cell r="Q17" t="str">
            <v>3860-001-6031</v>
          </cell>
          <cell r="R17" t="str">
            <v>2006</v>
          </cell>
          <cell r="S17" t="str">
            <v>State Ops - Pg 10 Water Security Prop 50</v>
          </cell>
          <cell r="T17">
            <v>38899</v>
          </cell>
          <cell r="U17">
            <v>39994</v>
          </cell>
          <cell r="V17" t="str">
            <v>Active until 6/30/09</v>
          </cell>
          <cell r="W17">
            <v>39264</v>
          </cell>
          <cell r="X17">
            <v>39994</v>
          </cell>
        </row>
        <row r="18">
          <cell r="A18" t="str">
            <v>6031S32007</v>
          </cell>
          <cell r="B18" t="str">
            <v>6031</v>
          </cell>
          <cell r="C18" t="str">
            <v>6031001-2006-001--30----</v>
          </cell>
          <cell r="D18" t="str">
            <v>Prop 50 - SO WS Bond</v>
          </cell>
          <cell r="E18" t="str">
            <v>D</v>
          </cell>
          <cell r="F18" t="str">
            <v>2007</v>
          </cell>
          <cell r="G18" t="str">
            <v>6031001</v>
          </cell>
          <cell r="H18" t="str">
            <v>001</v>
          </cell>
          <cell r="I18" t="str">
            <v>001</v>
          </cell>
          <cell r="J18" t="str">
            <v/>
          </cell>
          <cell r="K18" t="str">
            <v/>
          </cell>
          <cell r="L18" t="str">
            <v>30</v>
          </cell>
          <cell r="M18" t="str">
            <v/>
          </cell>
          <cell r="N18" t="str">
            <v/>
          </cell>
          <cell r="O18" t="str">
            <v/>
          </cell>
          <cell r="P18" t="str">
            <v>47</v>
          </cell>
          <cell r="Q18" t="str">
            <v>3860-001-6031</v>
          </cell>
          <cell r="R18" t="str">
            <v>2006</v>
          </cell>
          <cell r="S18" t="str">
            <v>State Ops - Pg 30 Water Security Prop 50</v>
          </cell>
          <cell r="T18">
            <v>38899</v>
          </cell>
          <cell r="U18">
            <v>39994</v>
          </cell>
          <cell r="V18" t="str">
            <v>Active until 6/30/09</v>
          </cell>
          <cell r="W18">
            <v>39264</v>
          </cell>
          <cell r="X18">
            <v>39994</v>
          </cell>
        </row>
        <row r="19">
          <cell r="A19" t="str">
            <v>6031L32007</v>
          </cell>
          <cell r="B19" t="str">
            <v>6031</v>
          </cell>
          <cell r="C19" t="str">
            <v>6031001-2006-101------</v>
          </cell>
          <cell r="D19" t="str">
            <v>Prop 50 - LA WS Bond</v>
          </cell>
          <cell r="E19" t="str">
            <v>D</v>
          </cell>
          <cell r="F19" t="str">
            <v>2007</v>
          </cell>
          <cell r="G19" t="str">
            <v>6031001</v>
          </cell>
          <cell r="H19" t="str">
            <v>101</v>
          </cell>
          <cell r="I19" t="str">
            <v>001</v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>2006</v>
          </cell>
          <cell r="S19" t="str">
            <v>INVALID FUND - NOT APPROPRIATED AT SCO</v>
          </cell>
          <cell r="T19">
            <v>38899</v>
          </cell>
          <cell r="U19">
            <v>39994</v>
          </cell>
          <cell r="V19" t="str">
            <v>Active until 6/30/09</v>
          </cell>
          <cell r="W19">
            <v>39264</v>
          </cell>
          <cell r="X19">
            <v>39994</v>
          </cell>
        </row>
        <row r="20">
          <cell r="A20" t="str">
            <v>6031L12007</v>
          </cell>
          <cell r="B20" t="str">
            <v>6031</v>
          </cell>
          <cell r="C20" t="str">
            <v>6031001-2006-101--10----</v>
          </cell>
          <cell r="D20" t="str">
            <v>Prop 50 - LA WS Bond</v>
          </cell>
          <cell r="E20" t="str">
            <v>D</v>
          </cell>
          <cell r="F20" t="str">
            <v>2007</v>
          </cell>
          <cell r="G20" t="str">
            <v>6031001</v>
          </cell>
          <cell r="H20" t="str">
            <v>101</v>
          </cell>
          <cell r="I20" t="str">
            <v>001</v>
          </cell>
          <cell r="J20" t="str">
            <v/>
          </cell>
          <cell r="K20" t="str">
            <v/>
          </cell>
          <cell r="L20" t="str">
            <v>10</v>
          </cell>
          <cell r="M20" t="str">
            <v/>
          </cell>
          <cell r="N20" t="str">
            <v/>
          </cell>
          <cell r="O20" t="str">
            <v/>
          </cell>
          <cell r="P20" t="str">
            <v>47</v>
          </cell>
          <cell r="Q20" t="str">
            <v>3860-101-6031</v>
          </cell>
          <cell r="R20" t="str">
            <v>2006</v>
          </cell>
          <cell r="S20" t="str">
            <v>INVALID FUND - NOT APPROPRIATED AT SCO</v>
          </cell>
          <cell r="T20">
            <v>38899</v>
          </cell>
          <cell r="U20">
            <v>39994</v>
          </cell>
          <cell r="V20" t="str">
            <v>Active until 6/30/09</v>
          </cell>
          <cell r="W20">
            <v>39264</v>
          </cell>
          <cell r="X20">
            <v>39994</v>
          </cell>
        </row>
        <row r="21">
          <cell r="A21" t="str">
            <v>6031S12004</v>
          </cell>
          <cell r="B21" t="str">
            <v>6031</v>
          </cell>
          <cell r="C21" t="str">
            <v>6031001-2003-00104--10----</v>
          </cell>
          <cell r="D21" t="str">
            <v>Prop 50-SO WtrS Bond</v>
          </cell>
          <cell r="E21" t="str">
            <v>D</v>
          </cell>
          <cell r="F21" t="str">
            <v>2004</v>
          </cell>
          <cell r="G21" t="str">
            <v>6031001</v>
          </cell>
          <cell r="H21" t="str">
            <v>00104</v>
          </cell>
          <cell r="I21" t="str">
            <v>001</v>
          </cell>
          <cell r="J21" t="str">
            <v/>
          </cell>
          <cell r="K21" t="str">
            <v/>
          </cell>
          <cell r="L21" t="str">
            <v>10</v>
          </cell>
          <cell r="M21" t="str">
            <v/>
          </cell>
          <cell r="N21" t="str">
            <v/>
          </cell>
          <cell r="O21" t="str">
            <v/>
          </cell>
          <cell r="P21" t="str">
            <v>157</v>
          </cell>
          <cell r="Q21" t="str">
            <v>3860-00104-6031</v>
          </cell>
          <cell r="R21" t="str">
            <v>2003</v>
          </cell>
          <cell r="S21" t="str">
            <v>REAPPROP Pg 10 SO Water Security Prop 50</v>
          </cell>
          <cell r="T21">
            <v>37803</v>
          </cell>
          <cell r="U21">
            <v>40359</v>
          </cell>
          <cell r="V21" t="str">
            <v>Active until 6/30/10</v>
          </cell>
          <cell r="W21">
            <v>39630</v>
          </cell>
          <cell r="X21">
            <v>40359</v>
          </cell>
        </row>
        <row r="22">
          <cell r="A22" t="str">
            <v>6031L12004</v>
          </cell>
          <cell r="B22" t="str">
            <v>6031</v>
          </cell>
          <cell r="C22" t="str">
            <v>6031001-2003-10104------</v>
          </cell>
          <cell r="D22" t="str">
            <v>Prop 50-LA WtrS Bond</v>
          </cell>
          <cell r="E22" t="str">
            <v>D</v>
          </cell>
          <cell r="F22" t="str">
            <v>2004</v>
          </cell>
          <cell r="G22" t="str">
            <v>6031001</v>
          </cell>
          <cell r="H22" t="str">
            <v>10104</v>
          </cell>
          <cell r="I22" t="str">
            <v>001</v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>157</v>
          </cell>
          <cell r="Q22" t="str">
            <v>3860-10104-60</v>
          </cell>
          <cell r="R22" t="str">
            <v>2003</v>
          </cell>
          <cell r="S22" t="str">
            <v>REAPPROP LA Pg 10 Wtr Security Prop 50</v>
          </cell>
          <cell r="T22">
            <v>37803</v>
          </cell>
          <cell r="U22">
            <v>40359</v>
          </cell>
          <cell r="V22" t="str">
            <v>Active until 6/30/10</v>
          </cell>
          <cell r="W22">
            <v>39630</v>
          </cell>
          <cell r="X22">
            <v>40359</v>
          </cell>
        </row>
        <row r="23">
          <cell r="A23" t="str">
            <v>6031S72006</v>
          </cell>
          <cell r="B23" t="str">
            <v>6031</v>
          </cell>
          <cell r="C23" t="str">
            <v>6031001-2005-001------</v>
          </cell>
          <cell r="D23" t="str">
            <v>Prop 50-SO WtrS Bond</v>
          </cell>
          <cell r="E23" t="str">
            <v>D</v>
          </cell>
          <cell r="F23" t="str">
            <v>2006</v>
          </cell>
          <cell r="G23" t="str">
            <v>6031001</v>
          </cell>
          <cell r="H23" t="str">
            <v>001</v>
          </cell>
          <cell r="I23" t="str">
            <v>001</v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>38</v>
          </cell>
          <cell r="Q23" t="str">
            <v>3860-001-6031</v>
          </cell>
          <cell r="R23" t="str">
            <v>2005</v>
          </cell>
          <cell r="S23" t="str">
            <v>INVALID FUND - NOT APPROPRIATED AT SCO</v>
          </cell>
          <cell r="T23">
            <v>38534</v>
          </cell>
          <cell r="U23">
            <v>40359</v>
          </cell>
          <cell r="V23" t="str">
            <v>Active until 6/30/10</v>
          </cell>
          <cell r="W23">
            <v>39630</v>
          </cell>
          <cell r="X23">
            <v>40359</v>
          </cell>
        </row>
        <row r="24">
          <cell r="A24" t="str">
            <v>6031L12006</v>
          </cell>
          <cell r="B24" t="str">
            <v>6031</v>
          </cell>
          <cell r="C24" t="str">
            <v>6031001-2005-101------</v>
          </cell>
          <cell r="D24" t="str">
            <v>Prop 50 - LA WS Bond</v>
          </cell>
          <cell r="E24" t="str">
            <v>D</v>
          </cell>
          <cell r="F24" t="str">
            <v>2006</v>
          </cell>
          <cell r="G24" t="str">
            <v>6031001</v>
          </cell>
          <cell r="H24" t="str">
            <v>101</v>
          </cell>
          <cell r="I24" t="str">
            <v>001</v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>38</v>
          </cell>
          <cell r="Q24" t="str">
            <v>3860-101-6031</v>
          </cell>
          <cell r="R24" t="str">
            <v>2005</v>
          </cell>
          <cell r="S24" t="str">
            <v>Local Assistance Pg 10 Wtr Security Pr50</v>
          </cell>
          <cell r="T24">
            <v>38534</v>
          </cell>
          <cell r="U24">
            <v>40359</v>
          </cell>
          <cell r="V24" t="str">
            <v>Active until 6/30/10</v>
          </cell>
          <cell r="W24">
            <v>39630</v>
          </cell>
          <cell r="X24">
            <v>40359</v>
          </cell>
        </row>
        <row r="25">
          <cell r="A25" t="str">
            <v>6031L72006</v>
          </cell>
          <cell r="B25" t="str">
            <v>6031</v>
          </cell>
          <cell r="C25" t="str">
            <v>6031001-2005-101------</v>
          </cell>
          <cell r="D25" t="str">
            <v>Prop 50-LA WtrS Bon</v>
          </cell>
          <cell r="E25" t="str">
            <v>D</v>
          </cell>
          <cell r="F25" t="str">
            <v>2006</v>
          </cell>
          <cell r="G25" t="str">
            <v>6031001</v>
          </cell>
          <cell r="H25" t="str">
            <v>101</v>
          </cell>
          <cell r="I25" t="str">
            <v>001</v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>38</v>
          </cell>
          <cell r="Q25" t="str">
            <v>3860-101-6031</v>
          </cell>
          <cell r="R25" t="str">
            <v>2005</v>
          </cell>
          <cell r="S25" t="str">
            <v>INVALID FUND - NOT APPROPRIATED AT SCO</v>
          </cell>
          <cell r="T25">
            <v>38534</v>
          </cell>
          <cell r="U25">
            <v>40359</v>
          </cell>
          <cell r="V25" t="str">
            <v>Active until 6/30/10</v>
          </cell>
          <cell r="W25">
            <v>39630</v>
          </cell>
          <cell r="X25">
            <v>40359</v>
          </cell>
        </row>
        <row r="26">
          <cell r="A26" t="str">
            <v>6031BB2007</v>
          </cell>
          <cell r="B26" t="str">
            <v>6031</v>
          </cell>
          <cell r="C26" t="str">
            <v>6031001-2006-301------</v>
          </cell>
          <cell r="D26" t="str">
            <v>Prop 50 - FranksTrac</v>
          </cell>
          <cell r="E26" t="str">
            <v>D</v>
          </cell>
          <cell r="F26" t="str">
            <v>2007</v>
          </cell>
          <cell r="G26" t="str">
            <v>6031001</v>
          </cell>
          <cell r="H26" t="str">
            <v>301</v>
          </cell>
          <cell r="I26" t="str">
            <v>001</v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>2006</v>
          </cell>
          <cell r="S26" t="str">
            <v>INVALID FUND - NOT APPROPRIATED AT SCO</v>
          </cell>
          <cell r="T26">
            <v>38899</v>
          </cell>
          <cell r="U26">
            <v>40724</v>
          </cell>
          <cell r="V26" t="str">
            <v>Active until 6/30/11</v>
          </cell>
          <cell r="W26">
            <v>39995</v>
          </cell>
          <cell r="X26">
            <v>40724</v>
          </cell>
        </row>
        <row r="27">
          <cell r="A27" t="str">
            <v>6031BA2007</v>
          </cell>
          <cell r="B27" t="str">
            <v>6031</v>
          </cell>
          <cell r="C27" t="str">
            <v>6031001-2006-301-90-10-95-015--</v>
          </cell>
          <cell r="D27" t="str">
            <v>Prop 50 - BayDlta-CO</v>
          </cell>
          <cell r="E27" t="str">
            <v>D</v>
          </cell>
          <cell r="F27" t="str">
            <v>2007</v>
          </cell>
          <cell r="G27" t="str">
            <v>6031001</v>
          </cell>
          <cell r="H27" t="str">
            <v>301</v>
          </cell>
          <cell r="I27" t="str">
            <v>001</v>
          </cell>
          <cell r="J27" t="str">
            <v/>
          </cell>
          <cell r="K27" t="str">
            <v>90</v>
          </cell>
          <cell r="L27" t="str">
            <v>10</v>
          </cell>
          <cell r="M27" t="str">
            <v>95</v>
          </cell>
          <cell r="N27" t="str">
            <v>015</v>
          </cell>
          <cell r="O27" t="str">
            <v/>
          </cell>
          <cell r="P27" t="str">
            <v>47</v>
          </cell>
          <cell r="Q27" t="str">
            <v>3860-301-6031</v>
          </cell>
          <cell r="R27" t="str">
            <v>2006</v>
          </cell>
          <cell r="S27" t="str">
            <v>Cap Outlay-Pg 10 Bay Delta MultiPurpose</v>
          </cell>
          <cell r="T27">
            <v>38899</v>
          </cell>
          <cell r="U27">
            <v>40724</v>
          </cell>
          <cell r="V27" t="str">
            <v>Active until 6/30/11</v>
          </cell>
          <cell r="W27">
            <v>39995</v>
          </cell>
          <cell r="X27">
            <v>40724</v>
          </cell>
        </row>
        <row r="28">
          <cell r="A28" t="str">
            <v>6031S11988</v>
          </cell>
          <cell r="B28" t="str">
            <v>6031</v>
          </cell>
          <cell r="C28" t="str">
            <v>6031001-1987-502------</v>
          </cell>
          <cell r="D28" t="str">
            <v>Prop50 PMIA Loan Int</v>
          </cell>
          <cell r="E28" t="str">
            <v>D</v>
          </cell>
          <cell r="F28" t="str">
            <v>1988</v>
          </cell>
          <cell r="G28" t="str">
            <v>6031001</v>
          </cell>
          <cell r="H28" t="str">
            <v>502</v>
          </cell>
          <cell r="I28" t="str">
            <v>001</v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>6/87</v>
          </cell>
          <cell r="Q28" t="str">
            <v/>
          </cell>
          <cell r="R28" t="str">
            <v>1987</v>
          </cell>
          <cell r="S28" t="str">
            <v>Pro 50 PMIA Loan Interest Cost to PMIA</v>
          </cell>
          <cell r="T28">
            <v>31959</v>
          </cell>
          <cell r="U28">
            <v>2958281</v>
          </cell>
          <cell r="V28" t="str">
            <v>Active until 6/30/99</v>
          </cell>
          <cell r="W28">
            <v>2958281</v>
          </cell>
          <cell r="X28">
            <v>2958281</v>
          </cell>
        </row>
        <row r="29">
          <cell r="A29" t="str">
            <v>6031S11992</v>
          </cell>
          <cell r="B29" t="str">
            <v>6031</v>
          </cell>
          <cell r="C29" t="str">
            <v>6031001-1991-596------</v>
          </cell>
          <cell r="D29" t="str">
            <v>Prop50 Admin Costs</v>
          </cell>
          <cell r="E29" t="str">
            <v>D</v>
          </cell>
          <cell r="F29" t="str">
            <v>1992</v>
          </cell>
          <cell r="G29" t="str">
            <v>6031001</v>
          </cell>
          <cell r="H29" t="str">
            <v>596</v>
          </cell>
          <cell r="I29" t="str">
            <v>001</v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>856/91</v>
          </cell>
          <cell r="Q29" t="str">
            <v/>
          </cell>
          <cell r="R29" t="str">
            <v>1991</v>
          </cell>
          <cell r="S29" t="str">
            <v>Prop50 Admin Costs</v>
          </cell>
          <cell r="T29">
            <v>33420</v>
          </cell>
          <cell r="U29">
            <v>2958281</v>
          </cell>
          <cell r="V29" t="str">
            <v>Active until 6/30/99</v>
          </cell>
          <cell r="W29">
            <v>2958281</v>
          </cell>
          <cell r="X29">
            <v>2958281</v>
          </cell>
        </row>
        <row r="30">
          <cell r="A30" t="str">
            <v>6031RRR001</v>
          </cell>
          <cell r="B30" t="str">
            <v>6031</v>
          </cell>
          <cell r="C30" t="str">
            <v>6031001 Revenue</v>
          </cell>
          <cell r="D30" t="str">
            <v>WtrScClnDrnk-Revenue</v>
          </cell>
          <cell r="E30" t="str">
            <v>R</v>
          </cell>
          <cell r="F30" t="str">
            <v>R</v>
          </cell>
          <cell r="G30" t="str">
            <v>6031001</v>
          </cell>
          <cell r="H30" t="str">
            <v/>
          </cell>
          <cell r="I30" t="str">
            <v>001</v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>R</v>
          </cell>
          <cell r="S30" t="str">
            <v>Wtr Sec,Cln Drnkg Wtr, Cst Bch - Revenue</v>
          </cell>
          <cell r="T30">
            <v>37438</v>
          </cell>
          <cell r="U30">
            <v>2958281</v>
          </cell>
          <cell r="V30" t="str">
            <v>Revenue</v>
          </cell>
          <cell r="W30">
            <v>2958281</v>
          </cell>
          <cell r="X30">
            <v>2958281</v>
          </cell>
        </row>
        <row r="31">
          <cell r="A31" t="str">
            <v>6031RRR701</v>
          </cell>
          <cell r="B31" t="str">
            <v>6031</v>
          </cell>
          <cell r="C31" t="str">
            <v>6031701 Revenue</v>
          </cell>
          <cell r="D31" t="str">
            <v>WtrScClnDrnk-CstlBch</v>
          </cell>
          <cell r="E31" t="str">
            <v>R</v>
          </cell>
          <cell r="F31" t="str">
            <v>R</v>
          </cell>
          <cell r="G31" t="str">
            <v>6031001</v>
          </cell>
          <cell r="H31" t="str">
            <v/>
          </cell>
          <cell r="I31" t="str">
            <v>701</v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>R</v>
          </cell>
          <cell r="S31" t="str">
            <v>PMIB 023105-01 WaterSecurity,ClnDrnk-Rev</v>
          </cell>
          <cell r="T31">
            <v>37438</v>
          </cell>
          <cell r="U31">
            <v>2958281</v>
          </cell>
          <cell r="V31" t="str">
            <v>Revenue</v>
          </cell>
          <cell r="W31">
            <v>2958281</v>
          </cell>
          <cell r="X31">
            <v>2958281</v>
          </cell>
        </row>
        <row r="32">
          <cell r="A32" t="str">
            <v>6031RRR702</v>
          </cell>
          <cell r="B32" t="str">
            <v>6031</v>
          </cell>
          <cell r="C32" t="str">
            <v>6031702 Revenue</v>
          </cell>
          <cell r="D32" t="str">
            <v>WtrScClnDrnk-CstlBch</v>
          </cell>
          <cell r="E32" t="str">
            <v>R</v>
          </cell>
          <cell r="F32" t="str">
            <v>R</v>
          </cell>
          <cell r="G32" t="str">
            <v>6031001</v>
          </cell>
          <cell r="H32" t="str">
            <v/>
          </cell>
          <cell r="I32" t="str">
            <v>702</v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>R</v>
          </cell>
          <cell r="S32" t="str">
            <v>PMIB 023105-02 WaterSecurity,ClnDrnk-Rev</v>
          </cell>
          <cell r="T32">
            <v>37438</v>
          </cell>
          <cell r="U32">
            <v>2958281</v>
          </cell>
          <cell r="V32" t="str">
            <v>Revenue</v>
          </cell>
          <cell r="W32">
            <v>2958281</v>
          </cell>
          <cell r="X32">
            <v>2958281</v>
          </cell>
        </row>
        <row r="33">
          <cell r="A33" t="str">
            <v>6031RRR703</v>
          </cell>
          <cell r="B33" t="str">
            <v>6031</v>
          </cell>
          <cell r="C33" t="str">
            <v>6031703 Revenue</v>
          </cell>
          <cell r="D33" t="str">
            <v>WtrScClnDrnk-CstlBch</v>
          </cell>
          <cell r="E33" t="str">
            <v>R</v>
          </cell>
          <cell r="F33" t="str">
            <v>R</v>
          </cell>
          <cell r="G33" t="str">
            <v>6031001</v>
          </cell>
          <cell r="H33" t="str">
            <v/>
          </cell>
          <cell r="I33" t="str">
            <v>703</v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>R</v>
          </cell>
          <cell r="S33" t="str">
            <v>PMIB 023105-03 WaterSecurity,ClnDrnk-Rev</v>
          </cell>
          <cell r="T33">
            <v>37438</v>
          </cell>
          <cell r="U33">
            <v>2958281</v>
          </cell>
          <cell r="V33" t="str">
            <v>Revenue</v>
          </cell>
          <cell r="W33">
            <v>2958281</v>
          </cell>
          <cell r="X33">
            <v>2958281</v>
          </cell>
        </row>
        <row r="34">
          <cell r="A34" t="str">
            <v>6031RRR704</v>
          </cell>
          <cell r="B34" t="str">
            <v>6031</v>
          </cell>
          <cell r="C34" t="str">
            <v>6031704 Revenue</v>
          </cell>
          <cell r="D34" t="str">
            <v>Prop 50 Rev/Wtr Sect</v>
          </cell>
          <cell r="E34" t="str">
            <v>R</v>
          </cell>
          <cell r="F34" t="str">
            <v>R</v>
          </cell>
          <cell r="G34" t="str">
            <v>6031001</v>
          </cell>
          <cell r="H34" t="str">
            <v/>
          </cell>
          <cell r="I34" t="str">
            <v>704</v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>R</v>
          </cell>
          <cell r="S34" t="str">
            <v>Prop 50 Wtr Security Act of 2002-Revenue</v>
          </cell>
          <cell r="T34">
            <v>31959</v>
          </cell>
          <cell r="U34">
            <v>2958281</v>
          </cell>
          <cell r="V34" t="str">
            <v>Revenue</v>
          </cell>
          <cell r="W34">
            <v>2958281</v>
          </cell>
          <cell r="X34">
            <v>2958281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M Pivot"/>
      <sheetName val="SAP Data"/>
      <sheetName val="vlookup1"/>
      <sheetName val="vlookup2"/>
      <sheetName val="1140 "/>
    </sheetNames>
    <sheetDataSet>
      <sheetData sheetId="0" refreshError="1"/>
      <sheetData sheetId="1">
        <row r="1">
          <cell r="A1" t="str">
            <v>GL Account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nks"/>
      <sheetName val="CERT"/>
      <sheetName val="Rept 1A"/>
      <sheetName val="Rpt 2"/>
      <sheetName val="Rpt 5 2009 301"/>
      <sheetName val="Rpt 5 2017 001"/>
      <sheetName val="Rpt 5 2018 001"/>
      <sheetName val="Rpt 5 2019 001"/>
      <sheetName val="Rpt 5 2020 001"/>
      <sheetName val="Rpt 5 2021 001"/>
      <sheetName val="Rpt 5 2022 001"/>
      <sheetName val="Rpt 5 2023 001"/>
      <sheetName val="Rpt 5 2023 301"/>
      <sheetName val="Rpt 7"/>
      <sheetName val="Rpt 8"/>
      <sheetName val="Rpt 15"/>
      <sheetName val="Supplemental"/>
      <sheetName val="MVF"/>
      <sheetName val="TB24"/>
      <sheetName val="Obligations"/>
      <sheetName val="Expenditures"/>
      <sheetName val="RPT18-G87_96-ALL"/>
    </sheetNames>
    <sheetDataSet>
      <sheetData sheetId="0">
        <row r="2">
          <cell r="B2" t="str">
            <v>DEPARTMENT OF WATER RESOURCES (3860)</v>
          </cell>
        </row>
        <row r="3">
          <cell r="B3" t="str">
            <v>Bay-Delta Multipurpose Water Management Subaccount (6026000)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Links"/>
      <sheetName val="Rpt 2"/>
      <sheetName val="Rpt 5"/>
      <sheetName val="Rpt 7"/>
      <sheetName val="Rpt 8"/>
      <sheetName val="Rpt 15"/>
      <sheetName val="Report 18"/>
      <sheetName val="Report 18 Differential"/>
      <sheetName val="Supplemental"/>
      <sheetName val="Mat Val Form "/>
      <sheetName val="TB24"/>
      <sheetName val="Enc. Reduction"/>
      <sheetName val="RPT18-G87_96-ALL"/>
    </sheetNames>
    <sheetDataSet>
      <sheetData sheetId="0">
        <row r="2">
          <cell r="B2" t="str">
            <v>DEPARTMENT OF WATER RESOURCES (3860)</v>
          </cell>
        </row>
        <row r="3">
          <cell r="B3" t="str">
            <v>Interim Wtr Supply &amp; Wtr Qlty Infrastucture &amp; Mgmt Subacct (6027000)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 18 Differential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5174-195B-4E61-9C70-247586FDB83A}">
  <dimension ref="A1:J30"/>
  <sheetViews>
    <sheetView showGridLines="0" topLeftCell="A7" zoomScaleNormal="100" workbookViewId="0">
      <selection activeCell="A4" sqref="A4:J4"/>
    </sheetView>
  </sheetViews>
  <sheetFormatPr defaultColWidth="9.140625" defaultRowHeight="15" x14ac:dyDescent="0.25"/>
  <cols>
    <col min="1" max="1" width="12.140625" style="2" customWidth="1"/>
    <col min="2" max="2" width="5.28515625" style="2" customWidth="1"/>
    <col min="3" max="3" width="7.5703125" style="2" customWidth="1"/>
    <col min="4" max="4" width="4.5703125" style="2" customWidth="1"/>
    <col min="5" max="5" width="19" style="2" customWidth="1"/>
    <col min="6" max="6" width="17.42578125" style="2" customWidth="1"/>
    <col min="7" max="7" width="16.7109375" style="2" customWidth="1"/>
    <col min="8" max="8" width="14.42578125" style="2" customWidth="1"/>
    <col min="9" max="9" width="3" style="2" customWidth="1"/>
    <col min="10" max="10" width="22.140625" style="2" customWidth="1"/>
    <col min="11" max="16384" width="9.140625" style="2"/>
  </cols>
  <sheetData>
    <row r="1" spans="1:10" x14ac:dyDescent="0.25">
      <c r="A1" s="144"/>
      <c r="B1" s="144"/>
      <c r="C1" s="144"/>
      <c r="D1" s="144"/>
      <c r="E1" s="144"/>
      <c r="F1" s="144"/>
      <c r="G1" s="144"/>
      <c r="H1" s="144"/>
      <c r="I1" s="144" t="s">
        <v>0</v>
      </c>
      <c r="J1" s="144"/>
    </row>
    <row r="2" spans="1:10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x14ac:dyDescent="0.25">
      <c r="A3" s="145" t="s">
        <v>2</v>
      </c>
      <c r="B3" s="145"/>
      <c r="C3" s="145"/>
      <c r="D3" s="145"/>
      <c r="E3" s="145"/>
      <c r="F3" s="145"/>
      <c r="G3" s="145"/>
      <c r="H3" s="145"/>
      <c r="I3" s="145"/>
      <c r="J3" s="145"/>
    </row>
    <row r="4" spans="1:10" x14ac:dyDescent="0.25">
      <c r="A4" s="145" t="s">
        <v>78</v>
      </c>
      <c r="B4" s="145"/>
      <c r="C4" s="145"/>
      <c r="D4" s="145"/>
      <c r="E4" s="145"/>
      <c r="F4" s="145"/>
      <c r="G4" s="145"/>
      <c r="H4" s="145"/>
      <c r="I4" s="145"/>
      <c r="J4" s="145"/>
    </row>
    <row r="5" spans="1:10" x14ac:dyDescent="0.25">
      <c r="A5" s="145" t="s">
        <v>3</v>
      </c>
      <c r="B5" s="145"/>
      <c r="C5" s="145"/>
      <c r="D5" s="145"/>
      <c r="E5" s="145"/>
      <c r="F5" s="145"/>
      <c r="G5" s="145"/>
      <c r="H5" s="145"/>
      <c r="I5" s="145"/>
      <c r="J5" s="145"/>
    </row>
    <row r="6" spans="1:10" x14ac:dyDescent="0.25">
      <c r="A6" s="145" t="s">
        <v>4</v>
      </c>
      <c r="B6" s="145"/>
      <c r="C6" s="145"/>
      <c r="D6" s="145"/>
      <c r="E6" s="145"/>
      <c r="F6" s="145"/>
      <c r="G6" s="145"/>
      <c r="H6" s="145"/>
      <c r="I6" s="145"/>
      <c r="J6" s="145"/>
    </row>
    <row r="7" spans="1:10" x14ac:dyDescent="0.25">
      <c r="A7" s="142" t="s">
        <v>5</v>
      </c>
      <c r="B7" s="142"/>
      <c r="C7" s="143" t="s">
        <v>6</v>
      </c>
      <c r="D7" s="143"/>
      <c r="E7" s="143"/>
      <c r="F7" s="143"/>
      <c r="G7" s="143"/>
      <c r="H7" s="143"/>
      <c r="I7" s="144"/>
      <c r="J7" s="144"/>
    </row>
    <row r="8" spans="1:10" x14ac:dyDescent="0.25">
      <c r="A8" s="142" t="s">
        <v>7</v>
      </c>
      <c r="B8" s="142"/>
      <c r="C8" s="143" t="s">
        <v>77</v>
      </c>
      <c r="D8" s="143"/>
      <c r="E8" s="143"/>
      <c r="F8" s="143"/>
      <c r="G8" s="143"/>
      <c r="H8" s="143"/>
      <c r="I8" s="143"/>
      <c r="J8" s="144"/>
    </row>
    <row r="9" spans="1:10" x14ac:dyDescent="0.25">
      <c r="A9" s="142"/>
      <c r="B9" s="142"/>
      <c r="C9" s="147"/>
      <c r="D9" s="147"/>
      <c r="E9" s="147"/>
      <c r="F9" s="147"/>
      <c r="G9" s="147"/>
      <c r="H9" s="147"/>
      <c r="I9" s="143"/>
      <c r="J9" s="144"/>
    </row>
    <row r="10" spans="1:10" x14ac:dyDescent="0.25">
      <c r="A10" s="144"/>
      <c r="B10" s="144"/>
      <c r="C10" s="144"/>
      <c r="D10" s="144"/>
      <c r="E10" s="144"/>
      <c r="F10" s="144"/>
      <c r="G10" s="144"/>
      <c r="H10" s="144"/>
      <c r="I10" s="144"/>
      <c r="J10" s="144"/>
    </row>
    <row r="11" spans="1:10" x14ac:dyDescent="0.25">
      <c r="A11" s="148"/>
      <c r="B11" s="148"/>
      <c r="C11" s="148"/>
      <c r="D11" s="148"/>
      <c r="E11" s="148"/>
      <c r="F11" s="148"/>
      <c r="G11" s="148"/>
      <c r="H11" s="148"/>
      <c r="I11" s="148"/>
      <c r="J11" s="148"/>
    </row>
    <row r="12" spans="1:10" x14ac:dyDescent="0.25">
      <c r="A12" s="149" t="s">
        <v>8</v>
      </c>
      <c r="B12" s="149"/>
      <c r="C12" s="149"/>
      <c r="D12" s="149"/>
      <c r="E12" s="149"/>
      <c r="F12" s="149"/>
      <c r="G12" s="149"/>
      <c r="H12" s="149"/>
      <c r="I12" s="149"/>
      <c r="J12" s="149"/>
    </row>
    <row r="13" spans="1:10" x14ac:dyDescent="0.25">
      <c r="A13" s="148"/>
      <c r="B13" s="148"/>
      <c r="C13" s="148"/>
      <c r="D13" s="148"/>
      <c r="E13" s="148"/>
      <c r="F13" s="148"/>
      <c r="G13" s="148"/>
      <c r="H13" s="148"/>
      <c r="I13" s="148"/>
      <c r="J13" s="148"/>
    </row>
    <row r="14" spans="1:10" ht="24.75" customHeight="1" x14ac:dyDescent="0.25">
      <c r="A14" s="150" t="s">
        <v>9</v>
      </c>
      <c r="B14" s="150"/>
      <c r="C14" s="150"/>
      <c r="D14" s="150"/>
      <c r="E14" s="150"/>
      <c r="F14" s="5" t="s">
        <v>10</v>
      </c>
      <c r="G14" s="5" t="s">
        <v>11</v>
      </c>
      <c r="H14" s="151" t="s">
        <v>12</v>
      </c>
      <c r="I14" s="151"/>
      <c r="J14" s="5" t="s">
        <v>13</v>
      </c>
    </row>
    <row r="15" spans="1:10" ht="17.25" customHeight="1" x14ac:dyDescent="0.25">
      <c r="A15" s="146" t="s">
        <v>14</v>
      </c>
      <c r="B15" s="146"/>
      <c r="C15" s="146"/>
      <c r="D15" s="146"/>
      <c r="E15" s="146"/>
      <c r="F15" s="146"/>
      <c r="G15" s="146"/>
      <c r="H15" s="146"/>
      <c r="I15" s="146"/>
      <c r="J15" s="146"/>
    </row>
    <row r="16" spans="1:10" x14ac:dyDescent="0.25">
      <c r="A16" s="144" t="s">
        <v>15</v>
      </c>
      <c r="B16" s="144"/>
      <c r="C16" s="144"/>
      <c r="D16" s="144"/>
      <c r="E16" s="144"/>
      <c r="F16" s="7">
        <v>0</v>
      </c>
      <c r="G16" s="7">
        <v>0</v>
      </c>
      <c r="H16" s="152">
        <v>0</v>
      </c>
      <c r="I16" s="152"/>
      <c r="J16" s="7">
        <f>F16+G16-H16</f>
        <v>0</v>
      </c>
    </row>
    <row r="17" spans="1:10" x14ac:dyDescent="0.25">
      <c r="A17" s="144" t="s">
        <v>16</v>
      </c>
      <c r="B17" s="144"/>
      <c r="C17" s="144"/>
      <c r="D17" s="144"/>
      <c r="E17" s="144"/>
      <c r="F17" s="7">
        <v>0</v>
      </c>
      <c r="G17" s="7">
        <v>0</v>
      </c>
      <c r="H17" s="152">
        <v>0</v>
      </c>
      <c r="I17" s="152"/>
      <c r="J17" s="7">
        <f>F17+G17-H17</f>
        <v>0</v>
      </c>
    </row>
    <row r="18" spans="1:1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6" t="s">
        <v>17</v>
      </c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5">
      <c r="A20" s="144" t="s">
        <v>18</v>
      </c>
      <c r="B20" s="144"/>
      <c r="C20" s="144"/>
      <c r="D20" s="144"/>
      <c r="E20" s="144"/>
      <c r="F20" s="7">
        <v>0</v>
      </c>
      <c r="G20" s="7">
        <v>0</v>
      </c>
      <c r="H20" s="152">
        <v>0</v>
      </c>
      <c r="I20" s="152"/>
      <c r="J20" s="7">
        <f>F20+G20-H20</f>
        <v>0</v>
      </c>
    </row>
    <row r="21" spans="1:10" x14ac:dyDescent="0.25">
      <c r="A21" s="144" t="s">
        <v>19</v>
      </c>
      <c r="B21" s="144"/>
      <c r="C21" s="144"/>
      <c r="D21" s="144"/>
      <c r="E21" s="144"/>
      <c r="F21" s="7">
        <v>0</v>
      </c>
      <c r="G21" s="7">
        <v>0</v>
      </c>
      <c r="H21" s="152">
        <v>0</v>
      </c>
      <c r="I21" s="152"/>
      <c r="J21" s="7">
        <f>F21+G21-H21</f>
        <v>0</v>
      </c>
    </row>
    <row r="22" spans="1:10" x14ac:dyDescent="0.25">
      <c r="A22" s="144" t="s">
        <v>20</v>
      </c>
      <c r="B22" s="144"/>
      <c r="C22" s="144"/>
      <c r="D22" s="144"/>
      <c r="E22" s="144"/>
      <c r="F22" s="7">
        <v>0</v>
      </c>
      <c r="G22" s="7">
        <v>0</v>
      </c>
      <c r="H22" s="152">
        <v>0</v>
      </c>
      <c r="I22" s="152"/>
      <c r="J22" s="7">
        <f>F22+G22-H22</f>
        <v>0</v>
      </c>
    </row>
    <row r="23" spans="1:10" x14ac:dyDescent="0.25">
      <c r="A23" s="1"/>
      <c r="B23" s="1"/>
      <c r="C23" s="1"/>
      <c r="D23" s="1"/>
      <c r="E23" s="1"/>
      <c r="F23" s="7"/>
      <c r="G23" s="7"/>
      <c r="H23" s="7"/>
      <c r="I23" s="7"/>
      <c r="J23" s="7"/>
    </row>
    <row r="24" spans="1:10" ht="15.75" customHeight="1" x14ac:dyDescent="0.25">
      <c r="A24" s="8"/>
      <c r="B24" s="8"/>
      <c r="C24" s="8"/>
      <c r="D24" s="8"/>
      <c r="E24" s="8"/>
      <c r="F24" s="9"/>
      <c r="G24" s="9"/>
      <c r="H24" s="9"/>
      <c r="I24" s="9"/>
      <c r="J24" s="9"/>
    </row>
    <row r="25" spans="1:10" x14ac:dyDescent="0.25">
      <c r="A25" s="4" t="s">
        <v>7</v>
      </c>
      <c r="B25" s="154" t="s">
        <v>21</v>
      </c>
      <c r="C25" s="154"/>
      <c r="D25" s="154"/>
      <c r="E25" s="155">
        <f>SUM(F16:F22)</f>
        <v>0</v>
      </c>
      <c r="F25" s="155"/>
      <c r="G25" s="155">
        <v>0</v>
      </c>
      <c r="H25" s="155">
        <f>SUM(I16:I22)</f>
        <v>0</v>
      </c>
      <c r="I25" s="155"/>
      <c r="J25" s="155">
        <v>0</v>
      </c>
    </row>
    <row r="26" spans="1:10" x14ac:dyDescent="0.25">
      <c r="A26" s="4"/>
      <c r="B26" s="154"/>
      <c r="C26" s="154"/>
      <c r="D26" s="154"/>
      <c r="E26" s="155"/>
      <c r="F26" s="155"/>
      <c r="G26" s="155"/>
      <c r="H26" s="155"/>
      <c r="I26" s="155"/>
      <c r="J26" s="155"/>
    </row>
    <row r="27" spans="1:10" x14ac:dyDescent="0.25">
      <c r="A27" s="148"/>
      <c r="B27" s="148"/>
      <c r="C27" s="148"/>
      <c r="D27" s="148"/>
      <c r="E27" s="148"/>
      <c r="F27" s="148"/>
      <c r="G27" s="148"/>
      <c r="H27" s="148"/>
      <c r="I27" s="148"/>
      <c r="J27" s="148"/>
    </row>
    <row r="28" spans="1:10" x14ac:dyDescent="0.25">
      <c r="A28" s="148"/>
      <c r="B28" s="148"/>
      <c r="C28" s="148"/>
      <c r="D28" s="148"/>
      <c r="E28" s="148"/>
      <c r="F28" s="148"/>
      <c r="G28" s="148"/>
      <c r="H28" s="148"/>
      <c r="I28" s="148"/>
      <c r="J28" s="148"/>
    </row>
    <row r="29" spans="1:10" x14ac:dyDescent="0.25">
      <c r="A29" s="148"/>
      <c r="B29" s="148"/>
      <c r="C29" s="148"/>
      <c r="D29" s="148"/>
      <c r="E29" s="148"/>
      <c r="F29" s="148"/>
      <c r="G29" s="148"/>
      <c r="H29" s="148"/>
      <c r="I29" s="148"/>
      <c r="J29" s="148"/>
    </row>
    <row r="30" spans="1:10" x14ac:dyDescent="0.25">
      <c r="A30" s="153"/>
      <c r="B30" s="153"/>
      <c r="C30" s="153"/>
      <c r="D30" s="153"/>
      <c r="E30" s="153"/>
      <c r="F30" s="153"/>
      <c r="G30" s="153"/>
      <c r="H30" s="153"/>
      <c r="I30" s="153"/>
      <c r="J30" s="153"/>
    </row>
  </sheetData>
  <mergeCells count="46">
    <mergeCell ref="A30:J30"/>
    <mergeCell ref="A21:E21"/>
    <mergeCell ref="H21:I21"/>
    <mergeCell ref="A22:E22"/>
    <mergeCell ref="H22:I22"/>
    <mergeCell ref="B25:D25"/>
    <mergeCell ref="E25:F26"/>
    <mergeCell ref="G25:G26"/>
    <mergeCell ref="H25:I26"/>
    <mergeCell ref="J25:J26"/>
    <mergeCell ref="B26:D26"/>
    <mergeCell ref="A27:J27"/>
    <mergeCell ref="A28:J28"/>
    <mergeCell ref="A29:J29"/>
    <mergeCell ref="A16:E16"/>
    <mergeCell ref="H16:I16"/>
    <mergeCell ref="A17:E17"/>
    <mergeCell ref="H17:I17"/>
    <mergeCell ref="A20:E20"/>
    <mergeCell ref="H20:I20"/>
    <mergeCell ref="A15:J15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8:B8"/>
    <mergeCell ref="C8:H8"/>
    <mergeCell ref="I8:J8"/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</mergeCells>
  <pageMargins left="0.7" right="0.7" top="0.75" bottom="0.75" header="0.3" footer="0.3"/>
  <pageSetup scale="98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6B08-0C12-4D25-9A53-B6DB1FD0078D}">
  <dimension ref="A1:V41"/>
  <sheetViews>
    <sheetView topLeftCell="A9" workbookViewId="0">
      <selection activeCell="A5" sqref="A5"/>
    </sheetView>
  </sheetViews>
  <sheetFormatPr defaultColWidth="9.140625" defaultRowHeight="15" x14ac:dyDescent="0.25"/>
  <cols>
    <col min="1" max="1" width="1.7109375" style="11" customWidth="1"/>
    <col min="2" max="2" width="9" style="11" customWidth="1"/>
    <col min="3" max="3" width="44.28515625" style="11" customWidth="1"/>
    <col min="4" max="4" width="1.7109375" style="11" customWidth="1"/>
    <col min="5" max="5" width="15.7109375" style="30" customWidth="1"/>
    <col min="6" max="6" width="1.7109375" style="30" customWidth="1"/>
    <col min="7" max="7" width="15.7109375" style="30" customWidth="1"/>
    <col min="8" max="8" width="1.7109375" style="30" customWidth="1"/>
    <col min="9" max="9" width="15.7109375" style="30" customWidth="1"/>
    <col min="10" max="10" width="1.7109375" style="30" customWidth="1"/>
    <col min="11" max="11" width="15.7109375" style="30" customWidth="1"/>
    <col min="12" max="12" width="1.7109375" style="11" customWidth="1"/>
    <col min="13" max="13" width="15.7109375" style="11" customWidth="1"/>
    <col min="14" max="14" width="1.7109375" style="11" customWidth="1"/>
    <col min="15" max="15" width="15.7109375" style="11" customWidth="1"/>
    <col min="16" max="16" width="1.7109375" style="11" customWidth="1"/>
    <col min="17" max="17" width="15.7109375" style="11" customWidth="1"/>
    <col min="18" max="18" width="1.7109375" style="11" customWidth="1"/>
    <col min="19" max="20" width="15.7109375" style="11" customWidth="1"/>
    <col min="21" max="21" width="1.7109375" style="11" customWidth="1"/>
    <col min="22" max="22" width="15.7109375" style="11" customWidth="1"/>
    <col min="23" max="16384" width="9.140625" style="11"/>
  </cols>
  <sheetData>
    <row r="1" spans="1:22" x14ac:dyDescent="0.25">
      <c r="A1" s="10" t="s">
        <v>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x14ac:dyDescent="0.25">
      <c r="A2" s="10" t="s">
        <v>22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x14ac:dyDescent="0.25">
      <c r="A3" s="10" t="s">
        <v>23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x14ac:dyDescent="0.25">
      <c r="A4" s="10" t="s">
        <v>78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x14ac:dyDescent="0.25">
      <c r="A5" s="10" t="s">
        <v>24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x14ac:dyDescent="0.25">
      <c r="A6" s="12"/>
      <c r="B6" s="12"/>
      <c r="C6" s="12"/>
      <c r="D6" s="12"/>
      <c r="E6" s="13"/>
      <c r="F6" s="13"/>
      <c r="G6" s="13"/>
      <c r="H6" s="13"/>
      <c r="I6" s="13"/>
      <c r="J6" s="13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ht="15.75" thickBot="1" x14ac:dyDescent="0.3">
      <c r="A7" s="12"/>
      <c r="B7" s="12"/>
      <c r="C7" s="12"/>
      <c r="D7" s="12"/>
      <c r="E7" s="13"/>
      <c r="F7" s="13"/>
      <c r="G7" s="13"/>
      <c r="H7" s="13"/>
      <c r="I7" s="13"/>
      <c r="J7" s="14"/>
      <c r="K7" s="15" t="s">
        <v>25</v>
      </c>
      <c r="L7" s="15"/>
      <c r="M7" s="15"/>
      <c r="N7" s="15"/>
      <c r="O7" s="15"/>
      <c r="P7" s="15"/>
      <c r="Q7" s="15"/>
      <c r="R7" s="15"/>
      <c r="S7" s="15"/>
      <c r="T7" s="15"/>
      <c r="U7" s="12"/>
      <c r="V7" s="12"/>
    </row>
    <row r="8" spans="1:22" x14ac:dyDescent="0.25">
      <c r="A8" s="12"/>
      <c r="B8" s="12"/>
      <c r="C8" s="12"/>
      <c r="D8" s="12"/>
      <c r="E8" s="16" t="s">
        <v>26</v>
      </c>
      <c r="F8" s="17"/>
      <c r="G8" s="16" t="s">
        <v>27</v>
      </c>
      <c r="H8" s="17"/>
      <c r="I8" s="16" t="s">
        <v>28</v>
      </c>
      <c r="J8" s="18"/>
      <c r="K8" s="16" t="s">
        <v>29</v>
      </c>
      <c r="L8" s="12"/>
      <c r="M8" s="16" t="s">
        <v>30</v>
      </c>
      <c r="N8" s="17"/>
      <c r="O8" s="16" t="s">
        <v>31</v>
      </c>
      <c r="P8" s="17"/>
      <c r="Q8" s="16" t="s">
        <v>32</v>
      </c>
      <c r="R8" s="17"/>
      <c r="S8" s="16" t="s">
        <v>33</v>
      </c>
      <c r="T8" s="16" t="s">
        <v>34</v>
      </c>
      <c r="U8" s="17"/>
      <c r="V8" s="16" t="s">
        <v>35</v>
      </c>
    </row>
    <row r="9" spans="1:22" ht="120" x14ac:dyDescent="0.25">
      <c r="A9" s="19"/>
      <c r="B9" s="12"/>
      <c r="C9" s="12"/>
      <c r="D9" s="12"/>
      <c r="E9" s="20" t="s">
        <v>36</v>
      </c>
      <c r="F9" s="17"/>
      <c r="G9" s="20" t="s">
        <v>37</v>
      </c>
      <c r="H9" s="17"/>
      <c r="I9" s="21" t="s">
        <v>38</v>
      </c>
      <c r="J9" s="18"/>
      <c r="K9" s="20" t="s">
        <v>39</v>
      </c>
      <c r="L9" s="17"/>
      <c r="M9" s="20" t="s">
        <v>40</v>
      </c>
      <c r="N9" s="12"/>
      <c r="O9" s="20" t="s">
        <v>41</v>
      </c>
      <c r="P9" s="12"/>
      <c r="Q9" s="20" t="s">
        <v>42</v>
      </c>
      <c r="R9" s="12"/>
      <c r="S9" s="20" t="s">
        <v>43</v>
      </c>
      <c r="T9" s="20" t="s">
        <v>44</v>
      </c>
      <c r="U9" s="12"/>
      <c r="V9" s="20" t="s">
        <v>45</v>
      </c>
    </row>
    <row r="10" spans="1:22" x14ac:dyDescent="0.25">
      <c r="A10" s="12"/>
      <c r="B10" s="12"/>
      <c r="C10" s="12"/>
      <c r="D10" s="12"/>
      <c r="E10" s="13"/>
      <c r="F10" s="13"/>
      <c r="G10" s="13"/>
      <c r="H10" s="13"/>
      <c r="I10" s="13"/>
      <c r="J10" s="14"/>
      <c r="K10" s="13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x14ac:dyDescent="0.25">
      <c r="A11" s="19" t="s">
        <v>14</v>
      </c>
      <c r="B11" s="12"/>
      <c r="C11" s="12"/>
      <c r="D11" s="12"/>
      <c r="E11" s="13"/>
      <c r="F11" s="13"/>
      <c r="G11" s="13"/>
      <c r="H11" s="13"/>
      <c r="I11" s="13"/>
      <c r="J11" s="14"/>
      <c r="K11" s="13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x14ac:dyDescent="0.25">
      <c r="A12" s="12"/>
      <c r="B12" s="12" t="s">
        <v>46</v>
      </c>
      <c r="C12" s="12"/>
      <c r="D12" s="12"/>
      <c r="E12" s="22"/>
      <c r="F12" s="22"/>
      <c r="G12" s="22"/>
      <c r="H12" s="22"/>
      <c r="I12" s="23"/>
      <c r="J12" s="24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3">
        <f t="shared" ref="V12:V17" si="0">SUM(K12:T12)</f>
        <v>0</v>
      </c>
    </row>
    <row r="13" spans="1:22" x14ac:dyDescent="0.25">
      <c r="A13" s="12"/>
      <c r="B13" s="12" t="s">
        <v>47</v>
      </c>
      <c r="C13" s="12"/>
      <c r="D13" s="12"/>
      <c r="E13" s="22"/>
      <c r="F13" s="22"/>
      <c r="G13" s="22"/>
      <c r="H13" s="22"/>
      <c r="I13" s="23"/>
      <c r="J13" s="24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3">
        <f t="shared" si="0"/>
        <v>0</v>
      </c>
    </row>
    <row r="14" spans="1:22" x14ac:dyDescent="0.25">
      <c r="A14" s="12"/>
      <c r="B14" s="12" t="s">
        <v>48</v>
      </c>
      <c r="C14" s="12"/>
      <c r="D14" s="12"/>
      <c r="E14" s="22"/>
      <c r="F14" s="22"/>
      <c r="G14" s="22"/>
      <c r="H14" s="22"/>
      <c r="I14" s="23"/>
      <c r="J14" s="24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3">
        <f t="shared" si="0"/>
        <v>0</v>
      </c>
    </row>
    <row r="15" spans="1:22" x14ac:dyDescent="0.25">
      <c r="A15" s="12"/>
      <c r="B15" s="12" t="s">
        <v>49</v>
      </c>
      <c r="C15" s="12"/>
      <c r="D15" s="12"/>
      <c r="E15" s="22"/>
      <c r="F15" s="22"/>
      <c r="G15" s="22"/>
      <c r="H15" s="22"/>
      <c r="I15" s="23"/>
      <c r="J15" s="24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3">
        <f t="shared" si="0"/>
        <v>0</v>
      </c>
    </row>
    <row r="16" spans="1:22" x14ac:dyDescent="0.25">
      <c r="A16" s="12"/>
      <c r="B16" s="12" t="s">
        <v>50</v>
      </c>
      <c r="C16" s="12"/>
      <c r="D16" s="12"/>
      <c r="E16" s="22"/>
      <c r="F16" s="22"/>
      <c r="G16" s="22"/>
      <c r="H16" s="22"/>
      <c r="I16" s="23"/>
      <c r="J16" s="24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3">
        <f t="shared" si="0"/>
        <v>0</v>
      </c>
    </row>
    <row r="17" spans="1:22" x14ac:dyDescent="0.25">
      <c r="A17" s="12"/>
      <c r="B17" s="12" t="s">
        <v>51</v>
      </c>
      <c r="C17" s="12"/>
      <c r="D17" s="12"/>
      <c r="E17" s="22"/>
      <c r="F17" s="22"/>
      <c r="G17" s="22"/>
      <c r="H17" s="22"/>
      <c r="I17" s="23"/>
      <c r="J17" s="24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3">
        <f t="shared" si="0"/>
        <v>0</v>
      </c>
    </row>
    <row r="18" spans="1:22" x14ac:dyDescent="0.25">
      <c r="A18" s="19" t="s">
        <v>17</v>
      </c>
      <c r="B18" s="12"/>
      <c r="C18" s="12"/>
      <c r="D18" s="12"/>
      <c r="E18" s="22"/>
      <c r="F18" s="22"/>
      <c r="G18" s="22"/>
      <c r="H18" s="22"/>
      <c r="I18" s="23"/>
      <c r="J18" s="24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3"/>
    </row>
    <row r="19" spans="1:22" x14ac:dyDescent="0.25">
      <c r="A19" s="12"/>
      <c r="B19" s="12" t="s">
        <v>52</v>
      </c>
      <c r="C19" s="12"/>
      <c r="D19" s="12"/>
      <c r="E19" s="22"/>
      <c r="F19" s="22"/>
      <c r="G19" s="22"/>
      <c r="H19" s="22"/>
      <c r="I19" s="23"/>
      <c r="J19" s="24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3">
        <f t="shared" ref="V19:V30" si="1">SUM(K19:T19)</f>
        <v>0</v>
      </c>
    </row>
    <row r="20" spans="1:22" x14ac:dyDescent="0.25">
      <c r="A20" s="12"/>
      <c r="B20" s="12" t="s">
        <v>53</v>
      </c>
      <c r="C20" s="12"/>
      <c r="D20" s="12"/>
      <c r="E20" s="22"/>
      <c r="F20" s="22"/>
      <c r="G20" s="22"/>
      <c r="H20" s="22"/>
      <c r="I20" s="23"/>
      <c r="J20" s="24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3">
        <f t="shared" si="1"/>
        <v>0</v>
      </c>
    </row>
    <row r="21" spans="1:22" x14ac:dyDescent="0.25">
      <c r="A21" s="12"/>
      <c r="B21" s="12" t="s">
        <v>54</v>
      </c>
      <c r="C21" s="12"/>
      <c r="D21" s="12"/>
      <c r="E21" s="22"/>
      <c r="F21" s="22"/>
      <c r="G21" s="22"/>
      <c r="H21" s="22"/>
      <c r="I21" s="23"/>
      <c r="J21" s="24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3">
        <f t="shared" si="1"/>
        <v>0</v>
      </c>
    </row>
    <row r="22" spans="1:22" x14ac:dyDescent="0.25">
      <c r="A22" s="12"/>
      <c r="B22" s="12" t="s">
        <v>55</v>
      </c>
      <c r="C22" s="12"/>
      <c r="D22" s="12"/>
      <c r="E22" s="22"/>
      <c r="F22" s="22"/>
      <c r="G22" s="22"/>
      <c r="H22" s="22"/>
      <c r="I22" s="23"/>
      <c r="J22" s="24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3">
        <f t="shared" si="1"/>
        <v>0</v>
      </c>
    </row>
    <row r="23" spans="1:22" x14ac:dyDescent="0.25">
      <c r="A23" s="12"/>
      <c r="B23" s="12" t="s">
        <v>56</v>
      </c>
      <c r="C23" s="12"/>
      <c r="D23" s="12"/>
      <c r="E23" s="22"/>
      <c r="F23" s="22"/>
      <c r="G23" s="22"/>
      <c r="H23" s="22"/>
      <c r="I23" s="23"/>
      <c r="J23" s="24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3">
        <f t="shared" si="1"/>
        <v>0</v>
      </c>
    </row>
    <row r="24" spans="1:22" x14ac:dyDescent="0.25">
      <c r="A24" s="12"/>
      <c r="B24" s="12" t="s">
        <v>57</v>
      </c>
      <c r="C24" s="12"/>
      <c r="D24" s="12"/>
      <c r="E24" s="22">
        <v>45411.49</v>
      </c>
      <c r="F24" s="22"/>
      <c r="G24" s="22">
        <v>0</v>
      </c>
      <c r="H24" s="22"/>
      <c r="I24" s="23">
        <f>G24-E24</f>
        <v>-45411.49</v>
      </c>
      <c r="J24" s="24"/>
      <c r="K24" s="22"/>
      <c r="L24" s="22"/>
      <c r="M24" s="22"/>
      <c r="N24" s="22"/>
      <c r="O24" s="22"/>
      <c r="P24" s="22"/>
      <c r="Q24" s="22"/>
      <c r="R24" s="22"/>
      <c r="S24" s="22"/>
      <c r="T24" s="22">
        <v>-45411.49</v>
      </c>
      <c r="U24" s="22"/>
      <c r="V24" s="23">
        <f t="shared" si="1"/>
        <v>-45411.49</v>
      </c>
    </row>
    <row r="25" spans="1:22" x14ac:dyDescent="0.25">
      <c r="A25" s="12"/>
      <c r="B25" s="12" t="s">
        <v>58</v>
      </c>
      <c r="C25" s="12"/>
      <c r="D25" s="12"/>
      <c r="E25" s="22"/>
      <c r="F25" s="22"/>
      <c r="G25" s="22"/>
      <c r="H25" s="22"/>
      <c r="I25" s="23"/>
      <c r="J25" s="24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3">
        <f t="shared" si="1"/>
        <v>0</v>
      </c>
    </row>
    <row r="26" spans="1:22" x14ac:dyDescent="0.25">
      <c r="A26" s="12"/>
      <c r="B26" s="25" t="s">
        <v>59</v>
      </c>
      <c r="C26" s="12"/>
      <c r="D26" s="12"/>
      <c r="E26" s="22">
        <v>5316.94</v>
      </c>
      <c r="F26" s="22"/>
      <c r="G26" s="22">
        <v>0</v>
      </c>
      <c r="H26" s="22"/>
      <c r="I26" s="23">
        <f>G26-E26</f>
        <v>-5316.94</v>
      </c>
      <c r="J26" s="24"/>
      <c r="K26" s="22"/>
      <c r="L26" s="22"/>
      <c r="M26" s="22"/>
      <c r="N26" s="22"/>
      <c r="O26" s="22"/>
      <c r="P26" s="22"/>
      <c r="Q26" s="22"/>
      <c r="R26" s="22"/>
      <c r="S26" s="22">
        <v>-5316.94</v>
      </c>
      <c r="T26" s="22"/>
      <c r="U26" s="22"/>
      <c r="V26" s="23">
        <f t="shared" si="1"/>
        <v>-5316.94</v>
      </c>
    </row>
    <row r="27" spans="1:22" x14ac:dyDescent="0.25">
      <c r="A27" s="12"/>
      <c r="B27" s="12" t="s">
        <v>60</v>
      </c>
      <c r="C27" s="12"/>
      <c r="D27" s="12"/>
      <c r="E27" s="22"/>
      <c r="F27" s="22"/>
      <c r="G27" s="22"/>
      <c r="H27" s="22"/>
      <c r="I27" s="23"/>
      <c r="J27" s="24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3">
        <f t="shared" si="1"/>
        <v>0</v>
      </c>
    </row>
    <row r="28" spans="1:22" x14ac:dyDescent="0.25">
      <c r="A28" s="12"/>
      <c r="B28" s="12" t="s">
        <v>61</v>
      </c>
      <c r="C28" s="12"/>
      <c r="D28" s="12"/>
      <c r="E28" s="22"/>
      <c r="F28" s="22"/>
      <c r="G28" s="22"/>
      <c r="H28" s="22"/>
      <c r="I28" s="23">
        <f>G28-E28</f>
        <v>0</v>
      </c>
      <c r="J28" s="24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3">
        <f t="shared" si="1"/>
        <v>0</v>
      </c>
    </row>
    <row r="29" spans="1:22" x14ac:dyDescent="0.25">
      <c r="A29" s="12"/>
      <c r="B29" s="12" t="s">
        <v>62</v>
      </c>
      <c r="C29" s="12"/>
      <c r="D29" s="12"/>
      <c r="E29" s="22"/>
      <c r="F29" s="22"/>
      <c r="G29" s="22"/>
      <c r="H29" s="22"/>
      <c r="I29" s="23"/>
      <c r="J29" s="24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3">
        <f t="shared" si="1"/>
        <v>0</v>
      </c>
    </row>
    <row r="30" spans="1:22" x14ac:dyDescent="0.25">
      <c r="A30" s="12"/>
      <c r="B30" s="12" t="s">
        <v>63</v>
      </c>
      <c r="C30" s="12"/>
      <c r="D30" s="12"/>
      <c r="E30" s="26"/>
      <c r="F30" s="22"/>
      <c r="G30" s="26"/>
      <c r="H30" s="22"/>
      <c r="I30" s="23"/>
      <c r="J30" s="24"/>
      <c r="K30" s="26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3">
        <f t="shared" si="1"/>
        <v>0</v>
      </c>
    </row>
    <row r="31" spans="1:22" ht="15.75" thickBot="1" x14ac:dyDescent="0.3">
      <c r="A31" s="27" t="s">
        <v>64</v>
      </c>
      <c r="E31" s="28">
        <f>SUM(E12:E30)</f>
        <v>50728.43</v>
      </c>
      <c r="F31" s="23"/>
      <c r="G31" s="28">
        <f>SUM(G12:G30)</f>
        <v>0</v>
      </c>
      <c r="H31" s="23"/>
      <c r="I31" s="28">
        <f>SUM(I12:I30)</f>
        <v>-50728.43</v>
      </c>
      <c r="J31" s="29"/>
      <c r="K31" s="28">
        <f>SUM(K12:K30)</f>
        <v>0</v>
      </c>
      <c r="L31" s="23"/>
      <c r="M31" s="28">
        <f>SUM(M12:M30)</f>
        <v>0</v>
      </c>
      <c r="N31" s="23"/>
      <c r="O31" s="28">
        <f>SUM(O12:O30)</f>
        <v>0</v>
      </c>
      <c r="P31" s="23"/>
      <c r="Q31" s="28">
        <f>SUM(Q12:Q30)</f>
        <v>0</v>
      </c>
      <c r="R31" s="23"/>
      <c r="S31" s="28">
        <f>SUM(S12:S30)</f>
        <v>-5316.94</v>
      </c>
      <c r="T31" s="28">
        <f>SUM(T12:T30)</f>
        <v>-45411.49</v>
      </c>
      <c r="U31" s="23"/>
      <c r="V31" s="28">
        <f>SUM(V12:V30)</f>
        <v>-50728.43</v>
      </c>
    </row>
    <row r="32" spans="1:22" ht="15.75" thickTop="1" x14ac:dyDescent="0.25">
      <c r="A32" s="12"/>
      <c r="B32" s="12"/>
      <c r="C32" s="12"/>
      <c r="D32" s="12"/>
      <c r="E32" s="13"/>
      <c r="F32" s="13"/>
      <c r="G32" s="13"/>
      <c r="H32" s="13"/>
      <c r="I32" s="13"/>
      <c r="J32" s="13"/>
      <c r="K32" s="13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x14ac:dyDescent="0.25">
      <c r="A33" s="12"/>
      <c r="B33" s="12"/>
      <c r="C33" s="12"/>
      <c r="D33" s="12"/>
      <c r="E33" s="13"/>
      <c r="F33" s="13"/>
      <c r="G33" s="13"/>
      <c r="H33" s="13"/>
      <c r="I33" s="13"/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x14ac:dyDescent="0.25">
      <c r="A34" s="12" t="s">
        <v>65</v>
      </c>
      <c r="B34" s="12"/>
      <c r="C34" s="12"/>
      <c r="D34" s="12"/>
      <c r="E34" s="13"/>
      <c r="F34" s="13"/>
      <c r="G34" s="13"/>
      <c r="H34" s="13"/>
      <c r="I34" s="13"/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x14ac:dyDescent="0.25">
      <c r="A35" s="12" t="s">
        <v>66</v>
      </c>
      <c r="B35" s="12"/>
      <c r="C35" s="12" t="s">
        <v>67</v>
      </c>
      <c r="D35" s="12"/>
      <c r="E35" s="13"/>
      <c r="F35" s="13"/>
      <c r="G35" s="13"/>
      <c r="H35" s="13"/>
      <c r="I35" s="13"/>
      <c r="J35" s="13"/>
      <c r="K35" s="13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x14ac:dyDescent="0.25">
      <c r="A36" s="12" t="s">
        <v>68</v>
      </c>
      <c r="B36" s="12"/>
      <c r="C36" s="12" t="s">
        <v>69</v>
      </c>
      <c r="D36" s="12"/>
      <c r="E36" s="13"/>
      <c r="F36" s="13"/>
      <c r="G36" s="13"/>
      <c r="H36" s="13"/>
      <c r="I36" s="13"/>
      <c r="J36" s="13"/>
      <c r="K36" s="13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x14ac:dyDescent="0.25">
      <c r="A37" s="12" t="s">
        <v>70</v>
      </c>
      <c r="B37" s="12"/>
      <c r="C37" s="12" t="s">
        <v>71</v>
      </c>
      <c r="D37" s="12"/>
      <c r="E37" s="13"/>
      <c r="F37" s="13"/>
      <c r="G37" s="13"/>
      <c r="H37" s="13"/>
      <c r="I37" s="13"/>
      <c r="J37" s="13"/>
      <c r="K37" s="13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x14ac:dyDescent="0.25">
      <c r="A38" s="12"/>
      <c r="B38" s="12"/>
      <c r="C38" s="12" t="s">
        <v>72</v>
      </c>
      <c r="D38" s="12"/>
      <c r="E38" s="13"/>
      <c r="F38" s="13"/>
      <c r="G38" s="13"/>
      <c r="H38" s="13"/>
      <c r="I38" s="13"/>
      <c r="J38" s="13"/>
      <c r="K38" s="13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x14ac:dyDescent="0.25">
      <c r="A39" s="12" t="s">
        <v>73</v>
      </c>
      <c r="B39" s="12"/>
      <c r="C39" s="12" t="s">
        <v>74</v>
      </c>
      <c r="D39" s="12"/>
      <c r="E39" s="13"/>
      <c r="F39" s="13"/>
      <c r="G39" s="13"/>
      <c r="H39" s="13"/>
      <c r="I39" s="13"/>
      <c r="J39" s="13"/>
      <c r="K39" s="13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x14ac:dyDescent="0.25">
      <c r="A40" s="12" t="s">
        <v>75</v>
      </c>
      <c r="B40" s="12"/>
      <c r="C40" s="12" t="s">
        <v>76</v>
      </c>
      <c r="D40" s="12"/>
      <c r="E40" s="13"/>
      <c r="F40" s="13"/>
      <c r="G40" s="13"/>
      <c r="H40" s="13"/>
      <c r="I40" s="13"/>
      <c r="J40" s="13"/>
      <c r="K40" s="13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x14ac:dyDescent="0.25">
      <c r="A41" s="12"/>
      <c r="B41" s="12"/>
      <c r="C41" s="12"/>
      <c r="D41" s="12"/>
      <c r="E41" s="13"/>
      <c r="F41" s="13"/>
      <c r="G41" s="13"/>
      <c r="H41" s="13"/>
      <c r="I41" s="13"/>
      <c r="J41" s="13"/>
      <c r="K41" s="13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</sheetData>
  <printOptions horizontalCentered="1"/>
  <pageMargins left="0" right="0" top="0.75" bottom="0.75" header="0.3" footer="0.3"/>
  <pageSetup scale="60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FCB4-E8C5-4D14-9468-56DEB3FC6B10}">
  <dimension ref="A1:K32"/>
  <sheetViews>
    <sheetView showGridLines="0" topLeftCell="A13" zoomScaleNormal="100" workbookViewId="0">
      <selection activeCell="H24" sqref="H24:I24"/>
    </sheetView>
  </sheetViews>
  <sheetFormatPr defaultRowHeight="15" x14ac:dyDescent="0.25"/>
  <cols>
    <col min="1" max="1" width="12.140625" style="31" customWidth="1"/>
    <col min="2" max="2" width="5.28515625" style="31" customWidth="1"/>
    <col min="3" max="3" width="7.5703125" style="31" customWidth="1"/>
    <col min="4" max="4" width="4.5703125" style="31" customWidth="1"/>
    <col min="5" max="5" width="19" style="31" customWidth="1"/>
    <col min="6" max="6" width="17.42578125" style="31" customWidth="1"/>
    <col min="7" max="7" width="16.7109375" style="31" customWidth="1"/>
    <col min="8" max="8" width="14.42578125" style="31" customWidth="1"/>
    <col min="9" max="9" width="3" style="31" customWidth="1"/>
    <col min="10" max="10" width="23.5703125" style="31" customWidth="1"/>
    <col min="11" max="11" width="4.5703125" style="31" customWidth="1"/>
    <col min="12" max="16384" width="9.140625" style="31"/>
  </cols>
  <sheetData>
    <row r="1" spans="1:10" x14ac:dyDescent="0.25">
      <c r="A1" s="157"/>
      <c r="B1" s="157"/>
      <c r="C1" s="157"/>
      <c r="D1" s="157"/>
      <c r="E1" s="157"/>
      <c r="F1" s="157"/>
      <c r="G1" s="157"/>
      <c r="H1" s="157"/>
      <c r="I1" s="157" t="s">
        <v>0</v>
      </c>
      <c r="J1" s="157"/>
    </row>
    <row r="2" spans="1:10" x14ac:dyDescent="0.25">
      <c r="A2" s="168" t="s">
        <v>1</v>
      </c>
      <c r="B2" s="168"/>
      <c r="C2" s="168"/>
      <c r="D2" s="168"/>
      <c r="E2" s="168"/>
      <c r="F2" s="168"/>
      <c r="G2" s="168"/>
      <c r="H2" s="168"/>
      <c r="I2" s="168"/>
      <c r="J2" s="168"/>
    </row>
    <row r="3" spans="1:10" x14ac:dyDescent="0.25">
      <c r="A3" s="168" t="s">
        <v>89</v>
      </c>
      <c r="B3" s="168"/>
      <c r="C3" s="168"/>
      <c r="D3" s="168"/>
      <c r="E3" s="168"/>
      <c r="F3" s="168"/>
      <c r="G3" s="168"/>
      <c r="H3" s="168"/>
      <c r="I3" s="168"/>
      <c r="J3" s="168"/>
    </row>
    <row r="4" spans="1:10" x14ac:dyDescent="0.25">
      <c r="A4" s="168" t="s">
        <v>88</v>
      </c>
      <c r="B4" s="168"/>
      <c r="C4" s="168"/>
      <c r="D4" s="168"/>
      <c r="E4" s="168"/>
      <c r="F4" s="168"/>
      <c r="G4" s="168"/>
      <c r="H4" s="168"/>
      <c r="I4" s="168"/>
      <c r="J4" s="168"/>
    </row>
    <row r="5" spans="1:10" x14ac:dyDescent="0.25">
      <c r="A5" s="168" t="s">
        <v>3</v>
      </c>
      <c r="B5" s="168"/>
      <c r="C5" s="168"/>
      <c r="D5" s="168"/>
      <c r="E5" s="168"/>
      <c r="F5" s="168"/>
      <c r="G5" s="168"/>
      <c r="H5" s="168"/>
      <c r="I5" s="168"/>
      <c r="J5" s="168"/>
    </row>
    <row r="6" spans="1:10" x14ac:dyDescent="0.25">
      <c r="A6" s="168" t="s">
        <v>4</v>
      </c>
      <c r="B6" s="168"/>
      <c r="C6" s="168"/>
      <c r="D6" s="168"/>
      <c r="E6" s="168"/>
      <c r="F6" s="168"/>
      <c r="G6" s="168"/>
      <c r="H6" s="168"/>
      <c r="I6" s="168"/>
      <c r="J6" s="168"/>
    </row>
    <row r="7" spans="1:10" x14ac:dyDescent="0.25">
      <c r="A7" s="166" t="s">
        <v>5</v>
      </c>
      <c r="B7" s="166"/>
      <c r="C7" s="167" t="s">
        <v>6</v>
      </c>
      <c r="D7" s="167"/>
      <c r="E7" s="167"/>
      <c r="F7" s="167"/>
      <c r="G7" s="167"/>
      <c r="H7" s="167"/>
      <c r="I7" s="167" t="s">
        <v>87</v>
      </c>
      <c r="J7" s="157"/>
    </row>
    <row r="8" spans="1:10" x14ac:dyDescent="0.25">
      <c r="A8" s="166" t="s">
        <v>7</v>
      </c>
      <c r="B8" s="166"/>
      <c r="C8" s="167" t="s">
        <v>86</v>
      </c>
      <c r="D8" s="167"/>
      <c r="E8" s="167"/>
      <c r="F8" s="167"/>
      <c r="G8" s="167"/>
      <c r="H8" s="167"/>
      <c r="I8" s="166" t="s">
        <v>85</v>
      </c>
      <c r="J8" s="157"/>
    </row>
    <row r="9" spans="1:10" x14ac:dyDescent="0.25">
      <c r="A9" s="166"/>
      <c r="B9" s="166"/>
      <c r="C9" s="170"/>
      <c r="D9" s="170"/>
      <c r="E9" s="170"/>
      <c r="F9" s="170"/>
      <c r="G9" s="170"/>
      <c r="H9" s="170"/>
      <c r="I9" s="167" t="s">
        <v>84</v>
      </c>
      <c r="J9" s="157"/>
    </row>
    <row r="10" spans="1:10" x14ac:dyDescent="0.25">
      <c r="A10" s="157"/>
      <c r="B10" s="157"/>
      <c r="C10" s="157"/>
      <c r="D10" s="157"/>
      <c r="E10" s="157"/>
      <c r="F10" s="157"/>
      <c r="G10" s="157"/>
      <c r="H10" s="157"/>
      <c r="I10" s="157"/>
      <c r="J10" s="157"/>
    </row>
    <row r="11" spans="1:10" x14ac:dyDescent="0.25">
      <c r="A11" s="162"/>
      <c r="B11" s="162"/>
      <c r="C11" s="162"/>
      <c r="D11" s="162"/>
      <c r="E11" s="162"/>
      <c r="F11" s="162"/>
      <c r="G11" s="162"/>
      <c r="H11" s="162"/>
      <c r="I11" s="162"/>
      <c r="J11" s="162"/>
    </row>
    <row r="12" spans="1:10" x14ac:dyDescent="0.25">
      <c r="A12" s="169" t="s">
        <v>8</v>
      </c>
      <c r="B12" s="169"/>
      <c r="C12" s="169"/>
      <c r="D12" s="169"/>
      <c r="E12" s="169"/>
      <c r="F12" s="169"/>
      <c r="G12" s="169"/>
      <c r="H12" s="169"/>
      <c r="I12" s="169"/>
      <c r="J12" s="169"/>
    </row>
    <row r="13" spans="1:10" x14ac:dyDescent="0.25">
      <c r="A13" s="162"/>
      <c r="B13" s="162"/>
      <c r="C13" s="162"/>
      <c r="D13" s="162"/>
      <c r="E13" s="162"/>
      <c r="F13" s="162"/>
      <c r="G13" s="162"/>
      <c r="H13" s="162"/>
      <c r="I13" s="162"/>
      <c r="J13" s="162"/>
    </row>
    <row r="14" spans="1:10" ht="24.75" customHeight="1" x14ac:dyDescent="0.25">
      <c r="A14" s="163" t="s">
        <v>9</v>
      </c>
      <c r="B14" s="163"/>
      <c r="C14" s="163"/>
      <c r="D14" s="163"/>
      <c r="E14" s="163"/>
      <c r="F14" s="39" t="s">
        <v>10</v>
      </c>
      <c r="G14" s="39" t="s">
        <v>11</v>
      </c>
      <c r="H14" s="164" t="s">
        <v>12</v>
      </c>
      <c r="I14" s="164"/>
      <c r="J14" s="39" t="s">
        <v>13</v>
      </c>
    </row>
    <row r="15" spans="1:10" ht="17.25" customHeight="1" x14ac:dyDescent="0.25">
      <c r="A15" s="165" t="s">
        <v>14</v>
      </c>
      <c r="B15" s="165"/>
      <c r="C15" s="165"/>
      <c r="D15" s="165"/>
      <c r="E15" s="165"/>
      <c r="F15" s="165"/>
      <c r="G15" s="165"/>
      <c r="H15" s="165"/>
      <c r="I15" s="165"/>
      <c r="J15" s="165"/>
    </row>
    <row r="16" spans="1:10" x14ac:dyDescent="0.25">
      <c r="A16" s="157" t="s">
        <v>15</v>
      </c>
      <c r="B16" s="157"/>
      <c r="C16" s="157"/>
      <c r="D16" s="157"/>
      <c r="E16" s="157"/>
      <c r="F16" s="36">
        <v>0</v>
      </c>
      <c r="G16" s="36">
        <v>0</v>
      </c>
      <c r="H16" s="158">
        <v>0</v>
      </c>
      <c r="I16" s="158"/>
      <c r="J16" s="36">
        <f>F16+G16-H16</f>
        <v>0</v>
      </c>
    </row>
    <row r="17" spans="1:11" x14ac:dyDescent="0.25">
      <c r="A17" s="157" t="s">
        <v>16</v>
      </c>
      <c r="B17" s="157"/>
      <c r="C17" s="157"/>
      <c r="D17" s="157"/>
      <c r="E17" s="157"/>
      <c r="F17" s="36">
        <v>0</v>
      </c>
      <c r="G17" s="36">
        <v>0</v>
      </c>
      <c r="H17" s="158">
        <v>0</v>
      </c>
      <c r="I17" s="158"/>
      <c r="J17" s="36">
        <f>F17+G17-H17</f>
        <v>0</v>
      </c>
    </row>
    <row r="18" spans="1:11" x14ac:dyDescent="0.25">
      <c r="A18" s="32"/>
      <c r="B18" s="32"/>
      <c r="C18" s="32"/>
      <c r="D18" s="32"/>
      <c r="E18" s="32"/>
      <c r="F18" s="32"/>
      <c r="G18" s="32"/>
      <c r="H18" s="32"/>
      <c r="I18" s="32"/>
      <c r="J18" s="32"/>
    </row>
    <row r="19" spans="1:11" x14ac:dyDescent="0.25">
      <c r="A19" s="38" t="s">
        <v>17</v>
      </c>
      <c r="B19" s="38"/>
      <c r="C19" s="38"/>
      <c r="D19" s="38"/>
      <c r="E19" s="38"/>
      <c r="F19" s="38"/>
      <c r="G19" s="38"/>
      <c r="H19" s="38"/>
      <c r="I19" s="38"/>
      <c r="J19" s="38"/>
    </row>
    <row r="20" spans="1:11" x14ac:dyDescent="0.25">
      <c r="A20" s="157" t="s">
        <v>18</v>
      </c>
      <c r="B20" s="157"/>
      <c r="C20" s="157"/>
      <c r="D20" s="157"/>
      <c r="E20" s="157"/>
      <c r="F20" s="36">
        <v>0</v>
      </c>
      <c r="G20" s="36">
        <v>0</v>
      </c>
      <c r="H20" s="158">
        <v>0</v>
      </c>
      <c r="I20" s="158"/>
      <c r="J20" s="36">
        <f>F20+G20-H20</f>
        <v>0</v>
      </c>
    </row>
    <row r="21" spans="1:11" x14ac:dyDescent="0.25">
      <c r="A21" s="157" t="s">
        <v>19</v>
      </c>
      <c r="B21" s="157"/>
      <c r="C21" s="157"/>
      <c r="D21" s="157"/>
      <c r="E21" s="157"/>
      <c r="F21" s="36">
        <v>0</v>
      </c>
      <c r="G21" s="36">
        <v>0</v>
      </c>
      <c r="H21" s="158">
        <v>0</v>
      </c>
      <c r="I21" s="158"/>
      <c r="J21" s="36">
        <f>F21+G21-H21</f>
        <v>0</v>
      </c>
    </row>
    <row r="22" spans="1:11" x14ac:dyDescent="0.25">
      <c r="A22" s="157" t="s">
        <v>83</v>
      </c>
      <c r="B22" s="157"/>
      <c r="C22" s="157"/>
      <c r="D22" s="157"/>
      <c r="E22" s="157"/>
      <c r="F22" s="36">
        <v>-397.5</v>
      </c>
      <c r="G22" s="36">
        <v>0</v>
      </c>
      <c r="H22" s="158">
        <v>0</v>
      </c>
      <c r="I22" s="158"/>
      <c r="J22" s="36">
        <f>F22+G22-H22</f>
        <v>-397.5</v>
      </c>
      <c r="K22" s="31" t="s">
        <v>81</v>
      </c>
    </row>
    <row r="23" spans="1:11" x14ac:dyDescent="0.25">
      <c r="A23" s="157" t="s">
        <v>82</v>
      </c>
      <c r="B23" s="157"/>
      <c r="C23" s="157"/>
      <c r="D23" s="157"/>
      <c r="E23" s="157"/>
      <c r="F23" s="36">
        <v>-46.540491544103652</v>
      </c>
      <c r="G23" s="36">
        <v>-4.6493129161970801</v>
      </c>
      <c r="H23" s="158">
        <v>-3.6286239741306101</v>
      </c>
      <c r="I23" s="158"/>
      <c r="J23" s="36">
        <f>F23+G23-H23</f>
        <v>-47.561180486170123</v>
      </c>
      <c r="K23" s="31" t="s">
        <v>81</v>
      </c>
    </row>
    <row r="24" spans="1:11" x14ac:dyDescent="0.25">
      <c r="A24" s="157" t="s">
        <v>20</v>
      </c>
      <c r="B24" s="157"/>
      <c r="C24" s="157"/>
      <c r="D24" s="157"/>
      <c r="E24" s="157"/>
      <c r="F24" s="36">
        <v>0</v>
      </c>
      <c r="G24" s="36">
        <v>0</v>
      </c>
      <c r="H24" s="158">
        <v>0</v>
      </c>
      <c r="I24" s="158"/>
      <c r="J24" s="36">
        <f>F24+G24-H24</f>
        <v>0</v>
      </c>
    </row>
    <row r="25" spans="1:11" x14ac:dyDescent="0.25">
      <c r="A25" s="37"/>
      <c r="B25" s="37"/>
      <c r="C25" s="37"/>
      <c r="D25" s="37"/>
      <c r="E25" s="37"/>
      <c r="F25" s="36"/>
      <c r="G25" s="36"/>
      <c r="H25" s="36"/>
      <c r="I25" s="36"/>
      <c r="J25" s="36"/>
    </row>
    <row r="26" spans="1:11" ht="15.75" customHeight="1" x14ac:dyDescent="0.25">
      <c r="A26" s="35"/>
      <c r="B26" s="35"/>
      <c r="C26" s="35"/>
      <c r="D26" s="35"/>
      <c r="E26" s="35"/>
      <c r="F26" s="34"/>
      <c r="G26" s="34"/>
      <c r="H26" s="34"/>
      <c r="I26" s="34"/>
      <c r="J26" s="34"/>
    </row>
    <row r="27" spans="1:11" ht="13.5" customHeight="1" x14ac:dyDescent="0.25">
      <c r="A27" s="33" t="s">
        <v>7</v>
      </c>
      <c r="B27" s="159">
        <v>6005</v>
      </c>
      <c r="C27" s="160"/>
      <c r="D27" s="160"/>
      <c r="E27" s="161">
        <f>SUM(F16:F24)</f>
        <v>-444.04049154410365</v>
      </c>
      <c r="F27" s="161"/>
      <c r="G27" s="161">
        <f>SUM(G16:G24)</f>
        <v>-4.6493129161970801</v>
      </c>
      <c r="H27" s="161">
        <f>SUM(H16:I24)</f>
        <v>-3.6286239741306101</v>
      </c>
      <c r="I27" s="161"/>
      <c r="J27" s="161">
        <f>SUM(J16:J24)</f>
        <v>-445.06118048617014</v>
      </c>
      <c r="K27" s="31" t="s">
        <v>81</v>
      </c>
    </row>
    <row r="28" spans="1:11" x14ac:dyDescent="0.25">
      <c r="A28" s="33"/>
      <c r="B28" s="160"/>
      <c r="C28" s="160"/>
      <c r="D28" s="160"/>
      <c r="E28" s="161"/>
      <c r="F28" s="161"/>
      <c r="G28" s="161"/>
      <c r="H28" s="161"/>
      <c r="I28" s="161"/>
      <c r="J28" s="161"/>
    </row>
    <row r="29" spans="1:11" x14ac:dyDescent="0.25">
      <c r="A29" s="162" t="s">
        <v>80</v>
      </c>
      <c r="B29" s="162"/>
      <c r="C29" s="162"/>
      <c r="D29" s="162"/>
      <c r="E29" s="162"/>
      <c r="F29" s="162"/>
      <c r="G29" s="162"/>
      <c r="H29" s="162"/>
      <c r="I29" s="162"/>
      <c r="J29" s="162"/>
    </row>
    <row r="30" spans="1:11" x14ac:dyDescent="0.25">
      <c r="A30" s="162" t="s">
        <v>79</v>
      </c>
      <c r="B30" s="162"/>
      <c r="C30" s="162"/>
      <c r="D30" s="162"/>
      <c r="E30" s="162"/>
      <c r="F30" s="162"/>
      <c r="G30" s="162"/>
      <c r="H30" s="162"/>
      <c r="I30" s="162"/>
      <c r="J30" s="162"/>
    </row>
    <row r="31" spans="1:11" x14ac:dyDescent="0.25">
      <c r="A31" s="162"/>
      <c r="B31" s="162"/>
      <c r="C31" s="162"/>
      <c r="D31" s="162"/>
      <c r="E31" s="162"/>
      <c r="F31" s="162"/>
      <c r="G31" s="162"/>
      <c r="H31" s="162"/>
      <c r="I31" s="162"/>
      <c r="J31" s="162"/>
    </row>
    <row r="32" spans="1:11" x14ac:dyDescent="0.25">
      <c r="A32" s="156"/>
      <c r="B32" s="156"/>
      <c r="C32" s="156"/>
      <c r="D32" s="156"/>
      <c r="E32" s="156"/>
      <c r="F32" s="156"/>
      <c r="G32" s="156"/>
      <c r="H32" s="156"/>
      <c r="I32" s="156"/>
      <c r="J32" s="156"/>
    </row>
  </sheetData>
  <mergeCells count="50">
    <mergeCell ref="A11:J11"/>
    <mergeCell ref="A12:J12"/>
    <mergeCell ref="A13:J13"/>
    <mergeCell ref="A9:B9"/>
    <mergeCell ref="C9:H9"/>
    <mergeCell ref="I9:J9"/>
    <mergeCell ref="A10:B10"/>
    <mergeCell ref="C10:H10"/>
    <mergeCell ref="I10:J10"/>
    <mergeCell ref="A8:B8"/>
    <mergeCell ref="C8:H8"/>
    <mergeCell ref="I8:J8"/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16:E16"/>
    <mergeCell ref="H16:I16"/>
    <mergeCell ref="A17:E17"/>
    <mergeCell ref="H17:I17"/>
    <mergeCell ref="A14:E14"/>
    <mergeCell ref="H14:I14"/>
    <mergeCell ref="A15:J15"/>
    <mergeCell ref="A20:E20"/>
    <mergeCell ref="H20:I20"/>
    <mergeCell ref="A30:J30"/>
    <mergeCell ref="A21:E21"/>
    <mergeCell ref="H21:I21"/>
    <mergeCell ref="A22:E22"/>
    <mergeCell ref="H22:I22"/>
    <mergeCell ref="A23:E23"/>
    <mergeCell ref="H23:I23"/>
    <mergeCell ref="A32:J32"/>
    <mergeCell ref="A24:E24"/>
    <mergeCell ref="H24:I24"/>
    <mergeCell ref="B27:D27"/>
    <mergeCell ref="E27:F28"/>
    <mergeCell ref="G27:G28"/>
    <mergeCell ref="H27:I28"/>
    <mergeCell ref="J27:J28"/>
    <mergeCell ref="B28:D28"/>
    <mergeCell ref="A29:J29"/>
    <mergeCell ref="A31:J31"/>
  </mergeCells>
  <pageMargins left="0.7" right="0.7" top="0.75" bottom="0.75" header="0.3" footer="0.3"/>
  <pageSetup scale="92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5E8EE-AA99-4650-B83B-8D89027471BF}">
  <dimension ref="A1:V41"/>
  <sheetViews>
    <sheetView topLeftCell="A11" zoomScaleNormal="100" workbookViewId="0">
      <selection activeCell="H26" sqref="H26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40" customWidth="1"/>
    <col min="6" max="6" width="1.7109375" style="40" customWidth="1"/>
    <col min="7" max="7" width="15.7109375" style="40" customWidth="1"/>
    <col min="8" max="8" width="1.7109375" style="40" customWidth="1"/>
    <col min="9" max="9" width="15.7109375" style="40" customWidth="1"/>
    <col min="10" max="10" width="1.7109375" style="40" customWidth="1"/>
    <col min="11" max="11" width="15.7109375" style="40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20" width="15.7109375" customWidth="1"/>
    <col min="21" max="21" width="1.7109375" customWidth="1"/>
    <col min="22" max="22" width="15.7109375" customWidth="1"/>
  </cols>
  <sheetData>
    <row r="1" spans="1:22" x14ac:dyDescent="0.25">
      <c r="A1" s="58" t="s">
        <v>89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2" x14ac:dyDescent="0.25">
      <c r="A2" s="58" t="s">
        <v>22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</row>
    <row r="3" spans="1:22" x14ac:dyDescent="0.25">
      <c r="A3" s="58" t="s">
        <v>23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</row>
    <row r="4" spans="1:22" x14ac:dyDescent="0.25">
      <c r="A4" s="58" t="s">
        <v>88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</row>
    <row r="5" spans="1:22" x14ac:dyDescent="0.25">
      <c r="A5" s="58" t="s">
        <v>24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</row>
    <row r="6" spans="1:22" x14ac:dyDescent="0.25">
      <c r="A6" s="41"/>
      <c r="B6" s="41"/>
      <c r="C6" s="41"/>
      <c r="D6" s="41"/>
      <c r="E6" s="42"/>
      <c r="F6" s="42"/>
      <c r="G6" s="42"/>
      <c r="H6" s="42"/>
      <c r="I6" s="42"/>
      <c r="J6" s="42"/>
      <c r="K6" s="42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</row>
    <row r="7" spans="1:22" ht="15.75" thickBot="1" x14ac:dyDescent="0.3">
      <c r="A7" s="41"/>
      <c r="B7" s="41"/>
      <c r="C7" s="41"/>
      <c r="D7" s="41"/>
      <c r="E7" s="42"/>
      <c r="F7" s="42"/>
      <c r="G7" s="42"/>
      <c r="H7" s="42"/>
      <c r="I7" s="42"/>
      <c r="J7" s="51"/>
      <c r="K7" s="57" t="s">
        <v>25</v>
      </c>
      <c r="L7" s="57"/>
      <c r="M7" s="57"/>
      <c r="N7" s="57"/>
      <c r="O7" s="57"/>
      <c r="P7" s="57"/>
      <c r="Q7" s="57"/>
      <c r="R7" s="57"/>
      <c r="S7" s="57"/>
      <c r="T7" s="57"/>
      <c r="U7" s="41"/>
      <c r="V7" s="41"/>
    </row>
    <row r="8" spans="1:22" x14ac:dyDescent="0.25">
      <c r="A8" s="41"/>
      <c r="B8" s="41"/>
      <c r="C8" s="41"/>
      <c r="D8" s="41"/>
      <c r="E8" s="56" t="s">
        <v>26</v>
      </c>
      <c r="F8" s="53"/>
      <c r="G8" s="56" t="s">
        <v>27</v>
      </c>
      <c r="H8" s="53"/>
      <c r="I8" s="56" t="s">
        <v>28</v>
      </c>
      <c r="J8" s="54"/>
      <c r="K8" s="56" t="s">
        <v>29</v>
      </c>
      <c r="L8" s="41"/>
      <c r="M8" s="56" t="s">
        <v>30</v>
      </c>
      <c r="N8" s="53"/>
      <c r="O8" s="56" t="s">
        <v>31</v>
      </c>
      <c r="P8" s="53"/>
      <c r="Q8" s="56" t="s">
        <v>32</v>
      </c>
      <c r="R8" s="53"/>
      <c r="S8" s="56" t="s">
        <v>33</v>
      </c>
      <c r="T8" s="56" t="s">
        <v>34</v>
      </c>
      <c r="U8" s="53"/>
      <c r="V8" s="56" t="s">
        <v>35</v>
      </c>
    </row>
    <row r="9" spans="1:22" ht="120" x14ac:dyDescent="0.25">
      <c r="A9" s="50"/>
      <c r="B9" s="41"/>
      <c r="C9" s="41"/>
      <c r="D9" s="41"/>
      <c r="E9" s="52" t="s">
        <v>36</v>
      </c>
      <c r="F9" s="53"/>
      <c r="G9" s="52" t="s">
        <v>37</v>
      </c>
      <c r="H9" s="53"/>
      <c r="I9" s="55" t="s">
        <v>38</v>
      </c>
      <c r="J9" s="54"/>
      <c r="K9" s="52" t="s">
        <v>39</v>
      </c>
      <c r="L9" s="53"/>
      <c r="M9" s="52" t="s">
        <v>40</v>
      </c>
      <c r="N9" s="41"/>
      <c r="O9" s="52" t="s">
        <v>94</v>
      </c>
      <c r="P9" s="41"/>
      <c r="Q9" s="52" t="s">
        <v>93</v>
      </c>
      <c r="R9" s="41"/>
      <c r="S9" s="52" t="s">
        <v>92</v>
      </c>
      <c r="T9" s="52" t="s">
        <v>91</v>
      </c>
      <c r="U9" s="41"/>
      <c r="V9" s="52" t="s">
        <v>90</v>
      </c>
    </row>
    <row r="10" spans="1:22" x14ac:dyDescent="0.25">
      <c r="A10" s="41"/>
      <c r="B10" s="41"/>
      <c r="C10" s="41"/>
      <c r="D10" s="41"/>
      <c r="E10" s="42"/>
      <c r="F10" s="42"/>
      <c r="G10" s="42"/>
      <c r="H10" s="42"/>
      <c r="I10" s="42"/>
      <c r="J10" s="51"/>
      <c r="K10" s="42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</row>
    <row r="11" spans="1:22" x14ac:dyDescent="0.25">
      <c r="A11" s="50" t="s">
        <v>14</v>
      </c>
      <c r="B11" s="41"/>
      <c r="C11" s="41"/>
      <c r="D11" s="41"/>
      <c r="E11" s="42"/>
      <c r="F11" s="42"/>
      <c r="G11" s="42"/>
      <c r="H11" s="42"/>
      <c r="I11" s="42"/>
      <c r="J11" s="51"/>
      <c r="K11" s="42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</row>
    <row r="12" spans="1:22" x14ac:dyDescent="0.25">
      <c r="A12" s="41"/>
      <c r="B12" s="41" t="s">
        <v>46</v>
      </c>
      <c r="C12" s="41"/>
      <c r="D12" s="41"/>
      <c r="E12" s="47"/>
      <c r="F12" s="47"/>
      <c r="G12" s="47"/>
      <c r="H12" s="47"/>
      <c r="I12" s="44">
        <f t="shared" ref="I12:I17" si="0">G12-E12</f>
        <v>0</v>
      </c>
      <c r="J12" s="49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4">
        <f t="shared" ref="V12:V17" si="1">SUM(K12:T12)</f>
        <v>0</v>
      </c>
    </row>
    <row r="13" spans="1:22" x14ac:dyDescent="0.25">
      <c r="A13" s="41"/>
      <c r="B13" s="41" t="s">
        <v>47</v>
      </c>
      <c r="C13" s="41"/>
      <c r="D13" s="41"/>
      <c r="E13" s="47"/>
      <c r="F13" s="47"/>
      <c r="G13" s="47"/>
      <c r="H13" s="47"/>
      <c r="I13" s="44">
        <f t="shared" si="0"/>
        <v>0</v>
      </c>
      <c r="J13" s="49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4">
        <f t="shared" si="1"/>
        <v>0</v>
      </c>
    </row>
    <row r="14" spans="1:22" x14ac:dyDescent="0.25">
      <c r="A14" s="41"/>
      <c r="B14" s="41" t="s">
        <v>48</v>
      </c>
      <c r="C14" s="41"/>
      <c r="D14" s="41"/>
      <c r="E14" s="47"/>
      <c r="F14" s="47"/>
      <c r="G14" s="47"/>
      <c r="H14" s="47"/>
      <c r="I14" s="44">
        <f t="shared" si="0"/>
        <v>0</v>
      </c>
      <c r="J14" s="49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4">
        <f t="shared" si="1"/>
        <v>0</v>
      </c>
    </row>
    <row r="15" spans="1:22" x14ac:dyDescent="0.25">
      <c r="A15" s="41"/>
      <c r="B15" s="41" t="s">
        <v>49</v>
      </c>
      <c r="C15" s="41"/>
      <c r="D15" s="41"/>
      <c r="E15" s="47"/>
      <c r="F15" s="47"/>
      <c r="G15" s="47"/>
      <c r="H15" s="47"/>
      <c r="I15" s="44">
        <f t="shared" si="0"/>
        <v>0</v>
      </c>
      <c r="J15" s="49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4">
        <f t="shared" si="1"/>
        <v>0</v>
      </c>
    </row>
    <row r="16" spans="1:22" x14ac:dyDescent="0.25">
      <c r="A16" s="41"/>
      <c r="B16" s="41" t="s">
        <v>50</v>
      </c>
      <c r="C16" s="41"/>
      <c r="D16" s="41"/>
      <c r="E16" s="47"/>
      <c r="F16" s="47"/>
      <c r="G16" s="47"/>
      <c r="H16" s="47"/>
      <c r="I16" s="44">
        <f t="shared" si="0"/>
        <v>0</v>
      </c>
      <c r="J16" s="49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4">
        <f t="shared" si="1"/>
        <v>0</v>
      </c>
    </row>
    <row r="17" spans="1:22" x14ac:dyDescent="0.25">
      <c r="A17" s="41"/>
      <c r="B17" s="41" t="s">
        <v>51</v>
      </c>
      <c r="C17" s="41"/>
      <c r="D17" s="41"/>
      <c r="E17" s="47"/>
      <c r="F17" s="47"/>
      <c r="G17" s="47"/>
      <c r="H17" s="47"/>
      <c r="I17" s="44">
        <f t="shared" si="0"/>
        <v>0</v>
      </c>
      <c r="J17" s="49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4">
        <f t="shared" si="1"/>
        <v>0</v>
      </c>
    </row>
    <row r="18" spans="1:22" x14ac:dyDescent="0.25">
      <c r="A18" s="50" t="s">
        <v>17</v>
      </c>
      <c r="B18" s="41"/>
      <c r="C18" s="41"/>
      <c r="D18" s="41"/>
      <c r="E18" s="47"/>
      <c r="F18" s="47"/>
      <c r="G18" s="47"/>
      <c r="H18" s="47"/>
      <c r="I18" s="44"/>
      <c r="J18" s="49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4"/>
    </row>
    <row r="19" spans="1:22" x14ac:dyDescent="0.25">
      <c r="A19" s="41"/>
      <c r="B19" s="41" t="s">
        <v>52</v>
      </c>
      <c r="C19" s="41"/>
      <c r="D19" s="41"/>
      <c r="E19" s="47"/>
      <c r="F19" s="47"/>
      <c r="G19" s="47"/>
      <c r="H19" s="47"/>
      <c r="I19" s="44">
        <f t="shared" ref="I19:I30" si="2">G19-E19</f>
        <v>0</v>
      </c>
      <c r="J19" s="49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4">
        <f t="shared" ref="V19:V30" si="3">SUM(K19:T19)</f>
        <v>0</v>
      </c>
    </row>
    <row r="20" spans="1:22" x14ac:dyDescent="0.25">
      <c r="A20" s="41"/>
      <c r="B20" s="41" t="s">
        <v>53</v>
      </c>
      <c r="C20" s="41"/>
      <c r="D20" s="41"/>
      <c r="E20" s="47"/>
      <c r="F20" s="47"/>
      <c r="G20" s="47"/>
      <c r="H20" s="47"/>
      <c r="I20" s="44">
        <f t="shared" si="2"/>
        <v>0</v>
      </c>
      <c r="J20" s="49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4">
        <f t="shared" si="3"/>
        <v>0</v>
      </c>
    </row>
    <row r="21" spans="1:22" x14ac:dyDescent="0.25">
      <c r="A21" s="41"/>
      <c r="B21" s="41" t="s">
        <v>54</v>
      </c>
      <c r="C21" s="41"/>
      <c r="D21" s="41"/>
      <c r="E21" s="47"/>
      <c r="F21" s="47"/>
      <c r="G21" s="47"/>
      <c r="H21" s="47"/>
      <c r="I21" s="44">
        <f t="shared" si="2"/>
        <v>0</v>
      </c>
      <c r="J21" s="49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4">
        <f t="shared" si="3"/>
        <v>0</v>
      </c>
    </row>
    <row r="22" spans="1:22" x14ac:dyDescent="0.25">
      <c r="A22" s="41"/>
      <c r="B22" s="41" t="s">
        <v>55</v>
      </c>
      <c r="C22" s="41"/>
      <c r="D22" s="41"/>
      <c r="E22" s="47"/>
      <c r="F22" s="47"/>
      <c r="G22" s="47"/>
      <c r="H22" s="47"/>
      <c r="I22" s="44">
        <f t="shared" si="2"/>
        <v>0</v>
      </c>
      <c r="J22" s="49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4">
        <f t="shared" si="3"/>
        <v>0</v>
      </c>
    </row>
    <row r="23" spans="1:22" x14ac:dyDescent="0.25">
      <c r="A23" s="41"/>
      <c r="B23" s="41" t="s">
        <v>56</v>
      </c>
      <c r="C23" s="41"/>
      <c r="D23" s="41"/>
      <c r="E23" s="47"/>
      <c r="F23" s="47"/>
      <c r="G23" s="47"/>
      <c r="H23" s="47"/>
      <c r="I23" s="44">
        <f t="shared" si="2"/>
        <v>0</v>
      </c>
      <c r="J23" s="49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4">
        <f t="shared" si="3"/>
        <v>0</v>
      </c>
    </row>
    <row r="24" spans="1:22" x14ac:dyDescent="0.25">
      <c r="A24" s="41"/>
      <c r="B24" s="41" t="s">
        <v>57</v>
      </c>
      <c r="C24" s="41"/>
      <c r="D24" s="41"/>
      <c r="E24" s="47">
        <v>12974.711242000001</v>
      </c>
      <c r="F24" s="47"/>
      <c r="G24" s="47">
        <v>-397.49785971903395</v>
      </c>
      <c r="H24" s="47"/>
      <c r="I24" s="44">
        <f t="shared" si="2"/>
        <v>-13372.209101719036</v>
      </c>
      <c r="J24" s="49"/>
      <c r="K24" s="47"/>
      <c r="L24" s="47"/>
      <c r="M24" s="47"/>
      <c r="N24" s="47"/>
      <c r="O24" s="47"/>
      <c r="P24" s="47"/>
      <c r="Q24" s="47"/>
      <c r="R24" s="47"/>
      <c r="S24" s="47"/>
      <c r="T24" s="47">
        <v>-13372.209101719036</v>
      </c>
      <c r="U24" s="47"/>
      <c r="V24" s="44">
        <f t="shared" si="3"/>
        <v>-13372.209101719036</v>
      </c>
    </row>
    <row r="25" spans="1:22" x14ac:dyDescent="0.25">
      <c r="A25" s="41"/>
      <c r="B25" s="41" t="s">
        <v>58</v>
      </c>
      <c r="C25" s="41"/>
      <c r="D25" s="41"/>
      <c r="E25" s="47"/>
      <c r="F25" s="47"/>
      <c r="G25" s="47"/>
      <c r="H25" s="47"/>
      <c r="I25" s="44">
        <f t="shared" si="2"/>
        <v>0</v>
      </c>
      <c r="J25" s="49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4">
        <f t="shared" si="3"/>
        <v>0</v>
      </c>
    </row>
    <row r="26" spans="1:22" x14ac:dyDescent="0.25">
      <c r="A26" s="41"/>
      <c r="B26" s="41" t="s">
        <v>59</v>
      </c>
      <c r="C26" s="41"/>
      <c r="D26" s="41"/>
      <c r="E26" s="47">
        <v>1519.12626466042</v>
      </c>
      <c r="F26" s="47"/>
      <c r="G26" s="47">
        <v>-46.540491544103652</v>
      </c>
      <c r="H26" s="47"/>
      <c r="I26" s="44">
        <f t="shared" si="2"/>
        <v>-1565.6667562045236</v>
      </c>
      <c r="J26" s="49"/>
      <c r="K26" s="47"/>
      <c r="L26" s="47"/>
      <c r="M26" s="47"/>
      <c r="N26" s="47"/>
      <c r="O26" s="47"/>
      <c r="P26" s="47"/>
      <c r="Q26" s="47"/>
      <c r="R26" s="47"/>
      <c r="S26" s="47">
        <v>-1565.6667562045236</v>
      </c>
      <c r="T26" s="47"/>
      <c r="U26" s="47"/>
      <c r="V26" s="44">
        <f t="shared" si="3"/>
        <v>-1565.6667562045236</v>
      </c>
    </row>
    <row r="27" spans="1:22" x14ac:dyDescent="0.25">
      <c r="A27" s="41"/>
      <c r="B27" s="41" t="s">
        <v>60</v>
      </c>
      <c r="C27" s="41"/>
      <c r="D27" s="41"/>
      <c r="E27" s="47"/>
      <c r="F27" s="47"/>
      <c r="G27" s="47"/>
      <c r="H27" s="47"/>
      <c r="I27" s="44">
        <f t="shared" si="2"/>
        <v>0</v>
      </c>
      <c r="J27" s="49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4">
        <f t="shared" si="3"/>
        <v>0</v>
      </c>
    </row>
    <row r="28" spans="1:22" x14ac:dyDescent="0.25">
      <c r="A28" s="41"/>
      <c r="B28" s="41" t="s">
        <v>61</v>
      </c>
      <c r="C28" s="41"/>
      <c r="D28" s="41"/>
      <c r="E28" s="47"/>
      <c r="F28" s="47"/>
      <c r="G28" s="47"/>
      <c r="H28" s="47"/>
      <c r="I28" s="44">
        <f t="shared" si="2"/>
        <v>0</v>
      </c>
      <c r="J28" s="49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4">
        <f t="shared" si="3"/>
        <v>0</v>
      </c>
    </row>
    <row r="29" spans="1:22" x14ac:dyDescent="0.25">
      <c r="A29" s="41"/>
      <c r="B29" s="41" t="s">
        <v>62</v>
      </c>
      <c r="C29" s="41"/>
      <c r="D29" s="41"/>
      <c r="E29" s="47"/>
      <c r="F29" s="47"/>
      <c r="G29" s="47"/>
      <c r="H29" s="47"/>
      <c r="I29" s="44">
        <f t="shared" si="2"/>
        <v>0</v>
      </c>
      <c r="J29" s="49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4">
        <f t="shared" si="3"/>
        <v>0</v>
      </c>
    </row>
    <row r="30" spans="1:22" x14ac:dyDescent="0.25">
      <c r="A30" s="41"/>
      <c r="B30" s="41" t="s">
        <v>63</v>
      </c>
      <c r="C30" s="41"/>
      <c r="D30" s="41"/>
      <c r="E30" s="48"/>
      <c r="F30" s="47"/>
      <c r="G30" s="48"/>
      <c r="H30" s="47"/>
      <c r="I30" s="44">
        <f t="shared" si="2"/>
        <v>0</v>
      </c>
      <c r="J30" s="49"/>
      <c r="K30" s="48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4">
        <f t="shared" si="3"/>
        <v>0</v>
      </c>
    </row>
    <row r="31" spans="1:22" ht="15.75" thickBot="1" x14ac:dyDescent="0.3">
      <c r="A31" s="46" t="s">
        <v>64</v>
      </c>
      <c r="E31" s="43">
        <f>SUM(E12:E30)</f>
        <v>14493.83750666042</v>
      </c>
      <c r="F31" s="44"/>
      <c r="G31" s="43">
        <f>SUM(G12:G30)</f>
        <v>-444.0383512631376</v>
      </c>
      <c r="H31" s="44"/>
      <c r="I31" s="43">
        <f>SUM(I12:I30)</f>
        <v>-14937.87585792356</v>
      </c>
      <c r="J31" s="45"/>
      <c r="K31" s="43">
        <f>SUM(K12:K30)</f>
        <v>0</v>
      </c>
      <c r="L31" s="44"/>
      <c r="M31" s="43">
        <f>SUM(M12:M30)</f>
        <v>0</v>
      </c>
      <c r="N31" s="44"/>
      <c r="O31" s="43">
        <f>SUM(O12:O30)</f>
        <v>0</v>
      </c>
      <c r="P31" s="44"/>
      <c r="Q31" s="43">
        <f>SUM(Q12:Q30)</f>
        <v>0</v>
      </c>
      <c r="R31" s="44"/>
      <c r="S31" s="43">
        <f>SUM(S12:S30)</f>
        <v>-1565.6667562045236</v>
      </c>
      <c r="T31" s="43">
        <f>SUM(T12:T30)</f>
        <v>-13372.209101719036</v>
      </c>
      <c r="U31" s="44"/>
      <c r="V31" s="43">
        <f>SUM(V12:V30)</f>
        <v>-14937.87585792356</v>
      </c>
    </row>
    <row r="32" spans="1:22" ht="15.75" thickTop="1" x14ac:dyDescent="0.25">
      <c r="A32" s="41"/>
      <c r="B32" s="41"/>
      <c r="C32" s="41"/>
      <c r="D32" s="41"/>
      <c r="E32" s="42"/>
      <c r="F32" s="42"/>
      <c r="G32" s="42"/>
      <c r="H32" s="42"/>
      <c r="I32" s="42"/>
      <c r="J32" s="42"/>
      <c r="K32" s="42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</row>
    <row r="33" spans="1:22" x14ac:dyDescent="0.25">
      <c r="A33" s="41"/>
      <c r="B33" s="41"/>
      <c r="C33" s="41"/>
      <c r="D33" s="41"/>
      <c r="E33" s="42"/>
      <c r="F33" s="42"/>
      <c r="G33" s="42"/>
      <c r="H33" s="42"/>
      <c r="I33" s="42"/>
      <c r="J33" s="42"/>
      <c r="K33" s="42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</row>
    <row r="34" spans="1:22" x14ac:dyDescent="0.25">
      <c r="A34" s="41" t="s">
        <v>65</v>
      </c>
      <c r="B34" s="41"/>
      <c r="C34" s="41"/>
      <c r="D34" s="41"/>
      <c r="E34" s="42"/>
      <c r="F34" s="42"/>
      <c r="G34" s="42"/>
      <c r="H34" s="42"/>
      <c r="I34" s="42"/>
      <c r="J34" s="42"/>
      <c r="K34" s="42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</row>
    <row r="35" spans="1:22" x14ac:dyDescent="0.25">
      <c r="A35" s="41" t="s">
        <v>66</v>
      </c>
      <c r="B35" s="41"/>
      <c r="C35" s="41" t="s">
        <v>67</v>
      </c>
      <c r="D35" s="41"/>
      <c r="E35" s="42"/>
      <c r="F35" s="42"/>
      <c r="G35" s="42"/>
      <c r="H35" s="42"/>
      <c r="I35" s="42"/>
      <c r="J35" s="42"/>
      <c r="K35" s="42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</row>
    <row r="36" spans="1:22" x14ac:dyDescent="0.25">
      <c r="A36" s="41" t="s">
        <v>68</v>
      </c>
      <c r="B36" s="41"/>
      <c r="C36" s="41" t="s">
        <v>69</v>
      </c>
      <c r="D36" s="41"/>
      <c r="E36" s="42"/>
      <c r="F36" s="42"/>
      <c r="G36" s="42"/>
      <c r="H36" s="42"/>
      <c r="I36" s="42"/>
      <c r="J36" s="42"/>
      <c r="K36" s="42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</row>
    <row r="37" spans="1:22" x14ac:dyDescent="0.25">
      <c r="A37" s="41" t="s">
        <v>70</v>
      </c>
      <c r="B37" s="41"/>
      <c r="C37" s="41" t="s">
        <v>71</v>
      </c>
      <c r="D37" s="41"/>
      <c r="E37" s="42"/>
      <c r="F37" s="42"/>
      <c r="G37" s="42"/>
      <c r="H37" s="42"/>
      <c r="I37" s="42"/>
      <c r="J37" s="42"/>
      <c r="K37" s="42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</row>
    <row r="38" spans="1:22" x14ac:dyDescent="0.25">
      <c r="A38" s="41"/>
      <c r="B38" s="41"/>
      <c r="C38" s="41" t="s">
        <v>72</v>
      </c>
      <c r="D38" s="41"/>
      <c r="E38" s="42"/>
      <c r="F38" s="42"/>
      <c r="G38" s="42"/>
      <c r="H38" s="42"/>
      <c r="I38" s="42"/>
      <c r="J38" s="42"/>
      <c r="K38" s="42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</row>
    <row r="39" spans="1:22" x14ac:dyDescent="0.25">
      <c r="A39" s="41" t="s">
        <v>73</v>
      </c>
      <c r="B39" s="41"/>
      <c r="C39" s="41" t="s">
        <v>74</v>
      </c>
      <c r="D39" s="41"/>
      <c r="E39" s="42"/>
      <c r="F39" s="42"/>
      <c r="G39" s="42"/>
      <c r="H39" s="42"/>
      <c r="I39" s="42"/>
      <c r="J39" s="42"/>
      <c r="K39" s="42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</row>
    <row r="40" spans="1:22" x14ac:dyDescent="0.25">
      <c r="A40" s="41" t="s">
        <v>75</v>
      </c>
      <c r="B40" s="41"/>
      <c r="C40" s="41" t="s">
        <v>76</v>
      </c>
      <c r="D40" s="41"/>
      <c r="E40" s="42"/>
      <c r="F40" s="42"/>
      <c r="G40" s="42"/>
      <c r="H40" s="42"/>
      <c r="I40" s="42"/>
      <c r="J40" s="42"/>
      <c r="K40" s="42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</row>
    <row r="41" spans="1:22" x14ac:dyDescent="0.25">
      <c r="A41" s="41"/>
      <c r="B41" s="41"/>
      <c r="C41" s="41"/>
      <c r="D41" s="41"/>
      <c r="E41" s="42"/>
      <c r="F41" s="42"/>
      <c r="G41" s="42"/>
      <c r="H41" s="42"/>
      <c r="I41" s="42"/>
      <c r="J41" s="42"/>
      <c r="K41" s="42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</row>
  </sheetData>
  <printOptions horizontalCentered="1"/>
  <pageMargins left="0" right="0" top="0.75" bottom="0.75" header="0.3" footer="0.3"/>
  <pageSetup scale="57" orientation="landscape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208C-DB0F-4761-BAE4-47FB42CB867B}">
  <dimension ref="A1:K30"/>
  <sheetViews>
    <sheetView showGridLines="0" topLeftCell="A13" zoomScaleNormal="100" workbookViewId="0">
      <selection activeCell="F31" sqref="F31"/>
    </sheetView>
  </sheetViews>
  <sheetFormatPr defaultRowHeight="15" x14ac:dyDescent="0.25"/>
  <cols>
    <col min="1" max="1" width="12.140625" style="59" customWidth="1"/>
    <col min="2" max="2" width="5.28515625" style="59" customWidth="1"/>
    <col min="3" max="3" width="7.5703125" style="59" customWidth="1"/>
    <col min="4" max="4" width="4.5703125" style="59" customWidth="1"/>
    <col min="5" max="5" width="19" style="59" customWidth="1"/>
    <col min="6" max="6" width="17.42578125" style="59" customWidth="1"/>
    <col min="7" max="7" width="16.7109375" style="59" customWidth="1"/>
    <col min="8" max="8" width="14.42578125" style="59" customWidth="1"/>
    <col min="9" max="9" width="3" style="59" customWidth="1"/>
    <col min="10" max="10" width="22.140625" style="59" customWidth="1"/>
    <col min="11" max="16384" width="9.140625" style="59"/>
  </cols>
  <sheetData>
    <row r="1" spans="1:10" x14ac:dyDescent="0.25">
      <c r="A1" s="179"/>
      <c r="B1" s="179"/>
      <c r="C1" s="179"/>
      <c r="D1" s="179"/>
      <c r="E1" s="179"/>
      <c r="F1" s="179"/>
      <c r="G1" s="179"/>
      <c r="H1" s="179"/>
      <c r="I1" s="179" t="s">
        <v>0</v>
      </c>
      <c r="J1" s="179"/>
    </row>
    <row r="2" spans="1:10" x14ac:dyDescent="0.25">
      <c r="A2" s="183" t="s">
        <v>1</v>
      </c>
      <c r="B2" s="183"/>
      <c r="C2" s="183"/>
      <c r="D2" s="183"/>
      <c r="E2" s="183"/>
      <c r="F2" s="183"/>
      <c r="G2" s="183"/>
      <c r="H2" s="183"/>
      <c r="I2" s="183"/>
      <c r="J2" s="183"/>
    </row>
    <row r="3" spans="1:10" x14ac:dyDescent="0.25">
      <c r="A3" s="184" t="str">
        <f>[11]Links!B2</f>
        <v>DEPARTMENT OF WATER RESOURCES (3860)</v>
      </c>
      <c r="B3" s="183"/>
      <c r="C3" s="183"/>
      <c r="D3" s="183"/>
      <c r="E3" s="183"/>
      <c r="F3" s="183"/>
      <c r="G3" s="183"/>
      <c r="H3" s="183"/>
      <c r="I3" s="183"/>
      <c r="J3" s="183"/>
    </row>
    <row r="4" spans="1:10" x14ac:dyDescent="0.25">
      <c r="A4" s="184" t="str">
        <f>[11]Links!B3</f>
        <v>Bay-Delta Multipurpose Water Management Subaccount (6026000)</v>
      </c>
      <c r="B4" s="183"/>
      <c r="C4" s="183"/>
      <c r="D4" s="183"/>
      <c r="E4" s="183"/>
      <c r="F4" s="183"/>
      <c r="G4" s="183"/>
      <c r="H4" s="183"/>
      <c r="I4" s="183"/>
      <c r="J4" s="183"/>
    </row>
    <row r="5" spans="1:10" x14ac:dyDescent="0.25">
      <c r="A5" s="183" t="s">
        <v>3</v>
      </c>
      <c r="B5" s="183"/>
      <c r="C5" s="183"/>
      <c r="D5" s="183"/>
      <c r="E5" s="183"/>
      <c r="F5" s="183"/>
      <c r="G5" s="183"/>
      <c r="H5" s="183"/>
      <c r="I5" s="183"/>
      <c r="J5" s="183"/>
    </row>
    <row r="6" spans="1:10" x14ac:dyDescent="0.25">
      <c r="A6" s="183" t="s">
        <v>4</v>
      </c>
      <c r="B6" s="183"/>
      <c r="C6" s="183"/>
      <c r="D6" s="183"/>
      <c r="E6" s="183"/>
      <c r="F6" s="183"/>
      <c r="G6" s="183"/>
      <c r="H6" s="183"/>
      <c r="I6" s="183"/>
      <c r="J6" s="183"/>
    </row>
    <row r="7" spans="1:10" x14ac:dyDescent="0.25">
      <c r="A7" s="186" t="s">
        <v>5</v>
      </c>
      <c r="B7" s="186"/>
      <c r="C7" s="188" t="s">
        <v>6</v>
      </c>
      <c r="D7" s="188"/>
      <c r="E7" s="188"/>
      <c r="F7" s="188"/>
      <c r="G7" s="188"/>
      <c r="H7" s="188"/>
      <c r="I7" s="188" t="s">
        <v>87</v>
      </c>
      <c r="J7" s="179"/>
    </row>
    <row r="8" spans="1:10" x14ac:dyDescent="0.25">
      <c r="A8" s="186" t="s">
        <v>7</v>
      </c>
      <c r="B8" s="186"/>
      <c r="C8" s="188" t="s">
        <v>98</v>
      </c>
      <c r="D8" s="188"/>
      <c r="E8" s="188"/>
      <c r="F8" s="188"/>
      <c r="G8" s="188"/>
      <c r="H8" s="188"/>
      <c r="I8" s="186" t="s">
        <v>85</v>
      </c>
      <c r="J8" s="179"/>
    </row>
    <row r="9" spans="1:10" x14ac:dyDescent="0.25">
      <c r="A9" s="186"/>
      <c r="B9" s="186"/>
      <c r="C9" s="187"/>
      <c r="D9" s="187"/>
      <c r="E9" s="187"/>
      <c r="F9" s="187"/>
      <c r="G9" s="187"/>
      <c r="H9" s="187"/>
      <c r="I9" s="188" t="s">
        <v>84</v>
      </c>
      <c r="J9" s="179"/>
    </row>
    <row r="10" spans="1:10" x14ac:dyDescent="0.25">
      <c r="A10" s="179"/>
      <c r="B10" s="179"/>
      <c r="C10" s="179"/>
      <c r="D10" s="179"/>
      <c r="E10" s="179"/>
      <c r="F10" s="179"/>
      <c r="G10" s="179"/>
      <c r="H10" s="179"/>
      <c r="I10" s="179"/>
      <c r="J10" s="179"/>
    </row>
    <row r="11" spans="1:10" x14ac:dyDescent="0.25">
      <c r="A11" s="172"/>
      <c r="B11" s="172"/>
      <c r="C11" s="172"/>
      <c r="D11" s="172"/>
      <c r="E11" s="172"/>
      <c r="F11" s="172"/>
      <c r="G11" s="172"/>
      <c r="H11" s="172"/>
      <c r="I11" s="172"/>
      <c r="J11" s="172"/>
    </row>
    <row r="12" spans="1:10" x14ac:dyDescent="0.25">
      <c r="A12" s="180" t="s">
        <v>8</v>
      </c>
      <c r="B12" s="180"/>
      <c r="C12" s="180"/>
      <c r="D12" s="180"/>
      <c r="E12" s="180"/>
      <c r="F12" s="180"/>
      <c r="G12" s="180"/>
      <c r="H12" s="180"/>
      <c r="I12" s="180"/>
      <c r="J12" s="180"/>
    </row>
    <row r="13" spans="1:10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</row>
    <row r="14" spans="1:10" ht="24.75" customHeight="1" x14ac:dyDescent="0.25">
      <c r="A14" s="181" t="s">
        <v>9</v>
      </c>
      <c r="B14" s="181"/>
      <c r="C14" s="181"/>
      <c r="D14" s="181"/>
      <c r="E14" s="181"/>
      <c r="F14" s="69" t="s">
        <v>10</v>
      </c>
      <c r="G14" s="69" t="s">
        <v>11</v>
      </c>
      <c r="H14" s="182" t="s">
        <v>12</v>
      </c>
      <c r="I14" s="182"/>
      <c r="J14" s="69" t="s">
        <v>13</v>
      </c>
    </row>
    <row r="15" spans="1:10" ht="17.25" customHeight="1" x14ac:dyDescent="0.25">
      <c r="A15" s="185" t="s">
        <v>14</v>
      </c>
      <c r="B15" s="185"/>
      <c r="C15" s="185"/>
      <c r="D15" s="185"/>
      <c r="E15" s="185"/>
      <c r="F15" s="185"/>
      <c r="G15" s="185"/>
      <c r="H15" s="185"/>
      <c r="I15" s="185"/>
      <c r="J15" s="185"/>
    </row>
    <row r="16" spans="1:10" x14ac:dyDescent="0.25">
      <c r="A16" s="174" t="s">
        <v>97</v>
      </c>
      <c r="B16" s="174"/>
      <c r="C16" s="174"/>
      <c r="D16" s="174"/>
      <c r="E16" s="174"/>
      <c r="F16" s="66">
        <v>192944.94</v>
      </c>
      <c r="G16" s="64">
        <v>0</v>
      </c>
      <c r="H16" s="176">
        <v>0</v>
      </c>
      <c r="I16" s="176"/>
      <c r="J16" s="66">
        <f>F16+G16-H16</f>
        <v>192944.94</v>
      </c>
    </row>
    <row r="17" spans="1:11" x14ac:dyDescent="0.25">
      <c r="A17" s="174" t="s">
        <v>16</v>
      </c>
      <c r="B17" s="174"/>
      <c r="C17" s="174"/>
      <c r="D17" s="174"/>
      <c r="E17" s="174"/>
      <c r="F17" s="64">
        <v>0</v>
      </c>
      <c r="G17" s="64">
        <v>0</v>
      </c>
      <c r="H17" s="176">
        <v>0</v>
      </c>
      <c r="I17" s="176"/>
      <c r="J17" s="64">
        <f>F17+G17-H17</f>
        <v>0</v>
      </c>
    </row>
    <row r="18" spans="1:11" x14ac:dyDescent="0.25">
      <c r="A18" s="68"/>
      <c r="B18" s="68"/>
      <c r="C18" s="68"/>
      <c r="D18" s="68"/>
      <c r="E18" s="68"/>
      <c r="F18" s="68"/>
      <c r="G18" s="68"/>
      <c r="H18" s="68"/>
      <c r="I18" s="68"/>
      <c r="J18" s="68"/>
    </row>
    <row r="19" spans="1:11" x14ac:dyDescent="0.25">
      <c r="A19" s="67" t="s">
        <v>17</v>
      </c>
      <c r="B19" s="67"/>
      <c r="C19" s="67"/>
      <c r="D19" s="67"/>
      <c r="E19" s="67"/>
      <c r="F19" s="67"/>
      <c r="G19" s="67"/>
      <c r="H19" s="67"/>
      <c r="I19" s="67"/>
      <c r="J19" s="67"/>
    </row>
    <row r="20" spans="1:11" x14ac:dyDescent="0.25">
      <c r="A20" s="174" t="s">
        <v>83</v>
      </c>
      <c r="B20" s="174"/>
      <c r="C20" s="174"/>
      <c r="D20" s="174"/>
      <c r="E20" s="174"/>
      <c r="F20" s="66">
        <v>20000.343134773513</v>
      </c>
      <c r="G20" s="64">
        <v>0</v>
      </c>
      <c r="H20" s="176">
        <v>0</v>
      </c>
      <c r="I20" s="176"/>
      <c r="J20" s="66">
        <f>F20+G20-H20</f>
        <v>20000.343134773513</v>
      </c>
    </row>
    <row r="21" spans="1:11" ht="15" customHeight="1" x14ac:dyDescent="0.25">
      <c r="A21" s="174" t="s">
        <v>96</v>
      </c>
      <c r="B21" s="174"/>
      <c r="C21" s="174"/>
      <c r="D21" s="174"/>
      <c r="E21" s="174"/>
      <c r="F21" s="66">
        <v>2341.712735764263</v>
      </c>
      <c r="G21" s="66">
        <v>233.93296691107548</v>
      </c>
      <c r="H21" s="175">
        <v>182.57639082880999</v>
      </c>
      <c r="I21" s="175"/>
      <c r="J21" s="66">
        <f>F21+G21-H21</f>
        <v>2393.0693118465288</v>
      </c>
    </row>
    <row r="22" spans="1:11" x14ac:dyDescent="0.25">
      <c r="A22" s="174" t="s">
        <v>20</v>
      </c>
      <c r="B22" s="174"/>
      <c r="C22" s="174"/>
      <c r="D22" s="174"/>
      <c r="E22" s="174"/>
      <c r="F22" s="64">
        <v>0</v>
      </c>
      <c r="G22" s="64">
        <v>0</v>
      </c>
      <c r="H22" s="176">
        <v>0</v>
      </c>
      <c r="I22" s="176"/>
      <c r="J22" s="64">
        <f>F22+G22-H22</f>
        <v>0</v>
      </c>
    </row>
    <row r="23" spans="1:11" x14ac:dyDescent="0.25">
      <c r="A23" s="65"/>
      <c r="B23" s="65"/>
      <c r="C23" s="65"/>
      <c r="D23" s="65"/>
      <c r="E23" s="65"/>
      <c r="F23" s="64"/>
      <c r="G23" s="64"/>
      <c r="H23" s="64"/>
      <c r="I23" s="64"/>
      <c r="J23" s="64"/>
    </row>
    <row r="24" spans="1:11" ht="15.75" customHeight="1" x14ac:dyDescent="0.25">
      <c r="A24" s="63"/>
      <c r="B24" s="63"/>
      <c r="C24" s="63"/>
      <c r="D24" s="63"/>
      <c r="E24" s="63"/>
      <c r="F24" s="62"/>
      <c r="G24" s="62"/>
      <c r="H24" s="62"/>
      <c r="I24" s="62"/>
      <c r="J24" s="62"/>
    </row>
    <row r="25" spans="1:11" x14ac:dyDescent="0.25">
      <c r="A25" s="61" t="s">
        <v>7</v>
      </c>
      <c r="B25" s="177" t="s">
        <v>95</v>
      </c>
      <c r="C25" s="171"/>
      <c r="D25" s="171"/>
      <c r="E25" s="178">
        <f>SUM(F16:F22)</f>
        <v>215286.99587053779</v>
      </c>
      <c r="F25" s="178"/>
      <c r="G25" s="178">
        <f>SUM(G20:G24)</f>
        <v>233.93296691107548</v>
      </c>
      <c r="H25" s="178">
        <f>SUM(H20:I24)</f>
        <v>182.57639082880999</v>
      </c>
      <c r="I25" s="178"/>
      <c r="J25" s="178">
        <f>SUM(J16:J22)</f>
        <v>215338.35244662006</v>
      </c>
      <c r="K25" s="60"/>
    </row>
    <row r="26" spans="1:11" x14ac:dyDescent="0.25">
      <c r="A26" s="61"/>
      <c r="B26" s="171"/>
      <c r="C26" s="171"/>
      <c r="D26" s="171"/>
      <c r="E26" s="178"/>
      <c r="F26" s="178"/>
      <c r="G26" s="178"/>
      <c r="H26" s="178"/>
      <c r="I26" s="178"/>
      <c r="J26" s="178"/>
      <c r="K26" s="60"/>
    </row>
    <row r="27" spans="1:11" x14ac:dyDescent="0.25">
      <c r="A27" s="172"/>
      <c r="B27" s="172"/>
      <c r="C27" s="172"/>
      <c r="D27" s="172"/>
      <c r="E27" s="172"/>
      <c r="F27" s="172"/>
      <c r="G27" s="172"/>
      <c r="H27" s="172"/>
      <c r="I27" s="172"/>
      <c r="J27" s="172"/>
    </row>
    <row r="28" spans="1:11" x14ac:dyDescent="0.25">
      <c r="A28" s="172"/>
      <c r="B28" s="172"/>
      <c r="C28" s="172"/>
      <c r="D28" s="172"/>
      <c r="E28" s="172"/>
      <c r="F28" s="172"/>
      <c r="G28" s="172"/>
      <c r="H28" s="172"/>
      <c r="I28" s="172"/>
      <c r="J28" s="172"/>
    </row>
    <row r="29" spans="1:11" x14ac:dyDescent="0.25">
      <c r="A29" s="172"/>
      <c r="B29" s="172"/>
      <c r="C29" s="172"/>
      <c r="D29" s="172"/>
      <c r="E29" s="172"/>
      <c r="F29" s="172"/>
      <c r="G29" s="172"/>
      <c r="H29" s="172"/>
      <c r="I29" s="172"/>
      <c r="J29" s="172"/>
    </row>
    <row r="30" spans="1:11" x14ac:dyDescent="0.25">
      <c r="A30" s="173"/>
      <c r="B30" s="173"/>
      <c r="C30" s="173"/>
      <c r="D30" s="173"/>
      <c r="E30" s="173"/>
      <c r="F30" s="173"/>
      <c r="G30" s="173"/>
      <c r="H30" s="173"/>
      <c r="I30" s="173"/>
      <c r="J30" s="173"/>
    </row>
  </sheetData>
  <mergeCells count="46">
    <mergeCell ref="A15:J15"/>
    <mergeCell ref="A9:B9"/>
    <mergeCell ref="C9:H9"/>
    <mergeCell ref="I9:J9"/>
    <mergeCell ref="A10:B10"/>
    <mergeCell ref="A14:E14"/>
    <mergeCell ref="H14:I14"/>
    <mergeCell ref="A1:C1"/>
    <mergeCell ref="D1:H1"/>
    <mergeCell ref="I1:J1"/>
    <mergeCell ref="A2:J2"/>
    <mergeCell ref="A3:J3"/>
    <mergeCell ref="A8:B8"/>
    <mergeCell ref="C8:H8"/>
    <mergeCell ref="I8:J8"/>
    <mergeCell ref="A4:J4"/>
    <mergeCell ref="A5:J5"/>
    <mergeCell ref="A6:J6"/>
    <mergeCell ref="A7:B7"/>
    <mergeCell ref="C7:H7"/>
    <mergeCell ref="I7:J7"/>
    <mergeCell ref="C10:H10"/>
    <mergeCell ref="I10:J10"/>
    <mergeCell ref="A11:J11"/>
    <mergeCell ref="A12:J12"/>
    <mergeCell ref="A13:J13"/>
    <mergeCell ref="A16:E16"/>
    <mergeCell ref="H16:I16"/>
    <mergeCell ref="A17:E17"/>
    <mergeCell ref="H17:I17"/>
    <mergeCell ref="A20:E20"/>
    <mergeCell ref="H20:I20"/>
    <mergeCell ref="A21:E21"/>
    <mergeCell ref="H21:I21"/>
    <mergeCell ref="A22:E22"/>
    <mergeCell ref="H22:I22"/>
    <mergeCell ref="B25:D25"/>
    <mergeCell ref="E25:F26"/>
    <mergeCell ref="G25:G26"/>
    <mergeCell ref="H25:I26"/>
    <mergeCell ref="B26:D26"/>
    <mergeCell ref="A27:J27"/>
    <mergeCell ref="A28:J28"/>
    <mergeCell ref="A29:J29"/>
    <mergeCell ref="A30:J30"/>
    <mergeCell ref="J25:J26"/>
  </mergeCells>
  <pageMargins left="0.7" right="0.7" top="0.75" bottom="0.75" header="0.3" footer="0.3"/>
  <pageSetup scale="98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1F155-3847-466B-89B2-C4AB17A568A2}">
  <sheetPr>
    <pageSetUpPr fitToPage="1"/>
  </sheetPr>
  <dimension ref="A1:V40"/>
  <sheetViews>
    <sheetView topLeftCell="A9" workbookViewId="0">
      <selection activeCell="G24" sqref="G24:G25"/>
    </sheetView>
  </sheetViews>
  <sheetFormatPr defaultRowHeight="15" x14ac:dyDescent="0.25"/>
  <cols>
    <col min="1" max="1" width="1.7109375" style="70" customWidth="1"/>
    <col min="2" max="2" width="9" style="70" customWidth="1"/>
    <col min="3" max="3" width="44.28515625" style="70" customWidth="1"/>
    <col min="4" max="4" width="1.7109375" style="70" customWidth="1"/>
    <col min="5" max="5" width="15.7109375" style="71" customWidth="1"/>
    <col min="6" max="6" width="1.7109375" style="71" customWidth="1"/>
    <col min="7" max="7" width="15.7109375" style="71" customWidth="1"/>
    <col min="8" max="8" width="1.7109375" style="71" customWidth="1"/>
    <col min="9" max="9" width="15.7109375" style="71" customWidth="1"/>
    <col min="10" max="10" width="1.7109375" style="71" customWidth="1"/>
    <col min="11" max="11" width="15.7109375" style="71" customWidth="1"/>
    <col min="12" max="12" width="1.7109375" style="70" customWidth="1"/>
    <col min="13" max="13" width="15.7109375" style="70" customWidth="1"/>
    <col min="14" max="14" width="1.7109375" style="70" customWidth="1"/>
    <col min="15" max="15" width="15.7109375" style="70" customWidth="1"/>
    <col min="16" max="16" width="1.7109375" style="70" customWidth="1"/>
    <col min="17" max="17" width="15.7109375" style="70" customWidth="1"/>
    <col min="18" max="18" width="1.7109375" style="70" customWidth="1"/>
    <col min="19" max="20" width="15.7109375" style="70" customWidth="1"/>
    <col min="21" max="21" width="1.7109375" style="70" customWidth="1"/>
    <col min="22" max="22" width="15.7109375" style="70" customWidth="1"/>
    <col min="23" max="16384" width="9.140625" style="70"/>
  </cols>
  <sheetData>
    <row r="1" spans="1:22" x14ac:dyDescent="0.25">
      <c r="A1" s="91" t="str">
        <f>[11]Links!B2</f>
        <v>DEPARTMENT OF WATER RESOURCES (3860)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</row>
    <row r="2" spans="1:22" x14ac:dyDescent="0.25">
      <c r="A2" s="90" t="s">
        <v>22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</row>
    <row r="3" spans="1:22" x14ac:dyDescent="0.25">
      <c r="A3" s="90" t="s">
        <v>23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</row>
    <row r="4" spans="1:22" x14ac:dyDescent="0.25">
      <c r="A4" s="91" t="str">
        <f>[11]Links!B3</f>
        <v>Bay-Delta Multipurpose Water Management Subaccount (6026000)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</row>
    <row r="5" spans="1:22" x14ac:dyDescent="0.25">
      <c r="A5" s="90" t="s">
        <v>24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</row>
    <row r="6" spans="1:22" x14ac:dyDescent="0.25">
      <c r="A6" s="72"/>
      <c r="B6" s="72"/>
      <c r="C6" s="72"/>
      <c r="D6" s="72"/>
      <c r="E6" s="73"/>
      <c r="F6" s="73"/>
      <c r="G6" s="73"/>
      <c r="H6" s="73"/>
      <c r="I6" s="73"/>
      <c r="J6" s="73"/>
      <c r="K6" s="73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</row>
    <row r="7" spans="1:22" ht="15.75" thickBot="1" x14ac:dyDescent="0.3">
      <c r="A7" s="72"/>
      <c r="B7" s="72"/>
      <c r="C7" s="72"/>
      <c r="D7" s="72"/>
      <c r="E7" s="73"/>
      <c r="F7" s="73"/>
      <c r="G7" s="73"/>
      <c r="H7" s="73"/>
      <c r="I7" s="73"/>
      <c r="J7" s="83"/>
      <c r="K7" s="89" t="s">
        <v>25</v>
      </c>
      <c r="L7" s="89"/>
      <c r="M7" s="89"/>
      <c r="N7" s="89"/>
      <c r="O7" s="89"/>
      <c r="P7" s="89"/>
      <c r="Q7" s="89"/>
      <c r="R7" s="89"/>
      <c r="S7" s="89"/>
      <c r="T7" s="89"/>
      <c r="U7" s="72"/>
      <c r="V7" s="72"/>
    </row>
    <row r="8" spans="1:22" x14ac:dyDescent="0.25">
      <c r="A8" s="72"/>
      <c r="B8" s="72"/>
      <c r="C8" s="72"/>
      <c r="D8" s="72"/>
      <c r="E8" s="88" t="s">
        <v>26</v>
      </c>
      <c r="F8" s="85"/>
      <c r="G8" s="88" t="s">
        <v>27</v>
      </c>
      <c r="H8" s="85"/>
      <c r="I8" s="88" t="s">
        <v>28</v>
      </c>
      <c r="J8" s="86"/>
      <c r="K8" s="88" t="s">
        <v>29</v>
      </c>
      <c r="L8" s="72"/>
      <c r="M8" s="88" t="s">
        <v>30</v>
      </c>
      <c r="N8" s="85"/>
      <c r="O8" s="88" t="s">
        <v>31</v>
      </c>
      <c r="P8" s="85"/>
      <c r="Q8" s="88" t="s">
        <v>32</v>
      </c>
      <c r="R8" s="85"/>
      <c r="S8" s="88" t="s">
        <v>33</v>
      </c>
      <c r="T8" s="88" t="s">
        <v>34</v>
      </c>
      <c r="U8" s="85"/>
      <c r="V8" s="88" t="s">
        <v>35</v>
      </c>
    </row>
    <row r="9" spans="1:22" ht="120" x14ac:dyDescent="0.25">
      <c r="A9" s="82"/>
      <c r="B9" s="72"/>
      <c r="C9" s="72"/>
      <c r="D9" s="72"/>
      <c r="E9" s="84" t="s">
        <v>36</v>
      </c>
      <c r="F9" s="85"/>
      <c r="G9" s="84" t="s">
        <v>37</v>
      </c>
      <c r="H9" s="85"/>
      <c r="I9" s="87" t="s">
        <v>38</v>
      </c>
      <c r="J9" s="86"/>
      <c r="K9" s="84" t="s">
        <v>39</v>
      </c>
      <c r="L9" s="85"/>
      <c r="M9" s="84" t="s">
        <v>40</v>
      </c>
      <c r="N9" s="72"/>
      <c r="O9" s="84" t="s">
        <v>41</v>
      </c>
      <c r="P9" s="72"/>
      <c r="Q9" s="84" t="s">
        <v>42</v>
      </c>
      <c r="R9" s="72"/>
      <c r="S9" s="84" t="s">
        <v>43</v>
      </c>
      <c r="T9" s="84" t="s">
        <v>44</v>
      </c>
      <c r="U9" s="72"/>
      <c r="V9" s="84" t="s">
        <v>45</v>
      </c>
    </row>
    <row r="10" spans="1:22" x14ac:dyDescent="0.25">
      <c r="A10" s="72"/>
      <c r="B10" s="72"/>
      <c r="C10" s="72"/>
      <c r="D10" s="72"/>
      <c r="E10" s="73"/>
      <c r="F10" s="73"/>
      <c r="G10" s="73"/>
      <c r="H10" s="73"/>
      <c r="I10" s="73"/>
      <c r="J10" s="83"/>
      <c r="K10" s="73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</row>
    <row r="11" spans="1:22" x14ac:dyDescent="0.25">
      <c r="A11" s="82" t="s">
        <v>14</v>
      </c>
      <c r="B11" s="72"/>
      <c r="C11" s="72"/>
      <c r="D11" s="72"/>
      <c r="E11" s="73"/>
      <c r="F11" s="73"/>
      <c r="G11" s="73"/>
      <c r="H11" s="73"/>
      <c r="I11" s="73"/>
      <c r="J11" s="83"/>
      <c r="K11" s="73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</row>
    <row r="12" spans="1:22" x14ac:dyDescent="0.25">
      <c r="A12" s="72"/>
      <c r="B12" s="72" t="s">
        <v>46</v>
      </c>
      <c r="C12" s="72"/>
      <c r="D12" s="72"/>
      <c r="E12" s="74"/>
      <c r="F12" s="74"/>
      <c r="G12" s="74"/>
      <c r="H12" s="74"/>
      <c r="I12" s="77"/>
      <c r="J12" s="81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7">
        <f t="shared" ref="V12:V17" si="0">SUM(K12:T12)</f>
        <v>0</v>
      </c>
    </row>
    <row r="13" spans="1:22" x14ac:dyDescent="0.25">
      <c r="A13" s="72"/>
      <c r="B13" s="72" t="s">
        <v>47</v>
      </c>
      <c r="C13" s="72"/>
      <c r="D13" s="72"/>
      <c r="E13" s="74"/>
      <c r="F13" s="74"/>
      <c r="G13" s="74"/>
      <c r="H13" s="74"/>
      <c r="I13" s="77"/>
      <c r="J13" s="81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7">
        <f t="shared" si="0"/>
        <v>0</v>
      </c>
    </row>
    <row r="14" spans="1:22" x14ac:dyDescent="0.25">
      <c r="A14" s="72"/>
      <c r="B14" s="72" t="s">
        <v>48</v>
      </c>
      <c r="C14" s="72"/>
      <c r="D14" s="72"/>
      <c r="E14" s="74"/>
      <c r="F14" s="74"/>
      <c r="G14" s="74"/>
      <c r="H14" s="74"/>
      <c r="I14" s="77"/>
      <c r="J14" s="81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7">
        <f t="shared" si="0"/>
        <v>0</v>
      </c>
    </row>
    <row r="15" spans="1:22" x14ac:dyDescent="0.25">
      <c r="A15" s="72"/>
      <c r="B15" s="72" t="s">
        <v>49</v>
      </c>
      <c r="C15" s="72"/>
      <c r="D15" s="72"/>
      <c r="E15" s="74">
        <v>192944.94</v>
      </c>
      <c r="F15" s="74"/>
      <c r="G15" s="74">
        <v>192944.94</v>
      </c>
      <c r="H15" s="74"/>
      <c r="I15" s="77">
        <f>G15-E15</f>
        <v>0</v>
      </c>
      <c r="J15" s="81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7">
        <f t="shared" si="0"/>
        <v>0</v>
      </c>
    </row>
    <row r="16" spans="1:22" x14ac:dyDescent="0.25">
      <c r="A16" s="72"/>
      <c r="B16" s="72" t="s">
        <v>50</v>
      </c>
      <c r="C16" s="72"/>
      <c r="D16" s="72"/>
      <c r="E16" s="74"/>
      <c r="F16" s="74"/>
      <c r="G16" s="74"/>
      <c r="H16" s="74"/>
      <c r="I16" s="77"/>
      <c r="J16" s="81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7">
        <f t="shared" si="0"/>
        <v>0</v>
      </c>
    </row>
    <row r="17" spans="1:22" x14ac:dyDescent="0.25">
      <c r="A17" s="72"/>
      <c r="B17" s="72" t="s">
        <v>51</v>
      </c>
      <c r="C17" s="72"/>
      <c r="D17" s="72"/>
      <c r="E17" s="74"/>
      <c r="F17" s="74"/>
      <c r="G17" s="74"/>
      <c r="H17" s="74"/>
      <c r="I17" s="77"/>
      <c r="J17" s="81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7">
        <f t="shared" si="0"/>
        <v>0</v>
      </c>
    </row>
    <row r="18" spans="1:22" x14ac:dyDescent="0.25">
      <c r="A18" s="82" t="s">
        <v>17</v>
      </c>
      <c r="B18" s="72"/>
      <c r="C18" s="72"/>
      <c r="D18" s="72"/>
      <c r="E18" s="74"/>
      <c r="F18" s="74"/>
      <c r="G18" s="74"/>
      <c r="H18" s="74"/>
      <c r="I18" s="77"/>
      <c r="J18" s="81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7"/>
    </row>
    <row r="19" spans="1:22" x14ac:dyDescent="0.25">
      <c r="A19" s="72"/>
      <c r="B19" s="72" t="s">
        <v>52</v>
      </c>
      <c r="C19" s="72"/>
      <c r="D19" s="72"/>
      <c r="E19" s="74"/>
      <c r="F19" s="74"/>
      <c r="G19" s="74"/>
      <c r="H19" s="74"/>
      <c r="I19" s="77"/>
      <c r="J19" s="81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7">
        <f t="shared" ref="V19:V29" si="1">SUM(K19:T19)</f>
        <v>0</v>
      </c>
    </row>
    <row r="20" spans="1:22" x14ac:dyDescent="0.25">
      <c r="A20" s="72"/>
      <c r="B20" s="72" t="s">
        <v>53</v>
      </c>
      <c r="C20" s="72"/>
      <c r="D20" s="72"/>
      <c r="E20" s="74"/>
      <c r="F20" s="74"/>
      <c r="G20" s="74"/>
      <c r="H20" s="74"/>
      <c r="I20" s="77"/>
      <c r="J20" s="81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7">
        <f t="shared" si="1"/>
        <v>0</v>
      </c>
    </row>
    <row r="21" spans="1:22" x14ac:dyDescent="0.25">
      <c r="A21" s="72"/>
      <c r="B21" s="72" t="s">
        <v>54</v>
      </c>
      <c r="C21" s="72"/>
      <c r="D21" s="72"/>
      <c r="E21" s="74"/>
      <c r="F21" s="74"/>
      <c r="G21" s="74"/>
      <c r="H21" s="74"/>
      <c r="I21" s="77"/>
      <c r="J21" s="81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7">
        <f t="shared" si="1"/>
        <v>0</v>
      </c>
    </row>
    <row r="22" spans="1:22" x14ac:dyDescent="0.25">
      <c r="A22" s="72"/>
      <c r="B22" s="72" t="s">
        <v>55</v>
      </c>
      <c r="C22" s="72"/>
      <c r="D22" s="72"/>
      <c r="E22" s="74"/>
      <c r="F22" s="74"/>
      <c r="G22" s="74"/>
      <c r="H22" s="74"/>
      <c r="I22" s="77"/>
      <c r="J22" s="81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7">
        <f t="shared" si="1"/>
        <v>0</v>
      </c>
    </row>
    <row r="23" spans="1:22" x14ac:dyDescent="0.25">
      <c r="A23" s="72"/>
      <c r="B23" s="72" t="s">
        <v>56</v>
      </c>
      <c r="C23" s="72"/>
      <c r="D23" s="72"/>
      <c r="E23" s="74"/>
      <c r="F23" s="74"/>
      <c r="G23" s="74"/>
      <c r="H23" s="74"/>
      <c r="I23" s="77"/>
      <c r="J23" s="81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7">
        <f t="shared" si="1"/>
        <v>0</v>
      </c>
    </row>
    <row r="24" spans="1:22" x14ac:dyDescent="0.25">
      <c r="A24" s="72"/>
      <c r="B24" s="72" t="s">
        <v>57</v>
      </c>
      <c r="C24" s="72"/>
      <c r="D24" s="72"/>
      <c r="E24" s="74">
        <v>0</v>
      </c>
      <c r="F24" s="74"/>
      <c r="G24" s="74">
        <v>20000.343134773513</v>
      </c>
      <c r="H24" s="74"/>
      <c r="I24" s="77">
        <f>G24-E24</f>
        <v>20000.343134773513</v>
      </c>
      <c r="J24" s="81"/>
      <c r="K24" s="74"/>
      <c r="L24" s="74"/>
      <c r="M24" s="74"/>
      <c r="N24" s="74"/>
      <c r="O24" s="74"/>
      <c r="P24" s="74"/>
      <c r="Q24" s="74"/>
      <c r="R24" s="74"/>
      <c r="S24" s="74"/>
      <c r="T24" s="74">
        <v>20000.343134773513</v>
      </c>
      <c r="U24" s="74"/>
      <c r="V24" s="77">
        <f t="shared" si="1"/>
        <v>20000.343134773513</v>
      </c>
    </row>
    <row r="25" spans="1:22" x14ac:dyDescent="0.25">
      <c r="A25" s="72"/>
      <c r="B25" s="72" t="s">
        <v>59</v>
      </c>
      <c r="C25" s="72"/>
      <c r="D25" s="72"/>
      <c r="E25" s="74">
        <v>0</v>
      </c>
      <c r="F25" s="74"/>
      <c r="G25" s="74">
        <v>2341.712735764263</v>
      </c>
      <c r="H25" s="74"/>
      <c r="I25" s="77">
        <f>G25-E25</f>
        <v>2341.712735764263</v>
      </c>
      <c r="J25" s="81"/>
      <c r="K25" s="74"/>
      <c r="L25" s="74"/>
      <c r="M25" s="74"/>
      <c r="N25" s="74"/>
      <c r="O25" s="74"/>
      <c r="P25" s="74"/>
      <c r="Q25" s="74"/>
      <c r="R25" s="74"/>
      <c r="S25" s="74">
        <v>2341.712735764263</v>
      </c>
      <c r="T25" s="74"/>
      <c r="U25" s="74"/>
      <c r="V25" s="77">
        <f t="shared" si="1"/>
        <v>2341.712735764263</v>
      </c>
    </row>
    <row r="26" spans="1:22" x14ac:dyDescent="0.25">
      <c r="A26" s="72"/>
      <c r="B26" s="72" t="s">
        <v>60</v>
      </c>
      <c r="C26" s="72"/>
      <c r="D26" s="72"/>
      <c r="E26" s="74"/>
      <c r="F26" s="74"/>
      <c r="G26" s="74"/>
      <c r="H26" s="74"/>
      <c r="I26" s="77"/>
      <c r="J26" s="81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7">
        <f t="shared" si="1"/>
        <v>0</v>
      </c>
    </row>
    <row r="27" spans="1:22" x14ac:dyDescent="0.25">
      <c r="A27" s="72"/>
      <c r="B27" s="72" t="s">
        <v>61</v>
      </c>
      <c r="C27" s="72"/>
      <c r="D27" s="72"/>
      <c r="E27" s="74"/>
      <c r="F27" s="74"/>
      <c r="G27" s="74"/>
      <c r="H27" s="74"/>
      <c r="I27" s="77"/>
      <c r="J27" s="81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7">
        <f t="shared" si="1"/>
        <v>0</v>
      </c>
    </row>
    <row r="28" spans="1:22" x14ac:dyDescent="0.25">
      <c r="A28" s="72"/>
      <c r="B28" s="72" t="s">
        <v>62</v>
      </c>
      <c r="C28" s="72"/>
      <c r="D28" s="72"/>
      <c r="E28" s="74"/>
      <c r="F28" s="74"/>
      <c r="G28" s="74"/>
      <c r="H28" s="74"/>
      <c r="I28" s="77"/>
      <c r="J28" s="81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7">
        <f t="shared" si="1"/>
        <v>0</v>
      </c>
    </row>
    <row r="29" spans="1:22" x14ac:dyDescent="0.25">
      <c r="A29" s="72"/>
      <c r="B29" s="72" t="s">
        <v>63</v>
      </c>
      <c r="C29" s="72"/>
      <c r="D29" s="72"/>
      <c r="E29" s="80"/>
      <c r="F29" s="74"/>
      <c r="G29" s="80"/>
      <c r="H29" s="74"/>
      <c r="I29" s="77"/>
      <c r="J29" s="81"/>
      <c r="K29" s="80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7">
        <f t="shared" si="1"/>
        <v>0</v>
      </c>
    </row>
    <row r="30" spans="1:22" ht="15.75" thickBot="1" x14ac:dyDescent="0.3">
      <c r="A30" s="79" t="s">
        <v>64</v>
      </c>
      <c r="E30" s="75">
        <f>SUM(E12:E29)</f>
        <v>192944.94</v>
      </c>
      <c r="F30" s="77"/>
      <c r="G30" s="75">
        <f>SUM(G12:G29)</f>
        <v>215286.99587053779</v>
      </c>
      <c r="H30" s="77"/>
      <c r="I30" s="75">
        <f>SUM(I12:I29)</f>
        <v>22342.055870537777</v>
      </c>
      <c r="J30" s="78"/>
      <c r="K30" s="75">
        <f>SUM(K12:K29)</f>
        <v>0</v>
      </c>
      <c r="L30" s="77"/>
      <c r="M30" s="75">
        <f>SUM(M12:M29)</f>
        <v>0</v>
      </c>
      <c r="N30" s="77"/>
      <c r="O30" s="75">
        <f>SUM(O12:O29)</f>
        <v>0</v>
      </c>
      <c r="P30" s="77"/>
      <c r="Q30" s="75">
        <f>SUM(Q12:Q29)</f>
        <v>0</v>
      </c>
      <c r="R30" s="77"/>
      <c r="S30" s="75">
        <f>SUM(S12:S29)</f>
        <v>2341.712735764263</v>
      </c>
      <c r="T30" s="75">
        <f>SUM(T12:T29)</f>
        <v>20000.343134773513</v>
      </c>
      <c r="U30" s="76"/>
      <c r="V30" s="75">
        <f>SUM(V12:V29)</f>
        <v>22342.055870537777</v>
      </c>
    </row>
    <row r="31" spans="1:22" ht="15.75" thickTop="1" x14ac:dyDescent="0.25">
      <c r="A31" s="72"/>
      <c r="B31" s="72"/>
      <c r="C31" s="72"/>
      <c r="D31" s="72"/>
      <c r="E31" s="73"/>
      <c r="F31" s="73"/>
      <c r="G31" s="73"/>
      <c r="H31" s="73"/>
      <c r="I31" s="73"/>
      <c r="J31" s="73"/>
      <c r="K31" s="73"/>
      <c r="L31" s="72"/>
      <c r="M31" s="72"/>
      <c r="N31" s="72"/>
      <c r="O31" s="72"/>
      <c r="P31" s="72"/>
      <c r="Q31" s="72"/>
      <c r="R31" s="72"/>
      <c r="S31" s="74"/>
      <c r="T31" s="72"/>
      <c r="U31" s="72"/>
      <c r="V31" s="72"/>
    </row>
    <row r="32" spans="1:22" x14ac:dyDescent="0.25">
      <c r="A32" s="72"/>
      <c r="B32" s="72"/>
      <c r="C32" s="72"/>
      <c r="D32" s="72"/>
      <c r="E32" s="73"/>
      <c r="F32" s="73"/>
      <c r="G32" s="73"/>
      <c r="H32" s="73"/>
      <c r="I32" s="73"/>
      <c r="J32" s="73"/>
      <c r="K32" s="73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</row>
    <row r="33" spans="1:22" x14ac:dyDescent="0.25">
      <c r="A33" s="72" t="s">
        <v>65</v>
      </c>
      <c r="B33" s="72"/>
      <c r="C33" s="72"/>
      <c r="D33" s="72"/>
      <c r="E33" s="73"/>
      <c r="F33" s="73"/>
      <c r="G33" s="73"/>
      <c r="H33" s="73"/>
      <c r="I33" s="73"/>
      <c r="J33" s="73"/>
      <c r="K33" s="73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</row>
    <row r="34" spans="1:22" x14ac:dyDescent="0.25">
      <c r="A34" s="72" t="s">
        <v>66</v>
      </c>
      <c r="B34" s="72"/>
      <c r="C34" s="72" t="s">
        <v>67</v>
      </c>
      <c r="D34" s="72"/>
      <c r="E34" s="73"/>
      <c r="F34" s="73"/>
      <c r="G34" s="73"/>
      <c r="H34" s="73"/>
      <c r="I34" s="73"/>
      <c r="J34" s="73"/>
      <c r="K34" s="73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</row>
    <row r="35" spans="1:22" x14ac:dyDescent="0.25">
      <c r="A35" s="72" t="s">
        <v>68</v>
      </c>
      <c r="B35" s="72"/>
      <c r="C35" s="72" t="s">
        <v>69</v>
      </c>
      <c r="D35" s="72"/>
      <c r="E35" s="73"/>
      <c r="F35" s="73"/>
      <c r="G35" s="73"/>
      <c r="H35" s="73"/>
      <c r="I35" s="73"/>
      <c r="J35" s="73"/>
      <c r="K35" s="73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</row>
    <row r="36" spans="1:22" x14ac:dyDescent="0.25">
      <c r="A36" s="72" t="s">
        <v>70</v>
      </c>
      <c r="B36" s="72"/>
      <c r="C36" s="72" t="s">
        <v>71</v>
      </c>
      <c r="D36" s="72"/>
      <c r="E36" s="73"/>
      <c r="F36" s="73"/>
      <c r="G36" s="73"/>
      <c r="H36" s="73"/>
      <c r="I36" s="73"/>
      <c r="J36" s="73"/>
      <c r="K36" s="73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</row>
    <row r="37" spans="1:22" x14ac:dyDescent="0.25">
      <c r="A37" s="72"/>
      <c r="B37" s="72"/>
      <c r="C37" s="72" t="s">
        <v>72</v>
      </c>
      <c r="D37" s="72"/>
      <c r="E37" s="73"/>
      <c r="F37" s="73"/>
      <c r="G37" s="73"/>
      <c r="H37" s="73"/>
      <c r="I37" s="73"/>
      <c r="J37" s="73"/>
      <c r="K37" s="73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</row>
    <row r="38" spans="1:22" x14ac:dyDescent="0.25">
      <c r="A38" s="72" t="s">
        <v>73</v>
      </c>
      <c r="B38" s="72"/>
      <c r="C38" s="72" t="s">
        <v>74</v>
      </c>
      <c r="D38" s="72"/>
      <c r="E38" s="73"/>
      <c r="F38" s="73"/>
      <c r="G38" s="73"/>
      <c r="H38" s="73"/>
      <c r="I38" s="73"/>
      <c r="J38" s="73"/>
      <c r="K38" s="73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</row>
    <row r="39" spans="1:22" x14ac:dyDescent="0.25">
      <c r="A39" s="72" t="s">
        <v>75</v>
      </c>
      <c r="B39" s="72"/>
      <c r="C39" s="72" t="s">
        <v>76</v>
      </c>
      <c r="D39" s="72"/>
      <c r="E39" s="73"/>
      <c r="F39" s="73"/>
      <c r="G39" s="73"/>
      <c r="H39" s="73"/>
      <c r="I39" s="73"/>
      <c r="J39" s="73"/>
      <c r="K39" s="73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</row>
    <row r="40" spans="1:22" x14ac:dyDescent="0.25">
      <c r="A40" s="72"/>
      <c r="B40" s="72"/>
      <c r="C40" s="72"/>
      <c r="D40" s="72"/>
      <c r="E40" s="73"/>
      <c r="F40" s="73"/>
      <c r="G40" s="73"/>
      <c r="H40" s="73"/>
      <c r="I40" s="73"/>
      <c r="J40" s="73"/>
      <c r="K40" s="73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</row>
  </sheetData>
  <printOptions horizontalCentered="1"/>
  <pageMargins left="0" right="0" top="0.75" bottom="0.75" header="0.3" footer="0.3"/>
  <pageSetup scale="54" orientation="landscape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D565-B781-4D1B-B232-21ADC4BD64CD}">
  <dimension ref="A1:J30"/>
  <sheetViews>
    <sheetView zoomScaleNormal="100" workbookViewId="0">
      <selection activeCell="G31" sqref="G31"/>
    </sheetView>
  </sheetViews>
  <sheetFormatPr defaultRowHeight="15" x14ac:dyDescent="0.25"/>
  <cols>
    <col min="1" max="1" width="12.140625" style="92" customWidth="1"/>
    <col min="2" max="2" width="5.28515625" style="92" customWidth="1"/>
    <col min="3" max="3" width="7.5703125" style="92" customWidth="1"/>
    <col min="4" max="4" width="4.5703125" style="92" customWidth="1"/>
    <col min="5" max="5" width="19" style="92" customWidth="1"/>
    <col min="6" max="6" width="17.42578125" style="92" customWidth="1"/>
    <col min="7" max="7" width="16.7109375" style="92" customWidth="1"/>
    <col min="8" max="8" width="14.42578125" style="92" customWidth="1"/>
    <col min="9" max="9" width="3" style="92" customWidth="1"/>
    <col min="10" max="10" width="22.140625" style="92" customWidth="1"/>
    <col min="11" max="16384" width="9.140625" style="92"/>
  </cols>
  <sheetData>
    <row r="1" spans="1:10" x14ac:dyDescent="0.25">
      <c r="A1" s="192"/>
      <c r="B1" s="192"/>
      <c r="C1" s="192"/>
      <c r="D1" s="192"/>
      <c r="E1" s="192"/>
      <c r="F1" s="192"/>
      <c r="G1" s="192"/>
      <c r="H1" s="192"/>
      <c r="I1" s="192" t="s">
        <v>0</v>
      </c>
      <c r="J1" s="192"/>
    </row>
    <row r="2" spans="1:10" x14ac:dyDescent="0.25">
      <c r="A2" s="199" t="s">
        <v>1</v>
      </c>
      <c r="B2" s="199"/>
      <c r="C2" s="199"/>
      <c r="D2" s="199"/>
      <c r="E2" s="199"/>
      <c r="F2" s="199"/>
      <c r="G2" s="199"/>
      <c r="H2" s="199"/>
      <c r="I2" s="199"/>
      <c r="J2" s="199"/>
    </row>
    <row r="3" spans="1:10" x14ac:dyDescent="0.25">
      <c r="A3" s="199" t="s">
        <v>2</v>
      </c>
      <c r="B3" s="199"/>
      <c r="C3" s="199"/>
      <c r="D3" s="199"/>
      <c r="E3" s="199"/>
      <c r="F3" s="199"/>
      <c r="G3" s="199"/>
      <c r="H3" s="199"/>
      <c r="I3" s="199"/>
      <c r="J3" s="199"/>
    </row>
    <row r="4" spans="1:10" x14ac:dyDescent="0.25">
      <c r="A4" s="204" t="str">
        <f>[12]Links!B3</f>
        <v>Interim Wtr Supply &amp; Wtr Qlty Infrastucture &amp; Mgmt Subacct (6027000)</v>
      </c>
      <c r="B4" s="199"/>
      <c r="C4" s="199"/>
      <c r="D4" s="199"/>
      <c r="E4" s="199"/>
      <c r="F4" s="199"/>
      <c r="G4" s="199"/>
      <c r="H4" s="199"/>
      <c r="I4" s="199"/>
      <c r="J4" s="199"/>
    </row>
    <row r="5" spans="1:10" x14ac:dyDescent="0.25">
      <c r="A5" s="199" t="s">
        <v>3</v>
      </c>
      <c r="B5" s="199"/>
      <c r="C5" s="199"/>
      <c r="D5" s="199"/>
      <c r="E5" s="199"/>
      <c r="F5" s="199"/>
      <c r="G5" s="199"/>
      <c r="H5" s="199"/>
      <c r="I5" s="199"/>
      <c r="J5" s="199"/>
    </row>
    <row r="6" spans="1:10" x14ac:dyDescent="0.25">
      <c r="A6" s="199" t="s">
        <v>4</v>
      </c>
      <c r="B6" s="199"/>
      <c r="C6" s="199"/>
      <c r="D6" s="199"/>
      <c r="E6" s="199"/>
      <c r="F6" s="199"/>
      <c r="G6" s="199"/>
      <c r="H6" s="199"/>
      <c r="I6" s="199"/>
      <c r="J6" s="199"/>
    </row>
    <row r="7" spans="1:10" x14ac:dyDescent="0.25">
      <c r="A7" s="200" t="s">
        <v>5</v>
      </c>
      <c r="B7" s="200"/>
      <c r="C7" s="201" t="s">
        <v>6</v>
      </c>
      <c r="D7" s="201"/>
      <c r="E7" s="201"/>
      <c r="F7" s="201"/>
      <c r="G7" s="201"/>
      <c r="H7" s="201"/>
      <c r="I7" s="201" t="s">
        <v>87</v>
      </c>
      <c r="J7" s="192"/>
    </row>
    <row r="8" spans="1:10" x14ac:dyDescent="0.25">
      <c r="A8" s="200" t="s">
        <v>7</v>
      </c>
      <c r="B8" s="200"/>
      <c r="C8" s="201" t="s">
        <v>101</v>
      </c>
      <c r="D8" s="201"/>
      <c r="E8" s="201"/>
      <c r="F8" s="201"/>
      <c r="G8" s="201"/>
      <c r="H8" s="201"/>
      <c r="I8" s="201" t="s">
        <v>100</v>
      </c>
      <c r="J8" s="192"/>
    </row>
    <row r="9" spans="1:10" x14ac:dyDescent="0.25">
      <c r="A9" s="200"/>
      <c r="B9" s="200"/>
      <c r="C9" s="203"/>
      <c r="D9" s="203"/>
      <c r="E9" s="203"/>
      <c r="F9" s="203"/>
      <c r="G9" s="203"/>
      <c r="H9" s="203"/>
      <c r="I9" s="200" t="s">
        <v>99</v>
      </c>
      <c r="J9" s="192"/>
    </row>
    <row r="10" spans="1:10" x14ac:dyDescent="0.25">
      <c r="A10" s="192"/>
      <c r="B10" s="192"/>
      <c r="C10" s="192"/>
      <c r="D10" s="192"/>
      <c r="E10" s="192"/>
      <c r="F10" s="192"/>
      <c r="G10" s="192"/>
      <c r="H10" s="192"/>
      <c r="I10" s="192"/>
      <c r="J10" s="192"/>
    </row>
    <row r="11" spans="1:10" x14ac:dyDescent="0.25">
      <c r="A11" s="190"/>
      <c r="B11" s="190"/>
      <c r="C11" s="190"/>
      <c r="D11" s="190"/>
      <c r="E11" s="190"/>
      <c r="F11" s="190"/>
      <c r="G11" s="190"/>
      <c r="H11" s="190"/>
      <c r="I11" s="190"/>
      <c r="J11" s="190"/>
    </row>
    <row r="12" spans="1:10" x14ac:dyDescent="0.25">
      <c r="A12" s="196" t="s">
        <v>8</v>
      </c>
      <c r="B12" s="196"/>
      <c r="C12" s="196"/>
      <c r="D12" s="196"/>
      <c r="E12" s="196"/>
      <c r="F12" s="196"/>
      <c r="G12" s="196"/>
      <c r="H12" s="196"/>
      <c r="I12" s="196"/>
      <c r="J12" s="196"/>
    </row>
    <row r="13" spans="1:10" x14ac:dyDescent="0.25">
      <c r="A13" s="190"/>
      <c r="B13" s="190"/>
      <c r="C13" s="190"/>
      <c r="D13" s="190"/>
      <c r="E13" s="190"/>
      <c r="F13" s="190"/>
      <c r="G13" s="190"/>
      <c r="H13" s="190"/>
      <c r="I13" s="190"/>
      <c r="J13" s="190"/>
    </row>
    <row r="14" spans="1:10" ht="24.75" customHeight="1" x14ac:dyDescent="0.25">
      <c r="A14" s="197" t="s">
        <v>9</v>
      </c>
      <c r="B14" s="197"/>
      <c r="C14" s="197"/>
      <c r="D14" s="197"/>
      <c r="E14" s="197"/>
      <c r="F14" s="101" t="s">
        <v>10</v>
      </c>
      <c r="G14" s="101" t="s">
        <v>11</v>
      </c>
      <c r="H14" s="198" t="s">
        <v>12</v>
      </c>
      <c r="I14" s="198"/>
      <c r="J14" s="101" t="s">
        <v>13</v>
      </c>
    </row>
    <row r="15" spans="1:10" ht="17.25" customHeight="1" x14ac:dyDescent="0.25">
      <c r="A15" s="202" t="s">
        <v>14</v>
      </c>
      <c r="B15" s="202"/>
      <c r="C15" s="202"/>
      <c r="D15" s="202"/>
      <c r="E15" s="202"/>
      <c r="F15" s="202"/>
      <c r="G15" s="202"/>
      <c r="H15" s="202"/>
      <c r="I15" s="202"/>
      <c r="J15" s="202"/>
    </row>
    <row r="16" spans="1:10" x14ac:dyDescent="0.25">
      <c r="A16" s="192" t="s">
        <v>97</v>
      </c>
      <c r="B16" s="192"/>
      <c r="C16" s="192"/>
      <c r="D16" s="192"/>
      <c r="E16" s="192"/>
      <c r="F16" s="99">
        <v>22578.84</v>
      </c>
      <c r="G16" s="97">
        <v>0</v>
      </c>
      <c r="H16" s="194">
        <v>0</v>
      </c>
      <c r="I16" s="194"/>
      <c r="J16" s="99">
        <f>F16+G16-H16</f>
        <v>22578.84</v>
      </c>
    </row>
    <row r="17" spans="1:10" x14ac:dyDescent="0.25">
      <c r="A17" s="192" t="s">
        <v>16</v>
      </c>
      <c r="B17" s="192"/>
      <c r="C17" s="192"/>
      <c r="D17" s="192"/>
      <c r="E17" s="192"/>
      <c r="F17" s="97">
        <v>0</v>
      </c>
      <c r="G17" s="97">
        <v>0</v>
      </c>
      <c r="H17" s="194">
        <v>0</v>
      </c>
      <c r="I17" s="194"/>
      <c r="J17" s="97">
        <f>F17+G17-H17</f>
        <v>0</v>
      </c>
    </row>
    <row r="18" spans="1:10" x14ac:dyDescent="0.25">
      <c r="A18" s="93"/>
      <c r="B18" s="93"/>
      <c r="C18" s="93"/>
      <c r="D18" s="93"/>
      <c r="E18" s="93"/>
      <c r="F18" s="93"/>
      <c r="G18" s="93"/>
      <c r="H18" s="93"/>
      <c r="I18" s="93"/>
      <c r="J18" s="93"/>
    </row>
    <row r="19" spans="1:10" x14ac:dyDescent="0.25">
      <c r="A19" s="100" t="s">
        <v>17</v>
      </c>
      <c r="B19" s="100"/>
      <c r="C19" s="100"/>
      <c r="D19" s="100"/>
      <c r="E19" s="100"/>
      <c r="F19" s="100"/>
      <c r="G19" s="100"/>
      <c r="H19" s="100"/>
      <c r="I19" s="100"/>
      <c r="J19" s="100"/>
    </row>
    <row r="20" spans="1:10" x14ac:dyDescent="0.25">
      <c r="A20" s="192" t="s">
        <v>83</v>
      </c>
      <c r="B20" s="192"/>
      <c r="C20" s="192"/>
      <c r="D20" s="192"/>
      <c r="E20" s="192"/>
      <c r="F20" s="99">
        <v>2718.1956267029777</v>
      </c>
      <c r="G20" s="97">
        <v>0</v>
      </c>
      <c r="H20" s="194">
        <v>0</v>
      </c>
      <c r="I20" s="194"/>
      <c r="J20" s="99">
        <f>F20+G20-H20</f>
        <v>2718.1956267029777</v>
      </c>
    </row>
    <row r="21" spans="1:10" ht="15" customHeight="1" x14ac:dyDescent="0.25">
      <c r="A21" s="192" t="s">
        <v>96</v>
      </c>
      <c r="B21" s="192"/>
      <c r="C21" s="192"/>
      <c r="D21" s="192"/>
      <c r="E21" s="192"/>
      <c r="F21" s="99">
        <v>318.25620562890242</v>
      </c>
      <c r="G21" s="99">
        <v>31.79</v>
      </c>
      <c r="H21" s="193">
        <v>25</v>
      </c>
      <c r="I21" s="193"/>
      <c r="J21" s="99">
        <f>F21+G21-H21</f>
        <v>325.04620562890244</v>
      </c>
    </row>
    <row r="22" spans="1:10" x14ac:dyDescent="0.25">
      <c r="A22" s="192" t="s">
        <v>20</v>
      </c>
      <c r="B22" s="192"/>
      <c r="C22" s="192"/>
      <c r="D22" s="192"/>
      <c r="E22" s="192"/>
      <c r="F22" s="97">
        <v>0</v>
      </c>
      <c r="G22" s="97">
        <v>0</v>
      </c>
      <c r="H22" s="194">
        <v>0</v>
      </c>
      <c r="I22" s="194"/>
      <c r="J22" s="97">
        <f>F22+G22-H22</f>
        <v>0</v>
      </c>
    </row>
    <row r="23" spans="1:10" x14ac:dyDescent="0.25">
      <c r="A23" s="98"/>
      <c r="B23" s="98"/>
      <c r="C23" s="98"/>
      <c r="D23" s="98"/>
      <c r="E23" s="98"/>
      <c r="F23" s="97"/>
      <c r="G23" s="97"/>
      <c r="H23" s="97"/>
      <c r="I23" s="97"/>
      <c r="J23" s="97"/>
    </row>
    <row r="24" spans="1:10" ht="15.75" customHeight="1" x14ac:dyDescent="0.25">
      <c r="A24" s="96"/>
      <c r="B24" s="96"/>
      <c r="C24" s="96"/>
      <c r="D24" s="96"/>
      <c r="E24" s="96"/>
      <c r="F24" s="95"/>
      <c r="G24" s="95"/>
      <c r="H24" s="95"/>
      <c r="I24" s="95"/>
      <c r="J24" s="95"/>
    </row>
    <row r="25" spans="1:10" x14ac:dyDescent="0.25">
      <c r="A25" s="94" t="s">
        <v>7</v>
      </c>
      <c r="B25" s="189">
        <v>6027000</v>
      </c>
      <c r="C25" s="189"/>
      <c r="D25" s="189"/>
      <c r="E25" s="195">
        <f>SUM(F16:F22)</f>
        <v>25615.291832331881</v>
      </c>
      <c r="F25" s="195"/>
      <c r="G25" s="195">
        <f>SUM(G20:G24)</f>
        <v>31.79</v>
      </c>
      <c r="H25" s="195">
        <f>SUM(H20:I24)</f>
        <v>25</v>
      </c>
      <c r="I25" s="195"/>
      <c r="J25" s="195">
        <f>SUM(J20:J24)</f>
        <v>3043.2418323318802</v>
      </c>
    </row>
    <row r="26" spans="1:10" x14ac:dyDescent="0.25">
      <c r="A26" s="94"/>
      <c r="B26" s="189"/>
      <c r="C26" s="189"/>
      <c r="D26" s="189"/>
      <c r="E26" s="195"/>
      <c r="F26" s="195"/>
      <c r="G26" s="195"/>
      <c r="H26" s="195"/>
      <c r="I26" s="195"/>
      <c r="J26" s="195"/>
    </row>
    <row r="27" spans="1:10" x14ac:dyDescent="0.25">
      <c r="A27" s="190"/>
      <c r="B27" s="190"/>
      <c r="C27" s="190"/>
      <c r="D27" s="190"/>
      <c r="E27" s="190"/>
      <c r="F27" s="190"/>
      <c r="G27" s="190"/>
      <c r="H27" s="190"/>
      <c r="I27" s="190"/>
      <c r="J27" s="190"/>
    </row>
    <row r="28" spans="1:10" x14ac:dyDescent="0.25">
      <c r="A28" s="190"/>
      <c r="B28" s="190"/>
      <c r="C28" s="190"/>
      <c r="D28" s="190"/>
      <c r="E28" s="190"/>
      <c r="F28" s="190"/>
      <c r="G28" s="190"/>
      <c r="H28" s="190"/>
      <c r="I28" s="190"/>
      <c r="J28" s="190"/>
    </row>
    <row r="29" spans="1:10" x14ac:dyDescent="0.25">
      <c r="A29" s="190"/>
      <c r="B29" s="190"/>
      <c r="C29" s="190"/>
      <c r="D29" s="190"/>
      <c r="E29" s="190"/>
      <c r="F29" s="190"/>
      <c r="G29" s="190"/>
      <c r="H29" s="190"/>
      <c r="I29" s="190"/>
      <c r="J29" s="190"/>
    </row>
    <row r="30" spans="1:10" x14ac:dyDescent="0.25">
      <c r="A30" s="191"/>
      <c r="B30" s="191"/>
      <c r="C30" s="191"/>
      <c r="D30" s="191"/>
      <c r="E30" s="191"/>
      <c r="F30" s="191"/>
      <c r="G30" s="191"/>
      <c r="H30" s="191"/>
      <c r="I30" s="191"/>
      <c r="J30" s="191"/>
    </row>
  </sheetData>
  <mergeCells count="46">
    <mergeCell ref="A4:J4"/>
    <mergeCell ref="A5:J5"/>
    <mergeCell ref="A1:C1"/>
    <mergeCell ref="D1:H1"/>
    <mergeCell ref="I1:J1"/>
    <mergeCell ref="A2:J2"/>
    <mergeCell ref="A3:J3"/>
    <mergeCell ref="A6:J6"/>
    <mergeCell ref="A7:B7"/>
    <mergeCell ref="C7:H7"/>
    <mergeCell ref="I7:J7"/>
    <mergeCell ref="A15:J15"/>
    <mergeCell ref="A9:B9"/>
    <mergeCell ref="C9:H9"/>
    <mergeCell ref="I9:J9"/>
    <mergeCell ref="A10:B10"/>
    <mergeCell ref="C10:H10"/>
    <mergeCell ref="A8:B8"/>
    <mergeCell ref="C8:H8"/>
    <mergeCell ref="I8:J8"/>
    <mergeCell ref="I10:J10"/>
    <mergeCell ref="A11:J11"/>
    <mergeCell ref="A12:J12"/>
    <mergeCell ref="A13:J13"/>
    <mergeCell ref="A14:E14"/>
    <mergeCell ref="H14:I14"/>
    <mergeCell ref="A16:E16"/>
    <mergeCell ref="H16:I16"/>
    <mergeCell ref="A17:E17"/>
    <mergeCell ref="H17:I17"/>
    <mergeCell ref="A20:E20"/>
    <mergeCell ref="H20:I20"/>
    <mergeCell ref="A21:E21"/>
    <mergeCell ref="H21:I21"/>
    <mergeCell ref="A22:E22"/>
    <mergeCell ref="H22:I22"/>
    <mergeCell ref="B25:D25"/>
    <mergeCell ref="E25:F26"/>
    <mergeCell ref="G25:G26"/>
    <mergeCell ref="H25:I26"/>
    <mergeCell ref="B26:D26"/>
    <mergeCell ref="A27:J27"/>
    <mergeCell ref="A28:J28"/>
    <mergeCell ref="A29:J29"/>
    <mergeCell ref="A30:J30"/>
    <mergeCell ref="J25:J26"/>
  </mergeCells>
  <pageMargins left="0.7" right="0.7" top="0.75" bottom="0.75" header="0.3" footer="0.3"/>
  <pageSetup scale="98"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D80C6-7107-4424-ACF1-EF56CB30DD08}">
  <sheetPr>
    <pageSetUpPr fitToPage="1"/>
  </sheetPr>
  <dimension ref="A1:V40"/>
  <sheetViews>
    <sheetView topLeftCell="A9" zoomScaleNormal="100" workbookViewId="0">
      <selection activeCell="F37" sqref="F37"/>
    </sheetView>
  </sheetViews>
  <sheetFormatPr defaultRowHeight="15" x14ac:dyDescent="0.25"/>
  <cols>
    <col min="1" max="1" width="1.7109375" style="102" customWidth="1"/>
    <col min="2" max="2" width="9" style="102" customWidth="1"/>
    <col min="3" max="3" width="44.28515625" style="102" customWidth="1"/>
    <col min="4" max="4" width="1.7109375" style="102" customWidth="1"/>
    <col min="5" max="5" width="15.7109375" style="103" customWidth="1"/>
    <col min="6" max="6" width="1.7109375" style="103" customWidth="1"/>
    <col min="7" max="7" width="15.7109375" style="103" customWidth="1"/>
    <col min="8" max="8" width="1.7109375" style="103" customWidth="1"/>
    <col min="9" max="9" width="15.7109375" style="103" customWidth="1"/>
    <col min="10" max="10" width="1.7109375" style="103" customWidth="1"/>
    <col min="11" max="11" width="15.7109375" style="103" customWidth="1"/>
    <col min="12" max="12" width="1.7109375" style="102" customWidth="1"/>
    <col min="13" max="13" width="15.7109375" style="102" customWidth="1"/>
    <col min="14" max="14" width="1.7109375" style="102" customWidth="1"/>
    <col min="15" max="15" width="15.7109375" style="102" customWidth="1"/>
    <col min="16" max="16" width="1.7109375" style="102" customWidth="1"/>
    <col min="17" max="17" width="15.7109375" style="102" customWidth="1"/>
    <col min="18" max="18" width="1.7109375" style="102" customWidth="1"/>
    <col min="19" max="20" width="15.7109375" style="102" customWidth="1"/>
    <col min="21" max="21" width="1.7109375" style="102" customWidth="1"/>
    <col min="22" max="22" width="15.7109375" style="102" customWidth="1"/>
    <col min="23" max="16384" width="9.140625" style="102"/>
  </cols>
  <sheetData>
    <row r="1" spans="1:22" x14ac:dyDescent="0.25">
      <c r="A1" s="124" t="str">
        <f>[12]Links!B2</f>
        <v>DEPARTMENT OF WATER RESOURCES (3860)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</row>
    <row r="2" spans="1:22" x14ac:dyDescent="0.25">
      <c r="A2" s="123" t="s">
        <v>22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</row>
    <row r="3" spans="1:22" x14ac:dyDescent="0.25">
      <c r="A3" s="123" t="s">
        <v>23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</row>
    <row r="4" spans="1:22" x14ac:dyDescent="0.25">
      <c r="A4" s="124" t="str">
        <f>[12]Links!B3</f>
        <v>Interim Wtr Supply &amp; Wtr Qlty Infrastucture &amp; Mgmt Subacct (6027000)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</row>
    <row r="5" spans="1:22" x14ac:dyDescent="0.25">
      <c r="A5" s="123" t="s">
        <v>24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</row>
    <row r="6" spans="1:22" x14ac:dyDescent="0.25">
      <c r="A6" s="104"/>
      <c r="B6" s="104"/>
      <c r="C6" s="104"/>
      <c r="D6" s="104"/>
      <c r="E6" s="105"/>
      <c r="F6" s="105"/>
      <c r="G6" s="105"/>
      <c r="H6" s="105"/>
      <c r="I6" s="105"/>
      <c r="J6" s="105"/>
      <c r="K6" s="105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</row>
    <row r="7" spans="1:22" ht="15.75" thickBot="1" x14ac:dyDescent="0.3">
      <c r="A7" s="104"/>
      <c r="B7" s="104"/>
      <c r="C7" s="104"/>
      <c r="D7" s="104"/>
      <c r="E7" s="105"/>
      <c r="F7" s="105"/>
      <c r="G7" s="105"/>
      <c r="H7" s="105"/>
      <c r="I7" s="105"/>
      <c r="J7" s="116"/>
      <c r="K7" s="122" t="s">
        <v>25</v>
      </c>
      <c r="L7" s="122"/>
      <c r="M7" s="122"/>
      <c r="N7" s="122"/>
      <c r="O7" s="122"/>
      <c r="P7" s="122"/>
      <c r="Q7" s="122"/>
      <c r="R7" s="122"/>
      <c r="S7" s="122"/>
      <c r="T7" s="122"/>
      <c r="U7" s="104"/>
      <c r="V7" s="104"/>
    </row>
    <row r="8" spans="1:22" x14ac:dyDescent="0.25">
      <c r="A8" s="104"/>
      <c r="B8" s="104"/>
      <c r="C8" s="104"/>
      <c r="D8" s="104"/>
      <c r="E8" s="121" t="s">
        <v>26</v>
      </c>
      <c r="F8" s="118"/>
      <c r="G8" s="121" t="s">
        <v>27</v>
      </c>
      <c r="H8" s="118"/>
      <c r="I8" s="121" t="s">
        <v>28</v>
      </c>
      <c r="J8" s="119"/>
      <c r="K8" s="121" t="s">
        <v>29</v>
      </c>
      <c r="L8" s="104"/>
      <c r="M8" s="121" t="s">
        <v>30</v>
      </c>
      <c r="N8" s="118"/>
      <c r="O8" s="121" t="s">
        <v>31</v>
      </c>
      <c r="P8" s="118"/>
      <c r="Q8" s="121" t="s">
        <v>32</v>
      </c>
      <c r="R8" s="118"/>
      <c r="S8" s="121" t="s">
        <v>33</v>
      </c>
      <c r="T8" s="121" t="s">
        <v>34</v>
      </c>
      <c r="U8" s="118"/>
      <c r="V8" s="121" t="s">
        <v>35</v>
      </c>
    </row>
    <row r="9" spans="1:22" ht="120" x14ac:dyDescent="0.25">
      <c r="A9" s="115"/>
      <c r="B9" s="104"/>
      <c r="C9" s="104"/>
      <c r="D9" s="104"/>
      <c r="E9" s="117" t="s">
        <v>36</v>
      </c>
      <c r="F9" s="118"/>
      <c r="G9" s="117" t="s">
        <v>37</v>
      </c>
      <c r="H9" s="118"/>
      <c r="I9" s="120" t="s">
        <v>38</v>
      </c>
      <c r="J9" s="119"/>
      <c r="K9" s="117" t="s">
        <v>39</v>
      </c>
      <c r="L9" s="118"/>
      <c r="M9" s="117" t="s">
        <v>40</v>
      </c>
      <c r="N9" s="104"/>
      <c r="O9" s="117" t="s">
        <v>41</v>
      </c>
      <c r="P9" s="104"/>
      <c r="Q9" s="117" t="s">
        <v>42</v>
      </c>
      <c r="R9" s="104"/>
      <c r="S9" s="117" t="s">
        <v>43</v>
      </c>
      <c r="T9" s="117" t="s">
        <v>44</v>
      </c>
      <c r="U9" s="104"/>
      <c r="V9" s="117" t="s">
        <v>45</v>
      </c>
    </row>
    <row r="10" spans="1:22" x14ac:dyDescent="0.25">
      <c r="A10" s="104"/>
      <c r="B10" s="104"/>
      <c r="C10" s="104"/>
      <c r="D10" s="104"/>
      <c r="E10" s="105"/>
      <c r="F10" s="105"/>
      <c r="G10" s="105"/>
      <c r="H10" s="105"/>
      <c r="I10" s="105"/>
      <c r="J10" s="116"/>
      <c r="K10" s="105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</row>
    <row r="11" spans="1:22" x14ac:dyDescent="0.25">
      <c r="A11" s="115" t="s">
        <v>14</v>
      </c>
      <c r="B11" s="104"/>
      <c r="C11" s="104"/>
      <c r="D11" s="104"/>
      <c r="E11" s="105"/>
      <c r="F11" s="105"/>
      <c r="G11" s="105"/>
      <c r="H11" s="105"/>
      <c r="I11" s="105"/>
      <c r="J11" s="116"/>
      <c r="K11" s="105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</row>
    <row r="12" spans="1:22" x14ac:dyDescent="0.25">
      <c r="A12" s="104"/>
      <c r="B12" s="104" t="s">
        <v>46</v>
      </c>
      <c r="C12" s="104"/>
      <c r="D12" s="104"/>
      <c r="E12" s="112"/>
      <c r="F12" s="112"/>
      <c r="G12" s="112"/>
      <c r="H12" s="112"/>
      <c r="I12" s="107"/>
      <c r="J12" s="114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07">
        <f t="shared" ref="V12:V17" si="0">SUM(K12:T12)</f>
        <v>0</v>
      </c>
    </row>
    <row r="13" spans="1:22" x14ac:dyDescent="0.25">
      <c r="A13" s="104"/>
      <c r="B13" s="104" t="s">
        <v>47</v>
      </c>
      <c r="C13" s="104"/>
      <c r="D13" s="104"/>
      <c r="E13" s="112"/>
      <c r="F13" s="112"/>
      <c r="G13" s="112"/>
      <c r="H13" s="112"/>
      <c r="I13" s="107"/>
      <c r="J13" s="114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07">
        <f t="shared" si="0"/>
        <v>0</v>
      </c>
    </row>
    <row r="14" spans="1:22" x14ac:dyDescent="0.25">
      <c r="A14" s="104"/>
      <c r="B14" s="104" t="s">
        <v>48</v>
      </c>
      <c r="C14" s="104"/>
      <c r="D14" s="104"/>
      <c r="E14" s="112"/>
      <c r="F14" s="112"/>
      <c r="G14" s="112"/>
      <c r="H14" s="112"/>
      <c r="I14" s="107"/>
      <c r="J14" s="114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07">
        <f t="shared" si="0"/>
        <v>0</v>
      </c>
    </row>
    <row r="15" spans="1:22" x14ac:dyDescent="0.25">
      <c r="A15" s="104"/>
      <c r="B15" s="104" t="s">
        <v>49</v>
      </c>
      <c r="C15" s="104"/>
      <c r="D15" s="104"/>
      <c r="E15" s="112"/>
      <c r="F15" s="112"/>
      <c r="G15" s="112"/>
      <c r="H15" s="112"/>
      <c r="I15" s="107"/>
      <c r="J15" s="114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07">
        <f t="shared" si="0"/>
        <v>0</v>
      </c>
    </row>
    <row r="16" spans="1:22" x14ac:dyDescent="0.25">
      <c r="A16" s="104"/>
      <c r="B16" s="104" t="s">
        <v>50</v>
      </c>
      <c r="C16" s="104"/>
      <c r="D16" s="104"/>
      <c r="E16" s="112"/>
      <c r="F16" s="112"/>
      <c r="G16" s="112"/>
      <c r="H16" s="112"/>
      <c r="I16" s="107"/>
      <c r="J16" s="114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07">
        <f t="shared" si="0"/>
        <v>0</v>
      </c>
    </row>
    <row r="17" spans="1:22" x14ac:dyDescent="0.25">
      <c r="A17" s="104"/>
      <c r="B17" s="104" t="s">
        <v>51</v>
      </c>
      <c r="C17" s="104"/>
      <c r="D17" s="104"/>
      <c r="E17" s="112"/>
      <c r="F17" s="112"/>
      <c r="G17" s="112"/>
      <c r="H17" s="112"/>
      <c r="I17" s="107"/>
      <c r="J17" s="114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07">
        <f t="shared" si="0"/>
        <v>0</v>
      </c>
    </row>
    <row r="18" spans="1:22" x14ac:dyDescent="0.25">
      <c r="A18" s="115" t="s">
        <v>17</v>
      </c>
      <c r="B18" s="104"/>
      <c r="C18" s="104"/>
      <c r="D18" s="104"/>
      <c r="E18" s="112"/>
      <c r="F18" s="112"/>
      <c r="G18" s="112"/>
      <c r="H18" s="112"/>
      <c r="I18" s="107"/>
      <c r="J18" s="114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07"/>
    </row>
    <row r="19" spans="1:22" x14ac:dyDescent="0.25">
      <c r="A19" s="104"/>
      <c r="B19" s="104" t="s">
        <v>52</v>
      </c>
      <c r="C19" s="104"/>
      <c r="D19" s="104"/>
      <c r="E19" s="112"/>
      <c r="F19" s="112"/>
      <c r="G19" s="112"/>
      <c r="H19" s="112"/>
      <c r="I19" s="107"/>
      <c r="J19" s="114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07">
        <f t="shared" ref="V19:V29" si="1">SUM(K19:T19)</f>
        <v>0</v>
      </c>
    </row>
    <row r="20" spans="1:22" x14ac:dyDescent="0.25">
      <c r="A20" s="104"/>
      <c r="B20" s="104" t="s">
        <v>53</v>
      </c>
      <c r="C20" s="104"/>
      <c r="D20" s="104"/>
      <c r="E20" s="112"/>
      <c r="F20" s="112"/>
      <c r="G20" s="112"/>
      <c r="H20" s="112"/>
      <c r="I20" s="107"/>
      <c r="J20" s="114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07">
        <f t="shared" si="1"/>
        <v>0</v>
      </c>
    </row>
    <row r="21" spans="1:22" x14ac:dyDescent="0.25">
      <c r="A21" s="104"/>
      <c r="B21" s="104" t="s">
        <v>54</v>
      </c>
      <c r="C21" s="104"/>
      <c r="D21" s="104"/>
      <c r="E21" s="112"/>
      <c r="F21" s="112"/>
      <c r="G21" s="112"/>
      <c r="H21" s="112"/>
      <c r="I21" s="107"/>
      <c r="J21" s="114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07">
        <f t="shared" si="1"/>
        <v>0</v>
      </c>
    </row>
    <row r="22" spans="1:22" x14ac:dyDescent="0.25">
      <c r="A22" s="104"/>
      <c r="B22" s="104" t="s">
        <v>55</v>
      </c>
      <c r="C22" s="104"/>
      <c r="D22" s="104"/>
      <c r="E22" s="112"/>
      <c r="F22" s="112"/>
      <c r="G22" s="112"/>
      <c r="H22" s="112"/>
      <c r="I22" s="107"/>
      <c r="J22" s="114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07">
        <f t="shared" si="1"/>
        <v>0</v>
      </c>
    </row>
    <row r="23" spans="1:22" x14ac:dyDescent="0.25">
      <c r="A23" s="104"/>
      <c r="B23" s="104" t="s">
        <v>56</v>
      </c>
      <c r="C23" s="104"/>
      <c r="D23" s="104"/>
      <c r="E23" s="112"/>
      <c r="F23" s="112"/>
      <c r="G23" s="112"/>
      <c r="H23" s="112"/>
      <c r="I23" s="107"/>
      <c r="J23" s="114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07">
        <f t="shared" si="1"/>
        <v>0</v>
      </c>
    </row>
    <row r="24" spans="1:22" x14ac:dyDescent="0.25">
      <c r="A24" s="104"/>
      <c r="B24" s="104" t="s">
        <v>57</v>
      </c>
      <c r="C24" s="104"/>
      <c r="D24" s="104"/>
      <c r="E24" s="112">
        <v>0</v>
      </c>
      <c r="F24" s="112"/>
      <c r="G24" s="112">
        <v>2718.1956267029777</v>
      </c>
      <c r="H24" s="112"/>
      <c r="I24" s="107">
        <f>G24-E24</f>
        <v>2718.1956267029777</v>
      </c>
      <c r="J24" s="114"/>
      <c r="K24" s="112"/>
      <c r="L24" s="112"/>
      <c r="M24" s="112"/>
      <c r="N24" s="112"/>
      <c r="O24" s="112"/>
      <c r="P24" s="112"/>
      <c r="Q24" s="112"/>
      <c r="R24" s="112"/>
      <c r="S24" s="112"/>
      <c r="T24" s="44">
        <v>2718.1956267029777</v>
      </c>
      <c r="U24" s="111"/>
      <c r="V24" s="107">
        <f t="shared" si="1"/>
        <v>2718.1956267029777</v>
      </c>
    </row>
    <row r="25" spans="1:22" x14ac:dyDescent="0.25">
      <c r="A25" s="104"/>
      <c r="B25" s="104" t="s">
        <v>59</v>
      </c>
      <c r="C25" s="104"/>
      <c r="D25" s="104"/>
      <c r="E25" s="112">
        <v>0</v>
      </c>
      <c r="F25" s="112"/>
      <c r="G25" s="112">
        <v>318.25620562890242</v>
      </c>
      <c r="H25" s="112"/>
      <c r="I25" s="107">
        <f>G25-E25</f>
        <v>318.25620562890242</v>
      </c>
      <c r="J25" s="114"/>
      <c r="K25" s="112"/>
      <c r="L25" s="112"/>
      <c r="M25" s="112"/>
      <c r="N25" s="112"/>
      <c r="O25" s="112"/>
      <c r="P25" s="112"/>
      <c r="Q25" s="112"/>
      <c r="R25" s="112"/>
      <c r="S25" s="112">
        <v>318.25620562890242</v>
      </c>
      <c r="T25" s="111"/>
      <c r="U25" s="111"/>
      <c r="V25" s="107">
        <f t="shared" si="1"/>
        <v>318.25620562890242</v>
      </c>
    </row>
    <row r="26" spans="1:22" x14ac:dyDescent="0.25">
      <c r="A26" s="104"/>
      <c r="B26" s="104" t="s">
        <v>60</v>
      </c>
      <c r="C26" s="104"/>
      <c r="D26" s="104"/>
      <c r="E26" s="112"/>
      <c r="F26" s="112"/>
      <c r="G26" s="112"/>
      <c r="H26" s="112"/>
      <c r="I26" s="107"/>
      <c r="J26" s="114"/>
      <c r="K26" s="112"/>
      <c r="L26" s="112"/>
      <c r="M26" s="112"/>
      <c r="N26" s="112"/>
      <c r="O26" s="112"/>
      <c r="P26" s="112"/>
      <c r="Q26" s="112"/>
      <c r="R26" s="112"/>
      <c r="S26" s="112"/>
      <c r="T26" s="111"/>
      <c r="U26" s="111"/>
      <c r="V26" s="110">
        <f t="shared" si="1"/>
        <v>0</v>
      </c>
    </row>
    <row r="27" spans="1:22" x14ac:dyDescent="0.25">
      <c r="A27" s="104"/>
      <c r="B27" s="104" t="s">
        <v>61</v>
      </c>
      <c r="C27" s="104"/>
      <c r="D27" s="104"/>
      <c r="E27" s="112"/>
      <c r="F27" s="112"/>
      <c r="G27" s="112"/>
      <c r="H27" s="112"/>
      <c r="I27" s="107"/>
      <c r="J27" s="114"/>
      <c r="K27" s="112"/>
      <c r="L27" s="112"/>
      <c r="M27" s="112"/>
      <c r="N27" s="112"/>
      <c r="O27" s="112"/>
      <c r="P27" s="112"/>
      <c r="Q27" s="112"/>
      <c r="R27" s="112"/>
      <c r="S27" s="112"/>
      <c r="T27" s="111"/>
      <c r="U27" s="111"/>
      <c r="V27" s="110">
        <f t="shared" si="1"/>
        <v>0</v>
      </c>
    </row>
    <row r="28" spans="1:22" x14ac:dyDescent="0.25">
      <c r="A28" s="104"/>
      <c r="B28" s="104" t="s">
        <v>62</v>
      </c>
      <c r="C28" s="104"/>
      <c r="D28" s="104"/>
      <c r="E28" s="112"/>
      <c r="F28" s="112"/>
      <c r="G28" s="112"/>
      <c r="H28" s="112"/>
      <c r="I28" s="107"/>
      <c r="J28" s="114"/>
      <c r="K28" s="112"/>
      <c r="L28" s="112"/>
      <c r="M28" s="112"/>
      <c r="N28" s="112"/>
      <c r="O28" s="112"/>
      <c r="P28" s="112"/>
      <c r="Q28" s="112"/>
      <c r="R28" s="112"/>
      <c r="S28" s="112"/>
      <c r="T28" s="111"/>
      <c r="U28" s="111"/>
      <c r="V28" s="110">
        <f t="shared" si="1"/>
        <v>0</v>
      </c>
    </row>
    <row r="29" spans="1:22" x14ac:dyDescent="0.25">
      <c r="A29" s="104"/>
      <c r="B29" s="104" t="s">
        <v>63</v>
      </c>
      <c r="C29" s="104"/>
      <c r="D29" s="104"/>
      <c r="E29" s="113"/>
      <c r="F29" s="112"/>
      <c r="G29" s="113"/>
      <c r="H29" s="112"/>
      <c r="I29" s="107"/>
      <c r="J29" s="114"/>
      <c r="K29" s="113"/>
      <c r="L29" s="112"/>
      <c r="M29" s="112"/>
      <c r="N29" s="112"/>
      <c r="O29" s="112"/>
      <c r="P29" s="112"/>
      <c r="Q29" s="112"/>
      <c r="R29" s="112"/>
      <c r="S29" s="112"/>
      <c r="T29" s="111"/>
      <c r="U29" s="111"/>
      <c r="V29" s="110">
        <f t="shared" si="1"/>
        <v>0</v>
      </c>
    </row>
    <row r="30" spans="1:22" ht="15.75" thickBot="1" x14ac:dyDescent="0.3">
      <c r="A30" s="109" t="s">
        <v>64</v>
      </c>
      <c r="E30" s="106">
        <f>SUM(E12:E29)</f>
        <v>0</v>
      </c>
      <c r="F30" s="107"/>
      <c r="G30" s="106">
        <f>SUM(G24:G29)</f>
        <v>3036.4518323318803</v>
      </c>
      <c r="H30" s="107"/>
      <c r="I30" s="106">
        <f>SUM(I12:I29)</f>
        <v>3036.4518323318803</v>
      </c>
      <c r="J30" s="108"/>
      <c r="K30" s="106">
        <f>SUM(K12:K29)</f>
        <v>0</v>
      </c>
      <c r="L30" s="107"/>
      <c r="M30" s="106">
        <f>SUM(M12:M29)</f>
        <v>0</v>
      </c>
      <c r="N30" s="107"/>
      <c r="O30" s="106">
        <f>SUM(O12:O29)</f>
        <v>0</v>
      </c>
      <c r="P30" s="107"/>
      <c r="Q30" s="106">
        <f>SUM(Q12:Q29)</f>
        <v>0</v>
      </c>
      <c r="R30" s="107"/>
      <c r="S30" s="106">
        <f>SUM(S25:S29)</f>
        <v>318.25620562890242</v>
      </c>
      <c r="T30" s="106">
        <f>SUM(T12:T29)</f>
        <v>2718.1956267029777</v>
      </c>
      <c r="U30" s="107"/>
      <c r="V30" s="106">
        <f>SUM(V12:V29)</f>
        <v>3036.4518323318803</v>
      </c>
    </row>
    <row r="31" spans="1:22" ht="15.75" thickTop="1" x14ac:dyDescent="0.25">
      <c r="A31" s="104"/>
      <c r="B31" s="104"/>
      <c r="C31" s="104"/>
      <c r="D31" s="104"/>
      <c r="E31" s="105"/>
      <c r="F31" s="105"/>
      <c r="G31" s="105"/>
      <c r="H31" s="105"/>
      <c r="I31" s="105"/>
      <c r="J31" s="105"/>
      <c r="K31" s="105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</row>
    <row r="32" spans="1:22" x14ac:dyDescent="0.25">
      <c r="A32" s="104"/>
      <c r="B32" s="104"/>
      <c r="C32" s="104"/>
      <c r="D32" s="104"/>
      <c r="E32" s="105"/>
      <c r="F32" s="105"/>
      <c r="G32" s="105"/>
      <c r="H32" s="105"/>
      <c r="I32" s="105"/>
      <c r="J32" s="105"/>
      <c r="K32" s="105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</row>
    <row r="33" spans="1:22" x14ac:dyDescent="0.25">
      <c r="A33" s="104" t="s">
        <v>65</v>
      </c>
      <c r="B33" s="104"/>
      <c r="C33" s="104"/>
      <c r="D33" s="104"/>
      <c r="E33" s="105"/>
      <c r="F33" s="105"/>
      <c r="G33" s="105"/>
      <c r="H33" s="105"/>
      <c r="I33" s="105"/>
      <c r="J33" s="105"/>
      <c r="K33" s="105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</row>
    <row r="34" spans="1:22" x14ac:dyDescent="0.25">
      <c r="A34" s="104" t="s">
        <v>66</v>
      </c>
      <c r="B34" s="104"/>
      <c r="C34" s="104" t="s">
        <v>67</v>
      </c>
      <c r="D34" s="104"/>
      <c r="E34" s="105"/>
      <c r="F34" s="105"/>
      <c r="G34" s="105"/>
      <c r="H34" s="105"/>
      <c r="I34" s="105"/>
      <c r="J34" s="105"/>
      <c r="K34" s="105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</row>
    <row r="35" spans="1:22" x14ac:dyDescent="0.25">
      <c r="A35" s="104" t="s">
        <v>68</v>
      </c>
      <c r="B35" s="104"/>
      <c r="C35" s="104" t="s">
        <v>69</v>
      </c>
      <c r="D35" s="104"/>
      <c r="E35" s="105"/>
      <c r="F35" s="105"/>
      <c r="G35" s="105"/>
      <c r="H35" s="105"/>
      <c r="I35" s="105"/>
      <c r="J35" s="105"/>
      <c r="K35" s="105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</row>
    <row r="36" spans="1:22" x14ac:dyDescent="0.25">
      <c r="A36" s="104" t="s">
        <v>70</v>
      </c>
      <c r="B36" s="104"/>
      <c r="C36" s="104" t="s">
        <v>71</v>
      </c>
      <c r="D36" s="104"/>
      <c r="E36" s="105"/>
      <c r="F36" s="105"/>
      <c r="G36" s="105"/>
      <c r="H36" s="105"/>
      <c r="I36" s="105"/>
      <c r="J36" s="105"/>
      <c r="K36" s="105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</row>
    <row r="37" spans="1:22" x14ac:dyDescent="0.25">
      <c r="A37" s="104"/>
      <c r="B37" s="104"/>
      <c r="C37" s="104" t="s">
        <v>72</v>
      </c>
      <c r="D37" s="104"/>
      <c r="E37" s="105"/>
      <c r="F37" s="105"/>
      <c r="G37" s="105"/>
      <c r="H37" s="105"/>
      <c r="I37" s="105"/>
      <c r="J37" s="105"/>
      <c r="K37" s="105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</row>
    <row r="38" spans="1:22" x14ac:dyDescent="0.25">
      <c r="A38" s="104" t="s">
        <v>73</v>
      </c>
      <c r="B38" s="104"/>
      <c r="C38" s="104" t="s">
        <v>74</v>
      </c>
      <c r="D38" s="104"/>
      <c r="E38" s="105"/>
      <c r="F38" s="105"/>
      <c r="G38" s="105"/>
      <c r="H38" s="105"/>
      <c r="I38" s="105"/>
      <c r="J38" s="105"/>
      <c r="K38" s="105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</row>
    <row r="39" spans="1:22" x14ac:dyDescent="0.25">
      <c r="A39" s="104" t="s">
        <v>75</v>
      </c>
      <c r="B39" s="104"/>
      <c r="C39" s="104" t="s">
        <v>76</v>
      </c>
      <c r="D39" s="104"/>
      <c r="E39" s="105"/>
      <c r="F39" s="105"/>
      <c r="G39" s="105"/>
      <c r="H39" s="105"/>
      <c r="I39" s="105"/>
      <c r="J39" s="105"/>
      <c r="K39" s="105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</row>
    <row r="40" spans="1:22" x14ac:dyDescent="0.25">
      <c r="A40" s="104"/>
      <c r="B40" s="104"/>
      <c r="C40" s="104"/>
      <c r="D40" s="104"/>
      <c r="E40" s="105"/>
      <c r="F40" s="105"/>
      <c r="G40" s="105"/>
      <c r="H40" s="105"/>
      <c r="I40" s="105"/>
      <c r="J40" s="105"/>
      <c r="K40" s="105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</row>
  </sheetData>
  <printOptions horizontalCentered="1"/>
  <pageMargins left="0" right="0" top="0.75" bottom="0.75" header="0.3" footer="0.3"/>
  <pageSetup scale="58" orientation="landscape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9D6FC-2170-4C70-9A51-B30EA9933638}">
  <dimension ref="A1:J32"/>
  <sheetViews>
    <sheetView showGridLines="0" zoomScaleNormal="100" workbookViewId="0">
      <selection activeCell="J27" sqref="J27:J28"/>
    </sheetView>
  </sheetViews>
  <sheetFormatPr defaultColWidth="9.140625" defaultRowHeight="15" x14ac:dyDescent="0.25"/>
  <cols>
    <col min="1" max="1" width="12.140625" style="125" customWidth="1"/>
    <col min="2" max="2" width="5.28515625" style="125" customWidth="1"/>
    <col min="3" max="3" width="7.5703125" style="125" customWidth="1"/>
    <col min="4" max="4" width="4.5703125" style="125" customWidth="1"/>
    <col min="5" max="5" width="19" style="125" customWidth="1"/>
    <col min="6" max="6" width="17.42578125" style="125" customWidth="1"/>
    <col min="7" max="7" width="16.7109375" style="125" customWidth="1"/>
    <col min="8" max="8" width="14.42578125" style="125" customWidth="1"/>
    <col min="9" max="9" width="3" style="125" customWidth="1"/>
    <col min="10" max="10" width="22.140625" style="125" customWidth="1"/>
    <col min="11" max="16384" width="9.140625" style="125"/>
  </cols>
  <sheetData>
    <row r="1" spans="1:10" x14ac:dyDescent="0.25">
      <c r="A1" s="208"/>
      <c r="B1" s="208"/>
      <c r="C1" s="208"/>
      <c r="D1" s="208"/>
      <c r="E1" s="208"/>
      <c r="F1" s="208"/>
      <c r="G1" s="208"/>
      <c r="H1" s="208"/>
      <c r="I1" s="208" t="s">
        <v>0</v>
      </c>
      <c r="J1" s="208"/>
    </row>
    <row r="2" spans="1:10" x14ac:dyDescent="0.25">
      <c r="A2" s="205" t="s">
        <v>1</v>
      </c>
      <c r="B2" s="205"/>
      <c r="C2" s="205"/>
      <c r="D2" s="205"/>
      <c r="E2" s="205"/>
      <c r="F2" s="205"/>
      <c r="G2" s="205"/>
      <c r="H2" s="205"/>
      <c r="I2" s="205"/>
      <c r="J2" s="205"/>
    </row>
    <row r="3" spans="1:10" x14ac:dyDescent="0.25">
      <c r="A3" s="205" t="s">
        <v>2</v>
      </c>
      <c r="B3" s="205"/>
      <c r="C3" s="205"/>
      <c r="D3" s="205"/>
      <c r="E3" s="205"/>
      <c r="F3" s="205"/>
      <c r="G3" s="205"/>
      <c r="H3" s="205"/>
      <c r="I3" s="205"/>
      <c r="J3" s="205"/>
    </row>
    <row r="4" spans="1:10" x14ac:dyDescent="0.25">
      <c r="A4" s="205" t="s">
        <v>106</v>
      </c>
      <c r="B4" s="205"/>
      <c r="C4" s="205"/>
      <c r="D4" s="205"/>
      <c r="E4" s="205"/>
      <c r="F4" s="205"/>
      <c r="G4" s="205"/>
      <c r="H4" s="205"/>
      <c r="I4" s="205"/>
      <c r="J4" s="205"/>
    </row>
    <row r="5" spans="1:10" x14ac:dyDescent="0.25">
      <c r="A5" s="205" t="s">
        <v>3</v>
      </c>
      <c r="B5" s="205"/>
      <c r="C5" s="205"/>
      <c r="D5" s="205"/>
      <c r="E5" s="205"/>
      <c r="F5" s="205"/>
      <c r="G5" s="205"/>
      <c r="H5" s="205"/>
      <c r="I5" s="205"/>
      <c r="J5" s="205"/>
    </row>
    <row r="6" spans="1:10" x14ac:dyDescent="0.25">
      <c r="A6" s="205" t="s">
        <v>4</v>
      </c>
      <c r="B6" s="205"/>
      <c r="C6" s="205"/>
      <c r="D6" s="205"/>
      <c r="E6" s="205"/>
      <c r="F6" s="205"/>
      <c r="G6" s="205"/>
      <c r="H6" s="205"/>
      <c r="I6" s="205"/>
      <c r="J6" s="205"/>
    </row>
    <row r="7" spans="1:10" x14ac:dyDescent="0.25">
      <c r="A7" s="206" t="s">
        <v>5</v>
      </c>
      <c r="B7" s="206"/>
      <c r="C7" s="207" t="s">
        <v>6</v>
      </c>
      <c r="D7" s="207"/>
      <c r="E7" s="207"/>
      <c r="F7" s="207"/>
      <c r="G7" s="207"/>
      <c r="H7" s="207"/>
      <c r="I7" s="208"/>
      <c r="J7" s="208"/>
    </row>
    <row r="8" spans="1:10" x14ac:dyDescent="0.25">
      <c r="A8" s="206" t="s">
        <v>7</v>
      </c>
      <c r="B8" s="206"/>
      <c r="C8" s="207" t="s">
        <v>105</v>
      </c>
      <c r="D8" s="207"/>
      <c r="E8" s="207"/>
      <c r="F8" s="207"/>
      <c r="G8" s="207"/>
      <c r="H8" s="207"/>
      <c r="I8" s="207"/>
      <c r="J8" s="208"/>
    </row>
    <row r="9" spans="1:10" x14ac:dyDescent="0.25">
      <c r="A9" s="206"/>
      <c r="B9" s="206"/>
      <c r="C9" s="212"/>
      <c r="D9" s="212"/>
      <c r="E9" s="212"/>
      <c r="F9" s="212"/>
      <c r="G9" s="212"/>
      <c r="H9" s="212"/>
      <c r="I9" s="207"/>
      <c r="J9" s="208"/>
    </row>
    <row r="10" spans="1:10" x14ac:dyDescent="0.25">
      <c r="A10" s="208"/>
      <c r="B10" s="208"/>
      <c r="C10" s="208"/>
      <c r="D10" s="208"/>
      <c r="E10" s="208"/>
      <c r="F10" s="208"/>
      <c r="G10" s="208"/>
      <c r="H10" s="208"/>
      <c r="I10" s="208"/>
      <c r="J10" s="208"/>
    </row>
    <row r="11" spans="1:10" x14ac:dyDescent="0.25">
      <c r="A11" s="213"/>
      <c r="B11" s="213"/>
      <c r="C11" s="213"/>
      <c r="D11" s="213"/>
      <c r="E11" s="213"/>
      <c r="F11" s="213"/>
      <c r="G11" s="213"/>
      <c r="H11" s="213"/>
      <c r="I11" s="213"/>
      <c r="J11" s="213"/>
    </row>
    <row r="12" spans="1:10" x14ac:dyDescent="0.25">
      <c r="A12" s="214" t="s">
        <v>8</v>
      </c>
      <c r="B12" s="214"/>
      <c r="C12" s="214"/>
      <c r="D12" s="214"/>
      <c r="E12" s="214"/>
      <c r="F12" s="214"/>
      <c r="G12" s="214"/>
      <c r="H12" s="214"/>
      <c r="I12" s="214"/>
      <c r="J12" s="214"/>
    </row>
    <row r="13" spans="1:10" x14ac:dyDescent="0.25">
      <c r="A13" s="213"/>
      <c r="B13" s="213"/>
      <c r="C13" s="213"/>
      <c r="D13" s="213"/>
      <c r="E13" s="213"/>
      <c r="F13" s="213"/>
      <c r="G13" s="213"/>
      <c r="H13" s="213"/>
      <c r="I13" s="213"/>
      <c r="J13" s="213"/>
    </row>
    <row r="14" spans="1:10" ht="24.75" customHeight="1" x14ac:dyDescent="0.25">
      <c r="A14" s="209" t="s">
        <v>9</v>
      </c>
      <c r="B14" s="209"/>
      <c r="C14" s="209"/>
      <c r="D14" s="209"/>
      <c r="E14" s="209"/>
      <c r="F14" s="132" t="s">
        <v>10</v>
      </c>
      <c r="G14" s="132" t="s">
        <v>11</v>
      </c>
      <c r="H14" s="210" t="s">
        <v>12</v>
      </c>
      <c r="I14" s="210"/>
      <c r="J14" s="132" t="s">
        <v>13</v>
      </c>
    </row>
    <row r="15" spans="1:10" ht="17.25" customHeight="1" x14ac:dyDescent="0.25">
      <c r="A15" s="211" t="s">
        <v>14</v>
      </c>
      <c r="B15" s="211"/>
      <c r="C15" s="211"/>
      <c r="D15" s="211"/>
      <c r="E15" s="211"/>
      <c r="F15" s="211"/>
      <c r="G15" s="211"/>
      <c r="H15" s="211"/>
      <c r="I15" s="211"/>
      <c r="J15" s="211"/>
    </row>
    <row r="16" spans="1:10" x14ac:dyDescent="0.25">
      <c r="A16" s="208" t="s">
        <v>15</v>
      </c>
      <c r="B16" s="208"/>
      <c r="C16" s="208"/>
      <c r="D16" s="208"/>
      <c r="E16" s="208"/>
      <c r="F16" s="130">
        <v>0</v>
      </c>
      <c r="G16" s="130">
        <v>0</v>
      </c>
      <c r="H16" s="215">
        <v>0</v>
      </c>
      <c r="I16" s="215"/>
      <c r="J16" s="130">
        <f>F16+G16-H16</f>
        <v>0</v>
      </c>
    </row>
    <row r="17" spans="1:10" x14ac:dyDescent="0.25">
      <c r="A17" s="208" t="s">
        <v>16</v>
      </c>
      <c r="B17" s="208"/>
      <c r="C17" s="208"/>
      <c r="D17" s="208"/>
      <c r="E17" s="208"/>
      <c r="F17" s="130">
        <v>0</v>
      </c>
      <c r="G17" s="130">
        <v>0</v>
      </c>
      <c r="H17" s="215">
        <v>0</v>
      </c>
      <c r="I17" s="215"/>
      <c r="J17" s="130">
        <f>F17+G17-H17</f>
        <v>0</v>
      </c>
    </row>
    <row r="18" spans="1:10" x14ac:dyDescent="0.25">
      <c r="A18" s="208" t="s">
        <v>104</v>
      </c>
      <c r="B18" s="208"/>
      <c r="C18" s="208"/>
      <c r="D18" s="208"/>
      <c r="E18" s="208"/>
      <c r="F18" s="130">
        <v>455132.36</v>
      </c>
      <c r="G18" s="130">
        <v>0</v>
      </c>
      <c r="H18" s="215">
        <v>0</v>
      </c>
      <c r="I18" s="215"/>
      <c r="J18" s="130">
        <f>F18+G18-H18</f>
        <v>455132.36</v>
      </c>
    </row>
    <row r="19" spans="1:10" x14ac:dyDescent="0.25">
      <c r="A19" s="126"/>
      <c r="B19" s="126"/>
      <c r="C19" s="126"/>
      <c r="D19" s="126"/>
      <c r="E19" s="126"/>
      <c r="F19" s="126"/>
      <c r="G19" s="126"/>
      <c r="H19" s="126"/>
      <c r="I19" s="126"/>
      <c r="J19" s="126"/>
    </row>
    <row r="20" spans="1:10" x14ac:dyDescent="0.25">
      <c r="A20" s="131" t="s">
        <v>17</v>
      </c>
      <c r="B20" s="131"/>
      <c r="C20" s="131"/>
      <c r="D20" s="131"/>
      <c r="E20" s="131"/>
      <c r="F20" s="131"/>
      <c r="G20" s="131"/>
      <c r="H20" s="131"/>
      <c r="I20" s="131"/>
      <c r="J20" s="131"/>
    </row>
    <row r="21" spans="1:10" x14ac:dyDescent="0.25">
      <c r="A21" s="208" t="s">
        <v>18</v>
      </c>
      <c r="B21" s="208"/>
      <c r="C21" s="208"/>
      <c r="D21" s="208"/>
      <c r="E21" s="208"/>
      <c r="F21" s="130">
        <v>0</v>
      </c>
      <c r="G21" s="130">
        <v>0</v>
      </c>
      <c r="H21" s="215">
        <v>0</v>
      </c>
      <c r="I21" s="215"/>
      <c r="J21" s="130">
        <f>F21+G21-H21</f>
        <v>0</v>
      </c>
    </row>
    <row r="22" spans="1:10" x14ac:dyDescent="0.25">
      <c r="A22" s="208" t="s">
        <v>19</v>
      </c>
      <c r="B22" s="208"/>
      <c r="C22" s="208"/>
      <c r="D22" s="208"/>
      <c r="E22" s="208"/>
      <c r="F22" s="130">
        <v>0</v>
      </c>
      <c r="G22" s="130">
        <v>0</v>
      </c>
      <c r="H22" s="215">
        <v>0</v>
      </c>
      <c r="I22" s="215"/>
      <c r="J22" s="130">
        <f>F22+G22-H22</f>
        <v>0</v>
      </c>
    </row>
    <row r="23" spans="1:10" x14ac:dyDescent="0.25">
      <c r="A23" s="208" t="s">
        <v>20</v>
      </c>
      <c r="B23" s="208"/>
      <c r="C23" s="208"/>
      <c r="D23" s="208"/>
      <c r="E23" s="208"/>
      <c r="F23" s="130">
        <v>6600</v>
      </c>
      <c r="G23" s="130">
        <v>0</v>
      </c>
      <c r="H23" s="215">
        <v>0</v>
      </c>
      <c r="I23" s="215"/>
      <c r="J23" s="130">
        <f>F23+G23-H23</f>
        <v>6600</v>
      </c>
    </row>
    <row r="24" spans="1:10" x14ac:dyDescent="0.25">
      <c r="A24" s="208" t="s">
        <v>103</v>
      </c>
      <c r="B24" s="208"/>
      <c r="C24" s="208"/>
      <c r="D24" s="208"/>
      <c r="E24" s="208"/>
      <c r="F24" s="130">
        <v>295581.7</v>
      </c>
      <c r="G24" s="130">
        <v>0</v>
      </c>
      <c r="H24" s="215">
        <v>0</v>
      </c>
      <c r="I24" s="215"/>
      <c r="J24" s="130">
        <f>F24+G24-H24</f>
        <v>295581.7</v>
      </c>
    </row>
    <row r="25" spans="1:10" ht="15.75" customHeight="1" x14ac:dyDescent="0.25">
      <c r="A25" s="208" t="s">
        <v>102</v>
      </c>
      <c r="B25" s="208"/>
      <c r="C25" s="208"/>
      <c r="D25" s="208"/>
      <c r="E25" s="208"/>
      <c r="F25" s="130">
        <v>34607.78</v>
      </c>
      <c r="G25" s="130">
        <v>3457.26</v>
      </c>
      <c r="H25" s="215">
        <v>2698.27</v>
      </c>
      <c r="I25" s="215"/>
      <c r="J25" s="130">
        <f>F25+G25-H25</f>
        <v>35366.770000000004</v>
      </c>
    </row>
    <row r="26" spans="1:10" ht="15.75" customHeight="1" x14ac:dyDescent="0.25">
      <c r="A26" s="129"/>
      <c r="B26" s="129"/>
      <c r="C26" s="129"/>
      <c r="D26" s="129"/>
      <c r="E26" s="129"/>
      <c r="F26" s="128"/>
      <c r="G26" s="128"/>
      <c r="H26" s="128"/>
      <c r="I26" s="128"/>
      <c r="J26" s="128"/>
    </row>
    <row r="27" spans="1:10" x14ac:dyDescent="0.25">
      <c r="A27" s="127" t="s">
        <v>7</v>
      </c>
      <c r="B27" s="216">
        <v>6031001</v>
      </c>
      <c r="C27" s="216"/>
      <c r="D27" s="216"/>
      <c r="E27" s="218">
        <f>SUM(F16:F25)</f>
        <v>791921.84000000008</v>
      </c>
      <c r="F27" s="218"/>
      <c r="G27" s="218">
        <f>SUM(G16:G26)</f>
        <v>3457.26</v>
      </c>
      <c r="H27" s="218">
        <f>SUM(H16:I26)</f>
        <v>2698.27</v>
      </c>
      <c r="I27" s="218"/>
      <c r="J27" s="218">
        <f>SUM(J16:J26)</f>
        <v>792680.83000000007</v>
      </c>
    </row>
    <row r="28" spans="1:10" x14ac:dyDescent="0.25">
      <c r="A28" s="127"/>
      <c r="B28" s="216"/>
      <c r="C28" s="216"/>
      <c r="D28" s="216"/>
      <c r="E28" s="218"/>
      <c r="F28" s="218"/>
      <c r="G28" s="218"/>
      <c r="H28" s="218"/>
      <c r="I28" s="218"/>
      <c r="J28" s="218"/>
    </row>
    <row r="29" spans="1:10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</row>
    <row r="30" spans="1:10" x14ac:dyDescent="0.25">
      <c r="A30" s="213"/>
      <c r="B30" s="213"/>
      <c r="C30" s="213"/>
      <c r="D30" s="213"/>
      <c r="E30" s="213"/>
      <c r="F30" s="213"/>
      <c r="G30" s="213"/>
      <c r="H30" s="213"/>
      <c r="I30" s="213"/>
      <c r="J30" s="213"/>
    </row>
    <row r="31" spans="1:10" x14ac:dyDescent="0.25">
      <c r="A31" s="213"/>
      <c r="B31" s="213"/>
      <c r="C31" s="213"/>
      <c r="D31" s="213"/>
      <c r="E31" s="213"/>
      <c r="F31" s="213"/>
      <c r="G31" s="213"/>
      <c r="H31" s="213"/>
      <c r="I31" s="213"/>
      <c r="J31" s="213"/>
    </row>
    <row r="32" spans="1:10" x14ac:dyDescent="0.25">
      <c r="A32" s="217"/>
      <c r="B32" s="217"/>
      <c r="C32" s="217"/>
      <c r="D32" s="217"/>
      <c r="E32" s="217"/>
      <c r="F32" s="217"/>
      <c r="G32" s="217"/>
      <c r="H32" s="217"/>
      <c r="I32" s="217"/>
      <c r="J32" s="217"/>
    </row>
  </sheetData>
  <mergeCells count="52">
    <mergeCell ref="A32:J32"/>
    <mergeCell ref="A24:E24"/>
    <mergeCell ref="H24:I24"/>
    <mergeCell ref="A25:E25"/>
    <mergeCell ref="H25:I25"/>
    <mergeCell ref="B27:D27"/>
    <mergeCell ref="E27:F28"/>
    <mergeCell ref="G27:G28"/>
    <mergeCell ref="H27:I28"/>
    <mergeCell ref="J27:J28"/>
    <mergeCell ref="B28:D28"/>
    <mergeCell ref="A29:J29"/>
    <mergeCell ref="A30:J30"/>
    <mergeCell ref="A31:J31"/>
    <mergeCell ref="A21:E21"/>
    <mergeCell ref="H21:I21"/>
    <mergeCell ref="A22:E22"/>
    <mergeCell ref="H22:I22"/>
    <mergeCell ref="A23:E23"/>
    <mergeCell ref="H23:I23"/>
    <mergeCell ref="A16:E16"/>
    <mergeCell ref="H16:I16"/>
    <mergeCell ref="A17:E17"/>
    <mergeCell ref="H17:I17"/>
    <mergeCell ref="A18:E18"/>
    <mergeCell ref="H18:I18"/>
    <mergeCell ref="A15:J15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:C1"/>
    <mergeCell ref="D1:H1"/>
    <mergeCell ref="I1:J1"/>
    <mergeCell ref="A2:J2"/>
    <mergeCell ref="A3:J3"/>
    <mergeCell ref="A14:E14"/>
    <mergeCell ref="H14:I14"/>
    <mergeCell ref="A8:B8"/>
    <mergeCell ref="C8:H8"/>
    <mergeCell ref="I8:J8"/>
    <mergeCell ref="A4:J4"/>
    <mergeCell ref="A5:J5"/>
    <mergeCell ref="A6:J6"/>
    <mergeCell ref="A7:B7"/>
    <mergeCell ref="C7:H7"/>
    <mergeCell ref="I7:J7"/>
  </mergeCells>
  <pageMargins left="0.7" right="0.7" top="0.75" bottom="0.75" header="0.3" footer="0.3"/>
  <pageSetup scale="98" orientation="landscape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1622-1438-47CA-A499-7FC46D54BAEE}">
  <dimension ref="A1:V41"/>
  <sheetViews>
    <sheetView zoomScaleNormal="100" workbookViewId="0">
      <selection activeCell="G26" sqref="G26"/>
    </sheetView>
  </sheetViews>
  <sheetFormatPr defaultColWidth="9.140625" defaultRowHeight="15" x14ac:dyDescent="0.25"/>
  <cols>
    <col min="1" max="1" width="1.7109375" style="11" customWidth="1"/>
    <col min="2" max="2" width="9" style="11" customWidth="1"/>
    <col min="3" max="3" width="44.28515625" style="11" customWidth="1"/>
    <col min="4" max="4" width="1.7109375" style="11" customWidth="1"/>
    <col min="5" max="5" width="15.7109375" style="30" customWidth="1"/>
    <col min="6" max="6" width="1.7109375" style="30" customWidth="1"/>
    <col min="7" max="7" width="15.7109375" style="30" customWidth="1"/>
    <col min="8" max="8" width="1.7109375" style="30" customWidth="1"/>
    <col min="9" max="9" width="15.7109375" style="30" customWidth="1"/>
    <col min="10" max="10" width="1.7109375" style="30" customWidth="1"/>
    <col min="11" max="11" width="15.7109375" style="30" customWidth="1"/>
    <col min="12" max="12" width="1.7109375" style="11" customWidth="1"/>
    <col min="13" max="13" width="15.7109375" style="11" customWidth="1"/>
    <col min="14" max="14" width="1.7109375" style="11" customWidth="1"/>
    <col min="15" max="15" width="15.7109375" style="11" customWidth="1"/>
    <col min="16" max="16" width="1.7109375" style="11" customWidth="1"/>
    <col min="17" max="17" width="15.7109375" style="11" customWidth="1"/>
    <col min="18" max="18" width="1.7109375" style="11" customWidth="1"/>
    <col min="19" max="20" width="15.7109375" style="11" customWidth="1"/>
    <col min="21" max="21" width="1.7109375" style="11" customWidth="1"/>
    <col min="22" max="22" width="15.7109375" style="11" customWidth="1"/>
    <col min="23" max="16384" width="9.140625" style="11"/>
  </cols>
  <sheetData>
    <row r="1" spans="1:22" x14ac:dyDescent="0.25">
      <c r="A1" s="10" t="s">
        <v>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x14ac:dyDescent="0.25">
      <c r="A2" s="10" t="s">
        <v>22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x14ac:dyDescent="0.25">
      <c r="A3" s="10" t="s">
        <v>23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x14ac:dyDescent="0.25">
      <c r="A4" s="10" t="s">
        <v>107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x14ac:dyDescent="0.25">
      <c r="A5" s="10" t="s">
        <v>24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x14ac:dyDescent="0.25">
      <c r="A6" s="12"/>
      <c r="B6" s="12"/>
      <c r="C6" s="12"/>
      <c r="D6" s="12"/>
      <c r="E6" s="13"/>
      <c r="F6" s="13"/>
      <c r="G6" s="13"/>
      <c r="H6" s="13"/>
      <c r="I6" s="13"/>
      <c r="J6" s="13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ht="15.75" thickBot="1" x14ac:dyDescent="0.3">
      <c r="A7" s="12"/>
      <c r="B7" s="12"/>
      <c r="C7" s="12"/>
      <c r="D7" s="12"/>
      <c r="E7" s="13"/>
      <c r="F7" s="13"/>
      <c r="G7" s="13"/>
      <c r="H7" s="13"/>
      <c r="I7" s="13"/>
      <c r="J7" s="14"/>
      <c r="K7" s="15" t="s">
        <v>25</v>
      </c>
      <c r="L7" s="15"/>
      <c r="M7" s="15"/>
      <c r="N7" s="15"/>
      <c r="O7" s="15"/>
      <c r="P7" s="15"/>
      <c r="Q7" s="15"/>
      <c r="R7" s="15"/>
      <c r="S7" s="15"/>
      <c r="T7" s="15"/>
      <c r="U7" s="12"/>
      <c r="V7" s="12"/>
    </row>
    <row r="8" spans="1:22" x14ac:dyDescent="0.25">
      <c r="A8" s="12"/>
      <c r="B8" s="12"/>
      <c r="C8" s="12"/>
      <c r="D8" s="12"/>
      <c r="E8" s="16" t="s">
        <v>26</v>
      </c>
      <c r="F8" s="17"/>
      <c r="G8" s="16" t="s">
        <v>27</v>
      </c>
      <c r="H8" s="17"/>
      <c r="I8" s="16" t="s">
        <v>28</v>
      </c>
      <c r="J8" s="18"/>
      <c r="K8" s="16" t="s">
        <v>29</v>
      </c>
      <c r="L8" s="12"/>
      <c r="M8" s="16" t="s">
        <v>30</v>
      </c>
      <c r="N8" s="17"/>
      <c r="O8" s="16" t="s">
        <v>31</v>
      </c>
      <c r="P8" s="17"/>
      <c r="Q8" s="16" t="s">
        <v>32</v>
      </c>
      <c r="R8" s="17"/>
      <c r="S8" s="16" t="s">
        <v>33</v>
      </c>
      <c r="T8" s="16" t="s">
        <v>34</v>
      </c>
      <c r="U8" s="17"/>
      <c r="V8" s="16" t="s">
        <v>35</v>
      </c>
    </row>
    <row r="9" spans="1:22" ht="120" x14ac:dyDescent="0.25">
      <c r="A9" s="19"/>
      <c r="B9" s="12"/>
      <c r="C9" s="12"/>
      <c r="D9" s="12"/>
      <c r="E9" s="20" t="s">
        <v>36</v>
      </c>
      <c r="F9" s="17"/>
      <c r="G9" s="20" t="s">
        <v>37</v>
      </c>
      <c r="H9" s="17"/>
      <c r="I9" s="21" t="s">
        <v>38</v>
      </c>
      <c r="J9" s="18"/>
      <c r="K9" s="20" t="s">
        <v>39</v>
      </c>
      <c r="L9" s="17"/>
      <c r="M9" s="20" t="s">
        <v>40</v>
      </c>
      <c r="N9" s="12"/>
      <c r="O9" s="20" t="s">
        <v>41</v>
      </c>
      <c r="P9" s="12"/>
      <c r="Q9" s="20" t="s">
        <v>42</v>
      </c>
      <c r="R9" s="12"/>
      <c r="S9" s="20" t="s">
        <v>43</v>
      </c>
      <c r="T9" s="20" t="s">
        <v>44</v>
      </c>
      <c r="U9" s="12"/>
      <c r="V9" s="20" t="s">
        <v>45</v>
      </c>
    </row>
    <row r="10" spans="1:22" x14ac:dyDescent="0.25">
      <c r="A10" s="12"/>
      <c r="B10" s="12"/>
      <c r="C10" s="12"/>
      <c r="D10" s="12"/>
      <c r="E10" s="13"/>
      <c r="F10" s="13"/>
      <c r="G10" s="13"/>
      <c r="H10" s="13"/>
      <c r="I10" s="13"/>
      <c r="J10" s="14"/>
      <c r="K10" s="13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x14ac:dyDescent="0.25">
      <c r="A11" s="19" t="s">
        <v>14</v>
      </c>
      <c r="B11" s="12"/>
      <c r="C11" s="12"/>
      <c r="D11" s="12"/>
      <c r="E11" s="13"/>
      <c r="F11" s="13"/>
      <c r="G11" s="13"/>
      <c r="H11" s="13"/>
      <c r="I11" s="13"/>
      <c r="J11" s="14"/>
      <c r="K11" s="13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x14ac:dyDescent="0.25">
      <c r="A12" s="12"/>
      <c r="B12" s="12" t="s">
        <v>46</v>
      </c>
      <c r="C12" s="12"/>
      <c r="D12" s="12"/>
      <c r="E12" s="22"/>
      <c r="F12" s="22"/>
      <c r="G12" s="22"/>
      <c r="H12" s="22"/>
      <c r="I12" s="23"/>
      <c r="J12" s="24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3">
        <f t="shared" ref="V12:V17" si="0">SUM(K12:T12)</f>
        <v>0</v>
      </c>
    </row>
    <row r="13" spans="1:22" x14ac:dyDescent="0.25">
      <c r="A13" s="12"/>
      <c r="B13" s="12" t="s">
        <v>47</v>
      </c>
      <c r="C13" s="12"/>
      <c r="D13" s="12"/>
      <c r="E13" s="22"/>
      <c r="F13" s="22"/>
      <c r="G13" s="22"/>
      <c r="H13" s="22"/>
      <c r="I13" s="23"/>
      <c r="J13" s="24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3">
        <f t="shared" si="0"/>
        <v>0</v>
      </c>
    </row>
    <row r="14" spans="1:22" x14ac:dyDescent="0.25">
      <c r="A14" s="12"/>
      <c r="B14" s="12" t="s">
        <v>48</v>
      </c>
      <c r="C14" s="12"/>
      <c r="D14" s="12"/>
      <c r="E14" s="22"/>
      <c r="F14" s="22"/>
      <c r="G14" s="22"/>
      <c r="H14" s="22"/>
      <c r="I14" s="23"/>
      <c r="J14" s="24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3">
        <f t="shared" si="0"/>
        <v>0</v>
      </c>
    </row>
    <row r="15" spans="1:22" x14ac:dyDescent="0.25">
      <c r="A15" s="12"/>
      <c r="B15" s="12" t="s">
        <v>49</v>
      </c>
      <c r="C15" s="12"/>
      <c r="D15" s="12"/>
      <c r="E15" s="22">
        <v>455132.36</v>
      </c>
      <c r="F15" s="22"/>
      <c r="G15" s="22">
        <v>455132.36</v>
      </c>
      <c r="H15" s="22"/>
      <c r="I15" s="23">
        <f>G15-E15</f>
        <v>0</v>
      </c>
      <c r="J15" s="24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3">
        <f t="shared" si="0"/>
        <v>0</v>
      </c>
    </row>
    <row r="16" spans="1:22" x14ac:dyDescent="0.25">
      <c r="A16" s="12"/>
      <c r="B16" s="12" t="s">
        <v>50</v>
      </c>
      <c r="C16" s="12"/>
      <c r="D16" s="12"/>
      <c r="E16" s="22"/>
      <c r="F16" s="22"/>
      <c r="G16" s="22"/>
      <c r="H16" s="22"/>
      <c r="I16" s="23"/>
      <c r="J16" s="24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3">
        <f t="shared" si="0"/>
        <v>0</v>
      </c>
    </row>
    <row r="17" spans="1:22" x14ac:dyDescent="0.25">
      <c r="A17" s="12"/>
      <c r="B17" s="12" t="s">
        <v>51</v>
      </c>
      <c r="C17" s="12"/>
      <c r="D17" s="12"/>
      <c r="E17" s="22"/>
      <c r="F17" s="22"/>
      <c r="G17" s="22"/>
      <c r="H17" s="22"/>
      <c r="I17" s="23"/>
      <c r="J17" s="24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3">
        <f t="shared" si="0"/>
        <v>0</v>
      </c>
    </row>
    <row r="18" spans="1:22" x14ac:dyDescent="0.25">
      <c r="A18" s="19" t="s">
        <v>17</v>
      </c>
      <c r="B18" s="12"/>
      <c r="C18" s="12"/>
      <c r="D18" s="12"/>
      <c r="E18" s="22"/>
      <c r="F18" s="22"/>
      <c r="G18" s="22"/>
      <c r="H18" s="22"/>
      <c r="I18" s="23"/>
      <c r="J18" s="24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3"/>
    </row>
    <row r="19" spans="1:22" x14ac:dyDescent="0.25">
      <c r="A19" s="12"/>
      <c r="B19" s="12" t="s">
        <v>52</v>
      </c>
      <c r="C19" s="12"/>
      <c r="D19" s="12"/>
      <c r="E19" s="22"/>
      <c r="F19" s="22"/>
      <c r="G19" s="22"/>
      <c r="H19" s="22"/>
      <c r="I19" s="23"/>
      <c r="J19" s="24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3">
        <f t="shared" ref="V19:V30" si="1">SUM(K19:T19)</f>
        <v>0</v>
      </c>
    </row>
    <row r="20" spans="1:22" x14ac:dyDescent="0.25">
      <c r="A20" s="12"/>
      <c r="B20" s="12" t="s">
        <v>53</v>
      </c>
      <c r="C20" s="12"/>
      <c r="D20" s="12"/>
      <c r="E20" s="22"/>
      <c r="F20" s="22"/>
      <c r="G20" s="22"/>
      <c r="H20" s="22"/>
      <c r="I20" s="23"/>
      <c r="J20" s="24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3">
        <f t="shared" si="1"/>
        <v>0</v>
      </c>
    </row>
    <row r="21" spans="1:22" x14ac:dyDescent="0.25">
      <c r="A21" s="12"/>
      <c r="B21" s="12" t="s">
        <v>54</v>
      </c>
      <c r="C21" s="12"/>
      <c r="D21" s="12"/>
      <c r="E21" s="22"/>
      <c r="F21" s="22"/>
      <c r="G21" s="22"/>
      <c r="H21" s="22"/>
      <c r="I21" s="23"/>
      <c r="J21" s="24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3">
        <f t="shared" si="1"/>
        <v>0</v>
      </c>
    </row>
    <row r="22" spans="1:22" x14ac:dyDescent="0.25">
      <c r="A22" s="12"/>
      <c r="B22" s="12" t="s">
        <v>55</v>
      </c>
      <c r="C22" s="12"/>
      <c r="D22" s="12"/>
      <c r="E22" s="22"/>
      <c r="F22" s="22"/>
      <c r="G22" s="22"/>
      <c r="H22" s="22"/>
      <c r="I22" s="23"/>
      <c r="J22" s="24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3">
        <f t="shared" si="1"/>
        <v>0</v>
      </c>
    </row>
    <row r="23" spans="1:22" x14ac:dyDescent="0.25">
      <c r="A23" s="12"/>
      <c r="B23" s="12" t="s">
        <v>56</v>
      </c>
      <c r="C23" s="12"/>
      <c r="D23" s="12"/>
      <c r="E23" s="22"/>
      <c r="F23" s="22"/>
      <c r="G23" s="22"/>
      <c r="H23" s="22"/>
      <c r="I23" s="23"/>
      <c r="J23" s="24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3">
        <f t="shared" si="1"/>
        <v>0</v>
      </c>
    </row>
    <row r="24" spans="1:22" x14ac:dyDescent="0.25">
      <c r="A24" s="12"/>
      <c r="B24" s="12" t="s">
        <v>57</v>
      </c>
      <c r="C24" s="12"/>
      <c r="D24" s="12"/>
      <c r="E24" s="22">
        <v>58386.2</v>
      </c>
      <c r="F24" s="22"/>
      <c r="G24" s="22">
        <v>295581.7</v>
      </c>
      <c r="H24" s="22"/>
      <c r="I24" s="23">
        <f>G24-E24</f>
        <v>237195.5</v>
      </c>
      <c r="J24" s="24"/>
      <c r="K24" s="22"/>
      <c r="L24" s="22"/>
      <c r="M24" s="22"/>
      <c r="N24" s="22"/>
      <c r="O24" s="22"/>
      <c r="P24" s="22"/>
      <c r="Q24" s="22"/>
      <c r="R24" s="22"/>
      <c r="S24" s="22"/>
      <c r="T24" s="22">
        <v>237195.5</v>
      </c>
      <c r="U24" s="22"/>
      <c r="V24" s="23">
        <f t="shared" si="1"/>
        <v>237195.5</v>
      </c>
    </row>
    <row r="25" spans="1:22" x14ac:dyDescent="0.25">
      <c r="A25" s="12"/>
      <c r="B25" s="12" t="s">
        <v>58</v>
      </c>
      <c r="C25" s="12"/>
      <c r="D25" s="12"/>
      <c r="E25" s="22"/>
      <c r="F25" s="22"/>
      <c r="G25" s="22"/>
      <c r="H25" s="22"/>
      <c r="I25" s="23"/>
      <c r="J25" s="24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3">
        <f t="shared" si="1"/>
        <v>0</v>
      </c>
    </row>
    <row r="26" spans="1:22" x14ac:dyDescent="0.25">
      <c r="A26" s="12"/>
      <c r="B26" s="41" t="s">
        <v>59</v>
      </c>
      <c r="C26" s="12"/>
      <c r="D26" s="12"/>
      <c r="E26" s="22">
        <v>6836.07</v>
      </c>
      <c r="F26" s="22"/>
      <c r="G26" s="22">
        <v>34607.78</v>
      </c>
      <c r="H26" s="22"/>
      <c r="I26" s="23">
        <f>G26-E26</f>
        <v>27771.71</v>
      </c>
      <c r="J26" s="24"/>
      <c r="K26" s="22"/>
      <c r="L26" s="22"/>
      <c r="M26" s="22"/>
      <c r="N26" s="22"/>
      <c r="O26" s="22"/>
      <c r="P26" s="22"/>
      <c r="Q26" s="22"/>
      <c r="R26" s="22"/>
      <c r="S26" s="22">
        <v>27771.71</v>
      </c>
      <c r="T26" s="22"/>
      <c r="U26" s="22"/>
      <c r="V26" s="23">
        <f t="shared" si="1"/>
        <v>27771.71</v>
      </c>
    </row>
    <row r="27" spans="1:22" x14ac:dyDescent="0.25">
      <c r="A27" s="12"/>
      <c r="B27" s="12" t="s">
        <v>60</v>
      </c>
      <c r="C27" s="12"/>
      <c r="D27" s="12"/>
      <c r="E27" s="22"/>
      <c r="F27" s="22"/>
      <c r="G27" s="22"/>
      <c r="H27" s="22"/>
      <c r="I27" s="23"/>
      <c r="J27" s="24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3">
        <f t="shared" si="1"/>
        <v>0</v>
      </c>
    </row>
    <row r="28" spans="1:22" x14ac:dyDescent="0.25">
      <c r="A28" s="12"/>
      <c r="B28" s="12" t="s">
        <v>61</v>
      </c>
      <c r="C28" s="12"/>
      <c r="D28" s="12"/>
      <c r="E28" s="22"/>
      <c r="F28" s="22"/>
      <c r="G28" s="22"/>
      <c r="H28" s="22"/>
      <c r="I28" s="23">
        <f>G28-E28</f>
        <v>0</v>
      </c>
      <c r="J28" s="24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3">
        <f t="shared" si="1"/>
        <v>0</v>
      </c>
    </row>
    <row r="29" spans="1:22" x14ac:dyDescent="0.25">
      <c r="A29" s="12"/>
      <c r="B29" s="12" t="s">
        <v>62</v>
      </c>
      <c r="C29" s="12"/>
      <c r="D29" s="12"/>
      <c r="E29" s="22"/>
      <c r="F29" s="22"/>
      <c r="G29" s="22"/>
      <c r="H29" s="22"/>
      <c r="I29" s="23"/>
      <c r="J29" s="24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3">
        <f t="shared" si="1"/>
        <v>0</v>
      </c>
    </row>
    <row r="30" spans="1:22" x14ac:dyDescent="0.25">
      <c r="A30" s="12"/>
      <c r="B30" s="12" t="s">
        <v>63</v>
      </c>
      <c r="C30" s="12"/>
      <c r="D30" s="12"/>
      <c r="E30" s="26"/>
      <c r="F30" s="22"/>
      <c r="G30" s="26"/>
      <c r="H30" s="22"/>
      <c r="I30" s="23"/>
      <c r="J30" s="24"/>
      <c r="K30" s="26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3">
        <f t="shared" si="1"/>
        <v>0</v>
      </c>
    </row>
    <row r="31" spans="1:22" ht="15.75" thickBot="1" x14ac:dyDescent="0.3">
      <c r="A31" s="27" t="s">
        <v>64</v>
      </c>
      <c r="E31" s="28">
        <f>SUM(E12:E30)</f>
        <v>520354.63</v>
      </c>
      <c r="F31" s="23"/>
      <c r="G31" s="28">
        <f>SUM(G12:G30)</f>
        <v>785321.84000000008</v>
      </c>
      <c r="H31" s="23"/>
      <c r="I31" s="28">
        <f>SUM(I12:I30)</f>
        <v>264967.21000000002</v>
      </c>
      <c r="J31" s="29"/>
      <c r="K31" s="28">
        <f>SUM(K12:K30)</f>
        <v>0</v>
      </c>
      <c r="L31" s="23"/>
      <c r="M31" s="28">
        <f>SUM(M12:M30)</f>
        <v>0</v>
      </c>
      <c r="N31" s="23"/>
      <c r="O31" s="28">
        <f>SUM(O12:O30)</f>
        <v>0</v>
      </c>
      <c r="P31" s="23"/>
      <c r="Q31" s="28">
        <f>SUM(Q12:Q30)</f>
        <v>0</v>
      </c>
      <c r="R31" s="23"/>
      <c r="S31" s="28">
        <f>SUM(S12:S30)</f>
        <v>27771.71</v>
      </c>
      <c r="T31" s="28">
        <f>SUM(T12:T30)</f>
        <v>237195.5</v>
      </c>
      <c r="U31" s="23"/>
      <c r="V31" s="28">
        <f>SUM(V12:V30)</f>
        <v>264967.21000000002</v>
      </c>
    </row>
    <row r="32" spans="1:22" ht="15.75" thickTop="1" x14ac:dyDescent="0.25">
      <c r="A32" s="12"/>
      <c r="B32" s="12"/>
      <c r="C32" s="12"/>
      <c r="D32" s="12"/>
      <c r="E32" s="13"/>
      <c r="F32" s="13"/>
      <c r="G32" s="13"/>
      <c r="H32" s="13"/>
      <c r="I32" s="13"/>
      <c r="J32" s="13"/>
      <c r="K32" s="13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x14ac:dyDescent="0.25">
      <c r="A33" s="12"/>
      <c r="B33" s="12"/>
      <c r="C33" s="12"/>
      <c r="D33" s="12"/>
      <c r="E33" s="13"/>
      <c r="F33" s="13"/>
      <c r="G33" s="13"/>
      <c r="H33" s="13"/>
      <c r="I33" s="13"/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x14ac:dyDescent="0.25">
      <c r="A34" s="12" t="s">
        <v>65</v>
      </c>
      <c r="B34" s="12"/>
      <c r="C34" s="12"/>
      <c r="D34" s="12"/>
      <c r="E34" s="13"/>
      <c r="F34" s="13"/>
      <c r="G34" s="13"/>
      <c r="H34" s="13"/>
      <c r="I34" s="13"/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x14ac:dyDescent="0.25">
      <c r="A35" s="12" t="s">
        <v>66</v>
      </c>
      <c r="B35" s="12"/>
      <c r="C35" s="12" t="s">
        <v>67</v>
      </c>
      <c r="D35" s="12"/>
      <c r="E35" s="13"/>
      <c r="F35" s="13"/>
      <c r="G35" s="13"/>
      <c r="H35" s="13"/>
      <c r="I35" s="13"/>
      <c r="J35" s="13"/>
      <c r="K35" s="13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x14ac:dyDescent="0.25">
      <c r="A36" s="12" t="s">
        <v>68</v>
      </c>
      <c r="B36" s="12"/>
      <c r="C36" s="12" t="s">
        <v>69</v>
      </c>
      <c r="D36" s="12"/>
      <c r="E36" s="13"/>
      <c r="F36" s="13"/>
      <c r="G36" s="13"/>
      <c r="H36" s="13"/>
      <c r="I36" s="13"/>
      <c r="J36" s="13"/>
      <c r="K36" s="13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x14ac:dyDescent="0.25">
      <c r="A37" s="12" t="s">
        <v>70</v>
      </c>
      <c r="B37" s="12"/>
      <c r="C37" s="12" t="s">
        <v>71</v>
      </c>
      <c r="D37" s="12"/>
      <c r="E37" s="13"/>
      <c r="F37" s="13"/>
      <c r="G37" s="13"/>
      <c r="H37" s="13"/>
      <c r="I37" s="13"/>
      <c r="J37" s="13"/>
      <c r="K37" s="13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x14ac:dyDescent="0.25">
      <c r="A38" s="12"/>
      <c r="B38" s="12"/>
      <c r="C38" s="12" t="s">
        <v>72</v>
      </c>
      <c r="D38" s="12"/>
      <c r="E38" s="13"/>
      <c r="F38" s="13"/>
      <c r="G38" s="13"/>
      <c r="H38" s="13"/>
      <c r="I38" s="13"/>
      <c r="J38" s="13"/>
      <c r="K38" s="13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x14ac:dyDescent="0.25">
      <c r="A39" s="12" t="s">
        <v>73</v>
      </c>
      <c r="B39" s="12"/>
      <c r="C39" s="12" t="s">
        <v>74</v>
      </c>
      <c r="D39" s="12"/>
      <c r="E39" s="13"/>
      <c r="F39" s="13"/>
      <c r="G39" s="13"/>
      <c r="H39" s="13"/>
      <c r="I39" s="13"/>
      <c r="J39" s="13"/>
      <c r="K39" s="13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x14ac:dyDescent="0.25">
      <c r="A40" s="12" t="s">
        <v>75</v>
      </c>
      <c r="B40" s="12"/>
      <c r="C40" s="12" t="s">
        <v>76</v>
      </c>
      <c r="D40" s="12"/>
      <c r="E40" s="13"/>
      <c r="F40" s="13"/>
      <c r="G40" s="13"/>
      <c r="H40" s="13"/>
      <c r="I40" s="13"/>
      <c r="J40" s="13"/>
      <c r="K40" s="13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x14ac:dyDescent="0.25">
      <c r="A41" s="12"/>
      <c r="B41" s="12"/>
      <c r="C41" s="12"/>
      <c r="D41" s="12"/>
      <c r="E41" s="13"/>
      <c r="F41" s="13"/>
      <c r="G41" s="13"/>
      <c r="H41" s="13"/>
      <c r="I41" s="13"/>
      <c r="J41" s="13"/>
      <c r="K41" s="13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</sheetData>
  <printOptions horizontalCentered="1"/>
  <pageMargins left="0" right="0" top="0.75" bottom="0.75" header="0.3" footer="0.3"/>
  <pageSetup scale="59" orientation="landscape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83DE-011F-4CB2-AE9A-60EAA0EC62AF}">
  <dimension ref="A1:J33"/>
  <sheetViews>
    <sheetView showGridLines="0" zoomScaleNormal="100" workbookViewId="0">
      <selection activeCell="A31" sqref="A31:J31"/>
    </sheetView>
  </sheetViews>
  <sheetFormatPr defaultColWidth="9.140625" defaultRowHeight="15" x14ac:dyDescent="0.25"/>
  <cols>
    <col min="1" max="1" width="12.140625" style="133" customWidth="1"/>
    <col min="2" max="2" width="5.28515625" style="133" customWidth="1"/>
    <col min="3" max="3" width="7.5703125" style="133" customWidth="1"/>
    <col min="4" max="4" width="4.5703125" style="133" customWidth="1"/>
    <col min="5" max="5" width="19" style="133" customWidth="1"/>
    <col min="6" max="6" width="17.42578125" style="133" customWidth="1"/>
    <col min="7" max="7" width="16.7109375" style="133" customWidth="1"/>
    <col min="8" max="8" width="14.42578125" style="133" customWidth="1"/>
    <col min="9" max="9" width="3" style="133" customWidth="1"/>
    <col min="10" max="10" width="22.140625" style="133" customWidth="1"/>
    <col min="11" max="16384" width="9.140625" style="133"/>
  </cols>
  <sheetData>
    <row r="1" spans="1:10" x14ac:dyDescent="0.25">
      <c r="A1" s="223"/>
      <c r="B1" s="223"/>
      <c r="C1" s="223"/>
      <c r="D1" s="223"/>
      <c r="E1" s="223"/>
      <c r="F1" s="223"/>
      <c r="G1" s="223"/>
      <c r="H1" s="223"/>
      <c r="I1" s="223" t="s">
        <v>0</v>
      </c>
      <c r="J1" s="223"/>
    </row>
    <row r="2" spans="1:10" x14ac:dyDescent="0.25">
      <c r="A2" s="230" t="s">
        <v>1</v>
      </c>
      <c r="B2" s="230"/>
      <c r="C2" s="230"/>
      <c r="D2" s="230"/>
      <c r="E2" s="230"/>
      <c r="F2" s="230"/>
      <c r="G2" s="230"/>
      <c r="H2" s="230"/>
      <c r="I2" s="230"/>
      <c r="J2" s="230"/>
    </row>
    <row r="3" spans="1:10" x14ac:dyDescent="0.25">
      <c r="A3" s="230" t="s">
        <v>89</v>
      </c>
      <c r="B3" s="230"/>
      <c r="C3" s="230"/>
      <c r="D3" s="230"/>
      <c r="E3" s="230"/>
      <c r="F3" s="230"/>
      <c r="G3" s="230"/>
      <c r="H3" s="230"/>
      <c r="I3" s="230"/>
      <c r="J3" s="230"/>
    </row>
    <row r="4" spans="1:10" x14ac:dyDescent="0.25">
      <c r="A4" s="230" t="s">
        <v>112</v>
      </c>
      <c r="B4" s="230"/>
      <c r="C4" s="230"/>
      <c r="D4" s="230"/>
      <c r="E4" s="230"/>
      <c r="F4" s="230"/>
      <c r="G4" s="230"/>
      <c r="H4" s="230"/>
      <c r="I4" s="230"/>
      <c r="J4" s="230"/>
    </row>
    <row r="5" spans="1:10" x14ac:dyDescent="0.25">
      <c r="A5" s="230" t="s">
        <v>3</v>
      </c>
      <c r="B5" s="230"/>
      <c r="C5" s="230"/>
      <c r="D5" s="230"/>
      <c r="E5" s="230"/>
      <c r="F5" s="230"/>
      <c r="G5" s="230"/>
      <c r="H5" s="230"/>
      <c r="I5" s="230"/>
      <c r="J5" s="230"/>
    </row>
    <row r="6" spans="1:10" x14ac:dyDescent="0.25">
      <c r="A6" s="230" t="s">
        <v>4</v>
      </c>
      <c r="B6" s="230"/>
      <c r="C6" s="230"/>
      <c r="D6" s="230"/>
      <c r="E6" s="230"/>
      <c r="F6" s="230"/>
      <c r="G6" s="230"/>
      <c r="H6" s="230"/>
      <c r="I6" s="230"/>
      <c r="J6" s="230"/>
    </row>
    <row r="7" spans="1:10" x14ac:dyDescent="0.25">
      <c r="A7" s="227" t="s">
        <v>5</v>
      </c>
      <c r="B7" s="227"/>
      <c r="C7" s="228" t="s">
        <v>6</v>
      </c>
      <c r="D7" s="228"/>
      <c r="E7" s="228"/>
      <c r="F7" s="228"/>
      <c r="G7" s="228"/>
      <c r="H7" s="228"/>
      <c r="I7" s="223"/>
      <c r="J7" s="223"/>
    </row>
    <row r="8" spans="1:10" x14ac:dyDescent="0.25">
      <c r="A8" s="227" t="s">
        <v>7</v>
      </c>
      <c r="B8" s="227"/>
      <c r="C8" s="228" t="s">
        <v>111</v>
      </c>
      <c r="D8" s="228"/>
      <c r="E8" s="228"/>
      <c r="F8" s="228"/>
      <c r="G8" s="228"/>
      <c r="H8" s="228"/>
      <c r="I8" s="228"/>
      <c r="J8" s="223"/>
    </row>
    <row r="9" spans="1:10" x14ac:dyDescent="0.25">
      <c r="A9" s="227"/>
      <c r="B9" s="227"/>
      <c r="C9" s="232"/>
      <c r="D9" s="232"/>
      <c r="E9" s="232"/>
      <c r="F9" s="232"/>
      <c r="G9" s="232"/>
      <c r="H9" s="232"/>
      <c r="I9" s="228"/>
      <c r="J9" s="223"/>
    </row>
    <row r="10" spans="1:10" x14ac:dyDescent="0.25">
      <c r="A10" s="223"/>
      <c r="B10" s="223"/>
      <c r="C10" s="223"/>
      <c r="D10" s="223"/>
      <c r="E10" s="223"/>
      <c r="F10" s="223"/>
      <c r="G10" s="223"/>
      <c r="H10" s="223"/>
      <c r="I10" s="223"/>
      <c r="J10" s="223"/>
    </row>
    <row r="11" spans="1:10" x14ac:dyDescent="0.25">
      <c r="A11" s="219"/>
      <c r="B11" s="219"/>
      <c r="C11" s="219"/>
      <c r="D11" s="219"/>
      <c r="E11" s="219"/>
      <c r="F11" s="219"/>
      <c r="G11" s="219"/>
      <c r="H11" s="219"/>
      <c r="I11" s="219"/>
      <c r="J11" s="219"/>
    </row>
    <row r="12" spans="1:10" x14ac:dyDescent="0.25">
      <c r="A12" s="229" t="s">
        <v>8</v>
      </c>
      <c r="B12" s="229"/>
      <c r="C12" s="229"/>
      <c r="D12" s="229"/>
      <c r="E12" s="229"/>
      <c r="F12" s="229"/>
      <c r="G12" s="229"/>
      <c r="H12" s="229"/>
      <c r="I12" s="229"/>
      <c r="J12" s="229"/>
    </row>
    <row r="13" spans="1:10" x14ac:dyDescent="0.25">
      <c r="A13" s="219"/>
      <c r="B13" s="219"/>
      <c r="C13" s="219"/>
      <c r="D13" s="219"/>
      <c r="E13" s="219"/>
      <c r="F13" s="219"/>
      <c r="G13" s="219"/>
      <c r="H13" s="219"/>
      <c r="I13" s="219"/>
      <c r="J13" s="219"/>
    </row>
    <row r="14" spans="1:10" ht="24.75" customHeight="1" x14ac:dyDescent="0.25">
      <c r="A14" s="225" t="s">
        <v>9</v>
      </c>
      <c r="B14" s="225"/>
      <c r="C14" s="225"/>
      <c r="D14" s="225"/>
      <c r="E14" s="225"/>
      <c r="F14" s="141" t="s">
        <v>10</v>
      </c>
      <c r="G14" s="141" t="s">
        <v>11</v>
      </c>
      <c r="H14" s="226" t="s">
        <v>12</v>
      </c>
      <c r="I14" s="226"/>
      <c r="J14" s="141" t="s">
        <v>13</v>
      </c>
    </row>
    <row r="15" spans="1:10" ht="17.25" customHeight="1" x14ac:dyDescent="0.25">
      <c r="A15" s="231" t="s">
        <v>14</v>
      </c>
      <c r="B15" s="231"/>
      <c r="C15" s="231"/>
      <c r="D15" s="231"/>
      <c r="E15" s="231"/>
      <c r="F15" s="231"/>
      <c r="G15" s="231"/>
      <c r="H15" s="231"/>
      <c r="I15" s="231"/>
      <c r="J15" s="231"/>
    </row>
    <row r="16" spans="1:10" x14ac:dyDescent="0.25">
      <c r="A16" s="223" t="s">
        <v>15</v>
      </c>
      <c r="B16" s="223"/>
      <c r="C16" s="223"/>
      <c r="D16" s="223"/>
      <c r="E16" s="223"/>
      <c r="F16" s="138">
        <v>1849025.78</v>
      </c>
      <c r="G16" s="138">
        <v>0</v>
      </c>
      <c r="H16" s="224">
        <v>0</v>
      </c>
      <c r="I16" s="224"/>
      <c r="J16" s="138">
        <f>F16+G16-H16</f>
        <v>1849025.78</v>
      </c>
    </row>
    <row r="17" spans="1:10" x14ac:dyDescent="0.25">
      <c r="A17" s="223" t="s">
        <v>110</v>
      </c>
      <c r="B17" s="223"/>
      <c r="C17" s="223"/>
      <c r="D17" s="223"/>
      <c r="E17" s="223"/>
      <c r="F17" s="138">
        <v>172434.78</v>
      </c>
      <c r="G17" s="138">
        <v>0</v>
      </c>
      <c r="H17" s="224">
        <v>0</v>
      </c>
      <c r="I17" s="224"/>
      <c r="J17" s="138">
        <f>F17+G17-H17</f>
        <v>172434.78</v>
      </c>
    </row>
    <row r="18" spans="1:10" x14ac:dyDescent="0.25">
      <c r="A18" s="223" t="s">
        <v>16</v>
      </c>
      <c r="B18" s="223"/>
      <c r="C18" s="223"/>
      <c r="D18" s="223"/>
      <c r="E18" s="223"/>
      <c r="F18" s="138">
        <v>0</v>
      </c>
      <c r="G18" s="138">
        <v>0</v>
      </c>
      <c r="H18" s="224">
        <v>0</v>
      </c>
      <c r="I18" s="224"/>
      <c r="J18" s="138">
        <f>F18+G18-H18</f>
        <v>0</v>
      </c>
    </row>
    <row r="19" spans="1:10" x14ac:dyDescent="0.25">
      <c r="A19" s="134"/>
      <c r="B19" s="134"/>
      <c r="C19" s="134"/>
      <c r="D19" s="134"/>
      <c r="E19" s="134"/>
      <c r="F19" s="134"/>
      <c r="G19" s="134"/>
      <c r="H19" s="134"/>
      <c r="I19" s="134"/>
      <c r="J19" s="134"/>
    </row>
    <row r="20" spans="1:10" x14ac:dyDescent="0.25">
      <c r="A20" s="140" t="s">
        <v>17</v>
      </c>
      <c r="B20" s="140"/>
      <c r="C20" s="140"/>
      <c r="D20" s="140"/>
      <c r="E20" s="140"/>
      <c r="F20" s="140"/>
      <c r="G20" s="140"/>
      <c r="H20" s="140"/>
      <c r="I20" s="140"/>
      <c r="J20" s="140"/>
    </row>
    <row r="21" spans="1:10" x14ac:dyDescent="0.25">
      <c r="A21" s="223" t="s">
        <v>18</v>
      </c>
      <c r="B21" s="223"/>
      <c r="C21" s="223"/>
      <c r="D21" s="223"/>
      <c r="E21" s="223"/>
      <c r="F21" s="138">
        <v>0</v>
      </c>
      <c r="G21" s="138">
        <v>0</v>
      </c>
      <c r="H21" s="224">
        <v>0</v>
      </c>
      <c r="I21" s="224"/>
      <c r="J21" s="138">
        <f>F21+G21-H21</f>
        <v>0</v>
      </c>
    </row>
    <row r="22" spans="1:10" x14ac:dyDescent="0.25">
      <c r="A22" s="223" t="s">
        <v>19</v>
      </c>
      <c r="B22" s="223"/>
      <c r="C22" s="223"/>
      <c r="D22" s="223"/>
      <c r="E22" s="223"/>
      <c r="F22" s="138">
        <v>0</v>
      </c>
      <c r="G22" s="138">
        <v>0</v>
      </c>
      <c r="H22" s="224">
        <v>0</v>
      </c>
      <c r="I22" s="224"/>
      <c r="J22" s="138">
        <f>F22+G22-H22</f>
        <v>0</v>
      </c>
    </row>
    <row r="23" spans="1:10" x14ac:dyDescent="0.25">
      <c r="A23" s="223" t="s">
        <v>109</v>
      </c>
      <c r="B23" s="223"/>
      <c r="C23" s="223"/>
      <c r="D23" s="223"/>
      <c r="E23" s="223"/>
      <c r="F23" s="138">
        <v>209449.86</v>
      </c>
      <c r="G23" s="138">
        <v>0</v>
      </c>
      <c r="H23" s="224">
        <v>0</v>
      </c>
      <c r="I23" s="224"/>
      <c r="J23" s="138">
        <f>F23+G23-H23</f>
        <v>209449.86</v>
      </c>
    </row>
    <row r="24" spans="1:10" x14ac:dyDescent="0.25">
      <c r="A24" s="223" t="s">
        <v>108</v>
      </c>
      <c r="B24" s="223"/>
      <c r="C24" s="223"/>
      <c r="D24" s="223"/>
      <c r="E24" s="223"/>
      <c r="F24" s="138">
        <v>24523.15</v>
      </c>
      <c r="G24" s="138">
        <v>2449.8200000000002</v>
      </c>
      <c r="H24" s="224">
        <v>1912</v>
      </c>
      <c r="I24" s="224"/>
      <c r="J24" s="138">
        <f>F24+G24-H24</f>
        <v>25060.97</v>
      </c>
    </row>
    <row r="25" spans="1:10" x14ac:dyDescent="0.25">
      <c r="A25" s="223" t="s">
        <v>20</v>
      </c>
      <c r="B25" s="223"/>
      <c r="C25" s="223"/>
      <c r="D25" s="223"/>
      <c r="E25" s="223"/>
      <c r="F25" s="138">
        <v>0</v>
      </c>
      <c r="G25" s="138">
        <v>0</v>
      </c>
      <c r="H25" s="224">
        <v>0</v>
      </c>
      <c r="I25" s="224"/>
      <c r="J25" s="138">
        <f>F25+G25-H25</f>
        <v>0</v>
      </c>
    </row>
    <row r="26" spans="1:10" x14ac:dyDescent="0.25">
      <c r="A26" s="139"/>
      <c r="B26" s="139"/>
      <c r="C26" s="139"/>
      <c r="D26" s="139"/>
      <c r="E26" s="139"/>
      <c r="F26" s="138"/>
      <c r="G26" s="138"/>
      <c r="H26" s="138"/>
      <c r="I26" s="138"/>
      <c r="J26" s="138"/>
    </row>
    <row r="27" spans="1:10" ht="15.75" customHeight="1" x14ac:dyDescent="0.25">
      <c r="A27" s="137"/>
      <c r="B27" s="137"/>
      <c r="C27" s="137"/>
      <c r="D27" s="137"/>
      <c r="E27" s="137"/>
      <c r="F27" s="136"/>
      <c r="G27" s="136"/>
      <c r="H27" s="136"/>
      <c r="I27" s="136"/>
      <c r="J27" s="136"/>
    </row>
    <row r="28" spans="1:10" x14ac:dyDescent="0.25">
      <c r="A28" s="135" t="s">
        <v>7</v>
      </c>
      <c r="B28" s="222">
        <v>6051016</v>
      </c>
      <c r="C28" s="222"/>
      <c r="D28" s="222"/>
      <c r="E28" s="221">
        <f>SUM(F16:F25)</f>
        <v>2255433.5699999998</v>
      </c>
      <c r="F28" s="221"/>
      <c r="G28" s="221">
        <f>SUM(G16:G25)</f>
        <v>2449.8200000000002</v>
      </c>
      <c r="H28" s="221">
        <f>SUM(H16:H25)</f>
        <v>1912</v>
      </c>
      <c r="I28" s="221"/>
      <c r="J28" s="221">
        <f>SUM(J16:J25)</f>
        <v>2255971.39</v>
      </c>
    </row>
    <row r="29" spans="1:10" x14ac:dyDescent="0.25">
      <c r="A29" s="135"/>
      <c r="B29" s="222"/>
      <c r="C29" s="222"/>
      <c r="D29" s="222"/>
      <c r="E29" s="221"/>
      <c r="F29" s="221"/>
      <c r="G29" s="221"/>
      <c r="H29" s="221"/>
      <c r="I29" s="221"/>
      <c r="J29" s="221"/>
    </row>
    <row r="30" spans="1:10" x14ac:dyDescent="0.25">
      <c r="A30" s="219"/>
      <c r="B30" s="219"/>
      <c r="C30" s="219"/>
      <c r="D30" s="219"/>
      <c r="E30" s="219"/>
      <c r="F30" s="219"/>
      <c r="G30" s="219"/>
      <c r="H30" s="219"/>
      <c r="I30" s="219"/>
      <c r="J30" s="219"/>
    </row>
    <row r="31" spans="1:10" x14ac:dyDescent="0.25">
      <c r="A31" s="219"/>
      <c r="B31" s="219"/>
      <c r="C31" s="219"/>
      <c r="D31" s="219"/>
      <c r="E31" s="219"/>
      <c r="F31" s="219"/>
      <c r="G31" s="219"/>
      <c r="H31" s="219"/>
      <c r="I31" s="219"/>
      <c r="J31" s="219"/>
    </row>
    <row r="32" spans="1:10" x14ac:dyDescent="0.25">
      <c r="A32" s="219"/>
      <c r="B32" s="219"/>
      <c r="C32" s="219"/>
      <c r="D32" s="219"/>
      <c r="E32" s="219"/>
      <c r="F32" s="219"/>
      <c r="G32" s="219"/>
      <c r="H32" s="219"/>
      <c r="I32" s="219"/>
      <c r="J32" s="219"/>
    </row>
    <row r="33" spans="1:10" x14ac:dyDescent="0.25">
      <c r="A33" s="220"/>
      <c r="B33" s="220"/>
      <c r="C33" s="220"/>
      <c r="D33" s="220"/>
      <c r="E33" s="220"/>
      <c r="F33" s="220"/>
      <c r="G33" s="220"/>
      <c r="H33" s="220"/>
      <c r="I33" s="220"/>
      <c r="J33" s="220"/>
    </row>
  </sheetData>
  <mergeCells count="52">
    <mergeCell ref="A4:J4"/>
    <mergeCell ref="A5:J5"/>
    <mergeCell ref="A1:C1"/>
    <mergeCell ref="D1:H1"/>
    <mergeCell ref="I1:J1"/>
    <mergeCell ref="A2:J2"/>
    <mergeCell ref="A3:J3"/>
    <mergeCell ref="A6:J6"/>
    <mergeCell ref="A7:B7"/>
    <mergeCell ref="C7:H7"/>
    <mergeCell ref="I7:J7"/>
    <mergeCell ref="A15:J15"/>
    <mergeCell ref="A9:B9"/>
    <mergeCell ref="C9:H9"/>
    <mergeCell ref="I9:J9"/>
    <mergeCell ref="A10:B10"/>
    <mergeCell ref="C10:H10"/>
    <mergeCell ref="A17:E17"/>
    <mergeCell ref="H17:I17"/>
    <mergeCell ref="A8:B8"/>
    <mergeCell ref="C8:H8"/>
    <mergeCell ref="I8:J8"/>
    <mergeCell ref="I10:J10"/>
    <mergeCell ref="A11:J11"/>
    <mergeCell ref="A12:J12"/>
    <mergeCell ref="A13:J13"/>
    <mergeCell ref="A14:E14"/>
    <mergeCell ref="H14:I14"/>
    <mergeCell ref="A16:E16"/>
    <mergeCell ref="H16:I16"/>
    <mergeCell ref="A18:E18"/>
    <mergeCell ref="H18:I18"/>
    <mergeCell ref="A21:E21"/>
    <mergeCell ref="H21:I21"/>
    <mergeCell ref="A22:E22"/>
    <mergeCell ref="H22:I22"/>
    <mergeCell ref="A23:E23"/>
    <mergeCell ref="H23:I23"/>
    <mergeCell ref="A24:E24"/>
    <mergeCell ref="H24:I24"/>
    <mergeCell ref="A25:E25"/>
    <mergeCell ref="H25:I25"/>
    <mergeCell ref="A31:J31"/>
    <mergeCell ref="A32:J32"/>
    <mergeCell ref="A33:J33"/>
    <mergeCell ref="J28:J29"/>
    <mergeCell ref="B28:D28"/>
    <mergeCell ref="E28:F29"/>
    <mergeCell ref="G28:G29"/>
    <mergeCell ref="H28:I29"/>
    <mergeCell ref="B29:D29"/>
    <mergeCell ref="A30:J30"/>
  </mergeCells>
  <pageMargins left="0.7" right="0.7" top="0.75" bottom="0.75" header="0.3" footer="0.3"/>
  <pageSetup scale="98" orientation="landscape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43FB-1CB0-4770-B81D-4B46C6FC620A}">
  <dimension ref="A1:V41"/>
  <sheetViews>
    <sheetView topLeftCell="A7" zoomScaleNormal="100" workbookViewId="0">
      <selection activeCell="E15" sqref="E15"/>
    </sheetView>
  </sheetViews>
  <sheetFormatPr defaultColWidth="9.140625" defaultRowHeight="15" x14ac:dyDescent="0.25"/>
  <cols>
    <col min="1" max="1" width="1.7109375" style="11" customWidth="1"/>
    <col min="2" max="2" width="9" style="11" customWidth="1"/>
    <col min="3" max="3" width="44.28515625" style="11" customWidth="1"/>
    <col min="4" max="4" width="1.7109375" style="11" customWidth="1"/>
    <col min="5" max="5" width="15.7109375" style="30" customWidth="1"/>
    <col min="6" max="6" width="1.7109375" style="30" customWidth="1"/>
    <col min="7" max="7" width="15.7109375" style="30" customWidth="1"/>
    <col min="8" max="8" width="1.7109375" style="30" customWidth="1"/>
    <col min="9" max="9" width="15.7109375" style="30" customWidth="1"/>
    <col min="10" max="10" width="1.7109375" style="30" customWidth="1"/>
    <col min="11" max="11" width="15.7109375" style="30" customWidth="1"/>
    <col min="12" max="12" width="1.7109375" style="11" customWidth="1"/>
    <col min="13" max="13" width="15.7109375" style="11" customWidth="1"/>
    <col min="14" max="14" width="1.7109375" style="11" customWidth="1"/>
    <col min="15" max="15" width="15.7109375" style="11" customWidth="1"/>
    <col min="16" max="16" width="1.7109375" style="11" customWidth="1"/>
    <col min="17" max="17" width="15.7109375" style="11" customWidth="1"/>
    <col min="18" max="18" width="1.7109375" style="11" customWidth="1"/>
    <col min="19" max="20" width="15.7109375" style="11" customWidth="1"/>
    <col min="21" max="21" width="1.7109375" style="11" customWidth="1"/>
    <col min="22" max="22" width="15.7109375" style="11" customWidth="1"/>
    <col min="23" max="16384" width="9.140625" style="11"/>
  </cols>
  <sheetData>
    <row r="1" spans="1:22" x14ac:dyDescent="0.25">
      <c r="A1" s="10" t="s">
        <v>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x14ac:dyDescent="0.25">
      <c r="A2" s="10" t="s">
        <v>22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x14ac:dyDescent="0.25">
      <c r="A3" s="10" t="s">
        <v>23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x14ac:dyDescent="0.25">
      <c r="A4" s="10" t="s">
        <v>113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x14ac:dyDescent="0.25">
      <c r="A5" s="10" t="s">
        <v>24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x14ac:dyDescent="0.25">
      <c r="A6" s="12"/>
      <c r="B6" s="12"/>
      <c r="C6" s="12"/>
      <c r="D6" s="12"/>
      <c r="E6" s="13"/>
      <c r="F6" s="13"/>
      <c r="G6" s="13"/>
      <c r="H6" s="13"/>
      <c r="I6" s="13"/>
      <c r="J6" s="13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ht="15.75" thickBot="1" x14ac:dyDescent="0.3">
      <c r="A7" s="12"/>
      <c r="B7" s="12"/>
      <c r="C7" s="12"/>
      <c r="D7" s="12"/>
      <c r="E7" s="13"/>
      <c r="F7" s="13"/>
      <c r="G7" s="13"/>
      <c r="H7" s="13"/>
      <c r="I7" s="13"/>
      <c r="J7" s="14"/>
      <c r="K7" s="15" t="s">
        <v>25</v>
      </c>
      <c r="L7" s="15"/>
      <c r="M7" s="15"/>
      <c r="N7" s="15"/>
      <c r="O7" s="15"/>
      <c r="P7" s="15"/>
      <c r="Q7" s="15"/>
      <c r="R7" s="15"/>
      <c r="S7" s="15"/>
      <c r="T7" s="15"/>
      <c r="U7" s="12"/>
      <c r="V7" s="12"/>
    </row>
    <row r="8" spans="1:22" x14ac:dyDescent="0.25">
      <c r="A8" s="12"/>
      <c r="B8" s="12"/>
      <c r="C8" s="12"/>
      <c r="D8" s="12"/>
      <c r="E8" s="16" t="s">
        <v>26</v>
      </c>
      <c r="F8" s="17"/>
      <c r="G8" s="16" t="s">
        <v>27</v>
      </c>
      <c r="H8" s="17"/>
      <c r="I8" s="16" t="s">
        <v>28</v>
      </c>
      <c r="J8" s="18"/>
      <c r="K8" s="16" t="s">
        <v>29</v>
      </c>
      <c r="L8" s="12"/>
      <c r="M8" s="16" t="s">
        <v>30</v>
      </c>
      <c r="N8" s="17"/>
      <c r="O8" s="16" t="s">
        <v>31</v>
      </c>
      <c r="P8" s="17"/>
      <c r="Q8" s="16" t="s">
        <v>32</v>
      </c>
      <c r="R8" s="17"/>
      <c r="S8" s="16" t="s">
        <v>33</v>
      </c>
      <c r="T8" s="16" t="s">
        <v>34</v>
      </c>
      <c r="U8" s="17"/>
      <c r="V8" s="16" t="s">
        <v>35</v>
      </c>
    </row>
    <row r="9" spans="1:22" ht="120" x14ac:dyDescent="0.25">
      <c r="A9" s="19"/>
      <c r="B9" s="12"/>
      <c r="C9" s="12"/>
      <c r="D9" s="12"/>
      <c r="E9" s="20" t="s">
        <v>36</v>
      </c>
      <c r="F9" s="17"/>
      <c r="G9" s="20" t="s">
        <v>37</v>
      </c>
      <c r="H9" s="17"/>
      <c r="I9" s="21" t="s">
        <v>38</v>
      </c>
      <c r="J9" s="18"/>
      <c r="K9" s="20" t="s">
        <v>39</v>
      </c>
      <c r="L9" s="17"/>
      <c r="M9" s="20" t="s">
        <v>40</v>
      </c>
      <c r="N9" s="12"/>
      <c r="O9" s="20" t="s">
        <v>41</v>
      </c>
      <c r="P9" s="12"/>
      <c r="Q9" s="20" t="s">
        <v>42</v>
      </c>
      <c r="R9" s="12"/>
      <c r="S9" s="20" t="s">
        <v>43</v>
      </c>
      <c r="T9" s="20" t="s">
        <v>44</v>
      </c>
      <c r="U9" s="12"/>
      <c r="V9" s="20" t="s">
        <v>45</v>
      </c>
    </row>
    <row r="10" spans="1:22" x14ac:dyDescent="0.25">
      <c r="A10" s="12"/>
      <c r="B10" s="12"/>
      <c r="C10" s="12"/>
      <c r="D10" s="12"/>
      <c r="E10" s="13"/>
      <c r="F10" s="13"/>
      <c r="G10" s="13"/>
      <c r="H10" s="13"/>
      <c r="I10" s="13"/>
      <c r="J10" s="14"/>
      <c r="K10" s="13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x14ac:dyDescent="0.25">
      <c r="A11" s="19" t="s">
        <v>14</v>
      </c>
      <c r="B11" s="12"/>
      <c r="C11" s="12"/>
      <c r="D11" s="12"/>
      <c r="E11" s="13"/>
      <c r="F11" s="13"/>
      <c r="G11" s="13"/>
      <c r="H11" s="13"/>
      <c r="I11" s="13"/>
      <c r="J11" s="14"/>
      <c r="K11" s="13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x14ac:dyDescent="0.25">
      <c r="A12" s="12"/>
      <c r="B12" s="12" t="s">
        <v>46</v>
      </c>
      <c r="C12" s="12"/>
      <c r="D12" s="12"/>
      <c r="E12" s="22">
        <v>1849025.78</v>
      </c>
      <c r="F12" s="22"/>
      <c r="G12" s="22">
        <f>E12</f>
        <v>1849025.78</v>
      </c>
      <c r="H12" s="22"/>
      <c r="I12" s="44">
        <f>G12-E12</f>
        <v>0</v>
      </c>
      <c r="J12" s="24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3">
        <f t="shared" ref="V12:V17" si="0">SUM(K12:T12)</f>
        <v>0</v>
      </c>
    </row>
    <row r="13" spans="1:22" x14ac:dyDescent="0.25">
      <c r="A13" s="12"/>
      <c r="B13" s="12" t="s">
        <v>47</v>
      </c>
      <c r="C13" s="12"/>
      <c r="D13" s="12"/>
      <c r="E13" s="22"/>
      <c r="F13" s="22"/>
      <c r="G13" s="22"/>
      <c r="H13" s="22"/>
      <c r="I13" s="23"/>
      <c r="J13" s="24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3">
        <f t="shared" si="0"/>
        <v>0</v>
      </c>
    </row>
    <row r="14" spans="1:22" x14ac:dyDescent="0.25">
      <c r="A14" s="12"/>
      <c r="B14" s="12" t="s">
        <v>48</v>
      </c>
      <c r="C14" s="12"/>
      <c r="D14" s="12"/>
      <c r="E14" s="22"/>
      <c r="F14" s="22"/>
      <c r="G14" s="22"/>
      <c r="H14" s="22"/>
      <c r="I14" s="23"/>
      <c r="J14" s="24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3">
        <f t="shared" si="0"/>
        <v>0</v>
      </c>
    </row>
    <row r="15" spans="1:22" x14ac:dyDescent="0.25">
      <c r="A15" s="12"/>
      <c r="B15" s="12" t="s">
        <v>49</v>
      </c>
      <c r="C15" s="12"/>
      <c r="D15" s="12"/>
      <c r="E15" s="22">
        <v>172434.78</v>
      </c>
      <c r="F15" s="22"/>
      <c r="G15" s="22">
        <f>E15</f>
        <v>172434.78</v>
      </c>
      <c r="H15" s="22"/>
      <c r="I15" s="44">
        <f>G15-E15</f>
        <v>0</v>
      </c>
      <c r="J15" s="24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3">
        <f t="shared" si="0"/>
        <v>0</v>
      </c>
    </row>
    <row r="16" spans="1:22" x14ac:dyDescent="0.25">
      <c r="A16" s="12"/>
      <c r="B16" s="12" t="s">
        <v>50</v>
      </c>
      <c r="C16" s="12"/>
      <c r="D16" s="12"/>
      <c r="E16" s="22"/>
      <c r="F16" s="22"/>
      <c r="G16" s="22"/>
      <c r="H16" s="22"/>
      <c r="I16" s="23"/>
      <c r="J16" s="24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3">
        <f t="shared" si="0"/>
        <v>0</v>
      </c>
    </row>
    <row r="17" spans="1:22" x14ac:dyDescent="0.25">
      <c r="A17" s="12"/>
      <c r="B17" s="12" t="s">
        <v>51</v>
      </c>
      <c r="C17" s="12"/>
      <c r="D17" s="12"/>
      <c r="E17" s="22"/>
      <c r="F17" s="22"/>
      <c r="G17" s="22"/>
      <c r="H17" s="22"/>
      <c r="I17" s="23"/>
      <c r="J17" s="24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3">
        <f t="shared" si="0"/>
        <v>0</v>
      </c>
    </row>
    <row r="18" spans="1:22" x14ac:dyDescent="0.25">
      <c r="A18" s="19" t="s">
        <v>17</v>
      </c>
      <c r="B18" s="12"/>
      <c r="C18" s="12"/>
      <c r="D18" s="12"/>
      <c r="E18" s="22"/>
      <c r="F18" s="22"/>
      <c r="G18" s="22"/>
      <c r="H18" s="22"/>
      <c r="I18" s="23"/>
      <c r="J18" s="24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3"/>
    </row>
    <row r="19" spans="1:22" x14ac:dyDescent="0.25">
      <c r="A19" s="12"/>
      <c r="B19" s="12" t="s">
        <v>52</v>
      </c>
      <c r="C19" s="12"/>
      <c r="D19" s="12"/>
      <c r="E19" s="22"/>
      <c r="F19" s="22"/>
      <c r="G19" s="22"/>
      <c r="H19" s="22"/>
      <c r="I19" s="23"/>
      <c r="J19" s="24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3">
        <f t="shared" ref="V19:V30" si="1">SUM(K19:T19)</f>
        <v>0</v>
      </c>
    </row>
    <row r="20" spans="1:22" x14ac:dyDescent="0.25">
      <c r="A20" s="12"/>
      <c r="B20" s="12" t="s">
        <v>53</v>
      </c>
      <c r="C20" s="12"/>
      <c r="D20" s="12"/>
      <c r="E20" s="22"/>
      <c r="F20" s="22"/>
      <c r="G20" s="22"/>
      <c r="H20" s="22"/>
      <c r="I20" s="23"/>
      <c r="J20" s="24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3">
        <f t="shared" si="1"/>
        <v>0</v>
      </c>
    </row>
    <row r="21" spans="1:22" x14ac:dyDescent="0.25">
      <c r="A21" s="12"/>
      <c r="B21" s="12" t="s">
        <v>54</v>
      </c>
      <c r="C21" s="12"/>
      <c r="D21" s="12"/>
      <c r="E21" s="22"/>
      <c r="F21" s="22"/>
      <c r="G21" s="22"/>
      <c r="H21" s="22"/>
      <c r="I21" s="23"/>
      <c r="J21" s="24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3">
        <f t="shared" si="1"/>
        <v>0</v>
      </c>
    </row>
    <row r="22" spans="1:22" x14ac:dyDescent="0.25">
      <c r="A22" s="12"/>
      <c r="B22" s="12" t="s">
        <v>55</v>
      </c>
      <c r="C22" s="12"/>
      <c r="D22" s="12"/>
      <c r="E22" s="22"/>
      <c r="F22" s="22"/>
      <c r="G22" s="22"/>
      <c r="H22" s="22"/>
      <c r="I22" s="23"/>
      <c r="J22" s="24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3">
        <f t="shared" si="1"/>
        <v>0</v>
      </c>
    </row>
    <row r="23" spans="1:22" x14ac:dyDescent="0.25">
      <c r="A23" s="12"/>
      <c r="B23" s="12" t="s">
        <v>56</v>
      </c>
      <c r="C23" s="12"/>
      <c r="D23" s="12"/>
      <c r="E23" s="22"/>
      <c r="F23" s="22"/>
      <c r="G23" s="22"/>
      <c r="H23" s="22"/>
      <c r="I23" s="23"/>
      <c r="J23" s="24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3">
        <f t="shared" si="1"/>
        <v>0</v>
      </c>
    </row>
    <row r="24" spans="1:22" x14ac:dyDescent="0.25">
      <c r="A24" s="12"/>
      <c r="B24" s="12" t="s">
        <v>57</v>
      </c>
      <c r="C24" s="12"/>
      <c r="D24" s="12"/>
      <c r="E24" s="22">
        <v>395728.69</v>
      </c>
      <c r="F24" s="22"/>
      <c r="G24" s="22">
        <v>209449.86</v>
      </c>
      <c r="H24" s="22"/>
      <c r="I24" s="44">
        <f>G24-E24</f>
        <v>-186278.83000000002</v>
      </c>
      <c r="J24" s="24"/>
      <c r="K24" s="22"/>
      <c r="L24" s="22"/>
      <c r="M24" s="22"/>
      <c r="N24" s="22"/>
      <c r="O24" s="22"/>
      <c r="P24" s="22"/>
      <c r="Q24" s="22"/>
      <c r="R24" s="22"/>
      <c r="S24" s="22"/>
      <c r="T24" s="22">
        <f>I24</f>
        <v>-186278.83000000002</v>
      </c>
      <c r="U24" s="22"/>
      <c r="V24" s="23">
        <f t="shared" si="1"/>
        <v>-186278.83000000002</v>
      </c>
    </row>
    <row r="25" spans="1:22" x14ac:dyDescent="0.25">
      <c r="A25" s="12"/>
      <c r="B25" s="12" t="s">
        <v>58</v>
      </c>
      <c r="C25" s="12"/>
      <c r="D25" s="12"/>
      <c r="E25" s="22"/>
      <c r="F25" s="22"/>
      <c r="G25" s="22"/>
      <c r="H25" s="22"/>
      <c r="I25" s="23"/>
      <c r="J25" s="24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3">
        <f t="shared" si="1"/>
        <v>0</v>
      </c>
    </row>
    <row r="26" spans="1:22" customFormat="1" x14ac:dyDescent="0.25">
      <c r="A26" s="41"/>
      <c r="B26" s="41" t="s">
        <v>59</v>
      </c>
      <c r="C26" s="41"/>
      <c r="D26" s="41"/>
      <c r="E26" s="47">
        <v>46333.35</v>
      </c>
      <c r="F26" s="47"/>
      <c r="G26" s="47">
        <v>24523.15</v>
      </c>
      <c r="H26" s="47"/>
      <c r="I26" s="44">
        <f>G26-E26</f>
        <v>-21810.199999999997</v>
      </c>
      <c r="J26" s="49"/>
      <c r="K26" s="47"/>
      <c r="L26" s="47"/>
      <c r="M26" s="47"/>
      <c r="N26" s="47"/>
      <c r="O26" s="47"/>
      <c r="P26" s="47"/>
      <c r="Q26" s="47"/>
      <c r="R26" s="47"/>
      <c r="S26" s="47">
        <f>I26</f>
        <v>-21810.199999999997</v>
      </c>
      <c r="T26" s="47"/>
      <c r="U26" s="47"/>
      <c r="V26" s="44">
        <f t="shared" si="1"/>
        <v>-21810.199999999997</v>
      </c>
    </row>
    <row r="27" spans="1:22" x14ac:dyDescent="0.25">
      <c r="A27" s="12"/>
      <c r="B27" s="12" t="s">
        <v>60</v>
      </c>
      <c r="C27" s="12"/>
      <c r="D27" s="12"/>
      <c r="E27" s="22"/>
      <c r="F27" s="22"/>
      <c r="G27" s="22"/>
      <c r="H27" s="22"/>
      <c r="I27" s="23"/>
      <c r="J27" s="24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3">
        <f t="shared" si="1"/>
        <v>0</v>
      </c>
    </row>
    <row r="28" spans="1:22" x14ac:dyDescent="0.25">
      <c r="A28" s="12"/>
      <c r="B28" s="12" t="s">
        <v>61</v>
      </c>
      <c r="C28" s="12"/>
      <c r="D28" s="12"/>
      <c r="E28" s="22"/>
      <c r="F28" s="22"/>
      <c r="G28" s="22"/>
      <c r="H28" s="22"/>
      <c r="I28" s="23">
        <f>G28-E28</f>
        <v>0</v>
      </c>
      <c r="J28" s="24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3">
        <f t="shared" si="1"/>
        <v>0</v>
      </c>
    </row>
    <row r="29" spans="1:22" x14ac:dyDescent="0.25">
      <c r="A29" s="12"/>
      <c r="B29" s="12" t="s">
        <v>62</v>
      </c>
      <c r="C29" s="12"/>
      <c r="D29" s="12"/>
      <c r="E29" s="22"/>
      <c r="F29" s="22"/>
      <c r="G29" s="22"/>
      <c r="H29" s="22"/>
      <c r="I29" s="23"/>
      <c r="J29" s="24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3">
        <f t="shared" si="1"/>
        <v>0</v>
      </c>
    </row>
    <row r="30" spans="1:22" x14ac:dyDescent="0.25">
      <c r="A30" s="12"/>
      <c r="B30" s="12" t="s">
        <v>63</v>
      </c>
      <c r="C30" s="12"/>
      <c r="D30" s="12"/>
      <c r="E30" s="26"/>
      <c r="F30" s="22"/>
      <c r="G30" s="26"/>
      <c r="H30" s="22"/>
      <c r="I30" s="23"/>
      <c r="J30" s="24"/>
      <c r="K30" s="26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3">
        <f t="shared" si="1"/>
        <v>0</v>
      </c>
    </row>
    <row r="31" spans="1:22" ht="15.75" thickBot="1" x14ac:dyDescent="0.3">
      <c r="A31" s="27" t="s">
        <v>64</v>
      </c>
      <c r="E31" s="28">
        <f>SUM(E12:E30)</f>
        <v>2463522.6</v>
      </c>
      <c r="F31" s="23"/>
      <c r="G31" s="28">
        <f>SUM(G12:G30)</f>
        <v>2255433.5699999998</v>
      </c>
      <c r="H31" s="23"/>
      <c r="I31" s="28">
        <f>SUM(I12:I30)</f>
        <v>-208089.03000000003</v>
      </c>
      <c r="J31" s="29"/>
      <c r="K31" s="28">
        <f>SUM(K12:K30)</f>
        <v>0</v>
      </c>
      <c r="L31" s="23"/>
      <c r="M31" s="28">
        <f>SUM(M12:M30)</f>
        <v>0</v>
      </c>
      <c r="N31" s="23"/>
      <c r="O31" s="28">
        <f>SUM(O12:O30)</f>
        <v>0</v>
      </c>
      <c r="P31" s="23"/>
      <c r="Q31" s="28">
        <f>SUM(Q12:Q30)</f>
        <v>0</v>
      </c>
      <c r="R31" s="23"/>
      <c r="S31" s="28">
        <f>SUM(S12:S30)</f>
        <v>-21810.199999999997</v>
      </c>
      <c r="T31" s="28">
        <f>SUM(T12:T30)</f>
        <v>-186278.83000000002</v>
      </c>
      <c r="U31" s="23"/>
      <c r="V31" s="28">
        <f>SUM(V12:V30)</f>
        <v>-208089.03000000003</v>
      </c>
    </row>
    <row r="32" spans="1:22" ht="15.75" thickTop="1" x14ac:dyDescent="0.25">
      <c r="A32" s="12"/>
      <c r="B32" s="12"/>
      <c r="C32" s="12"/>
      <c r="D32" s="12"/>
      <c r="E32" s="13"/>
      <c r="F32" s="13"/>
      <c r="G32" s="13"/>
      <c r="H32" s="13"/>
      <c r="I32" s="13"/>
      <c r="J32" s="13"/>
      <c r="K32" s="13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x14ac:dyDescent="0.25">
      <c r="A33" s="12"/>
      <c r="B33" s="12"/>
      <c r="C33" s="12"/>
      <c r="D33" s="12"/>
      <c r="E33" s="13"/>
      <c r="F33" s="13"/>
      <c r="G33" s="13"/>
      <c r="H33" s="13"/>
      <c r="I33" s="13"/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x14ac:dyDescent="0.25">
      <c r="A34" s="12" t="s">
        <v>65</v>
      </c>
      <c r="B34" s="12"/>
      <c r="C34" s="12"/>
      <c r="D34" s="12"/>
      <c r="E34" s="13"/>
      <c r="F34" s="13"/>
      <c r="G34" s="13"/>
      <c r="H34" s="13"/>
      <c r="I34" s="13"/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x14ac:dyDescent="0.25">
      <c r="A35" s="12" t="s">
        <v>66</v>
      </c>
      <c r="B35" s="12"/>
      <c r="C35" s="12" t="s">
        <v>67</v>
      </c>
      <c r="D35" s="12"/>
      <c r="E35" s="13"/>
      <c r="F35" s="13"/>
      <c r="G35" s="13"/>
      <c r="H35" s="13"/>
      <c r="I35" s="13"/>
      <c r="J35" s="13"/>
      <c r="K35" s="13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x14ac:dyDescent="0.25">
      <c r="A36" s="12" t="s">
        <v>68</v>
      </c>
      <c r="B36" s="12"/>
      <c r="C36" s="12" t="s">
        <v>69</v>
      </c>
      <c r="D36" s="12"/>
      <c r="E36" s="13"/>
      <c r="F36" s="13"/>
      <c r="G36" s="13"/>
      <c r="H36" s="13"/>
      <c r="I36" s="13"/>
      <c r="J36" s="13"/>
      <c r="K36" s="13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x14ac:dyDescent="0.25">
      <c r="A37" s="12" t="s">
        <v>70</v>
      </c>
      <c r="B37" s="12"/>
      <c r="C37" s="12" t="s">
        <v>71</v>
      </c>
      <c r="D37" s="12"/>
      <c r="E37" s="13"/>
      <c r="F37" s="13"/>
      <c r="G37" s="13"/>
      <c r="H37" s="13"/>
      <c r="I37" s="13"/>
      <c r="J37" s="13"/>
      <c r="K37" s="13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x14ac:dyDescent="0.25">
      <c r="A38" s="12"/>
      <c r="B38" s="12"/>
      <c r="C38" s="12" t="s">
        <v>72</v>
      </c>
      <c r="D38" s="12"/>
      <c r="E38" s="13"/>
      <c r="F38" s="13"/>
      <c r="G38" s="13"/>
      <c r="H38" s="13"/>
      <c r="I38" s="13"/>
      <c r="J38" s="13"/>
      <c r="K38" s="13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x14ac:dyDescent="0.25">
      <c r="A39" s="12" t="s">
        <v>73</v>
      </c>
      <c r="B39" s="12"/>
      <c r="C39" s="12" t="s">
        <v>74</v>
      </c>
      <c r="D39" s="12"/>
      <c r="E39" s="13"/>
      <c r="F39" s="13"/>
      <c r="G39" s="13"/>
      <c r="H39" s="13"/>
      <c r="I39" s="13"/>
      <c r="J39" s="13"/>
      <c r="K39" s="13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x14ac:dyDescent="0.25">
      <c r="A40" s="12" t="s">
        <v>75</v>
      </c>
      <c r="B40" s="12"/>
      <c r="C40" s="12" t="s">
        <v>76</v>
      </c>
      <c r="D40" s="12"/>
      <c r="E40" s="13"/>
      <c r="F40" s="13"/>
      <c r="G40" s="13"/>
      <c r="H40" s="13"/>
      <c r="I40" s="13"/>
      <c r="J40" s="13"/>
      <c r="K40" s="13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x14ac:dyDescent="0.25">
      <c r="A41" s="12"/>
      <c r="B41" s="12"/>
      <c r="C41" s="12"/>
      <c r="D41" s="12"/>
      <c r="E41" s="13"/>
      <c r="F41" s="13"/>
      <c r="G41" s="13"/>
      <c r="H41" s="13"/>
      <c r="I41" s="13"/>
      <c r="J41" s="13"/>
      <c r="K41" s="13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</sheetData>
  <printOptions horizontalCentered="1"/>
  <pageMargins left="0" right="0" top="0.75" bottom="0.75" header="0.3" footer="0.3"/>
  <pageSetup scale="59" orientation="landscape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D6956-8395-4AA6-940B-F770C06867BB}">
  <dimension ref="A1:J31"/>
  <sheetViews>
    <sheetView showGridLines="0" topLeftCell="A10" zoomScaleNormal="100" workbookViewId="0">
      <selection activeCell="A28" sqref="A28:J28"/>
    </sheetView>
  </sheetViews>
  <sheetFormatPr defaultRowHeight="15" x14ac:dyDescent="0.25"/>
  <cols>
    <col min="1" max="1" width="12.140625" style="233" customWidth="1"/>
    <col min="2" max="2" width="5.28515625" style="233" customWidth="1"/>
    <col min="3" max="3" width="7.5703125" style="233" customWidth="1"/>
    <col min="4" max="4" width="4.5703125" style="233" customWidth="1"/>
    <col min="5" max="5" width="19" style="233" customWidth="1"/>
    <col min="6" max="6" width="17.42578125" style="233" customWidth="1"/>
    <col min="7" max="7" width="16.7109375" style="233" customWidth="1"/>
    <col min="8" max="8" width="14.42578125" style="233" customWidth="1"/>
    <col min="9" max="9" width="3" style="233" customWidth="1"/>
    <col min="10" max="10" width="22.140625" style="233" customWidth="1"/>
    <col min="11" max="16384" width="9.140625" style="233"/>
  </cols>
  <sheetData>
    <row r="1" spans="1:10" x14ac:dyDescent="0.25">
      <c r="A1" s="244"/>
      <c r="B1" s="244"/>
      <c r="C1" s="244"/>
      <c r="D1" s="244"/>
      <c r="E1" s="244"/>
      <c r="F1" s="244"/>
      <c r="G1" s="244"/>
      <c r="H1" s="244"/>
      <c r="I1" s="244" t="s">
        <v>0</v>
      </c>
      <c r="J1" s="244"/>
    </row>
    <row r="2" spans="1:10" x14ac:dyDescent="0.25">
      <c r="A2" s="256" t="s">
        <v>1</v>
      </c>
      <c r="B2" s="256"/>
      <c r="C2" s="256"/>
      <c r="D2" s="256"/>
      <c r="E2" s="256"/>
      <c r="F2" s="256"/>
      <c r="G2" s="256"/>
      <c r="H2" s="256"/>
      <c r="I2" s="256"/>
      <c r="J2" s="256"/>
    </row>
    <row r="3" spans="1:10" x14ac:dyDescent="0.25">
      <c r="A3" s="256" t="s">
        <v>2</v>
      </c>
      <c r="B3" s="256"/>
      <c r="C3" s="256"/>
      <c r="D3" s="256"/>
      <c r="E3" s="256"/>
      <c r="F3" s="256"/>
      <c r="G3" s="256"/>
      <c r="H3" s="256"/>
      <c r="I3" s="256"/>
      <c r="J3" s="256"/>
    </row>
    <row r="4" spans="1:10" x14ac:dyDescent="0.25">
      <c r="A4" s="256" t="s">
        <v>116</v>
      </c>
      <c r="B4" s="256"/>
      <c r="C4" s="256"/>
      <c r="D4" s="256"/>
      <c r="E4" s="256"/>
      <c r="F4" s="256"/>
      <c r="G4" s="256"/>
      <c r="H4" s="256"/>
      <c r="I4" s="256"/>
      <c r="J4" s="256"/>
    </row>
    <row r="5" spans="1:10" x14ac:dyDescent="0.25">
      <c r="A5" s="256" t="s">
        <v>3</v>
      </c>
      <c r="B5" s="256"/>
      <c r="C5" s="256"/>
      <c r="D5" s="256"/>
      <c r="E5" s="256"/>
      <c r="F5" s="256"/>
      <c r="G5" s="256"/>
      <c r="H5" s="256"/>
      <c r="I5" s="256"/>
      <c r="J5" s="256"/>
    </row>
    <row r="6" spans="1:10" x14ac:dyDescent="0.25">
      <c r="A6" s="256" t="s">
        <v>4</v>
      </c>
      <c r="B6" s="256"/>
      <c r="C6" s="256"/>
      <c r="D6" s="256"/>
      <c r="E6" s="256"/>
      <c r="F6" s="256"/>
      <c r="G6" s="256"/>
      <c r="H6" s="256"/>
      <c r="I6" s="256"/>
      <c r="J6" s="256"/>
    </row>
    <row r="7" spans="1:10" x14ac:dyDescent="0.25">
      <c r="A7" s="254" t="s">
        <v>5</v>
      </c>
      <c r="B7" s="254"/>
      <c r="C7" s="255" t="s">
        <v>115</v>
      </c>
      <c r="D7" s="255"/>
      <c r="E7" s="255"/>
      <c r="F7" s="255"/>
      <c r="G7" s="255"/>
      <c r="H7" s="255"/>
      <c r="I7" s="244"/>
      <c r="J7" s="244"/>
    </row>
    <row r="8" spans="1:10" x14ac:dyDescent="0.25">
      <c r="A8" s="254" t="s">
        <v>7</v>
      </c>
      <c r="B8" s="254"/>
      <c r="C8" s="255" t="s">
        <v>114</v>
      </c>
      <c r="D8" s="255"/>
      <c r="E8" s="255"/>
      <c r="F8" s="255"/>
      <c r="G8" s="255"/>
      <c r="H8" s="255"/>
      <c r="I8" s="244"/>
      <c r="J8" s="244"/>
    </row>
    <row r="9" spans="1:10" x14ac:dyDescent="0.25">
      <c r="A9" s="254"/>
      <c r="B9" s="254"/>
      <c r="C9" s="253"/>
      <c r="D9" s="253"/>
      <c r="E9" s="253"/>
      <c r="F9" s="253"/>
      <c r="G9" s="253"/>
      <c r="H9" s="253"/>
      <c r="I9" s="244"/>
      <c r="J9" s="244"/>
    </row>
    <row r="10" spans="1:10" x14ac:dyDescent="0.25">
      <c r="A10" s="244"/>
      <c r="B10" s="244"/>
      <c r="C10" s="244"/>
      <c r="D10" s="244"/>
      <c r="E10" s="244"/>
      <c r="F10" s="244"/>
      <c r="G10" s="244"/>
      <c r="H10" s="244"/>
      <c r="I10" s="244"/>
      <c r="J10" s="244"/>
    </row>
    <row r="11" spans="1:10" x14ac:dyDescent="0.25">
      <c r="A11" s="235"/>
      <c r="B11" s="235"/>
      <c r="C11" s="235"/>
      <c r="D11" s="235"/>
      <c r="E11" s="235"/>
      <c r="F11" s="235"/>
      <c r="G11" s="235"/>
      <c r="H11" s="235"/>
      <c r="I11" s="235"/>
      <c r="J11" s="235"/>
    </row>
    <row r="12" spans="1:10" x14ac:dyDescent="0.25">
      <c r="A12" s="252" t="s">
        <v>8</v>
      </c>
      <c r="B12" s="252"/>
      <c r="C12" s="252"/>
      <c r="D12" s="252"/>
      <c r="E12" s="252"/>
      <c r="F12" s="252"/>
      <c r="G12" s="252"/>
      <c r="H12" s="252"/>
      <c r="I12" s="252"/>
      <c r="J12" s="252"/>
    </row>
    <row r="13" spans="1:10" x14ac:dyDescent="0.25">
      <c r="A13" s="235"/>
      <c r="B13" s="235"/>
      <c r="C13" s="235"/>
      <c r="D13" s="235"/>
      <c r="E13" s="235"/>
      <c r="F13" s="235"/>
      <c r="G13" s="235"/>
      <c r="H13" s="235"/>
      <c r="I13" s="235"/>
      <c r="J13" s="235"/>
    </row>
    <row r="14" spans="1:10" ht="24.75" customHeight="1" x14ac:dyDescent="0.25">
      <c r="A14" s="251" t="s">
        <v>9</v>
      </c>
      <c r="B14" s="251"/>
      <c r="C14" s="251"/>
      <c r="D14" s="251"/>
      <c r="E14" s="251"/>
      <c r="F14" s="249" t="s">
        <v>10</v>
      </c>
      <c r="G14" s="249" t="s">
        <v>11</v>
      </c>
      <c r="H14" s="250" t="s">
        <v>12</v>
      </c>
      <c r="I14" s="250"/>
      <c r="J14" s="249" t="s">
        <v>13</v>
      </c>
    </row>
    <row r="15" spans="1:10" ht="17.25" customHeight="1" x14ac:dyDescent="0.25">
      <c r="A15" s="248" t="s">
        <v>14</v>
      </c>
      <c r="B15" s="248"/>
      <c r="C15" s="248"/>
      <c r="D15" s="248"/>
      <c r="E15" s="248"/>
      <c r="F15" s="248"/>
      <c r="G15" s="248"/>
      <c r="H15" s="248"/>
      <c r="I15" s="248"/>
      <c r="J15" s="248"/>
    </row>
    <row r="16" spans="1:10" x14ac:dyDescent="0.25">
      <c r="A16" s="244" t="s">
        <v>15</v>
      </c>
      <c r="B16" s="244"/>
      <c r="C16" s="244"/>
      <c r="D16" s="244"/>
      <c r="E16" s="244"/>
      <c r="F16" s="241">
        <v>42437509.609999999</v>
      </c>
      <c r="G16" s="241">
        <v>0</v>
      </c>
      <c r="H16" s="243">
        <v>0</v>
      </c>
      <c r="I16" s="243"/>
      <c r="J16" s="241">
        <f>F16+G16-H16</f>
        <v>42437509.609999999</v>
      </c>
    </row>
    <row r="17" spans="1:10" x14ac:dyDescent="0.25">
      <c r="A17" s="244" t="s">
        <v>16</v>
      </c>
      <c r="B17" s="244"/>
      <c r="C17" s="244"/>
      <c r="D17" s="244"/>
      <c r="E17" s="244"/>
      <c r="F17" s="241">
        <v>0</v>
      </c>
      <c r="G17" s="241">
        <v>0</v>
      </c>
      <c r="H17" s="243">
        <v>0</v>
      </c>
      <c r="I17" s="243"/>
      <c r="J17" s="241">
        <f>F17+G17-H17</f>
        <v>0</v>
      </c>
    </row>
    <row r="18" spans="1:10" x14ac:dyDescent="0.25">
      <c r="A18" s="247" t="s">
        <v>97</v>
      </c>
      <c r="B18" s="247"/>
      <c r="C18" s="247"/>
      <c r="D18" s="247"/>
      <c r="E18" s="247"/>
      <c r="F18" s="241">
        <v>303697.68</v>
      </c>
      <c r="G18" s="241"/>
      <c r="H18" s="241"/>
      <c r="I18" s="241"/>
      <c r="J18" s="241">
        <f>F18+G18-H18</f>
        <v>303697.68</v>
      </c>
    </row>
    <row r="19" spans="1:10" x14ac:dyDescent="0.25">
      <c r="A19" s="246"/>
      <c r="B19" s="246"/>
      <c r="C19" s="246"/>
      <c r="D19" s="246"/>
      <c r="E19" s="246"/>
      <c r="F19" s="246"/>
      <c r="G19" s="246"/>
      <c r="H19" s="246"/>
      <c r="I19" s="246"/>
      <c r="J19" s="246"/>
    </row>
    <row r="20" spans="1:10" x14ac:dyDescent="0.25">
      <c r="A20" s="245" t="s">
        <v>17</v>
      </c>
      <c r="B20" s="245"/>
      <c r="C20" s="245"/>
      <c r="D20" s="245"/>
      <c r="E20" s="245"/>
      <c r="F20" s="245"/>
      <c r="G20" s="245"/>
      <c r="H20" s="245"/>
      <c r="I20" s="245"/>
      <c r="J20" s="245"/>
    </row>
    <row r="21" spans="1:10" x14ac:dyDescent="0.25">
      <c r="A21" s="244" t="s">
        <v>18</v>
      </c>
      <c r="B21" s="244"/>
      <c r="C21" s="244"/>
      <c r="D21" s="244"/>
      <c r="E21" s="244"/>
      <c r="F21" s="241">
        <v>0</v>
      </c>
      <c r="G21" s="241">
        <v>0</v>
      </c>
      <c r="H21" s="243">
        <v>0</v>
      </c>
      <c r="I21" s="243"/>
      <c r="J21" s="241">
        <f>F21+G21-H21</f>
        <v>0</v>
      </c>
    </row>
    <row r="22" spans="1:10" x14ac:dyDescent="0.25">
      <c r="A22" s="244" t="s">
        <v>19</v>
      </c>
      <c r="B22" s="244"/>
      <c r="C22" s="244"/>
      <c r="D22" s="244"/>
      <c r="E22" s="244"/>
      <c r="F22" s="241">
        <v>0</v>
      </c>
      <c r="G22" s="241">
        <v>0</v>
      </c>
      <c r="H22" s="243">
        <v>0</v>
      </c>
      <c r="I22" s="243"/>
      <c r="J22" s="241">
        <f>F22+G22-H22</f>
        <v>0</v>
      </c>
    </row>
    <row r="23" spans="1:10" x14ac:dyDescent="0.25">
      <c r="A23" s="244" t="s">
        <v>20</v>
      </c>
      <c r="B23" s="244"/>
      <c r="C23" s="244"/>
      <c r="D23" s="244"/>
      <c r="E23" s="244"/>
      <c r="F23" s="241">
        <v>245999</v>
      </c>
      <c r="G23" s="241">
        <v>0</v>
      </c>
      <c r="H23" s="243">
        <v>0</v>
      </c>
      <c r="I23" s="243"/>
      <c r="J23" s="241">
        <f>F23+G23-H23</f>
        <v>245999</v>
      </c>
    </row>
    <row r="24" spans="1:10" x14ac:dyDescent="0.25">
      <c r="A24" s="242"/>
      <c r="B24" s="242"/>
      <c r="C24" s="242"/>
      <c r="D24" s="242"/>
      <c r="E24" s="242"/>
      <c r="F24" s="241"/>
      <c r="G24" s="241"/>
      <c r="H24" s="241"/>
      <c r="I24" s="241"/>
      <c r="J24" s="241"/>
    </row>
    <row r="25" spans="1:10" ht="15.75" customHeight="1" x14ac:dyDescent="0.25">
      <c r="A25" s="240"/>
      <c r="B25" s="240"/>
      <c r="C25" s="240"/>
      <c r="D25" s="240"/>
      <c r="E25" s="240"/>
      <c r="F25" s="239"/>
      <c r="G25" s="239"/>
      <c r="H25" s="239"/>
      <c r="I25" s="239"/>
      <c r="J25" s="239"/>
    </row>
    <row r="26" spans="1:10" x14ac:dyDescent="0.25">
      <c r="A26" s="238" t="s">
        <v>7</v>
      </c>
      <c r="B26" s="237">
        <v>6052001</v>
      </c>
      <c r="C26" s="237"/>
      <c r="D26" s="237"/>
      <c r="E26" s="236">
        <f>SUM(F16:F23)</f>
        <v>42987206.289999999</v>
      </c>
      <c r="F26" s="236"/>
      <c r="G26" s="236">
        <v>0</v>
      </c>
      <c r="H26" s="236">
        <f>SUM(I16:I23)</f>
        <v>0</v>
      </c>
      <c r="I26" s="236"/>
      <c r="J26" s="236">
        <f>SUM(J16:J25)</f>
        <v>42987206.289999999</v>
      </c>
    </row>
    <row r="27" spans="1:10" x14ac:dyDescent="0.25">
      <c r="A27" s="238"/>
      <c r="B27" s="237"/>
      <c r="C27" s="237"/>
      <c r="D27" s="237"/>
      <c r="E27" s="236"/>
      <c r="F27" s="236"/>
      <c r="G27" s="236"/>
      <c r="H27" s="236"/>
      <c r="I27" s="236"/>
      <c r="J27" s="236"/>
    </row>
    <row r="28" spans="1:10" x14ac:dyDescent="0.25">
      <c r="A28" s="235"/>
      <c r="B28" s="235"/>
      <c r="C28" s="235"/>
      <c r="D28" s="235"/>
      <c r="E28" s="235"/>
      <c r="F28" s="235"/>
      <c r="G28" s="235"/>
      <c r="H28" s="235"/>
      <c r="I28" s="235"/>
      <c r="J28" s="235"/>
    </row>
    <row r="29" spans="1:10" x14ac:dyDescent="0.25">
      <c r="A29" s="235"/>
      <c r="B29" s="235"/>
      <c r="C29" s="235"/>
      <c r="D29" s="235"/>
      <c r="E29" s="235"/>
      <c r="F29" s="235"/>
      <c r="G29" s="235"/>
      <c r="H29" s="235"/>
      <c r="I29" s="235"/>
      <c r="J29" s="235"/>
    </row>
    <row r="30" spans="1:10" x14ac:dyDescent="0.25">
      <c r="A30" s="235"/>
      <c r="B30" s="235"/>
      <c r="C30" s="235"/>
      <c r="D30" s="235"/>
      <c r="E30" s="235"/>
      <c r="F30" s="235"/>
      <c r="G30" s="235"/>
      <c r="H30" s="235"/>
      <c r="I30" s="235"/>
      <c r="J30" s="235"/>
    </row>
    <row r="31" spans="1:10" x14ac:dyDescent="0.25">
      <c r="A31" s="234"/>
      <c r="B31" s="234"/>
      <c r="C31" s="234"/>
      <c r="D31" s="234"/>
      <c r="E31" s="234"/>
      <c r="F31" s="234"/>
      <c r="G31" s="234"/>
      <c r="H31" s="234"/>
      <c r="I31" s="234"/>
      <c r="J31" s="234"/>
    </row>
  </sheetData>
  <mergeCells count="46">
    <mergeCell ref="A28:J28"/>
    <mergeCell ref="A29:J29"/>
    <mergeCell ref="A30:J30"/>
    <mergeCell ref="A31:J31"/>
    <mergeCell ref="B26:D26"/>
    <mergeCell ref="E26:F27"/>
    <mergeCell ref="G26:G27"/>
    <mergeCell ref="H26:I27"/>
    <mergeCell ref="J26:J27"/>
    <mergeCell ref="B27:D27"/>
    <mergeCell ref="A16:E16"/>
    <mergeCell ref="H16:I16"/>
    <mergeCell ref="A22:E22"/>
    <mergeCell ref="H22:I22"/>
    <mergeCell ref="A23:E23"/>
    <mergeCell ref="H23:I23"/>
    <mergeCell ref="A11:J11"/>
    <mergeCell ref="A12:J12"/>
    <mergeCell ref="A17:E17"/>
    <mergeCell ref="H17:I17"/>
    <mergeCell ref="A21:E21"/>
    <mergeCell ref="H21:I21"/>
    <mergeCell ref="A13:J13"/>
    <mergeCell ref="A14:E14"/>
    <mergeCell ref="H14:I14"/>
    <mergeCell ref="A15:J15"/>
    <mergeCell ref="A9:B9"/>
    <mergeCell ref="C9:H9"/>
    <mergeCell ref="I9:J9"/>
    <mergeCell ref="A10:B10"/>
    <mergeCell ref="C10:H10"/>
    <mergeCell ref="I10:J10"/>
    <mergeCell ref="A5:J5"/>
    <mergeCell ref="A6:J6"/>
    <mergeCell ref="A7:B7"/>
    <mergeCell ref="C7:H7"/>
    <mergeCell ref="I7:J7"/>
    <mergeCell ref="A8:B8"/>
    <mergeCell ref="C8:H8"/>
    <mergeCell ref="I8:J8"/>
    <mergeCell ref="A1:C1"/>
    <mergeCell ref="D1:H1"/>
    <mergeCell ref="I1:J1"/>
    <mergeCell ref="A2:J2"/>
    <mergeCell ref="A3:J3"/>
    <mergeCell ref="A4:J4"/>
  </mergeCells>
  <pageMargins left="0.7" right="0.7" top="0.75" bottom="0.75" header="0.3" footer="0.3"/>
  <pageSetup scale="98" orientation="landscape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9F67B-9FB3-4342-AAB0-ABE8BF4D9353}">
  <dimension ref="A1:J31"/>
  <sheetViews>
    <sheetView showGridLines="0" zoomScaleNormal="100" workbookViewId="0">
      <selection activeCell="A30" sqref="A30:J30"/>
    </sheetView>
  </sheetViews>
  <sheetFormatPr defaultRowHeight="15" x14ac:dyDescent="0.25"/>
  <cols>
    <col min="1" max="1" width="12.7109375" style="233" customWidth="1"/>
    <col min="2" max="2" width="5.28515625" style="233" customWidth="1"/>
    <col min="3" max="3" width="7.5703125" style="233" customWidth="1"/>
    <col min="4" max="4" width="4.5703125" style="233" customWidth="1"/>
    <col min="5" max="5" width="19" style="233" customWidth="1"/>
    <col min="6" max="6" width="17.42578125" style="233" customWidth="1"/>
    <col min="7" max="7" width="16.7109375" style="233" customWidth="1"/>
    <col min="8" max="8" width="14.42578125" style="233" customWidth="1"/>
    <col min="9" max="9" width="3" style="233" customWidth="1"/>
    <col min="10" max="10" width="22.140625" style="233" customWidth="1"/>
    <col min="11" max="16384" width="9.140625" style="233"/>
  </cols>
  <sheetData>
    <row r="1" spans="1:10" x14ac:dyDescent="0.25">
      <c r="A1" s="244"/>
      <c r="B1" s="244"/>
      <c r="C1" s="244"/>
      <c r="D1" s="244"/>
      <c r="E1" s="244"/>
      <c r="F1" s="244"/>
      <c r="G1" s="244"/>
      <c r="H1" s="244"/>
      <c r="I1" s="244" t="s">
        <v>0</v>
      </c>
      <c r="J1" s="244"/>
    </row>
    <row r="2" spans="1:10" x14ac:dyDescent="0.25">
      <c r="A2" s="256" t="s">
        <v>1</v>
      </c>
      <c r="B2" s="256"/>
      <c r="C2" s="256"/>
      <c r="D2" s="256"/>
      <c r="E2" s="256"/>
      <c r="F2" s="256"/>
      <c r="G2" s="256"/>
      <c r="H2" s="256"/>
      <c r="I2" s="256"/>
      <c r="J2" s="256"/>
    </row>
    <row r="3" spans="1:10" x14ac:dyDescent="0.25">
      <c r="A3" s="256" t="s">
        <v>89</v>
      </c>
      <c r="B3" s="256"/>
      <c r="C3" s="256"/>
      <c r="D3" s="256"/>
      <c r="E3" s="256"/>
      <c r="F3" s="256"/>
      <c r="G3" s="256"/>
      <c r="H3" s="256"/>
      <c r="I3" s="256"/>
      <c r="J3" s="256"/>
    </row>
    <row r="4" spans="1:10" x14ac:dyDescent="0.25">
      <c r="A4" s="256" t="s">
        <v>120</v>
      </c>
      <c r="B4" s="256"/>
      <c r="C4" s="256"/>
      <c r="D4" s="256"/>
      <c r="E4" s="256"/>
      <c r="F4" s="256"/>
      <c r="G4" s="256"/>
      <c r="H4" s="256"/>
      <c r="I4" s="256"/>
      <c r="J4" s="256"/>
    </row>
    <row r="5" spans="1:10" x14ac:dyDescent="0.25">
      <c r="A5" s="256" t="s">
        <v>3</v>
      </c>
      <c r="B5" s="256"/>
      <c r="C5" s="256"/>
      <c r="D5" s="256"/>
      <c r="E5" s="256"/>
      <c r="F5" s="256"/>
      <c r="G5" s="256"/>
      <c r="H5" s="256"/>
      <c r="I5" s="256"/>
      <c r="J5" s="256"/>
    </row>
    <row r="6" spans="1:10" x14ac:dyDescent="0.25">
      <c r="A6" s="256" t="s">
        <v>4</v>
      </c>
      <c r="B6" s="256"/>
      <c r="C6" s="256"/>
      <c r="D6" s="256"/>
      <c r="E6" s="256"/>
      <c r="F6" s="256"/>
      <c r="G6" s="256"/>
      <c r="H6" s="256"/>
      <c r="I6" s="256"/>
      <c r="J6" s="256"/>
    </row>
    <row r="7" spans="1:10" x14ac:dyDescent="0.25">
      <c r="A7" s="254" t="s">
        <v>5</v>
      </c>
      <c r="B7" s="254"/>
      <c r="C7" s="255" t="s">
        <v>6</v>
      </c>
      <c r="D7" s="255"/>
      <c r="E7" s="255"/>
      <c r="F7" s="255"/>
      <c r="G7" s="255"/>
      <c r="H7" s="255"/>
      <c r="I7" s="254" t="s">
        <v>119</v>
      </c>
      <c r="J7" s="244"/>
    </row>
    <row r="8" spans="1:10" x14ac:dyDescent="0.25">
      <c r="A8" s="254" t="s">
        <v>7</v>
      </c>
      <c r="B8" s="254"/>
      <c r="C8" s="255" t="s">
        <v>118</v>
      </c>
      <c r="D8" s="255"/>
      <c r="E8" s="255"/>
      <c r="F8" s="255"/>
      <c r="G8" s="255"/>
      <c r="H8" s="255"/>
      <c r="I8" s="255" t="s">
        <v>100</v>
      </c>
      <c r="J8" s="244"/>
    </row>
    <row r="9" spans="1:10" x14ac:dyDescent="0.25">
      <c r="A9" s="254"/>
      <c r="B9" s="254"/>
      <c r="C9" s="253"/>
      <c r="D9" s="253"/>
      <c r="E9" s="253"/>
      <c r="F9" s="253"/>
      <c r="G9" s="253"/>
      <c r="H9" s="253"/>
      <c r="I9" s="255" t="s">
        <v>84</v>
      </c>
      <c r="J9" s="244"/>
    </row>
    <row r="10" spans="1:10" x14ac:dyDescent="0.25">
      <c r="A10" s="244"/>
      <c r="B10" s="244"/>
      <c r="C10" s="244"/>
      <c r="D10" s="244"/>
      <c r="E10" s="244"/>
      <c r="F10" s="244"/>
      <c r="G10" s="244"/>
      <c r="H10" s="244"/>
      <c r="I10" s="244"/>
      <c r="J10" s="244"/>
    </row>
    <row r="11" spans="1:10" x14ac:dyDescent="0.25">
      <c r="A11" s="235"/>
      <c r="B11" s="235"/>
      <c r="C11" s="235"/>
      <c r="D11" s="235"/>
      <c r="E11" s="235"/>
      <c r="F11" s="235"/>
      <c r="G11" s="235"/>
      <c r="H11" s="235"/>
      <c r="I11" s="235"/>
      <c r="J11" s="235"/>
    </row>
    <row r="12" spans="1:10" x14ac:dyDescent="0.25">
      <c r="A12" s="252" t="s">
        <v>8</v>
      </c>
      <c r="B12" s="252"/>
      <c r="C12" s="252"/>
      <c r="D12" s="252"/>
      <c r="E12" s="252"/>
      <c r="F12" s="252"/>
      <c r="G12" s="252"/>
      <c r="H12" s="252"/>
      <c r="I12" s="252"/>
      <c r="J12" s="252"/>
    </row>
    <row r="13" spans="1:10" x14ac:dyDescent="0.25">
      <c r="A13" s="235"/>
      <c r="B13" s="235"/>
      <c r="C13" s="235"/>
      <c r="D13" s="235"/>
      <c r="E13" s="235"/>
      <c r="F13" s="235"/>
      <c r="G13" s="235"/>
      <c r="H13" s="235"/>
      <c r="I13" s="235"/>
      <c r="J13" s="235"/>
    </row>
    <row r="14" spans="1:10" ht="24.75" customHeight="1" x14ac:dyDescent="0.25">
      <c r="A14" s="251" t="s">
        <v>9</v>
      </c>
      <c r="B14" s="251"/>
      <c r="C14" s="251"/>
      <c r="D14" s="251"/>
      <c r="E14" s="251"/>
      <c r="F14" s="249" t="s">
        <v>10</v>
      </c>
      <c r="G14" s="249" t="s">
        <v>11</v>
      </c>
      <c r="H14" s="250" t="s">
        <v>12</v>
      </c>
      <c r="I14" s="250"/>
      <c r="J14" s="249" t="s">
        <v>13</v>
      </c>
    </row>
    <row r="15" spans="1:10" ht="17.25" customHeight="1" x14ac:dyDescent="0.25">
      <c r="A15" s="248" t="s">
        <v>14</v>
      </c>
      <c r="B15" s="248"/>
      <c r="C15" s="248"/>
      <c r="D15" s="248"/>
      <c r="E15" s="248"/>
      <c r="F15" s="248"/>
      <c r="G15" s="248"/>
      <c r="H15" s="248"/>
      <c r="I15" s="248"/>
      <c r="J15" s="248"/>
    </row>
    <row r="16" spans="1:10" x14ac:dyDescent="0.25">
      <c r="A16" s="244" t="s">
        <v>15</v>
      </c>
      <c r="B16" s="244"/>
      <c r="C16" s="244"/>
      <c r="D16" s="244"/>
      <c r="E16" s="244"/>
      <c r="F16" s="241">
        <v>0</v>
      </c>
      <c r="G16" s="241">
        <v>0</v>
      </c>
      <c r="H16" s="243">
        <v>0</v>
      </c>
      <c r="I16" s="243"/>
      <c r="J16" s="241">
        <f>F16+G16-H16</f>
        <v>0</v>
      </c>
    </row>
    <row r="17" spans="1:10" x14ac:dyDescent="0.25">
      <c r="A17" s="247" t="s">
        <v>97</v>
      </c>
      <c r="B17" s="242"/>
      <c r="C17" s="242"/>
      <c r="D17" s="242"/>
      <c r="E17" s="242"/>
      <c r="F17" s="241">
        <v>99691.74</v>
      </c>
      <c r="G17" s="241">
        <v>0</v>
      </c>
      <c r="H17" s="243">
        <v>0</v>
      </c>
      <c r="I17" s="243"/>
      <c r="J17" s="241">
        <f>F17+G17-H17</f>
        <v>99691.74</v>
      </c>
    </row>
    <row r="18" spans="1:10" x14ac:dyDescent="0.25">
      <c r="A18" s="244" t="s">
        <v>16</v>
      </c>
      <c r="B18" s="244"/>
      <c r="C18" s="244"/>
      <c r="D18" s="244"/>
      <c r="E18" s="244"/>
      <c r="F18" s="241">
        <v>0</v>
      </c>
      <c r="G18" s="241">
        <v>0</v>
      </c>
      <c r="H18" s="243">
        <v>0</v>
      </c>
      <c r="I18" s="243"/>
      <c r="J18" s="241">
        <f>F18+G18-H18</f>
        <v>0</v>
      </c>
    </row>
    <row r="19" spans="1:10" x14ac:dyDescent="0.25">
      <c r="A19" s="246"/>
      <c r="B19" s="246"/>
      <c r="C19" s="246"/>
      <c r="D19" s="246"/>
      <c r="E19" s="246"/>
      <c r="F19" s="246"/>
      <c r="G19" s="246"/>
      <c r="H19" s="246"/>
      <c r="I19" s="246"/>
      <c r="J19" s="246"/>
    </row>
    <row r="20" spans="1:10" x14ac:dyDescent="0.25">
      <c r="A20" s="245" t="s">
        <v>17</v>
      </c>
      <c r="B20" s="245"/>
      <c r="C20" s="245"/>
      <c r="D20" s="245"/>
      <c r="E20" s="245"/>
      <c r="F20" s="245"/>
      <c r="G20" s="245"/>
      <c r="H20" s="245"/>
      <c r="I20" s="245"/>
      <c r="J20" s="245"/>
    </row>
    <row r="21" spans="1:10" x14ac:dyDescent="0.25">
      <c r="A21" s="244" t="s">
        <v>117</v>
      </c>
      <c r="B21" s="244"/>
      <c r="C21" s="244"/>
      <c r="D21" s="244"/>
      <c r="E21" s="244"/>
      <c r="F21" s="241">
        <v>743070.72041434725</v>
      </c>
      <c r="G21" s="241">
        <v>0</v>
      </c>
      <c r="H21" s="243">
        <v>0</v>
      </c>
      <c r="I21" s="243"/>
      <c r="J21" s="241">
        <f>F21+G21-H21</f>
        <v>743070.72041434725</v>
      </c>
    </row>
    <row r="22" spans="1:10" x14ac:dyDescent="0.25">
      <c r="A22" s="244" t="s">
        <v>96</v>
      </c>
      <c r="B22" s="244"/>
      <c r="C22" s="244"/>
      <c r="D22" s="244"/>
      <c r="E22" s="244"/>
      <c r="F22" s="241">
        <v>87001.415817834553</v>
      </c>
      <c r="G22" s="241">
        <v>8691.2877984104143</v>
      </c>
      <c r="H22" s="243">
        <v>6783.24</v>
      </c>
      <c r="I22" s="243"/>
      <c r="J22" s="241">
        <f>F22+G22-H22</f>
        <v>88909.463616244961</v>
      </c>
    </row>
    <row r="23" spans="1:10" x14ac:dyDescent="0.25">
      <c r="A23" s="244" t="s">
        <v>20</v>
      </c>
      <c r="B23" s="244"/>
      <c r="C23" s="244"/>
      <c r="D23" s="244"/>
      <c r="E23" s="244"/>
      <c r="F23" s="241">
        <v>0</v>
      </c>
      <c r="G23" s="241">
        <v>0</v>
      </c>
      <c r="H23" s="243">
        <v>0</v>
      </c>
      <c r="I23" s="243"/>
      <c r="J23" s="241">
        <f>F23+G23-H23</f>
        <v>0</v>
      </c>
    </row>
    <row r="24" spans="1:10" x14ac:dyDescent="0.25">
      <c r="A24" s="242"/>
      <c r="B24" s="242"/>
      <c r="C24" s="242"/>
      <c r="D24" s="242"/>
      <c r="E24" s="242"/>
      <c r="F24" s="241"/>
      <c r="G24" s="241"/>
      <c r="H24" s="241"/>
      <c r="I24" s="241"/>
      <c r="J24" s="241"/>
    </row>
    <row r="25" spans="1:10" ht="15.75" customHeight="1" x14ac:dyDescent="0.25">
      <c r="A25" s="240"/>
      <c r="B25" s="240"/>
      <c r="C25" s="240"/>
      <c r="D25" s="240"/>
      <c r="E25" s="240"/>
      <c r="F25" s="239"/>
      <c r="G25" s="239"/>
      <c r="H25" s="239"/>
      <c r="I25" s="239"/>
      <c r="J25" s="239"/>
    </row>
    <row r="26" spans="1:10" x14ac:dyDescent="0.25">
      <c r="A26" s="238" t="s">
        <v>7</v>
      </c>
      <c r="B26" s="237">
        <v>6083</v>
      </c>
      <c r="C26" s="237"/>
      <c r="D26" s="237"/>
      <c r="E26" s="236">
        <f>SUM(F16:F23)</f>
        <v>929763.87623218179</v>
      </c>
      <c r="F26" s="236"/>
      <c r="G26" s="236">
        <f>SUM(G21:G25)</f>
        <v>8691.2877984104143</v>
      </c>
      <c r="H26" s="236">
        <f>SUM(H21:I25)</f>
        <v>6783.24</v>
      </c>
      <c r="I26" s="236"/>
      <c r="J26" s="236">
        <f>SUM(J16:J23)</f>
        <v>931671.9240305922</v>
      </c>
    </row>
    <row r="27" spans="1:10" x14ac:dyDescent="0.25">
      <c r="A27" s="238"/>
      <c r="B27" s="237"/>
      <c r="C27" s="237"/>
      <c r="D27" s="237"/>
      <c r="E27" s="236"/>
      <c r="F27" s="236"/>
      <c r="G27" s="236"/>
      <c r="H27" s="236"/>
      <c r="I27" s="236"/>
      <c r="J27" s="236"/>
    </row>
    <row r="28" spans="1:10" x14ac:dyDescent="0.25">
      <c r="A28" s="235"/>
      <c r="B28" s="235"/>
      <c r="C28" s="235"/>
      <c r="D28" s="235"/>
      <c r="E28" s="235"/>
      <c r="F28" s="235"/>
      <c r="G28" s="235"/>
      <c r="H28" s="235"/>
      <c r="I28" s="235"/>
      <c r="J28" s="235"/>
    </row>
    <row r="29" spans="1:10" x14ac:dyDescent="0.25">
      <c r="A29" s="235"/>
      <c r="B29" s="235"/>
      <c r="C29" s="235"/>
      <c r="D29" s="235"/>
      <c r="E29" s="235"/>
      <c r="F29" s="235"/>
      <c r="G29" s="235"/>
      <c r="H29" s="235"/>
      <c r="I29" s="235"/>
      <c r="J29" s="235"/>
    </row>
    <row r="30" spans="1:10" x14ac:dyDescent="0.25">
      <c r="A30" s="235"/>
      <c r="B30" s="235"/>
      <c r="C30" s="235"/>
      <c r="D30" s="235"/>
      <c r="E30" s="235"/>
      <c r="F30" s="235"/>
      <c r="G30" s="235"/>
      <c r="H30" s="235"/>
      <c r="I30" s="235"/>
      <c r="J30" s="235"/>
    </row>
    <row r="31" spans="1:10" x14ac:dyDescent="0.25">
      <c r="A31" s="234"/>
      <c r="B31" s="234"/>
      <c r="C31" s="234"/>
      <c r="D31" s="234"/>
      <c r="E31" s="234"/>
      <c r="F31" s="234"/>
      <c r="G31" s="234"/>
      <c r="H31" s="234"/>
      <c r="I31" s="234"/>
      <c r="J31" s="234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H17:I17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22:E22"/>
    <mergeCell ref="H22:I22"/>
    <mergeCell ref="A23:E23"/>
    <mergeCell ref="H23:I23"/>
    <mergeCell ref="A28:J28"/>
    <mergeCell ref="A18:E18"/>
    <mergeCell ref="H18:I18"/>
    <mergeCell ref="A21:E21"/>
    <mergeCell ref="H21:I21"/>
    <mergeCell ref="A29:J29"/>
    <mergeCell ref="A30:J30"/>
    <mergeCell ref="A31:J31"/>
    <mergeCell ref="B26:D26"/>
    <mergeCell ref="E26:F27"/>
    <mergeCell ref="G26:G27"/>
    <mergeCell ref="H26:I27"/>
    <mergeCell ref="J26:J27"/>
    <mergeCell ref="B27:D27"/>
  </mergeCells>
  <pageMargins left="0.7" right="0.7" top="0.75" bottom="0.75" header="0.3" footer="0.3"/>
  <pageSetup scale="98" orientation="landscape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0A712-E013-4F3D-856D-9B486447C90F}">
  <sheetPr>
    <pageSetUpPr fitToPage="1"/>
  </sheetPr>
  <dimension ref="A1:V40"/>
  <sheetViews>
    <sheetView topLeftCell="A9" workbookViewId="0">
      <selection activeCell="I34" sqref="I34"/>
    </sheetView>
  </sheetViews>
  <sheetFormatPr defaultRowHeight="15" x14ac:dyDescent="0.25"/>
  <cols>
    <col min="1" max="1" width="1.7109375" style="102" customWidth="1"/>
    <col min="2" max="2" width="9" style="102" customWidth="1"/>
    <col min="3" max="3" width="44.28515625" style="102" customWidth="1"/>
    <col min="4" max="4" width="1.7109375" style="102" customWidth="1"/>
    <col min="5" max="5" width="15.7109375" style="103" customWidth="1"/>
    <col min="6" max="6" width="1.7109375" style="103" customWidth="1"/>
    <col min="7" max="7" width="15.7109375" style="103" customWidth="1"/>
    <col min="8" max="8" width="1.7109375" style="103" customWidth="1"/>
    <col min="9" max="9" width="15.7109375" style="103" customWidth="1"/>
    <col min="10" max="10" width="1.7109375" style="103" customWidth="1"/>
    <col min="11" max="11" width="15.7109375" style="103" customWidth="1"/>
    <col min="12" max="12" width="1.7109375" style="102" customWidth="1"/>
    <col min="13" max="13" width="15.7109375" style="102" customWidth="1"/>
    <col min="14" max="14" width="1.7109375" style="102" customWidth="1"/>
    <col min="15" max="15" width="15.7109375" style="102" customWidth="1"/>
    <col min="16" max="16" width="1.7109375" style="102" customWidth="1"/>
    <col min="17" max="17" width="15.7109375" style="102" customWidth="1"/>
    <col min="18" max="18" width="1.7109375" style="102" customWidth="1"/>
    <col min="19" max="20" width="15.7109375" style="102" customWidth="1"/>
    <col min="21" max="21" width="1.7109375" style="102" customWidth="1"/>
    <col min="22" max="22" width="15.7109375" style="102" customWidth="1"/>
    <col min="23" max="16384" width="9.140625" style="102"/>
  </cols>
  <sheetData>
    <row r="1" spans="1:22" x14ac:dyDescent="0.25">
      <c r="A1" s="123" t="s">
        <v>89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</row>
    <row r="2" spans="1:22" x14ac:dyDescent="0.25">
      <c r="A2" s="123" t="s">
        <v>22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</row>
    <row r="3" spans="1:22" x14ac:dyDescent="0.25">
      <c r="A3" s="123" t="s">
        <v>23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</row>
    <row r="4" spans="1:22" x14ac:dyDescent="0.25">
      <c r="A4" s="123" t="s">
        <v>120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</row>
    <row r="5" spans="1:22" x14ac:dyDescent="0.25">
      <c r="A5" s="123" t="s">
        <v>24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</row>
    <row r="6" spans="1:22" x14ac:dyDescent="0.25">
      <c r="A6" s="104"/>
      <c r="B6" s="104"/>
      <c r="C6" s="104"/>
      <c r="D6" s="104"/>
      <c r="E6" s="105"/>
      <c r="F6" s="105"/>
      <c r="G6" s="105"/>
      <c r="H6" s="105"/>
      <c r="I6" s="105"/>
      <c r="J6" s="105"/>
      <c r="K6" s="105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</row>
    <row r="7" spans="1:22" ht="15.75" thickBot="1" x14ac:dyDescent="0.3">
      <c r="A7" s="104"/>
      <c r="B7" s="104"/>
      <c r="C7" s="104"/>
      <c r="D7" s="104"/>
      <c r="E7" s="105"/>
      <c r="F7" s="105"/>
      <c r="G7" s="105"/>
      <c r="H7" s="105"/>
      <c r="I7" s="105"/>
      <c r="J7" s="116"/>
      <c r="K7" s="122" t="s">
        <v>25</v>
      </c>
      <c r="L7" s="122"/>
      <c r="M7" s="122"/>
      <c r="N7" s="122"/>
      <c r="O7" s="122"/>
      <c r="P7" s="122"/>
      <c r="Q7" s="122"/>
      <c r="R7" s="122"/>
      <c r="S7" s="122"/>
      <c r="T7" s="122"/>
      <c r="U7" s="104"/>
      <c r="V7" s="104"/>
    </row>
    <row r="8" spans="1:22" x14ac:dyDescent="0.25">
      <c r="A8" s="104"/>
      <c r="B8" s="104"/>
      <c r="C8" s="104"/>
      <c r="D8" s="104"/>
      <c r="E8" s="121" t="s">
        <v>26</v>
      </c>
      <c r="F8" s="118"/>
      <c r="G8" s="121" t="s">
        <v>27</v>
      </c>
      <c r="H8" s="118"/>
      <c r="I8" s="121" t="s">
        <v>28</v>
      </c>
      <c r="J8" s="119"/>
      <c r="K8" s="121" t="s">
        <v>29</v>
      </c>
      <c r="L8" s="104"/>
      <c r="M8" s="121" t="s">
        <v>30</v>
      </c>
      <c r="N8" s="118"/>
      <c r="O8" s="121" t="s">
        <v>31</v>
      </c>
      <c r="P8" s="118"/>
      <c r="Q8" s="121" t="s">
        <v>32</v>
      </c>
      <c r="R8" s="118"/>
      <c r="S8" s="121" t="s">
        <v>33</v>
      </c>
      <c r="T8" s="121" t="s">
        <v>34</v>
      </c>
      <c r="U8" s="118"/>
      <c r="V8" s="121" t="s">
        <v>35</v>
      </c>
    </row>
    <row r="9" spans="1:22" ht="120" x14ac:dyDescent="0.25">
      <c r="A9" s="115"/>
      <c r="B9" s="104"/>
      <c r="C9" s="104"/>
      <c r="D9" s="104"/>
      <c r="E9" s="117" t="s">
        <v>36</v>
      </c>
      <c r="F9" s="118"/>
      <c r="G9" s="117" t="s">
        <v>37</v>
      </c>
      <c r="H9" s="118"/>
      <c r="I9" s="120" t="s">
        <v>38</v>
      </c>
      <c r="J9" s="119"/>
      <c r="K9" s="117" t="s">
        <v>39</v>
      </c>
      <c r="L9" s="118"/>
      <c r="M9" s="117" t="s">
        <v>40</v>
      </c>
      <c r="N9" s="104"/>
      <c r="O9" s="117" t="s">
        <v>41</v>
      </c>
      <c r="P9" s="104"/>
      <c r="Q9" s="117" t="s">
        <v>42</v>
      </c>
      <c r="R9" s="104"/>
      <c r="S9" s="117" t="s">
        <v>43</v>
      </c>
      <c r="T9" s="117" t="s">
        <v>44</v>
      </c>
      <c r="U9" s="104"/>
      <c r="V9" s="117" t="s">
        <v>45</v>
      </c>
    </row>
    <row r="10" spans="1:22" x14ac:dyDescent="0.25">
      <c r="A10" s="104"/>
      <c r="B10" s="104"/>
      <c r="C10" s="104"/>
      <c r="D10" s="104"/>
      <c r="E10" s="105"/>
      <c r="F10" s="105"/>
      <c r="G10" s="105"/>
      <c r="H10" s="105"/>
      <c r="I10" s="105"/>
      <c r="J10" s="116"/>
      <c r="K10" s="105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</row>
    <row r="11" spans="1:22" x14ac:dyDescent="0.25">
      <c r="A11" s="115" t="s">
        <v>14</v>
      </c>
      <c r="B11" s="104"/>
      <c r="C11" s="104"/>
      <c r="D11" s="104"/>
      <c r="E11" s="105"/>
      <c r="F11" s="105"/>
      <c r="G11" s="105"/>
      <c r="H11" s="105"/>
      <c r="I11" s="105"/>
      <c r="J11" s="116"/>
      <c r="K11" s="105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</row>
    <row r="12" spans="1:22" x14ac:dyDescent="0.25">
      <c r="A12" s="104"/>
      <c r="B12" s="104" t="s">
        <v>46</v>
      </c>
      <c r="C12" s="104"/>
      <c r="D12" s="104"/>
      <c r="E12" s="112"/>
      <c r="F12" s="112"/>
      <c r="G12" s="112"/>
      <c r="H12" s="112"/>
      <c r="I12" s="107"/>
      <c r="J12" s="114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07">
        <f>SUM(K12:T12)</f>
        <v>0</v>
      </c>
    </row>
    <row r="13" spans="1:22" x14ac:dyDescent="0.25">
      <c r="A13" s="104"/>
      <c r="B13" s="104" t="s">
        <v>47</v>
      </c>
      <c r="C13" s="104"/>
      <c r="D13" s="104"/>
      <c r="E13" s="112"/>
      <c r="F13" s="112"/>
      <c r="G13" s="112"/>
      <c r="H13" s="112"/>
      <c r="I13" s="107"/>
      <c r="J13" s="114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07">
        <f>SUM(K13:T13)</f>
        <v>0</v>
      </c>
    </row>
    <row r="14" spans="1:22" x14ac:dyDescent="0.25">
      <c r="A14" s="104"/>
      <c r="B14" s="104" t="s">
        <v>48</v>
      </c>
      <c r="C14" s="104"/>
      <c r="D14" s="104"/>
      <c r="E14" s="112"/>
      <c r="F14" s="112"/>
      <c r="G14" s="112"/>
      <c r="H14" s="112"/>
      <c r="I14" s="107"/>
      <c r="J14" s="114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07">
        <f>SUM(K14:T14)</f>
        <v>0</v>
      </c>
    </row>
    <row r="15" spans="1:22" x14ac:dyDescent="0.25">
      <c r="A15" s="104"/>
      <c r="B15" s="104" t="s">
        <v>49</v>
      </c>
      <c r="C15" s="104"/>
      <c r="D15" s="104"/>
      <c r="E15" s="112">
        <v>99691.74</v>
      </c>
      <c r="F15" s="112"/>
      <c r="G15" s="112">
        <v>99691.74</v>
      </c>
      <c r="H15" s="112"/>
      <c r="I15" s="107">
        <f>G15-E15</f>
        <v>0</v>
      </c>
      <c r="J15" s="114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07">
        <f>SUM(K15:T15)</f>
        <v>0</v>
      </c>
    </row>
    <row r="16" spans="1:22" x14ac:dyDescent="0.25">
      <c r="A16" s="104"/>
      <c r="B16" s="104" t="s">
        <v>50</v>
      </c>
      <c r="C16" s="104"/>
      <c r="D16" s="104"/>
      <c r="E16" s="112"/>
      <c r="F16" s="112"/>
      <c r="G16" s="112"/>
      <c r="H16" s="112"/>
      <c r="I16" s="107"/>
      <c r="J16" s="114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07">
        <f>SUM(K16:T16)</f>
        <v>0</v>
      </c>
    </row>
    <row r="17" spans="1:22" x14ac:dyDescent="0.25">
      <c r="A17" s="104"/>
      <c r="B17" s="104" t="s">
        <v>51</v>
      </c>
      <c r="C17" s="104"/>
      <c r="D17" s="104"/>
      <c r="E17" s="112"/>
      <c r="F17" s="112"/>
      <c r="G17" s="112"/>
      <c r="H17" s="112"/>
      <c r="I17" s="107"/>
      <c r="J17" s="114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07">
        <f>SUM(K17:T17)</f>
        <v>0</v>
      </c>
    </row>
    <row r="18" spans="1:22" x14ac:dyDescent="0.25">
      <c r="A18" s="115" t="s">
        <v>17</v>
      </c>
      <c r="B18" s="104"/>
      <c r="C18" s="104"/>
      <c r="D18" s="104"/>
      <c r="E18" s="112"/>
      <c r="F18" s="112"/>
      <c r="G18" s="112"/>
      <c r="H18" s="112"/>
      <c r="I18" s="107"/>
      <c r="J18" s="114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07"/>
    </row>
    <row r="19" spans="1:22" x14ac:dyDescent="0.25">
      <c r="A19" s="104"/>
      <c r="B19" s="104" t="s">
        <v>52</v>
      </c>
      <c r="C19" s="104"/>
      <c r="D19" s="104"/>
      <c r="E19" s="112"/>
      <c r="F19" s="112"/>
      <c r="G19" s="112"/>
      <c r="H19" s="112"/>
      <c r="I19" s="107"/>
      <c r="J19" s="114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07">
        <f>SUM(K19:T19)</f>
        <v>0</v>
      </c>
    </row>
    <row r="20" spans="1:22" x14ac:dyDescent="0.25">
      <c r="A20" s="104"/>
      <c r="B20" s="104" t="s">
        <v>53</v>
      </c>
      <c r="C20" s="104"/>
      <c r="D20" s="104"/>
      <c r="E20" s="112"/>
      <c r="F20" s="112"/>
      <c r="G20" s="112"/>
      <c r="H20" s="112"/>
      <c r="I20" s="107"/>
      <c r="J20" s="114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07">
        <f>SUM(K20:T20)</f>
        <v>0</v>
      </c>
    </row>
    <row r="21" spans="1:22" x14ac:dyDescent="0.25">
      <c r="A21" s="104"/>
      <c r="B21" s="104" t="s">
        <v>54</v>
      </c>
      <c r="C21" s="104"/>
      <c r="D21" s="104"/>
      <c r="E21" s="112"/>
      <c r="F21" s="112"/>
      <c r="G21" s="112"/>
      <c r="H21" s="112"/>
      <c r="I21" s="107"/>
      <c r="J21" s="114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07">
        <f>SUM(K21:T21)</f>
        <v>0</v>
      </c>
    </row>
    <row r="22" spans="1:22" x14ac:dyDescent="0.25">
      <c r="A22" s="104"/>
      <c r="B22" s="104" t="s">
        <v>55</v>
      </c>
      <c r="C22" s="104"/>
      <c r="D22" s="104"/>
      <c r="E22" s="112"/>
      <c r="F22" s="112"/>
      <c r="G22" s="112"/>
      <c r="H22" s="112"/>
      <c r="I22" s="107"/>
      <c r="J22" s="114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07">
        <f>SUM(K22:T22)</f>
        <v>0</v>
      </c>
    </row>
    <row r="23" spans="1:22" x14ac:dyDescent="0.25">
      <c r="A23" s="104"/>
      <c r="B23" s="104" t="s">
        <v>56</v>
      </c>
      <c r="C23" s="104"/>
      <c r="D23" s="104"/>
      <c r="E23" s="112"/>
      <c r="F23" s="112"/>
      <c r="G23" s="112"/>
      <c r="H23" s="112"/>
      <c r="I23" s="107"/>
      <c r="J23" s="114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07">
        <f>SUM(K23:T23)</f>
        <v>0</v>
      </c>
    </row>
    <row r="24" spans="1:22" x14ac:dyDescent="0.25">
      <c r="A24" s="104"/>
      <c r="B24" s="104" t="s">
        <v>57</v>
      </c>
      <c r="C24" s="104"/>
      <c r="D24" s="104"/>
      <c r="E24" s="112">
        <v>1349369.9691679999</v>
      </c>
      <c r="F24" s="112"/>
      <c r="G24" s="112">
        <v>743070.72041434725</v>
      </c>
      <c r="H24" s="112"/>
      <c r="I24" s="107">
        <f>G24-E24</f>
        <v>-606299.24875365268</v>
      </c>
      <c r="J24" s="114"/>
      <c r="K24" s="112"/>
      <c r="L24" s="112"/>
      <c r="M24" s="112"/>
      <c r="N24" s="112"/>
      <c r="O24" s="112"/>
      <c r="P24" s="112"/>
      <c r="Q24" s="112"/>
      <c r="R24" s="112"/>
      <c r="S24" s="112"/>
      <c r="T24" s="112">
        <v>-606299.24875365268</v>
      </c>
      <c r="U24" s="112"/>
      <c r="V24" s="107">
        <f>SUM(K24:T24)</f>
        <v>-606299.24875365268</v>
      </c>
    </row>
    <row r="25" spans="1:22" x14ac:dyDescent="0.25">
      <c r="A25" s="104"/>
      <c r="B25" s="104" t="s">
        <v>59</v>
      </c>
      <c r="C25" s="104"/>
      <c r="D25" s="104"/>
      <c r="E25" s="112">
        <v>157989.13152468367</v>
      </c>
      <c r="F25" s="112"/>
      <c r="G25" s="112">
        <v>87001.415817834553</v>
      </c>
      <c r="H25" s="112"/>
      <c r="I25" s="107">
        <f>G25-E25</f>
        <v>-70987.715706849121</v>
      </c>
      <c r="J25" s="114"/>
      <c r="K25" s="112"/>
      <c r="L25" s="112"/>
      <c r="M25" s="112"/>
      <c r="N25" s="112"/>
      <c r="O25" s="112"/>
      <c r="P25" s="112"/>
      <c r="Q25" s="112"/>
      <c r="R25" s="112"/>
      <c r="S25" s="112">
        <v>-70987.715706849121</v>
      </c>
      <c r="T25" s="112"/>
      <c r="U25" s="112"/>
      <c r="V25" s="107">
        <f>SUM(K25:T25)</f>
        <v>-70987.715706849121</v>
      </c>
    </row>
    <row r="26" spans="1:22" x14ac:dyDescent="0.25">
      <c r="A26" s="104"/>
      <c r="B26" s="104" t="s">
        <v>60</v>
      </c>
      <c r="C26" s="104"/>
      <c r="D26" s="104"/>
      <c r="E26" s="112"/>
      <c r="F26" s="112"/>
      <c r="G26" s="112"/>
      <c r="H26" s="112"/>
      <c r="I26" s="107"/>
      <c r="J26" s="114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07">
        <f>SUM(K26:T26)</f>
        <v>0</v>
      </c>
    </row>
    <row r="27" spans="1:22" x14ac:dyDescent="0.25">
      <c r="A27" s="104"/>
      <c r="B27" s="104" t="s">
        <v>61</v>
      </c>
      <c r="C27" s="104"/>
      <c r="D27" s="104"/>
      <c r="E27" s="112"/>
      <c r="F27" s="112"/>
      <c r="G27" s="112"/>
      <c r="H27" s="112"/>
      <c r="I27" s="107"/>
      <c r="J27" s="114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07">
        <f>SUM(K27:T27)</f>
        <v>0</v>
      </c>
    </row>
    <row r="28" spans="1:22" x14ac:dyDescent="0.25">
      <c r="A28" s="104"/>
      <c r="B28" s="104" t="s">
        <v>62</v>
      </c>
      <c r="C28" s="104"/>
      <c r="D28" s="104"/>
      <c r="E28" s="112"/>
      <c r="F28" s="112"/>
      <c r="G28" s="112"/>
      <c r="H28" s="112"/>
      <c r="I28" s="107"/>
      <c r="J28" s="114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07">
        <f>SUM(K28:T28)</f>
        <v>0</v>
      </c>
    </row>
    <row r="29" spans="1:22" x14ac:dyDescent="0.25">
      <c r="A29" s="104"/>
      <c r="B29" s="104" t="s">
        <v>63</v>
      </c>
      <c r="C29" s="104"/>
      <c r="D29" s="104"/>
      <c r="E29" s="113"/>
      <c r="F29" s="112"/>
      <c r="G29" s="113"/>
      <c r="H29" s="112"/>
      <c r="I29" s="107"/>
      <c r="J29" s="114"/>
      <c r="K29" s="1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07">
        <f>SUM(K29:T29)</f>
        <v>0</v>
      </c>
    </row>
    <row r="30" spans="1:22" ht="15.75" thickBot="1" x14ac:dyDescent="0.3">
      <c r="A30" s="109" t="s">
        <v>64</v>
      </c>
      <c r="E30" s="106">
        <f>SUM(E12:E29)</f>
        <v>1607050.8406926836</v>
      </c>
      <c r="F30" s="107"/>
      <c r="G30" s="106">
        <f>SUM(G12:G29)</f>
        <v>929763.87623218179</v>
      </c>
      <c r="H30" s="107"/>
      <c r="I30" s="106">
        <f>SUM(I12:I29)</f>
        <v>-677286.9644605018</v>
      </c>
      <c r="J30" s="108"/>
      <c r="K30" s="106">
        <f>SUM(K12:K29)</f>
        <v>0</v>
      </c>
      <c r="L30" s="107"/>
      <c r="M30" s="106">
        <f>SUM(M12:M29)</f>
        <v>0</v>
      </c>
      <c r="N30" s="107"/>
      <c r="O30" s="106">
        <f>SUM(O12:O29)</f>
        <v>0</v>
      </c>
      <c r="P30" s="107"/>
      <c r="Q30" s="106">
        <f>SUM(Q12:Q29)</f>
        <v>0</v>
      </c>
      <c r="R30" s="107"/>
      <c r="S30" s="106">
        <f>SUM(S12:S29)</f>
        <v>-70987.715706849121</v>
      </c>
      <c r="T30" s="106">
        <f>SUM(T12:T29)</f>
        <v>-606299.24875365268</v>
      </c>
      <c r="U30" s="107"/>
      <c r="V30" s="106">
        <f>SUM(V12:V29)</f>
        <v>-677286.9644605018</v>
      </c>
    </row>
    <row r="31" spans="1:22" ht="15.75" thickTop="1" x14ac:dyDescent="0.25">
      <c r="A31" s="104"/>
      <c r="B31" s="104"/>
      <c r="C31" s="104"/>
      <c r="D31" s="104"/>
      <c r="E31" s="105"/>
      <c r="F31" s="105"/>
      <c r="G31" s="105"/>
      <c r="H31" s="105"/>
      <c r="I31" s="105"/>
      <c r="J31" s="105"/>
      <c r="K31" s="105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</row>
    <row r="32" spans="1:22" x14ac:dyDescent="0.25">
      <c r="A32" s="104"/>
      <c r="B32" s="104"/>
      <c r="C32" s="104"/>
      <c r="D32" s="104"/>
      <c r="E32" s="105"/>
      <c r="F32" s="105"/>
      <c r="G32" s="105"/>
      <c r="H32" s="105"/>
      <c r="I32" s="105"/>
      <c r="J32" s="105"/>
      <c r="K32" s="105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</row>
    <row r="33" spans="1:22" x14ac:dyDescent="0.25">
      <c r="A33" s="104" t="s">
        <v>65</v>
      </c>
      <c r="B33" s="104"/>
      <c r="C33" s="104"/>
      <c r="D33" s="104"/>
      <c r="E33" s="105"/>
      <c r="F33" s="105"/>
      <c r="G33" s="105"/>
      <c r="H33" s="105"/>
      <c r="I33" s="105"/>
      <c r="J33" s="105"/>
      <c r="K33" s="105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</row>
    <row r="34" spans="1:22" x14ac:dyDescent="0.25">
      <c r="A34" s="104" t="s">
        <v>66</v>
      </c>
      <c r="B34" s="104"/>
      <c r="C34" s="104" t="s">
        <v>67</v>
      </c>
      <c r="D34" s="104"/>
      <c r="E34" s="105"/>
      <c r="F34" s="105"/>
      <c r="G34" s="105"/>
      <c r="H34" s="105"/>
      <c r="I34" s="105"/>
      <c r="J34" s="105"/>
      <c r="K34" s="105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</row>
    <row r="35" spans="1:22" x14ac:dyDescent="0.25">
      <c r="A35" s="104" t="s">
        <v>68</v>
      </c>
      <c r="B35" s="104"/>
      <c r="C35" s="104" t="s">
        <v>69</v>
      </c>
      <c r="D35" s="104"/>
      <c r="E35" s="105"/>
      <c r="F35" s="105"/>
      <c r="G35" s="105"/>
      <c r="H35" s="105"/>
      <c r="I35" s="105"/>
      <c r="J35" s="105"/>
      <c r="K35" s="105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</row>
    <row r="36" spans="1:22" x14ac:dyDescent="0.25">
      <c r="A36" s="104" t="s">
        <v>70</v>
      </c>
      <c r="B36" s="104"/>
      <c r="C36" s="104" t="s">
        <v>71</v>
      </c>
      <c r="D36" s="104"/>
      <c r="E36" s="105"/>
      <c r="F36" s="105"/>
      <c r="G36" s="105"/>
      <c r="H36" s="105"/>
      <c r="I36" s="105"/>
      <c r="J36" s="105"/>
      <c r="K36" s="105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</row>
    <row r="37" spans="1:22" x14ac:dyDescent="0.25">
      <c r="A37" s="104"/>
      <c r="B37" s="104"/>
      <c r="C37" s="104" t="s">
        <v>72</v>
      </c>
      <c r="D37" s="104"/>
      <c r="E37" s="105"/>
      <c r="F37" s="105"/>
      <c r="G37" s="105"/>
      <c r="H37" s="105"/>
      <c r="I37" s="105"/>
      <c r="J37" s="105"/>
      <c r="K37" s="105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</row>
    <row r="38" spans="1:22" x14ac:dyDescent="0.25">
      <c r="A38" s="104" t="s">
        <v>73</v>
      </c>
      <c r="B38" s="104"/>
      <c r="C38" s="104" t="s">
        <v>74</v>
      </c>
      <c r="D38" s="104"/>
      <c r="E38" s="105"/>
      <c r="F38" s="105"/>
      <c r="G38" s="105"/>
      <c r="H38" s="105"/>
      <c r="I38" s="105"/>
      <c r="J38" s="105"/>
      <c r="K38" s="105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</row>
    <row r="39" spans="1:22" x14ac:dyDescent="0.25">
      <c r="A39" s="104" t="s">
        <v>75</v>
      </c>
      <c r="B39" s="104"/>
      <c r="C39" s="104" t="s">
        <v>76</v>
      </c>
      <c r="D39" s="104"/>
      <c r="E39" s="105"/>
      <c r="F39" s="105"/>
      <c r="G39" s="105"/>
      <c r="H39" s="105"/>
      <c r="I39" s="105"/>
      <c r="J39" s="105"/>
      <c r="K39" s="105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</row>
    <row r="40" spans="1:22" x14ac:dyDescent="0.25">
      <c r="A40" s="104"/>
      <c r="B40" s="104"/>
      <c r="C40" s="104"/>
      <c r="D40" s="104"/>
      <c r="E40" s="105"/>
      <c r="F40" s="105"/>
      <c r="G40" s="105"/>
      <c r="H40" s="105"/>
      <c r="I40" s="105"/>
      <c r="J40" s="105"/>
      <c r="K40" s="105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</row>
  </sheetData>
  <printOptions horizontalCentered="1"/>
  <pageMargins left="0" right="0" top="0.75" bottom="0.75" header="0.3" footer="0.3"/>
  <pageSetup scale="58" orientation="landscape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35CE-F51E-46AA-B7C5-310019C2066F}">
  <dimension ref="A1:J31"/>
  <sheetViews>
    <sheetView showGridLines="0" zoomScaleNormal="100" workbookViewId="0">
      <selection activeCell="A28" sqref="A28:J28"/>
    </sheetView>
  </sheetViews>
  <sheetFormatPr defaultRowHeight="15" x14ac:dyDescent="0.25"/>
  <cols>
    <col min="1" max="1" width="12.7109375" style="233" customWidth="1"/>
    <col min="2" max="2" width="5.28515625" style="233" customWidth="1"/>
    <col min="3" max="3" width="7.5703125" style="233" customWidth="1"/>
    <col min="4" max="4" width="4.5703125" style="233" customWidth="1"/>
    <col min="5" max="5" width="19" style="233" customWidth="1"/>
    <col min="6" max="6" width="17.42578125" style="233" customWidth="1"/>
    <col min="7" max="7" width="16.7109375" style="233" customWidth="1"/>
    <col min="8" max="8" width="14.42578125" style="233" customWidth="1"/>
    <col min="9" max="9" width="3" style="233" customWidth="1"/>
    <col min="10" max="10" width="22.140625" style="233" customWidth="1"/>
    <col min="11" max="16384" width="9.140625" style="233"/>
  </cols>
  <sheetData>
    <row r="1" spans="1:10" x14ac:dyDescent="0.25">
      <c r="A1" s="244"/>
      <c r="B1" s="244"/>
      <c r="C1" s="244"/>
      <c r="D1" s="244"/>
      <c r="E1" s="244"/>
      <c r="F1" s="244"/>
      <c r="G1" s="244"/>
      <c r="H1" s="244"/>
      <c r="I1" s="244" t="s">
        <v>0</v>
      </c>
      <c r="J1" s="244"/>
    </row>
    <row r="2" spans="1:10" x14ac:dyDescent="0.25">
      <c r="A2" s="256" t="s">
        <v>1</v>
      </c>
      <c r="B2" s="256"/>
      <c r="C2" s="256"/>
      <c r="D2" s="256"/>
      <c r="E2" s="256"/>
      <c r="F2" s="256"/>
      <c r="G2" s="256"/>
      <c r="H2" s="256"/>
      <c r="I2" s="256"/>
      <c r="J2" s="256"/>
    </row>
    <row r="3" spans="1:10" x14ac:dyDescent="0.25">
      <c r="A3" s="256" t="s">
        <v>89</v>
      </c>
      <c r="B3" s="256"/>
      <c r="C3" s="256"/>
      <c r="D3" s="256"/>
      <c r="E3" s="256"/>
      <c r="F3" s="256"/>
      <c r="G3" s="256"/>
      <c r="H3" s="256"/>
      <c r="I3" s="256"/>
      <c r="J3" s="256"/>
    </row>
    <row r="4" spans="1:10" x14ac:dyDescent="0.25">
      <c r="A4" s="256" t="s">
        <v>122</v>
      </c>
      <c r="B4" s="256"/>
      <c r="C4" s="256"/>
      <c r="D4" s="256"/>
      <c r="E4" s="256"/>
      <c r="F4" s="256"/>
      <c r="G4" s="256"/>
      <c r="H4" s="256"/>
      <c r="I4" s="256"/>
      <c r="J4" s="256"/>
    </row>
    <row r="5" spans="1:10" x14ac:dyDescent="0.25">
      <c r="A5" s="256" t="s">
        <v>3</v>
      </c>
      <c r="B5" s="256"/>
      <c r="C5" s="256"/>
      <c r="D5" s="256"/>
      <c r="E5" s="256"/>
      <c r="F5" s="256"/>
      <c r="G5" s="256"/>
      <c r="H5" s="256"/>
      <c r="I5" s="256"/>
      <c r="J5" s="256"/>
    </row>
    <row r="6" spans="1:10" x14ac:dyDescent="0.25">
      <c r="A6" s="256" t="s">
        <v>4</v>
      </c>
      <c r="B6" s="256"/>
      <c r="C6" s="256"/>
      <c r="D6" s="256"/>
      <c r="E6" s="256"/>
      <c r="F6" s="256"/>
      <c r="G6" s="256"/>
      <c r="H6" s="256"/>
      <c r="I6" s="256"/>
      <c r="J6" s="256"/>
    </row>
    <row r="7" spans="1:10" x14ac:dyDescent="0.25">
      <c r="A7" s="254" t="s">
        <v>5</v>
      </c>
      <c r="B7" s="254"/>
      <c r="C7" s="255" t="s">
        <v>6</v>
      </c>
      <c r="D7" s="255"/>
      <c r="E7" s="255"/>
      <c r="F7" s="255"/>
      <c r="G7" s="255"/>
      <c r="H7" s="255"/>
      <c r="I7" s="254" t="s">
        <v>119</v>
      </c>
      <c r="J7" s="244"/>
    </row>
    <row r="8" spans="1:10" x14ac:dyDescent="0.25">
      <c r="A8" s="254" t="s">
        <v>7</v>
      </c>
      <c r="B8" s="254"/>
      <c r="C8" s="255" t="s">
        <v>121</v>
      </c>
      <c r="D8" s="255"/>
      <c r="E8" s="255"/>
      <c r="F8" s="255"/>
      <c r="G8" s="255"/>
      <c r="H8" s="255"/>
      <c r="I8" s="255" t="s">
        <v>100</v>
      </c>
      <c r="J8" s="244"/>
    </row>
    <row r="9" spans="1:10" x14ac:dyDescent="0.25">
      <c r="A9" s="254"/>
      <c r="B9" s="254"/>
      <c r="C9" s="253"/>
      <c r="D9" s="253"/>
      <c r="E9" s="253"/>
      <c r="F9" s="253"/>
      <c r="G9" s="253"/>
      <c r="H9" s="253"/>
      <c r="I9" s="255" t="s">
        <v>84</v>
      </c>
      <c r="J9" s="244"/>
    </row>
    <row r="10" spans="1:10" x14ac:dyDescent="0.25">
      <c r="A10" s="244"/>
      <c r="B10" s="244"/>
      <c r="C10" s="244"/>
      <c r="D10" s="244"/>
      <c r="E10" s="244"/>
      <c r="F10" s="244"/>
      <c r="G10" s="244"/>
      <c r="H10" s="244"/>
      <c r="I10" s="244"/>
      <c r="J10" s="244"/>
    </row>
    <row r="11" spans="1:10" x14ac:dyDescent="0.25">
      <c r="A11" s="235"/>
      <c r="B11" s="235"/>
      <c r="C11" s="235"/>
      <c r="D11" s="235"/>
      <c r="E11" s="235"/>
      <c r="F11" s="235"/>
      <c r="G11" s="235"/>
      <c r="H11" s="235"/>
      <c r="I11" s="235"/>
      <c r="J11" s="235"/>
    </row>
    <row r="12" spans="1:10" x14ac:dyDescent="0.25">
      <c r="A12" s="252" t="s">
        <v>8</v>
      </c>
      <c r="B12" s="252"/>
      <c r="C12" s="252"/>
      <c r="D12" s="252"/>
      <c r="E12" s="252"/>
      <c r="F12" s="252"/>
      <c r="G12" s="252"/>
      <c r="H12" s="252"/>
      <c r="I12" s="252"/>
      <c r="J12" s="252"/>
    </row>
    <row r="13" spans="1:10" x14ac:dyDescent="0.25">
      <c r="A13" s="235"/>
      <c r="B13" s="235"/>
      <c r="C13" s="235"/>
      <c r="D13" s="235"/>
      <c r="E13" s="235"/>
      <c r="F13" s="235"/>
      <c r="G13" s="235"/>
      <c r="H13" s="235"/>
      <c r="I13" s="235"/>
      <c r="J13" s="235"/>
    </row>
    <row r="14" spans="1:10" ht="24.75" customHeight="1" x14ac:dyDescent="0.25">
      <c r="A14" s="251" t="s">
        <v>9</v>
      </c>
      <c r="B14" s="251"/>
      <c r="C14" s="251"/>
      <c r="D14" s="251"/>
      <c r="E14" s="251"/>
      <c r="F14" s="249" t="s">
        <v>10</v>
      </c>
      <c r="G14" s="249" t="s">
        <v>11</v>
      </c>
      <c r="H14" s="250" t="s">
        <v>12</v>
      </c>
      <c r="I14" s="250"/>
      <c r="J14" s="249" t="s">
        <v>13</v>
      </c>
    </row>
    <row r="15" spans="1:10" ht="17.25" customHeight="1" x14ac:dyDescent="0.25">
      <c r="A15" s="248" t="s">
        <v>14</v>
      </c>
      <c r="B15" s="248"/>
      <c r="C15" s="248"/>
      <c r="D15" s="248"/>
      <c r="E15" s="248"/>
      <c r="F15" s="248"/>
      <c r="G15" s="248"/>
      <c r="H15" s="248"/>
      <c r="I15" s="248"/>
      <c r="J15" s="248"/>
    </row>
    <row r="16" spans="1:10" x14ac:dyDescent="0.25">
      <c r="A16" s="244" t="s">
        <v>15</v>
      </c>
      <c r="B16" s="244"/>
      <c r="C16" s="244"/>
      <c r="D16" s="244"/>
      <c r="E16" s="244"/>
      <c r="F16" s="241">
        <v>127483.8</v>
      </c>
      <c r="G16" s="241">
        <v>0</v>
      </c>
      <c r="H16" s="243">
        <v>0</v>
      </c>
      <c r="I16" s="243"/>
      <c r="J16" s="241">
        <f>F16+G16-H16</f>
        <v>127483.8</v>
      </c>
    </row>
    <row r="17" spans="1:10" x14ac:dyDescent="0.25">
      <c r="A17" s="247" t="s">
        <v>97</v>
      </c>
      <c r="B17" s="242"/>
      <c r="C17" s="242"/>
      <c r="D17" s="242"/>
      <c r="E17" s="242"/>
      <c r="F17" s="241">
        <v>56112.02</v>
      </c>
      <c r="G17" s="241">
        <v>0</v>
      </c>
      <c r="H17" s="243">
        <v>0</v>
      </c>
      <c r="I17" s="243"/>
      <c r="J17" s="241">
        <f>F17+G17-H17</f>
        <v>56112.02</v>
      </c>
    </row>
    <row r="18" spans="1:10" x14ac:dyDescent="0.25">
      <c r="A18" s="244" t="s">
        <v>16</v>
      </c>
      <c r="B18" s="244"/>
      <c r="C18" s="244"/>
      <c r="D18" s="244"/>
      <c r="E18" s="244"/>
      <c r="F18" s="241">
        <v>0</v>
      </c>
      <c r="G18" s="241">
        <v>0</v>
      </c>
      <c r="H18" s="243">
        <v>0</v>
      </c>
      <c r="I18" s="243"/>
      <c r="J18" s="241">
        <f>F18+G18-H18</f>
        <v>0</v>
      </c>
    </row>
    <row r="19" spans="1:10" x14ac:dyDescent="0.25">
      <c r="A19" s="246"/>
      <c r="B19" s="246"/>
      <c r="C19" s="246"/>
      <c r="D19" s="246"/>
      <c r="E19" s="246"/>
      <c r="F19" s="246"/>
      <c r="G19" s="246"/>
      <c r="H19" s="246"/>
      <c r="I19" s="246"/>
      <c r="J19" s="246"/>
    </row>
    <row r="20" spans="1:10" x14ac:dyDescent="0.25">
      <c r="A20" s="245" t="s">
        <v>17</v>
      </c>
      <c r="B20" s="245"/>
      <c r="C20" s="245"/>
      <c r="D20" s="245"/>
      <c r="E20" s="245"/>
      <c r="F20" s="245"/>
      <c r="G20" s="245"/>
      <c r="H20" s="245"/>
      <c r="I20" s="245"/>
      <c r="J20" s="245"/>
    </row>
    <row r="21" spans="1:10" x14ac:dyDescent="0.25">
      <c r="A21" s="244" t="s">
        <v>117</v>
      </c>
      <c r="B21" s="244"/>
      <c r="C21" s="244"/>
      <c r="D21" s="244"/>
      <c r="E21" s="244"/>
      <c r="F21" s="241">
        <v>402315.46</v>
      </c>
      <c r="G21" s="241">
        <v>0</v>
      </c>
      <c r="H21" s="243">
        <v>0</v>
      </c>
      <c r="I21" s="243"/>
      <c r="J21" s="241">
        <f>F21+G21-H21</f>
        <v>402315.46</v>
      </c>
    </row>
    <row r="22" spans="1:10" x14ac:dyDescent="0.25">
      <c r="A22" s="244" t="s">
        <v>96</v>
      </c>
      <c r="B22" s="244"/>
      <c r="C22" s="244"/>
      <c r="D22" s="244"/>
      <c r="E22" s="244"/>
      <c r="F22" s="241">
        <v>47104.55</v>
      </c>
      <c r="G22" s="241">
        <v>4705.66</v>
      </c>
      <c r="H22" s="243">
        <v>3672.6</v>
      </c>
      <c r="I22" s="243"/>
      <c r="J22" s="241">
        <f>F22+G22-H22</f>
        <v>48137.610000000008</v>
      </c>
    </row>
    <row r="23" spans="1:10" x14ac:dyDescent="0.25">
      <c r="A23" s="244" t="s">
        <v>20</v>
      </c>
      <c r="B23" s="244"/>
      <c r="C23" s="244"/>
      <c r="D23" s="244"/>
      <c r="E23" s="244"/>
      <c r="F23" s="241">
        <v>0</v>
      </c>
      <c r="G23" s="241">
        <v>5000</v>
      </c>
      <c r="H23" s="243">
        <v>0</v>
      </c>
      <c r="I23" s="243"/>
      <c r="J23" s="241">
        <f>F23+G23-H23</f>
        <v>5000</v>
      </c>
    </row>
    <row r="24" spans="1:10" x14ac:dyDescent="0.25">
      <c r="A24" s="242"/>
      <c r="B24" s="242"/>
      <c r="C24" s="242"/>
      <c r="D24" s="242"/>
      <c r="E24" s="242"/>
      <c r="F24" s="241"/>
      <c r="G24" s="241"/>
      <c r="H24" s="241"/>
      <c r="I24" s="241"/>
      <c r="J24" s="241"/>
    </row>
    <row r="25" spans="1:10" ht="15.75" customHeight="1" x14ac:dyDescent="0.25">
      <c r="A25" s="240"/>
      <c r="B25" s="240"/>
      <c r="C25" s="240"/>
      <c r="D25" s="240"/>
      <c r="E25" s="240"/>
      <c r="F25" s="239"/>
      <c r="G25" s="239"/>
      <c r="H25" s="239"/>
      <c r="I25" s="239"/>
      <c r="J25" s="239"/>
    </row>
    <row r="26" spans="1:10" x14ac:dyDescent="0.25">
      <c r="A26" s="238" t="s">
        <v>7</v>
      </c>
      <c r="B26" s="237">
        <v>6088</v>
      </c>
      <c r="C26" s="237"/>
      <c r="D26" s="237"/>
      <c r="E26" s="236">
        <f>SUM(F16:F23)</f>
        <v>633015.83000000007</v>
      </c>
      <c r="F26" s="236"/>
      <c r="G26" s="236">
        <f>SUM(G21:G25)</f>
        <v>9705.66</v>
      </c>
      <c r="H26" s="236">
        <f>SUM(H21:I25)</f>
        <v>3672.6</v>
      </c>
      <c r="I26" s="236"/>
      <c r="J26" s="236">
        <f>SUM(J16:J23)</f>
        <v>639048.89</v>
      </c>
    </row>
    <row r="27" spans="1:10" x14ac:dyDescent="0.25">
      <c r="A27" s="238"/>
      <c r="B27" s="237"/>
      <c r="C27" s="237"/>
      <c r="D27" s="237"/>
      <c r="E27" s="236"/>
      <c r="F27" s="236"/>
      <c r="G27" s="236"/>
      <c r="H27" s="236"/>
      <c r="I27" s="236"/>
      <c r="J27" s="236"/>
    </row>
    <row r="28" spans="1:10" x14ac:dyDescent="0.25">
      <c r="A28" s="235"/>
      <c r="B28" s="235"/>
      <c r="C28" s="235"/>
      <c r="D28" s="235"/>
      <c r="E28" s="235"/>
      <c r="F28" s="235"/>
      <c r="G28" s="235"/>
      <c r="H28" s="235"/>
      <c r="I28" s="235"/>
      <c r="J28" s="235"/>
    </row>
    <row r="29" spans="1:10" x14ac:dyDescent="0.25">
      <c r="A29" s="235"/>
      <c r="B29" s="235"/>
      <c r="C29" s="235"/>
      <c r="D29" s="235"/>
      <c r="E29" s="235"/>
      <c r="F29" s="235"/>
      <c r="G29" s="235"/>
      <c r="H29" s="235"/>
      <c r="I29" s="235"/>
      <c r="J29" s="235"/>
    </row>
    <row r="30" spans="1:10" x14ac:dyDescent="0.25">
      <c r="A30" s="235"/>
      <c r="B30" s="235"/>
      <c r="C30" s="235"/>
      <c r="D30" s="235"/>
      <c r="E30" s="235"/>
      <c r="F30" s="235"/>
      <c r="G30" s="235"/>
      <c r="H30" s="235"/>
      <c r="I30" s="235"/>
      <c r="J30" s="235"/>
    </row>
    <row r="31" spans="1:10" x14ac:dyDescent="0.25">
      <c r="A31" s="234"/>
      <c r="B31" s="234"/>
      <c r="C31" s="234"/>
      <c r="D31" s="234"/>
      <c r="E31" s="234"/>
      <c r="F31" s="234"/>
      <c r="G31" s="234"/>
      <c r="H31" s="234"/>
      <c r="I31" s="234"/>
      <c r="J31" s="234"/>
    </row>
  </sheetData>
  <mergeCells count="47">
    <mergeCell ref="A28:J28"/>
    <mergeCell ref="A29:J29"/>
    <mergeCell ref="A30:J30"/>
    <mergeCell ref="A31:J31"/>
    <mergeCell ref="B26:D26"/>
    <mergeCell ref="E26:F27"/>
    <mergeCell ref="G26:G27"/>
    <mergeCell ref="H26:I27"/>
    <mergeCell ref="J26:J27"/>
    <mergeCell ref="B27:D27"/>
    <mergeCell ref="A16:E16"/>
    <mergeCell ref="H16:I16"/>
    <mergeCell ref="H17:I17"/>
    <mergeCell ref="A22:E22"/>
    <mergeCell ref="H22:I22"/>
    <mergeCell ref="A23:E23"/>
    <mergeCell ref="H23:I23"/>
    <mergeCell ref="A11:J11"/>
    <mergeCell ref="A12:J12"/>
    <mergeCell ref="A18:E18"/>
    <mergeCell ref="H18:I18"/>
    <mergeCell ref="A21:E21"/>
    <mergeCell ref="H21:I21"/>
    <mergeCell ref="A13:J13"/>
    <mergeCell ref="A14:E14"/>
    <mergeCell ref="H14:I14"/>
    <mergeCell ref="A15:J15"/>
    <mergeCell ref="A9:B9"/>
    <mergeCell ref="C9:H9"/>
    <mergeCell ref="I9:J9"/>
    <mergeCell ref="A10:B10"/>
    <mergeCell ref="C10:H10"/>
    <mergeCell ref="I10:J10"/>
    <mergeCell ref="A5:J5"/>
    <mergeCell ref="A6:J6"/>
    <mergeCell ref="A7:B7"/>
    <mergeCell ref="C7:H7"/>
    <mergeCell ref="I7:J7"/>
    <mergeCell ref="A8:B8"/>
    <mergeCell ref="C8:H8"/>
    <mergeCell ref="I8:J8"/>
    <mergeCell ref="A1:C1"/>
    <mergeCell ref="D1:H1"/>
    <mergeCell ref="I1:J1"/>
    <mergeCell ref="A2:J2"/>
    <mergeCell ref="A3:J3"/>
    <mergeCell ref="A4:J4"/>
  </mergeCells>
  <pageMargins left="0.7" right="0.7" top="0.75" bottom="0.75" header="0.3" footer="0.3"/>
  <pageSetup scale="98" orientation="landscape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D2EB6-3D96-423A-97DA-B169E7A79FD7}">
  <sheetPr>
    <pageSetUpPr fitToPage="1"/>
  </sheetPr>
  <dimension ref="A1:V40"/>
  <sheetViews>
    <sheetView workbookViewId="0">
      <selection activeCell="H25" sqref="H25"/>
    </sheetView>
  </sheetViews>
  <sheetFormatPr defaultColWidth="9.140625" defaultRowHeight="15" x14ac:dyDescent="0.25"/>
  <cols>
    <col min="1" max="1" width="1.7109375" style="102" customWidth="1"/>
    <col min="2" max="2" width="9" style="102" customWidth="1"/>
    <col min="3" max="3" width="44.28515625" style="102" customWidth="1"/>
    <col min="4" max="4" width="1.7109375" style="102" customWidth="1"/>
    <col min="5" max="5" width="15.7109375" style="103" customWidth="1"/>
    <col min="6" max="6" width="1.7109375" style="103" customWidth="1"/>
    <col min="7" max="7" width="15.7109375" style="103" customWidth="1"/>
    <col min="8" max="8" width="1.7109375" style="103" customWidth="1"/>
    <col min="9" max="9" width="15.7109375" style="103" customWidth="1"/>
    <col min="10" max="10" width="1.7109375" style="103" customWidth="1"/>
    <col min="11" max="11" width="15.7109375" style="103" customWidth="1"/>
    <col min="12" max="12" width="1.7109375" style="102" customWidth="1"/>
    <col min="13" max="13" width="15.7109375" style="102" customWidth="1"/>
    <col min="14" max="14" width="1.7109375" style="102" customWidth="1"/>
    <col min="15" max="15" width="15.7109375" style="102" customWidth="1"/>
    <col min="16" max="16" width="1.7109375" style="102" customWidth="1"/>
    <col min="17" max="17" width="15.7109375" style="102" customWidth="1"/>
    <col min="18" max="18" width="1.7109375" style="102" customWidth="1"/>
    <col min="19" max="20" width="15.7109375" style="102" customWidth="1"/>
    <col min="21" max="21" width="1.7109375" style="102" customWidth="1"/>
    <col min="22" max="22" width="15.7109375" style="102" customWidth="1"/>
    <col min="23" max="16384" width="9.140625" style="102"/>
  </cols>
  <sheetData>
    <row r="1" spans="1:22" x14ac:dyDescent="0.25">
      <c r="A1" s="123" t="s">
        <v>89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</row>
    <row r="2" spans="1:22" x14ac:dyDescent="0.25">
      <c r="A2" s="123" t="s">
        <v>22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</row>
    <row r="3" spans="1:22" x14ac:dyDescent="0.25">
      <c r="A3" s="123" t="s">
        <v>23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</row>
    <row r="4" spans="1:22" ht="15" customHeight="1" x14ac:dyDescent="0.25">
      <c r="A4" s="123" t="s">
        <v>122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</row>
    <row r="5" spans="1:22" x14ac:dyDescent="0.25">
      <c r="A5" s="123" t="s">
        <v>24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</row>
    <row r="6" spans="1:22" x14ac:dyDescent="0.25">
      <c r="A6" s="104"/>
      <c r="B6" s="104"/>
      <c r="C6" s="104"/>
      <c r="D6" s="104"/>
      <c r="E6" s="105"/>
      <c r="F6" s="105"/>
      <c r="G6" s="105"/>
      <c r="H6" s="105"/>
      <c r="I6" s="105"/>
      <c r="J6" s="105"/>
      <c r="K6" s="105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</row>
    <row r="7" spans="1:22" ht="15.75" thickBot="1" x14ac:dyDescent="0.3">
      <c r="A7" s="104"/>
      <c r="B7" s="104"/>
      <c r="C7" s="104"/>
      <c r="D7" s="104"/>
      <c r="E7" s="105"/>
      <c r="F7" s="105"/>
      <c r="G7" s="105"/>
      <c r="H7" s="105"/>
      <c r="I7" s="105"/>
      <c r="J7" s="116"/>
      <c r="K7" s="122" t="s">
        <v>25</v>
      </c>
      <c r="L7" s="122"/>
      <c r="M7" s="122"/>
      <c r="N7" s="122"/>
      <c r="O7" s="122"/>
      <c r="P7" s="122"/>
      <c r="Q7" s="122"/>
      <c r="R7" s="122"/>
      <c r="S7" s="122"/>
      <c r="T7" s="122"/>
      <c r="U7" s="104"/>
      <c r="V7" s="104"/>
    </row>
    <row r="8" spans="1:22" x14ac:dyDescent="0.25">
      <c r="A8" s="104"/>
      <c r="B8" s="104"/>
      <c r="C8" s="104"/>
      <c r="D8" s="104"/>
      <c r="E8" s="121" t="s">
        <v>26</v>
      </c>
      <c r="F8" s="118"/>
      <c r="G8" s="121" t="s">
        <v>27</v>
      </c>
      <c r="H8" s="118"/>
      <c r="I8" s="121" t="s">
        <v>28</v>
      </c>
      <c r="J8" s="119"/>
      <c r="K8" s="121" t="s">
        <v>29</v>
      </c>
      <c r="L8" s="104"/>
      <c r="M8" s="121" t="s">
        <v>30</v>
      </c>
      <c r="N8" s="118"/>
      <c r="O8" s="121" t="s">
        <v>31</v>
      </c>
      <c r="P8" s="118"/>
      <c r="Q8" s="121" t="s">
        <v>32</v>
      </c>
      <c r="R8" s="118"/>
      <c r="S8" s="121" t="s">
        <v>33</v>
      </c>
      <c r="T8" s="121" t="s">
        <v>34</v>
      </c>
      <c r="U8" s="118"/>
      <c r="V8" s="121" t="s">
        <v>35</v>
      </c>
    </row>
    <row r="9" spans="1:22" ht="120" x14ac:dyDescent="0.25">
      <c r="A9" s="115"/>
      <c r="B9" s="104"/>
      <c r="C9" s="104"/>
      <c r="D9" s="104"/>
      <c r="E9" s="117" t="s">
        <v>36</v>
      </c>
      <c r="F9" s="118"/>
      <c r="G9" s="117" t="s">
        <v>37</v>
      </c>
      <c r="H9" s="118"/>
      <c r="I9" s="120" t="s">
        <v>38</v>
      </c>
      <c r="J9" s="119"/>
      <c r="K9" s="117" t="s">
        <v>39</v>
      </c>
      <c r="L9" s="118"/>
      <c r="M9" s="117" t="s">
        <v>40</v>
      </c>
      <c r="N9" s="104"/>
      <c r="O9" s="117" t="s">
        <v>41</v>
      </c>
      <c r="P9" s="104"/>
      <c r="Q9" s="117" t="s">
        <v>42</v>
      </c>
      <c r="R9" s="104"/>
      <c r="S9" s="117" t="s">
        <v>43</v>
      </c>
      <c r="T9" s="117" t="s">
        <v>44</v>
      </c>
      <c r="U9" s="104"/>
      <c r="V9" s="117" t="s">
        <v>45</v>
      </c>
    </row>
    <row r="10" spans="1:22" x14ac:dyDescent="0.25">
      <c r="A10" s="104"/>
      <c r="B10" s="104"/>
      <c r="C10" s="104"/>
      <c r="D10" s="104"/>
      <c r="E10" s="105"/>
      <c r="F10" s="105"/>
      <c r="G10" s="105"/>
      <c r="H10" s="105"/>
      <c r="I10" s="105"/>
      <c r="J10" s="116"/>
      <c r="K10" s="105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</row>
    <row r="11" spans="1:22" x14ac:dyDescent="0.25">
      <c r="A11" s="115" t="s">
        <v>14</v>
      </c>
      <c r="B11" s="104"/>
      <c r="C11" s="104"/>
      <c r="D11" s="104"/>
      <c r="E11" s="105"/>
      <c r="F11" s="105"/>
      <c r="G11" s="105"/>
      <c r="H11" s="105"/>
      <c r="I11" s="105"/>
      <c r="J11" s="116"/>
      <c r="K11" s="105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</row>
    <row r="12" spans="1:22" x14ac:dyDescent="0.25">
      <c r="A12" s="104"/>
      <c r="B12" s="104" t="s">
        <v>46</v>
      </c>
      <c r="C12" s="104"/>
      <c r="D12" s="104"/>
      <c r="E12" s="112">
        <v>127483.8</v>
      </c>
      <c r="F12" s="112"/>
      <c r="G12" s="112">
        <v>127483.8</v>
      </c>
      <c r="H12" s="112"/>
      <c r="I12" s="107">
        <f>G12-E12</f>
        <v>0</v>
      </c>
      <c r="J12" s="114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07">
        <f>SUM(K12:T12)</f>
        <v>0</v>
      </c>
    </row>
    <row r="13" spans="1:22" x14ac:dyDescent="0.25">
      <c r="A13" s="104"/>
      <c r="B13" s="104" t="s">
        <v>47</v>
      </c>
      <c r="C13" s="104"/>
      <c r="D13" s="104"/>
      <c r="E13" s="112"/>
      <c r="F13" s="112"/>
      <c r="G13" s="112"/>
      <c r="H13" s="112"/>
      <c r="I13" s="107"/>
      <c r="J13" s="114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07">
        <f>SUM(K13:T13)</f>
        <v>0</v>
      </c>
    </row>
    <row r="14" spans="1:22" x14ac:dyDescent="0.25">
      <c r="A14" s="104"/>
      <c r="B14" s="104" t="s">
        <v>48</v>
      </c>
      <c r="C14" s="104"/>
      <c r="D14" s="104"/>
      <c r="E14" s="112"/>
      <c r="F14" s="112"/>
      <c r="G14" s="112"/>
      <c r="H14" s="112"/>
      <c r="I14" s="107"/>
      <c r="J14" s="114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07">
        <f>SUM(K14:T14)</f>
        <v>0</v>
      </c>
    </row>
    <row r="15" spans="1:22" x14ac:dyDescent="0.25">
      <c r="A15" s="104"/>
      <c r="B15" s="104" t="s">
        <v>49</v>
      </c>
      <c r="C15" s="104"/>
      <c r="D15" s="104"/>
      <c r="E15" s="112">
        <v>56112.02</v>
      </c>
      <c r="F15" s="112"/>
      <c r="G15" s="112">
        <v>56112.02</v>
      </c>
      <c r="H15" s="112"/>
      <c r="I15" s="107">
        <f>G15-E15</f>
        <v>0</v>
      </c>
      <c r="J15" s="114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07">
        <f>SUM(K15:T15)</f>
        <v>0</v>
      </c>
    </row>
    <row r="16" spans="1:22" x14ac:dyDescent="0.25">
      <c r="A16" s="104"/>
      <c r="B16" s="104" t="s">
        <v>50</v>
      </c>
      <c r="C16" s="104"/>
      <c r="D16" s="104"/>
      <c r="E16" s="112"/>
      <c r="F16" s="112"/>
      <c r="G16" s="112"/>
      <c r="H16" s="112"/>
      <c r="I16" s="107"/>
      <c r="J16" s="114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07">
        <f>SUM(K16:T16)</f>
        <v>0</v>
      </c>
    </row>
    <row r="17" spans="1:22" x14ac:dyDescent="0.25">
      <c r="A17" s="104"/>
      <c r="B17" s="104" t="s">
        <v>51</v>
      </c>
      <c r="C17" s="104"/>
      <c r="D17" s="104"/>
      <c r="E17" s="112"/>
      <c r="F17" s="112"/>
      <c r="G17" s="112"/>
      <c r="H17" s="112"/>
      <c r="I17" s="107"/>
      <c r="J17" s="114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07">
        <f>SUM(K17:T17)</f>
        <v>0</v>
      </c>
    </row>
    <row r="18" spans="1:22" x14ac:dyDescent="0.25">
      <c r="A18" s="115" t="s">
        <v>17</v>
      </c>
      <c r="B18" s="104"/>
      <c r="C18" s="104"/>
      <c r="D18" s="104"/>
      <c r="E18" s="112"/>
      <c r="F18" s="112"/>
      <c r="G18" s="112"/>
      <c r="H18" s="112"/>
      <c r="I18" s="107"/>
      <c r="J18" s="114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07"/>
    </row>
    <row r="19" spans="1:22" x14ac:dyDescent="0.25">
      <c r="A19" s="104"/>
      <c r="B19" s="104" t="s">
        <v>52</v>
      </c>
      <c r="C19" s="104"/>
      <c r="D19" s="104"/>
      <c r="E19" s="112"/>
      <c r="F19" s="112"/>
      <c r="G19" s="112"/>
      <c r="H19" s="112"/>
      <c r="I19" s="107"/>
      <c r="J19" s="114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07">
        <f>SUM(K19:T19)</f>
        <v>0</v>
      </c>
    </row>
    <row r="20" spans="1:22" x14ac:dyDescent="0.25">
      <c r="A20" s="104"/>
      <c r="B20" s="104" t="s">
        <v>53</v>
      </c>
      <c r="C20" s="104"/>
      <c r="D20" s="104"/>
      <c r="E20" s="112"/>
      <c r="F20" s="112"/>
      <c r="G20" s="112"/>
      <c r="H20" s="112"/>
      <c r="I20" s="107"/>
      <c r="J20" s="114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07">
        <f>SUM(K20:T20)</f>
        <v>0</v>
      </c>
    </row>
    <row r="21" spans="1:22" x14ac:dyDescent="0.25">
      <c r="A21" s="104"/>
      <c r="B21" s="104" t="s">
        <v>54</v>
      </c>
      <c r="C21" s="104"/>
      <c r="D21" s="104"/>
      <c r="E21" s="112"/>
      <c r="F21" s="112"/>
      <c r="G21" s="112"/>
      <c r="H21" s="112"/>
      <c r="I21" s="107"/>
      <c r="J21" s="114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07">
        <f>SUM(K21:T21)</f>
        <v>0</v>
      </c>
    </row>
    <row r="22" spans="1:22" x14ac:dyDescent="0.25">
      <c r="A22" s="104"/>
      <c r="B22" s="104" t="s">
        <v>55</v>
      </c>
      <c r="C22" s="104"/>
      <c r="D22" s="104"/>
      <c r="E22" s="112"/>
      <c r="F22" s="112"/>
      <c r="G22" s="112"/>
      <c r="H22" s="112"/>
      <c r="I22" s="107"/>
      <c r="J22" s="114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07">
        <f>SUM(K22:T22)</f>
        <v>0</v>
      </c>
    </row>
    <row r="23" spans="1:22" x14ac:dyDescent="0.25">
      <c r="A23" s="104"/>
      <c r="B23" s="104" t="s">
        <v>56</v>
      </c>
      <c r="C23" s="104"/>
      <c r="D23" s="104"/>
      <c r="E23" s="112"/>
      <c r="F23" s="112"/>
      <c r="G23" s="112"/>
      <c r="H23" s="112"/>
      <c r="I23" s="107"/>
      <c r="J23" s="114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07">
        <f>SUM(K23:T23)</f>
        <v>0</v>
      </c>
    </row>
    <row r="24" spans="1:22" x14ac:dyDescent="0.25">
      <c r="A24" s="104"/>
      <c r="B24" s="104" t="s">
        <v>57</v>
      </c>
      <c r="C24" s="104"/>
      <c r="D24" s="104"/>
      <c r="E24" s="112">
        <v>1057438.97</v>
      </c>
      <c r="F24" s="112"/>
      <c r="G24" s="112">
        <v>402315.46</v>
      </c>
      <c r="H24" s="112"/>
      <c r="I24" s="107">
        <f>G24-E24</f>
        <v>-655123.51</v>
      </c>
      <c r="J24" s="114"/>
      <c r="K24" s="112"/>
      <c r="L24" s="112"/>
      <c r="M24" s="112"/>
      <c r="N24" s="112"/>
      <c r="O24" s="112"/>
      <c r="P24" s="112"/>
      <c r="Q24" s="112"/>
      <c r="R24" s="112"/>
      <c r="S24" s="112"/>
      <c r="T24" s="112">
        <v>-655123.50792582496</v>
      </c>
      <c r="U24" s="112"/>
      <c r="V24" s="107">
        <f>SUM(K24:T24)</f>
        <v>-655123.50792582496</v>
      </c>
    </row>
    <row r="25" spans="1:22" x14ac:dyDescent="0.25">
      <c r="A25" s="104"/>
      <c r="B25" s="104" t="s">
        <v>59</v>
      </c>
      <c r="C25" s="104"/>
      <c r="D25" s="104"/>
      <c r="E25" s="112">
        <v>123808.79</v>
      </c>
      <c r="F25" s="112"/>
      <c r="G25" s="112">
        <v>47104.55</v>
      </c>
      <c r="H25" s="112"/>
      <c r="I25" s="107">
        <f>G25-E25</f>
        <v>-76704.239999999991</v>
      </c>
      <c r="J25" s="114"/>
      <c r="K25" s="112"/>
      <c r="L25" s="112"/>
      <c r="M25" s="112"/>
      <c r="N25" s="112"/>
      <c r="O25" s="112"/>
      <c r="P25" s="112"/>
      <c r="Q25" s="112"/>
      <c r="R25" s="112"/>
      <c r="S25" s="112">
        <v>-76704.237105871885</v>
      </c>
      <c r="T25" s="112"/>
      <c r="U25" s="112"/>
      <c r="V25" s="107">
        <f>SUM(K25:T25)</f>
        <v>-76704.237105871885</v>
      </c>
    </row>
    <row r="26" spans="1:22" x14ac:dyDescent="0.25">
      <c r="A26" s="104"/>
      <c r="B26" s="104" t="s">
        <v>60</v>
      </c>
      <c r="C26" s="104"/>
      <c r="D26" s="104"/>
      <c r="E26" s="112"/>
      <c r="F26" s="112"/>
      <c r="G26" s="112"/>
      <c r="H26" s="112"/>
      <c r="I26" s="107">
        <f>G26-E26</f>
        <v>0</v>
      </c>
      <c r="J26" s="114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07">
        <f>SUM(K26:T26)</f>
        <v>0</v>
      </c>
    </row>
    <row r="27" spans="1:22" x14ac:dyDescent="0.25">
      <c r="A27" s="104"/>
      <c r="B27" s="104" t="s">
        <v>61</v>
      </c>
      <c r="C27" s="104"/>
      <c r="D27" s="104"/>
      <c r="E27" s="112"/>
      <c r="F27" s="112"/>
      <c r="G27" s="112"/>
      <c r="H27" s="112"/>
      <c r="I27" s="107"/>
      <c r="J27" s="114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07">
        <f>SUM(K27:T27)</f>
        <v>0</v>
      </c>
    </row>
    <row r="28" spans="1:22" x14ac:dyDescent="0.25">
      <c r="A28" s="104"/>
      <c r="B28" s="104" t="s">
        <v>62</v>
      </c>
      <c r="C28" s="104"/>
      <c r="D28" s="104"/>
      <c r="E28" s="112"/>
      <c r="F28" s="112"/>
      <c r="G28" s="112"/>
      <c r="H28" s="112"/>
      <c r="I28" s="107"/>
      <c r="J28" s="114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07">
        <f>SUM(K28:T28)</f>
        <v>0</v>
      </c>
    </row>
    <row r="29" spans="1:22" x14ac:dyDescent="0.25">
      <c r="A29" s="104"/>
      <c r="B29" s="104" t="s">
        <v>63</v>
      </c>
      <c r="C29" s="104"/>
      <c r="D29" s="104"/>
      <c r="E29" s="113"/>
      <c r="F29" s="112"/>
      <c r="G29" s="113"/>
      <c r="H29" s="112"/>
      <c r="I29" s="107"/>
      <c r="J29" s="114"/>
      <c r="K29" s="1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07">
        <f>SUM(K29:T29)</f>
        <v>0</v>
      </c>
    </row>
    <row r="30" spans="1:22" ht="15.75" thickBot="1" x14ac:dyDescent="0.3">
      <c r="A30" s="109" t="s">
        <v>64</v>
      </c>
      <c r="E30" s="106">
        <f>SUM(E12:E29)</f>
        <v>1364843.58</v>
      </c>
      <c r="F30" s="107"/>
      <c r="G30" s="106">
        <f>SUM(G12:G29)</f>
        <v>633015.83000000007</v>
      </c>
      <c r="H30" s="107"/>
      <c r="I30" s="106">
        <f>SUM(I12:I29)</f>
        <v>-731827.75</v>
      </c>
      <c r="J30" s="108"/>
      <c r="K30" s="106">
        <f>SUM(K12:K29)</f>
        <v>0</v>
      </c>
      <c r="L30" s="107"/>
      <c r="M30" s="106">
        <f>SUM(M12:M29)</f>
        <v>0</v>
      </c>
      <c r="N30" s="107"/>
      <c r="O30" s="106">
        <f>SUM(O12:O29)</f>
        <v>0</v>
      </c>
      <c r="P30" s="107"/>
      <c r="Q30" s="106">
        <f>SUM(Q12:Q29)</f>
        <v>0</v>
      </c>
      <c r="R30" s="107"/>
      <c r="S30" s="106">
        <f>SUM(S12:S29)</f>
        <v>-76704.237105871885</v>
      </c>
      <c r="T30" s="106">
        <f>SUM(T12:T29)</f>
        <v>-655123.50792582496</v>
      </c>
      <c r="U30" s="107"/>
      <c r="V30" s="106">
        <f>SUM(V12:V29)</f>
        <v>-731827.74503169686</v>
      </c>
    </row>
    <row r="31" spans="1:22" ht="15.75" thickTop="1" x14ac:dyDescent="0.25">
      <c r="A31" s="104"/>
      <c r="B31" s="104"/>
      <c r="C31" s="104"/>
      <c r="D31" s="104"/>
      <c r="E31" s="105"/>
      <c r="F31" s="105"/>
      <c r="G31" s="105"/>
      <c r="H31" s="105"/>
      <c r="I31" s="105"/>
      <c r="J31" s="105"/>
      <c r="K31" s="105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</row>
    <row r="32" spans="1:22" x14ac:dyDescent="0.25">
      <c r="A32" s="104"/>
      <c r="B32" s="104"/>
      <c r="C32" s="104"/>
      <c r="D32" s="104"/>
      <c r="E32" s="105"/>
      <c r="F32" s="105"/>
      <c r="G32" s="105"/>
      <c r="H32" s="105"/>
      <c r="I32" s="105"/>
      <c r="J32" s="105"/>
      <c r="K32" s="105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</row>
    <row r="33" spans="1:22" x14ac:dyDescent="0.25">
      <c r="A33" s="104" t="s">
        <v>65</v>
      </c>
      <c r="B33" s="104"/>
      <c r="C33" s="104"/>
      <c r="D33" s="104"/>
      <c r="E33" s="105"/>
      <c r="F33" s="105"/>
      <c r="G33" s="105"/>
      <c r="H33" s="105"/>
      <c r="I33" s="105"/>
      <c r="J33" s="105"/>
      <c r="K33" s="105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</row>
    <row r="34" spans="1:22" x14ac:dyDescent="0.25">
      <c r="A34" s="104" t="s">
        <v>66</v>
      </c>
      <c r="B34" s="104"/>
      <c r="C34" s="104" t="s">
        <v>67</v>
      </c>
      <c r="D34" s="104"/>
      <c r="E34" s="105"/>
      <c r="F34" s="105"/>
      <c r="G34" s="105"/>
      <c r="H34" s="105"/>
      <c r="I34" s="105"/>
      <c r="J34" s="105"/>
      <c r="K34" s="105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</row>
    <row r="35" spans="1:22" x14ac:dyDescent="0.25">
      <c r="A35" s="104" t="s">
        <v>68</v>
      </c>
      <c r="B35" s="104"/>
      <c r="C35" s="104" t="s">
        <v>69</v>
      </c>
      <c r="D35" s="104"/>
      <c r="E35" s="105"/>
      <c r="F35" s="105"/>
      <c r="G35" s="105"/>
      <c r="H35" s="105"/>
      <c r="I35" s="105"/>
      <c r="J35" s="105"/>
      <c r="K35" s="105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</row>
    <row r="36" spans="1:22" x14ac:dyDescent="0.25">
      <c r="A36" s="104" t="s">
        <v>70</v>
      </c>
      <c r="B36" s="104"/>
      <c r="C36" s="104" t="s">
        <v>71</v>
      </c>
      <c r="D36" s="104"/>
      <c r="E36" s="105"/>
      <c r="F36" s="105"/>
      <c r="G36" s="105"/>
      <c r="H36" s="105"/>
      <c r="I36" s="105"/>
      <c r="J36" s="105"/>
      <c r="K36" s="105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</row>
    <row r="37" spans="1:22" x14ac:dyDescent="0.25">
      <c r="A37" s="104"/>
      <c r="B37" s="104"/>
      <c r="C37" s="104" t="s">
        <v>72</v>
      </c>
      <c r="D37" s="104"/>
      <c r="E37" s="105"/>
      <c r="F37" s="105"/>
      <c r="G37" s="105"/>
      <c r="H37" s="105"/>
      <c r="I37" s="105"/>
      <c r="J37" s="105"/>
      <c r="K37" s="105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</row>
    <row r="38" spans="1:22" x14ac:dyDescent="0.25">
      <c r="A38" s="104" t="s">
        <v>73</v>
      </c>
      <c r="B38" s="104"/>
      <c r="C38" s="104" t="s">
        <v>74</v>
      </c>
      <c r="D38" s="104"/>
      <c r="E38" s="105"/>
      <c r="F38" s="105"/>
      <c r="G38" s="105"/>
      <c r="H38" s="105"/>
      <c r="I38" s="105"/>
      <c r="J38" s="105"/>
      <c r="K38" s="105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</row>
    <row r="39" spans="1:22" x14ac:dyDescent="0.25">
      <c r="A39" s="104" t="s">
        <v>75</v>
      </c>
      <c r="B39" s="104"/>
      <c r="C39" s="104" t="s">
        <v>76</v>
      </c>
      <c r="D39" s="104"/>
      <c r="E39" s="105"/>
      <c r="F39" s="105"/>
      <c r="G39" s="105"/>
      <c r="H39" s="105"/>
      <c r="I39" s="105"/>
      <c r="J39" s="105"/>
      <c r="K39" s="105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</row>
    <row r="40" spans="1:22" x14ac:dyDescent="0.25">
      <c r="A40" s="104"/>
      <c r="B40" s="104"/>
      <c r="C40" s="104"/>
      <c r="D40" s="104"/>
      <c r="E40" s="105"/>
      <c r="F40" s="105"/>
      <c r="G40" s="105"/>
      <c r="H40" s="105"/>
      <c r="I40" s="105"/>
      <c r="J40" s="105"/>
      <c r="K40" s="105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</row>
  </sheetData>
  <printOptions horizontalCentered="1"/>
  <pageMargins left="0" right="0" top="0.75" bottom="0.75" header="0.3" footer="0.3"/>
  <pageSetup scale="58" orientation="landscape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359A-5F34-402D-8A9D-8B97D174AD52}">
  <sheetPr>
    <pageSetUpPr fitToPage="1"/>
  </sheetPr>
  <dimension ref="A1:J30"/>
  <sheetViews>
    <sheetView showGridLines="0" zoomScaleNormal="100" workbookViewId="0">
      <selection activeCell="E34" sqref="E34"/>
    </sheetView>
  </sheetViews>
  <sheetFormatPr defaultRowHeight="15" x14ac:dyDescent="0.25"/>
  <cols>
    <col min="1" max="1" width="12.140625" style="233" customWidth="1"/>
    <col min="2" max="2" width="5.28515625" style="233" customWidth="1"/>
    <col min="3" max="3" width="7.5703125" style="233" customWidth="1"/>
    <col min="4" max="4" width="4.5703125" style="233" customWidth="1"/>
    <col min="5" max="5" width="19" style="233" customWidth="1"/>
    <col min="6" max="6" width="17.42578125" style="233" customWidth="1"/>
    <col min="7" max="7" width="16.7109375" style="233" customWidth="1"/>
    <col min="8" max="8" width="14.42578125" style="233" customWidth="1"/>
    <col min="9" max="9" width="3" style="233" customWidth="1"/>
    <col min="10" max="10" width="22.140625" style="233" customWidth="1"/>
    <col min="11" max="16384" width="9.140625" style="233"/>
  </cols>
  <sheetData>
    <row r="1" spans="1:10" x14ac:dyDescent="0.25">
      <c r="A1" s="244"/>
      <c r="B1" s="244"/>
      <c r="C1" s="244"/>
      <c r="D1" s="244"/>
      <c r="E1" s="244"/>
      <c r="F1" s="244"/>
      <c r="G1" s="244"/>
      <c r="H1" s="244"/>
      <c r="I1" s="244" t="s">
        <v>0</v>
      </c>
      <c r="J1" s="244"/>
    </row>
    <row r="2" spans="1:10" x14ac:dyDescent="0.25">
      <c r="A2" s="256" t="s">
        <v>1</v>
      </c>
      <c r="B2" s="256"/>
      <c r="C2" s="256"/>
      <c r="D2" s="256"/>
      <c r="E2" s="256"/>
      <c r="F2" s="256"/>
      <c r="G2" s="256"/>
      <c r="H2" s="256"/>
      <c r="I2" s="256"/>
      <c r="J2" s="256"/>
    </row>
    <row r="3" spans="1:10" x14ac:dyDescent="0.25">
      <c r="A3" s="256" t="s">
        <v>128</v>
      </c>
      <c r="B3" s="256"/>
      <c r="C3" s="256"/>
      <c r="D3" s="256"/>
      <c r="E3" s="256"/>
      <c r="F3" s="256"/>
      <c r="G3" s="256"/>
      <c r="H3" s="256"/>
      <c r="I3" s="256"/>
      <c r="J3" s="256"/>
    </row>
    <row r="4" spans="1:10" x14ac:dyDescent="0.25">
      <c r="A4" s="256" t="s">
        <v>127</v>
      </c>
      <c r="B4" s="256"/>
      <c r="C4" s="256"/>
      <c r="D4" s="256"/>
      <c r="E4" s="256"/>
      <c r="F4" s="256"/>
      <c r="G4" s="256"/>
      <c r="H4" s="256"/>
      <c r="I4" s="256"/>
      <c r="J4" s="256"/>
    </row>
    <row r="5" spans="1:10" x14ac:dyDescent="0.25">
      <c r="A5" s="256" t="s">
        <v>126</v>
      </c>
      <c r="B5" s="256"/>
      <c r="C5" s="256"/>
      <c r="D5" s="256"/>
      <c r="E5" s="256"/>
      <c r="F5" s="256"/>
      <c r="G5" s="256"/>
      <c r="H5" s="256"/>
      <c r="I5" s="256"/>
      <c r="J5" s="256"/>
    </row>
    <row r="6" spans="1:10" x14ac:dyDescent="0.25">
      <c r="A6" s="256" t="s">
        <v>4</v>
      </c>
      <c r="B6" s="256"/>
      <c r="C6" s="256"/>
      <c r="D6" s="256"/>
      <c r="E6" s="256"/>
      <c r="F6" s="256"/>
      <c r="G6" s="256"/>
      <c r="H6" s="256"/>
      <c r="I6" s="256"/>
      <c r="J6" s="256"/>
    </row>
    <row r="7" spans="1:10" x14ac:dyDescent="0.25">
      <c r="A7" s="254" t="s">
        <v>5</v>
      </c>
      <c r="B7" s="254"/>
      <c r="C7" s="255" t="s">
        <v>125</v>
      </c>
      <c r="D7" s="255"/>
      <c r="E7" s="255"/>
      <c r="F7" s="255"/>
      <c r="G7" s="255"/>
      <c r="H7" s="255"/>
      <c r="I7" s="244"/>
      <c r="J7" s="244"/>
    </row>
    <row r="8" spans="1:10" x14ac:dyDescent="0.25">
      <c r="A8" s="254" t="s">
        <v>7</v>
      </c>
      <c r="B8" s="254"/>
      <c r="C8" s="255" t="s">
        <v>124</v>
      </c>
      <c r="D8" s="255"/>
      <c r="E8" s="255"/>
      <c r="F8" s="255"/>
      <c r="G8" s="255"/>
      <c r="H8" s="255"/>
      <c r="I8" s="244"/>
      <c r="J8" s="244"/>
    </row>
    <row r="9" spans="1:10" x14ac:dyDescent="0.25">
      <c r="A9" s="254"/>
      <c r="B9" s="254"/>
      <c r="C9" s="253"/>
      <c r="D9" s="253"/>
      <c r="E9" s="253"/>
      <c r="F9" s="253"/>
      <c r="G9" s="253"/>
      <c r="H9" s="253"/>
      <c r="I9" s="244"/>
      <c r="J9" s="244"/>
    </row>
    <row r="10" spans="1:10" x14ac:dyDescent="0.25">
      <c r="A10" s="244"/>
      <c r="B10" s="244"/>
      <c r="C10" s="244"/>
      <c r="D10" s="244"/>
      <c r="E10" s="244"/>
      <c r="F10" s="244"/>
      <c r="G10" s="244"/>
      <c r="H10" s="244"/>
      <c r="I10" s="244"/>
      <c r="J10" s="244"/>
    </row>
    <row r="11" spans="1:10" x14ac:dyDescent="0.25">
      <c r="A11" s="235"/>
      <c r="B11" s="235"/>
      <c r="C11" s="235"/>
      <c r="D11" s="235"/>
      <c r="E11" s="235"/>
      <c r="F11" s="235"/>
      <c r="G11" s="235"/>
      <c r="H11" s="235"/>
      <c r="I11" s="235"/>
      <c r="J11" s="235"/>
    </row>
    <row r="12" spans="1:10" x14ac:dyDescent="0.25">
      <c r="A12" s="252" t="s">
        <v>8</v>
      </c>
      <c r="B12" s="252"/>
      <c r="C12" s="252"/>
      <c r="D12" s="252"/>
      <c r="E12" s="252"/>
      <c r="F12" s="252"/>
      <c r="G12" s="252"/>
      <c r="H12" s="252"/>
      <c r="I12" s="252"/>
      <c r="J12" s="252"/>
    </row>
    <row r="13" spans="1:10" x14ac:dyDescent="0.25">
      <c r="A13" s="235"/>
      <c r="B13" s="235"/>
      <c r="C13" s="235"/>
      <c r="D13" s="235"/>
      <c r="E13" s="235"/>
      <c r="F13" s="235"/>
      <c r="G13" s="235"/>
      <c r="H13" s="235"/>
      <c r="I13" s="235"/>
      <c r="J13" s="235"/>
    </row>
    <row r="14" spans="1:10" ht="24.75" customHeight="1" x14ac:dyDescent="0.25">
      <c r="A14" s="251" t="s">
        <v>9</v>
      </c>
      <c r="B14" s="251"/>
      <c r="C14" s="251"/>
      <c r="D14" s="251"/>
      <c r="E14" s="251"/>
      <c r="F14" s="249" t="s">
        <v>10</v>
      </c>
      <c r="G14" s="249" t="s">
        <v>11</v>
      </c>
      <c r="H14" s="250" t="s">
        <v>12</v>
      </c>
      <c r="I14" s="250"/>
      <c r="J14" s="249" t="s">
        <v>13</v>
      </c>
    </row>
    <row r="15" spans="1:10" ht="17.25" customHeight="1" x14ac:dyDescent="0.25">
      <c r="A15" s="248" t="s">
        <v>14</v>
      </c>
      <c r="B15" s="248"/>
      <c r="C15" s="248"/>
      <c r="D15" s="248"/>
      <c r="E15" s="248"/>
      <c r="F15" s="248"/>
      <c r="G15" s="248"/>
      <c r="H15" s="248"/>
      <c r="I15" s="248"/>
      <c r="J15" s="248"/>
    </row>
    <row r="16" spans="1:10" x14ac:dyDescent="0.25">
      <c r="A16" s="244" t="s">
        <v>15</v>
      </c>
      <c r="B16" s="244"/>
      <c r="C16" s="244"/>
      <c r="D16" s="244"/>
      <c r="E16" s="244"/>
      <c r="F16" s="241">
        <v>0</v>
      </c>
      <c r="G16" s="241">
        <v>0</v>
      </c>
      <c r="H16" s="243">
        <v>0</v>
      </c>
      <c r="I16" s="243"/>
      <c r="J16" s="241">
        <f>F16+G16-H16</f>
        <v>0</v>
      </c>
    </row>
    <row r="17" spans="1:10" x14ac:dyDescent="0.25">
      <c r="A17" s="244" t="s">
        <v>16</v>
      </c>
      <c r="B17" s="244"/>
      <c r="C17" s="244"/>
      <c r="D17" s="244"/>
      <c r="E17" s="244"/>
      <c r="F17" s="241">
        <v>0</v>
      </c>
      <c r="G17" s="241">
        <v>0</v>
      </c>
      <c r="H17" s="243">
        <v>0</v>
      </c>
      <c r="I17" s="243"/>
      <c r="J17" s="241">
        <f>F17+G17-H17</f>
        <v>0</v>
      </c>
    </row>
    <row r="18" spans="1:10" x14ac:dyDescent="0.25">
      <c r="A18" s="246"/>
      <c r="B18" s="246"/>
      <c r="C18" s="246"/>
      <c r="D18" s="246"/>
      <c r="E18" s="246"/>
      <c r="F18" s="246"/>
      <c r="G18" s="246"/>
      <c r="H18" s="246"/>
      <c r="I18" s="246"/>
      <c r="J18" s="246"/>
    </row>
    <row r="19" spans="1:10" x14ac:dyDescent="0.25">
      <c r="A19" s="245" t="s">
        <v>17</v>
      </c>
      <c r="B19" s="245"/>
      <c r="C19" s="245"/>
      <c r="D19" s="245"/>
      <c r="E19" s="245"/>
      <c r="F19" s="245"/>
      <c r="G19" s="245"/>
      <c r="H19" s="245"/>
      <c r="I19" s="245"/>
      <c r="J19" s="245"/>
    </row>
    <row r="20" spans="1:10" x14ac:dyDescent="0.25">
      <c r="A20" s="257" t="s">
        <v>109</v>
      </c>
      <c r="B20" s="244"/>
      <c r="C20" s="244"/>
      <c r="D20" s="244"/>
      <c r="E20" s="244"/>
      <c r="F20" s="241">
        <v>586551</v>
      </c>
      <c r="G20" s="241">
        <v>0</v>
      </c>
      <c r="H20" s="243">
        <v>0</v>
      </c>
      <c r="I20" s="243"/>
      <c r="J20" s="241">
        <f>F20+G20-H20</f>
        <v>586551</v>
      </c>
    </row>
    <row r="21" spans="1:10" x14ac:dyDescent="0.25">
      <c r="A21" s="257" t="s">
        <v>123</v>
      </c>
      <c r="B21" s="244"/>
      <c r="C21" s="244"/>
      <c r="D21" s="244"/>
      <c r="E21" s="244"/>
      <c r="F21" s="241">
        <v>44814</v>
      </c>
      <c r="G21" s="241">
        <v>0</v>
      </c>
      <c r="H21" s="243">
        <v>0</v>
      </c>
      <c r="I21" s="243"/>
      <c r="J21" s="241">
        <f>F21+G21-H21</f>
        <v>44814</v>
      </c>
    </row>
    <row r="22" spans="1:10" x14ac:dyDescent="0.25">
      <c r="A22" s="244" t="s">
        <v>20</v>
      </c>
      <c r="B22" s="244"/>
      <c r="C22" s="244"/>
      <c r="D22" s="244"/>
      <c r="E22" s="244"/>
      <c r="F22" s="241">
        <v>0</v>
      </c>
      <c r="G22" s="241">
        <v>0</v>
      </c>
      <c r="H22" s="243">
        <v>0</v>
      </c>
      <c r="I22" s="243"/>
      <c r="J22" s="241">
        <f>F22+G22-H22</f>
        <v>0</v>
      </c>
    </row>
    <row r="23" spans="1:10" x14ac:dyDescent="0.25">
      <c r="A23" s="242"/>
      <c r="B23" s="242"/>
      <c r="C23" s="242"/>
      <c r="D23" s="242"/>
      <c r="E23" s="242"/>
      <c r="F23" s="241"/>
      <c r="G23" s="241"/>
      <c r="H23" s="241"/>
      <c r="I23" s="241"/>
      <c r="J23" s="241"/>
    </row>
    <row r="24" spans="1:10" ht="15.75" customHeight="1" x14ac:dyDescent="0.25">
      <c r="A24" s="240"/>
      <c r="B24" s="240"/>
      <c r="C24" s="240"/>
      <c r="D24" s="240"/>
      <c r="E24" s="240"/>
      <c r="F24" s="239"/>
      <c r="G24" s="239"/>
      <c r="H24" s="239"/>
      <c r="I24" s="239"/>
      <c r="J24" s="239"/>
    </row>
    <row r="25" spans="1:10" x14ac:dyDescent="0.25">
      <c r="A25" s="238" t="s">
        <v>7</v>
      </c>
      <c r="B25" s="237">
        <v>9333</v>
      </c>
      <c r="C25" s="237"/>
      <c r="D25" s="237"/>
      <c r="E25" s="236">
        <f>SUM(F16:F22)</f>
        <v>631365</v>
      </c>
      <c r="F25" s="236"/>
      <c r="G25" s="236">
        <v>0</v>
      </c>
      <c r="H25" s="236">
        <f>SUM(I16:I22)</f>
        <v>0</v>
      </c>
      <c r="I25" s="236"/>
      <c r="J25" s="236">
        <f>SUM(J16:J23)</f>
        <v>631365</v>
      </c>
    </row>
    <row r="26" spans="1:10" x14ac:dyDescent="0.25">
      <c r="A26" s="238"/>
      <c r="B26" s="237"/>
      <c r="C26" s="237"/>
      <c r="D26" s="237"/>
      <c r="E26" s="236"/>
      <c r="F26" s="236"/>
      <c r="G26" s="236"/>
      <c r="H26" s="236"/>
      <c r="I26" s="236"/>
      <c r="J26" s="236"/>
    </row>
    <row r="27" spans="1:10" x14ac:dyDescent="0.25">
      <c r="A27" s="235"/>
      <c r="B27" s="235"/>
      <c r="C27" s="235"/>
      <c r="D27" s="235"/>
      <c r="E27" s="235"/>
      <c r="F27" s="235"/>
      <c r="G27" s="235"/>
      <c r="H27" s="235"/>
      <c r="I27" s="235"/>
      <c r="J27" s="235"/>
    </row>
    <row r="28" spans="1:10" x14ac:dyDescent="0.25">
      <c r="A28" s="235"/>
      <c r="B28" s="235"/>
      <c r="C28" s="235"/>
      <c r="D28" s="235"/>
      <c r="E28" s="235"/>
      <c r="F28" s="235"/>
      <c r="G28" s="235"/>
      <c r="H28" s="235"/>
      <c r="I28" s="235"/>
      <c r="J28" s="235"/>
    </row>
    <row r="29" spans="1:10" x14ac:dyDescent="0.25">
      <c r="A29" s="235"/>
      <c r="B29" s="235"/>
      <c r="C29" s="235"/>
      <c r="D29" s="235"/>
      <c r="E29" s="235"/>
      <c r="F29" s="235"/>
      <c r="G29" s="235"/>
      <c r="H29" s="235"/>
      <c r="I29" s="235"/>
      <c r="J29" s="235"/>
    </row>
    <row r="30" spans="1:10" x14ac:dyDescent="0.25">
      <c r="A30" s="234"/>
      <c r="B30" s="234"/>
      <c r="C30" s="234"/>
      <c r="D30" s="234"/>
      <c r="E30" s="234"/>
      <c r="F30" s="234"/>
      <c r="G30" s="234"/>
      <c r="H30" s="234"/>
      <c r="I30" s="234"/>
      <c r="J30" s="234"/>
    </row>
  </sheetData>
  <mergeCells count="46">
    <mergeCell ref="A1:C1"/>
    <mergeCell ref="D1:H1"/>
    <mergeCell ref="I1:J1"/>
    <mergeCell ref="A2:J2"/>
    <mergeCell ref="A3:J3"/>
    <mergeCell ref="I9:J9"/>
    <mergeCell ref="A4:J4"/>
    <mergeCell ref="A5:J5"/>
    <mergeCell ref="A6:J6"/>
    <mergeCell ref="A7:B7"/>
    <mergeCell ref="C7:H7"/>
    <mergeCell ref="I7:J7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A13:J13"/>
    <mergeCell ref="A14:E14"/>
    <mergeCell ref="H14:I14"/>
    <mergeCell ref="A15:J15"/>
    <mergeCell ref="A16:E16"/>
    <mergeCell ref="H16:I16"/>
    <mergeCell ref="A21:E21"/>
    <mergeCell ref="H21:I21"/>
    <mergeCell ref="A22:E22"/>
    <mergeCell ref="H22:I22"/>
    <mergeCell ref="A27:J27"/>
    <mergeCell ref="A17:E17"/>
    <mergeCell ref="H17:I17"/>
    <mergeCell ref="A20:E20"/>
    <mergeCell ref="H20:I20"/>
    <mergeCell ref="A28:J28"/>
    <mergeCell ref="A29:J29"/>
    <mergeCell ref="A30:J30"/>
    <mergeCell ref="B25:D25"/>
    <mergeCell ref="E25:F26"/>
    <mergeCell ref="G25:G26"/>
    <mergeCell ref="H25:I26"/>
    <mergeCell ref="J25:J26"/>
    <mergeCell ref="B26:D26"/>
  </mergeCells>
  <pageMargins left="0.7" right="0.7" top="0.75" bottom="0.75" header="0.3" footer="0.3"/>
  <pageSetup scale="73" orientation="portrait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C0814-42E6-4E07-B5DF-CFE094282232}">
  <dimension ref="A1:V40"/>
  <sheetViews>
    <sheetView tabSelected="1" topLeftCell="A4" workbookViewId="0">
      <selection activeCell="M5" sqref="M5"/>
    </sheetView>
  </sheetViews>
  <sheetFormatPr defaultRowHeight="15" x14ac:dyDescent="0.25"/>
  <cols>
    <col min="1" max="1" width="1.7109375" style="102" customWidth="1"/>
    <col min="2" max="2" width="9" style="102" customWidth="1"/>
    <col min="3" max="3" width="44.28515625" style="102" customWidth="1"/>
    <col min="4" max="4" width="1.7109375" style="102" customWidth="1"/>
    <col min="5" max="5" width="15.7109375" style="103" customWidth="1"/>
    <col min="6" max="6" width="1.7109375" style="103" customWidth="1"/>
    <col min="7" max="7" width="15.7109375" style="103" customWidth="1"/>
    <col min="8" max="8" width="1.7109375" style="103" customWidth="1"/>
    <col min="9" max="9" width="15.7109375" style="103" customWidth="1"/>
    <col min="10" max="10" width="1.7109375" style="103" customWidth="1"/>
    <col min="11" max="11" width="15.7109375" style="103" customWidth="1"/>
    <col min="12" max="12" width="1.7109375" style="102" customWidth="1"/>
    <col min="13" max="13" width="15.7109375" style="102" customWidth="1"/>
    <col min="14" max="14" width="1.7109375" style="102" customWidth="1"/>
    <col min="15" max="15" width="15.7109375" style="102" customWidth="1"/>
    <col min="16" max="16" width="1.7109375" style="102" customWidth="1"/>
    <col min="17" max="17" width="15.7109375" style="102" customWidth="1"/>
    <col min="18" max="18" width="1.7109375" style="102" customWidth="1"/>
    <col min="19" max="20" width="15.7109375" style="102" customWidth="1"/>
    <col min="21" max="21" width="1.7109375" style="102" customWidth="1"/>
    <col min="22" max="22" width="15.7109375" style="102" customWidth="1"/>
    <col min="23" max="16384" width="9.140625" style="102"/>
  </cols>
  <sheetData>
    <row r="1" spans="1:22" x14ac:dyDescent="0.25">
      <c r="A1" s="123" t="s">
        <v>89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</row>
    <row r="2" spans="1:22" x14ac:dyDescent="0.25">
      <c r="A2" s="123" t="s">
        <v>22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</row>
    <row r="3" spans="1:22" x14ac:dyDescent="0.25">
      <c r="A3" s="123" t="s">
        <v>23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</row>
    <row r="4" spans="1:22" x14ac:dyDescent="0.25">
      <c r="A4" s="123" t="s">
        <v>132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</row>
    <row r="5" spans="1:22" x14ac:dyDescent="0.25">
      <c r="A5" s="123" t="s">
        <v>24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</row>
    <row r="6" spans="1:22" x14ac:dyDescent="0.25">
      <c r="A6" s="104"/>
      <c r="B6" s="104"/>
      <c r="C6" s="104"/>
      <c r="D6" s="104"/>
      <c r="E6" s="105"/>
      <c r="F6" s="105"/>
      <c r="G6" s="105"/>
      <c r="H6" s="105"/>
      <c r="I6" s="105"/>
      <c r="J6" s="105"/>
      <c r="K6" s="105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</row>
    <row r="7" spans="1:22" ht="15.75" thickBot="1" x14ac:dyDescent="0.3">
      <c r="A7" s="104"/>
      <c r="B7" s="104"/>
      <c r="C7" s="104"/>
      <c r="D7" s="104"/>
      <c r="E7" s="105"/>
      <c r="F7" s="105"/>
      <c r="G7" s="105"/>
      <c r="H7" s="105"/>
      <c r="I7" s="105"/>
      <c r="J7" s="116"/>
      <c r="K7" s="122" t="s">
        <v>25</v>
      </c>
      <c r="L7" s="122"/>
      <c r="M7" s="122"/>
      <c r="N7" s="122"/>
      <c r="O7" s="122"/>
      <c r="P7" s="122"/>
      <c r="Q7" s="122"/>
      <c r="R7" s="122"/>
      <c r="S7" s="122"/>
      <c r="T7" s="122"/>
      <c r="U7" s="104"/>
      <c r="V7" s="104"/>
    </row>
    <row r="8" spans="1:22" x14ac:dyDescent="0.25">
      <c r="A8" s="104"/>
      <c r="B8" s="104"/>
      <c r="C8" s="104"/>
      <c r="D8" s="104"/>
      <c r="E8" s="121" t="s">
        <v>26</v>
      </c>
      <c r="F8" s="118"/>
      <c r="G8" s="121" t="s">
        <v>27</v>
      </c>
      <c r="H8" s="118"/>
      <c r="I8" s="121" t="s">
        <v>28</v>
      </c>
      <c r="J8" s="119"/>
      <c r="K8" s="121" t="s">
        <v>29</v>
      </c>
      <c r="L8" s="104"/>
      <c r="M8" s="121" t="s">
        <v>30</v>
      </c>
      <c r="N8" s="118"/>
      <c r="O8" s="121" t="s">
        <v>31</v>
      </c>
      <c r="P8" s="118"/>
      <c r="Q8" s="121" t="s">
        <v>32</v>
      </c>
      <c r="R8" s="118"/>
      <c r="S8" s="121" t="s">
        <v>33</v>
      </c>
      <c r="T8" s="121" t="s">
        <v>34</v>
      </c>
      <c r="U8" s="118"/>
      <c r="V8" s="121" t="s">
        <v>35</v>
      </c>
    </row>
    <row r="9" spans="1:22" ht="108.75" x14ac:dyDescent="0.25">
      <c r="A9" s="115"/>
      <c r="B9" s="104"/>
      <c r="C9" s="104"/>
      <c r="D9" s="104"/>
      <c r="E9" s="117" t="s">
        <v>36</v>
      </c>
      <c r="F9" s="118"/>
      <c r="G9" s="117" t="s">
        <v>37</v>
      </c>
      <c r="H9" s="118"/>
      <c r="I9" s="120" t="s">
        <v>38</v>
      </c>
      <c r="J9" s="119"/>
      <c r="K9" s="117" t="s">
        <v>39</v>
      </c>
      <c r="L9" s="118"/>
      <c r="M9" s="117" t="s">
        <v>40</v>
      </c>
      <c r="N9" s="104"/>
      <c r="O9" s="117" t="s">
        <v>41</v>
      </c>
      <c r="P9" s="104"/>
      <c r="Q9" s="117" t="s">
        <v>131</v>
      </c>
      <c r="R9" s="104"/>
      <c r="S9" s="117" t="s">
        <v>130</v>
      </c>
      <c r="T9" s="117" t="s">
        <v>129</v>
      </c>
      <c r="U9" s="104"/>
      <c r="V9" s="117" t="s">
        <v>45</v>
      </c>
    </row>
    <row r="10" spans="1:22" x14ac:dyDescent="0.25">
      <c r="A10" s="104"/>
      <c r="B10" s="104"/>
      <c r="C10" s="104"/>
      <c r="D10" s="104"/>
      <c r="E10" s="105"/>
      <c r="F10" s="105"/>
      <c r="G10" s="105"/>
      <c r="H10" s="105"/>
      <c r="I10" s="105"/>
      <c r="J10" s="116"/>
      <c r="K10" s="105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</row>
    <row r="11" spans="1:22" x14ac:dyDescent="0.25">
      <c r="A11" s="115" t="s">
        <v>14</v>
      </c>
      <c r="B11" s="104"/>
      <c r="C11" s="104"/>
      <c r="D11" s="104"/>
      <c r="E11" s="105"/>
      <c r="F11" s="105"/>
      <c r="G11" s="105"/>
      <c r="H11" s="105"/>
      <c r="I11" s="105"/>
      <c r="J11" s="116"/>
      <c r="K11" s="105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</row>
    <row r="12" spans="1:22" x14ac:dyDescent="0.25">
      <c r="A12" s="104"/>
      <c r="B12" s="104" t="s">
        <v>46</v>
      </c>
      <c r="C12" s="104"/>
      <c r="D12" s="104"/>
      <c r="E12" s="112"/>
      <c r="F12" s="112"/>
      <c r="G12" s="112"/>
      <c r="H12" s="112"/>
      <c r="I12" s="107"/>
      <c r="J12" s="114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07">
        <f>SUM(K12:T12)</f>
        <v>0</v>
      </c>
    </row>
    <row r="13" spans="1:22" x14ac:dyDescent="0.25">
      <c r="A13" s="104"/>
      <c r="B13" s="104" t="s">
        <v>47</v>
      </c>
      <c r="C13" s="104"/>
      <c r="D13" s="104"/>
      <c r="E13" s="112"/>
      <c r="F13" s="112"/>
      <c r="G13" s="112"/>
      <c r="H13" s="112"/>
      <c r="I13" s="107"/>
      <c r="J13" s="114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07">
        <f>SUM(K13:T13)</f>
        <v>0</v>
      </c>
    </row>
    <row r="14" spans="1:22" x14ac:dyDescent="0.25">
      <c r="A14" s="104"/>
      <c r="B14" s="104" t="s">
        <v>48</v>
      </c>
      <c r="C14" s="104"/>
      <c r="D14" s="104"/>
      <c r="E14" s="112"/>
      <c r="F14" s="112"/>
      <c r="G14" s="112"/>
      <c r="H14" s="112"/>
      <c r="I14" s="107"/>
      <c r="J14" s="114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07">
        <f>SUM(K14:T14)</f>
        <v>0</v>
      </c>
    </row>
    <row r="15" spans="1:22" x14ac:dyDescent="0.25">
      <c r="A15" s="104"/>
      <c r="B15" s="104" t="s">
        <v>49</v>
      </c>
      <c r="C15" s="104"/>
      <c r="D15" s="104"/>
      <c r="E15" s="112"/>
      <c r="F15" s="112"/>
      <c r="G15" s="112"/>
      <c r="H15" s="112"/>
      <c r="I15" s="107"/>
      <c r="J15" s="114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07">
        <f>SUM(K15:T15)</f>
        <v>0</v>
      </c>
    </row>
    <row r="16" spans="1:22" x14ac:dyDescent="0.25">
      <c r="A16" s="104"/>
      <c r="B16" s="104" t="s">
        <v>50</v>
      </c>
      <c r="C16" s="104"/>
      <c r="D16" s="104"/>
      <c r="E16" s="112"/>
      <c r="F16" s="112"/>
      <c r="G16" s="112"/>
      <c r="H16" s="112"/>
      <c r="I16" s="107"/>
      <c r="J16" s="114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07">
        <f>SUM(K16:T16)</f>
        <v>0</v>
      </c>
    </row>
    <row r="17" spans="1:22" x14ac:dyDescent="0.25">
      <c r="A17" s="104"/>
      <c r="B17" s="104" t="s">
        <v>51</v>
      </c>
      <c r="C17" s="104"/>
      <c r="D17" s="104"/>
      <c r="E17" s="112"/>
      <c r="F17" s="112"/>
      <c r="G17" s="112"/>
      <c r="H17" s="112"/>
      <c r="I17" s="107"/>
      <c r="J17" s="114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07">
        <f>SUM(K17:T17)</f>
        <v>0</v>
      </c>
    </row>
    <row r="18" spans="1:22" x14ac:dyDescent="0.25">
      <c r="A18" s="115" t="s">
        <v>17</v>
      </c>
      <c r="B18" s="104"/>
      <c r="C18" s="104"/>
      <c r="D18" s="104"/>
      <c r="E18" s="112"/>
      <c r="F18" s="112"/>
      <c r="G18" s="112"/>
      <c r="H18" s="112"/>
      <c r="I18" s="107"/>
      <c r="J18" s="114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07"/>
    </row>
    <row r="19" spans="1:22" x14ac:dyDescent="0.25">
      <c r="A19" s="104"/>
      <c r="B19" s="104" t="s">
        <v>52</v>
      </c>
      <c r="C19" s="104"/>
      <c r="D19" s="104"/>
      <c r="E19" s="112"/>
      <c r="F19" s="112"/>
      <c r="G19" s="112"/>
      <c r="H19" s="112"/>
      <c r="I19" s="107"/>
      <c r="J19" s="114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07">
        <f>SUM(K19:T19)</f>
        <v>0</v>
      </c>
    </row>
    <row r="20" spans="1:22" x14ac:dyDescent="0.25">
      <c r="A20" s="104"/>
      <c r="B20" s="104" t="s">
        <v>53</v>
      </c>
      <c r="C20" s="104"/>
      <c r="D20" s="104"/>
      <c r="E20" s="112"/>
      <c r="F20" s="112"/>
      <c r="G20" s="112"/>
      <c r="H20" s="112"/>
      <c r="I20" s="107"/>
      <c r="J20" s="114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07">
        <f>SUM(K20:T20)</f>
        <v>0</v>
      </c>
    </row>
    <row r="21" spans="1:22" x14ac:dyDescent="0.25">
      <c r="A21" s="104"/>
      <c r="B21" s="104" t="s">
        <v>54</v>
      </c>
      <c r="C21" s="104"/>
      <c r="D21" s="104"/>
      <c r="E21" s="112"/>
      <c r="F21" s="112"/>
      <c r="G21" s="112"/>
      <c r="H21" s="112"/>
      <c r="I21" s="107"/>
      <c r="J21" s="114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07">
        <f>SUM(K21:T21)</f>
        <v>0</v>
      </c>
    </row>
    <row r="22" spans="1:22" x14ac:dyDescent="0.25">
      <c r="A22" s="104"/>
      <c r="B22" s="104" t="s">
        <v>55</v>
      </c>
      <c r="C22" s="104"/>
      <c r="D22" s="104"/>
      <c r="E22" s="112"/>
      <c r="F22" s="112"/>
      <c r="G22" s="112">
        <v>44814</v>
      </c>
      <c r="H22" s="112"/>
      <c r="I22" s="107">
        <f>G22-E22</f>
        <v>44814</v>
      </c>
      <c r="J22" s="114"/>
      <c r="K22" s="112"/>
      <c r="L22" s="112"/>
      <c r="M22" s="112"/>
      <c r="N22" s="112"/>
      <c r="O22" s="112"/>
      <c r="P22" s="112"/>
      <c r="Q22" s="112"/>
      <c r="R22" s="112"/>
      <c r="S22" s="112">
        <v>44814</v>
      </c>
      <c r="T22" s="112"/>
      <c r="U22" s="112"/>
      <c r="V22" s="107">
        <f>SUM(K22:T22)</f>
        <v>44814</v>
      </c>
    </row>
    <row r="23" spans="1:22" x14ac:dyDescent="0.25">
      <c r="A23" s="104"/>
      <c r="B23" s="104" t="s">
        <v>56</v>
      </c>
      <c r="C23" s="104"/>
      <c r="D23" s="104"/>
      <c r="E23" s="112"/>
      <c r="F23" s="112"/>
      <c r="G23" s="112"/>
      <c r="H23" s="112"/>
      <c r="I23" s="107"/>
      <c r="J23" s="114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07">
        <f>SUM(K23:T23)</f>
        <v>0</v>
      </c>
    </row>
    <row r="24" spans="1:22" x14ac:dyDescent="0.25">
      <c r="A24" s="104"/>
      <c r="B24" s="104" t="s">
        <v>57</v>
      </c>
      <c r="C24" s="104"/>
      <c r="D24" s="104"/>
      <c r="E24" s="112">
        <v>641481</v>
      </c>
      <c r="F24" s="112"/>
      <c r="G24" s="112">
        <v>586551</v>
      </c>
      <c r="H24" s="112"/>
      <c r="I24" s="107">
        <f>G24-E24</f>
        <v>-54930</v>
      </c>
      <c r="J24" s="114"/>
      <c r="K24" s="112"/>
      <c r="L24" s="112"/>
      <c r="M24" s="112"/>
      <c r="N24" s="112"/>
      <c r="O24" s="112"/>
      <c r="P24" s="112"/>
      <c r="Q24" s="112">
        <v>82518</v>
      </c>
      <c r="R24" s="112"/>
      <c r="S24" s="112"/>
      <c r="T24" s="112">
        <v>-137448</v>
      </c>
      <c r="U24" s="112"/>
      <c r="V24" s="107">
        <f>SUM(K24:T24)</f>
        <v>-54930</v>
      </c>
    </row>
    <row r="25" spans="1:22" x14ac:dyDescent="0.25">
      <c r="A25" s="104"/>
      <c r="B25" s="104" t="s">
        <v>58</v>
      </c>
      <c r="C25" s="104"/>
      <c r="D25" s="104"/>
      <c r="E25" s="112"/>
      <c r="F25" s="112"/>
      <c r="G25" s="112"/>
      <c r="H25" s="112"/>
      <c r="I25" s="107"/>
      <c r="J25" s="114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07">
        <f>SUM(K25:T25)</f>
        <v>0</v>
      </c>
    </row>
    <row r="26" spans="1:22" x14ac:dyDescent="0.25">
      <c r="A26" s="104"/>
      <c r="B26" s="104" t="s">
        <v>60</v>
      </c>
      <c r="C26" s="104"/>
      <c r="D26" s="104"/>
      <c r="E26" s="112"/>
      <c r="F26" s="112"/>
      <c r="G26" s="112"/>
      <c r="H26" s="112"/>
      <c r="I26" s="107"/>
      <c r="J26" s="114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07">
        <f>SUM(K26:T26)</f>
        <v>0</v>
      </c>
    </row>
    <row r="27" spans="1:22" x14ac:dyDescent="0.25">
      <c r="A27" s="104"/>
      <c r="B27" s="104" t="s">
        <v>61</v>
      </c>
      <c r="C27" s="104"/>
      <c r="D27" s="104"/>
      <c r="E27" s="112"/>
      <c r="F27" s="112"/>
      <c r="G27" s="112"/>
      <c r="H27" s="112"/>
      <c r="I27" s="107"/>
      <c r="J27" s="114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07">
        <f>SUM(K27:T27)</f>
        <v>0</v>
      </c>
    </row>
    <row r="28" spans="1:22" x14ac:dyDescent="0.25">
      <c r="A28" s="104"/>
      <c r="B28" s="104" t="s">
        <v>62</v>
      </c>
      <c r="C28" s="104"/>
      <c r="D28" s="104"/>
      <c r="E28" s="112"/>
      <c r="F28" s="112"/>
      <c r="G28" s="112"/>
      <c r="H28" s="112"/>
      <c r="I28" s="107"/>
      <c r="J28" s="114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07">
        <f>SUM(K28:T28)</f>
        <v>0</v>
      </c>
    </row>
    <row r="29" spans="1:22" x14ac:dyDescent="0.25">
      <c r="A29" s="104"/>
      <c r="B29" s="104" t="s">
        <v>63</v>
      </c>
      <c r="C29" s="104"/>
      <c r="D29" s="104"/>
      <c r="E29" s="113"/>
      <c r="F29" s="112"/>
      <c r="G29" s="113"/>
      <c r="H29" s="112"/>
      <c r="I29" s="107"/>
      <c r="J29" s="114"/>
      <c r="K29" s="113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07">
        <f>SUM(K29:T29)</f>
        <v>0</v>
      </c>
    </row>
    <row r="30" spans="1:22" ht="15.75" thickBot="1" x14ac:dyDescent="0.3">
      <c r="A30" s="109" t="s">
        <v>64</v>
      </c>
      <c r="E30" s="106">
        <f>SUM(E12:E29)</f>
        <v>641481</v>
      </c>
      <c r="F30" s="107"/>
      <c r="G30" s="106">
        <f>SUM(G12:G29)</f>
        <v>631365</v>
      </c>
      <c r="H30" s="107"/>
      <c r="I30" s="106">
        <f>SUM(I12:I29)</f>
        <v>-10116</v>
      </c>
      <c r="J30" s="108"/>
      <c r="K30" s="106">
        <f>SUM(K12:K29)</f>
        <v>0</v>
      </c>
      <c r="L30" s="107"/>
      <c r="M30" s="106">
        <f>SUM(M12:M29)</f>
        <v>0</v>
      </c>
      <c r="N30" s="107"/>
      <c r="O30" s="106">
        <f>SUM(O12:O29)</f>
        <v>0</v>
      </c>
      <c r="P30" s="107"/>
      <c r="Q30" s="106">
        <f>SUM(Q12:Q29)</f>
        <v>82518</v>
      </c>
      <c r="R30" s="107"/>
      <c r="S30" s="106">
        <f>SUM(S12:S29)</f>
        <v>44814</v>
      </c>
      <c r="T30" s="106">
        <f>SUM(T12:T29)</f>
        <v>-137448</v>
      </c>
      <c r="U30" s="107"/>
      <c r="V30" s="106">
        <f>SUM(V12:V29)</f>
        <v>-10116</v>
      </c>
    </row>
    <row r="31" spans="1:22" ht="15.75" thickTop="1" x14ac:dyDescent="0.25">
      <c r="A31" s="104"/>
      <c r="B31" s="104"/>
      <c r="C31" s="104"/>
      <c r="D31" s="104"/>
      <c r="E31" s="105"/>
      <c r="F31" s="105"/>
      <c r="G31" s="105"/>
      <c r="H31" s="105"/>
      <c r="I31" s="105"/>
      <c r="J31" s="105"/>
      <c r="K31" s="105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</row>
    <row r="32" spans="1:22" x14ac:dyDescent="0.25">
      <c r="A32" s="104"/>
      <c r="B32" s="104"/>
      <c r="C32" s="104"/>
      <c r="D32" s="104"/>
      <c r="E32" s="105"/>
      <c r="F32" s="105"/>
      <c r="G32" s="105"/>
      <c r="H32" s="105"/>
      <c r="I32" s="105"/>
      <c r="J32" s="105"/>
      <c r="K32" s="105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</row>
    <row r="33" spans="1:22" x14ac:dyDescent="0.25">
      <c r="A33" s="104" t="s">
        <v>65</v>
      </c>
      <c r="B33" s="104"/>
      <c r="C33" s="104"/>
      <c r="D33" s="104"/>
      <c r="E33" s="105"/>
      <c r="F33" s="105"/>
      <c r="G33" s="105"/>
      <c r="H33" s="105"/>
      <c r="I33" s="105"/>
      <c r="J33" s="105"/>
      <c r="K33" s="105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</row>
    <row r="34" spans="1:22" x14ac:dyDescent="0.25">
      <c r="A34" s="104" t="s">
        <v>66</v>
      </c>
      <c r="B34" s="104"/>
      <c r="C34" s="104" t="s">
        <v>67</v>
      </c>
      <c r="D34" s="104"/>
      <c r="E34" s="105"/>
      <c r="F34" s="105"/>
      <c r="G34" s="105"/>
      <c r="H34" s="105"/>
      <c r="I34" s="105"/>
      <c r="J34" s="105"/>
      <c r="K34" s="105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</row>
    <row r="35" spans="1:22" x14ac:dyDescent="0.25">
      <c r="A35" s="104" t="s">
        <v>68</v>
      </c>
      <c r="B35" s="104"/>
      <c r="C35" s="104" t="s">
        <v>69</v>
      </c>
      <c r="D35" s="104"/>
      <c r="E35" s="105"/>
      <c r="F35" s="105"/>
      <c r="G35" s="105"/>
      <c r="H35" s="105"/>
      <c r="I35" s="105"/>
      <c r="J35" s="105"/>
      <c r="K35" s="105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</row>
    <row r="36" spans="1:22" x14ac:dyDescent="0.25">
      <c r="A36" s="104" t="s">
        <v>70</v>
      </c>
      <c r="B36" s="104"/>
      <c r="C36" s="104" t="s">
        <v>71</v>
      </c>
      <c r="D36" s="104"/>
      <c r="E36" s="105"/>
      <c r="F36" s="105"/>
      <c r="G36" s="105"/>
      <c r="H36" s="105"/>
      <c r="I36" s="105"/>
      <c r="J36" s="105"/>
      <c r="K36" s="105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</row>
    <row r="37" spans="1:22" x14ac:dyDescent="0.25">
      <c r="A37" s="104"/>
      <c r="B37" s="104"/>
      <c r="C37" s="104" t="s">
        <v>72</v>
      </c>
      <c r="D37" s="104"/>
      <c r="E37" s="105"/>
      <c r="F37" s="105"/>
      <c r="G37" s="105"/>
      <c r="H37" s="105"/>
      <c r="I37" s="105"/>
      <c r="J37" s="105"/>
      <c r="K37" s="105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</row>
    <row r="38" spans="1:22" x14ac:dyDescent="0.25">
      <c r="A38" s="104" t="s">
        <v>73</v>
      </c>
      <c r="B38" s="104"/>
      <c r="C38" s="104" t="s">
        <v>74</v>
      </c>
      <c r="D38" s="104"/>
      <c r="E38" s="105"/>
      <c r="F38" s="105"/>
      <c r="G38" s="105"/>
      <c r="H38" s="105"/>
      <c r="I38" s="105"/>
      <c r="J38" s="105"/>
      <c r="K38" s="105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</row>
    <row r="39" spans="1:22" x14ac:dyDescent="0.25">
      <c r="A39" s="104" t="s">
        <v>75</v>
      </c>
      <c r="B39" s="104"/>
      <c r="C39" s="104" t="s">
        <v>76</v>
      </c>
      <c r="D39" s="104"/>
      <c r="E39" s="105"/>
      <c r="F39" s="105"/>
      <c r="G39" s="105"/>
      <c r="H39" s="105"/>
      <c r="I39" s="105"/>
      <c r="J39" s="105"/>
      <c r="K39" s="105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</row>
    <row r="40" spans="1:22" x14ac:dyDescent="0.25">
      <c r="A40" s="104"/>
      <c r="B40" s="104"/>
      <c r="C40" s="104"/>
      <c r="D40" s="104"/>
      <c r="E40" s="105"/>
      <c r="F40" s="105"/>
      <c r="G40" s="105"/>
      <c r="H40" s="105"/>
      <c r="I40" s="105"/>
      <c r="J40" s="105"/>
      <c r="K40" s="105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</row>
  </sheetData>
  <printOptions horizontalCentered="1"/>
  <pageMargins left="0" right="0" top="0.75" bottom="0.75" header="0.3" footer="0.3"/>
  <pageSetup scale="6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44</vt:i4>
      </vt:variant>
    </vt:vector>
  </HeadingPairs>
  <TitlesOfParts>
    <vt:vector size="63" baseType="lpstr">
      <vt:lpstr>F6001</vt:lpstr>
      <vt:lpstr>F6001 Diff</vt:lpstr>
      <vt:lpstr>F6005</vt:lpstr>
      <vt:lpstr>F6005 Diff</vt:lpstr>
      <vt:lpstr>F6026</vt:lpstr>
      <vt:lpstr>F6026 Diff</vt:lpstr>
      <vt:lpstr>F6027</vt:lpstr>
      <vt:lpstr>F6027 Diff</vt:lpstr>
      <vt:lpstr>F6031</vt:lpstr>
      <vt:lpstr>F6031 Diff</vt:lpstr>
      <vt:lpstr>F6051</vt:lpstr>
      <vt:lpstr>F6051 Diff</vt:lpstr>
      <vt:lpstr>F6052</vt:lpstr>
      <vt:lpstr>F6083</vt:lpstr>
      <vt:lpstr>F6083 Diff</vt:lpstr>
      <vt:lpstr>F6088</vt:lpstr>
      <vt:lpstr>F6088 Diff</vt:lpstr>
      <vt:lpstr>F9333</vt:lpstr>
      <vt:lpstr>F9333 Diff</vt:lpstr>
      <vt:lpstr>'F6005'!page\x2dtotal\x2dmaster0_2_1</vt:lpstr>
      <vt:lpstr>'F6005 Diff'!page\x2dtotal\x2dmaster0_2_1</vt:lpstr>
      <vt:lpstr>'F6026'!page\x2dtotal\x2dmaster0_2_1</vt:lpstr>
      <vt:lpstr>'F6026 Diff'!page\x2dtotal\x2dmaster0_2_1</vt:lpstr>
      <vt:lpstr>'F6027'!page\x2dtotal\x2dmaster0_2_1</vt:lpstr>
      <vt:lpstr>'F6031'!page\x2dtotal\x2dmaster0_2_1</vt:lpstr>
      <vt:lpstr>'F6031 Diff'!page\x2dtotal\x2dmaster0_2_1</vt:lpstr>
      <vt:lpstr>'F6051'!page\x2dtotal\x2dmaster0_2_1</vt:lpstr>
      <vt:lpstr>'F6051 Diff'!page\x2dtotal\x2dmaster0_2_1</vt:lpstr>
      <vt:lpstr>'F6052'!page\x2dtotal\x2dmaster0_2_1</vt:lpstr>
      <vt:lpstr>'F6083'!page\x2dtotal\x2dmaster0_2_1</vt:lpstr>
      <vt:lpstr>'F6083 Diff'!page\x2dtotal\x2dmaster0_2_1</vt:lpstr>
      <vt:lpstr>'F6088'!page\x2dtotal\x2dmaster0_2_1</vt:lpstr>
      <vt:lpstr>'F6088 Diff'!page\x2dtotal\x2dmaster0_2_1</vt:lpstr>
      <vt:lpstr>'F9333'!page\x2dtotal\x2dmaster0_2_1</vt:lpstr>
      <vt:lpstr>'F9333 Diff'!page\x2dtotal\x2dmaster0_2_1</vt:lpstr>
      <vt:lpstr>page\x2dtotal\x2dmaster0_2_1</vt:lpstr>
      <vt:lpstr>'F6005'!page\x2dtotal_2_1</vt:lpstr>
      <vt:lpstr>'F6005 Diff'!page\x2dtotal_2_1</vt:lpstr>
      <vt:lpstr>'F6026'!page\x2dtotal_2_1</vt:lpstr>
      <vt:lpstr>'F6026 Diff'!page\x2dtotal_2_1</vt:lpstr>
      <vt:lpstr>'F6027'!page\x2dtotal_2_1</vt:lpstr>
      <vt:lpstr>'F6031'!page\x2dtotal_2_1</vt:lpstr>
      <vt:lpstr>'F6031 Diff'!page\x2dtotal_2_1</vt:lpstr>
      <vt:lpstr>'F6051'!page\x2dtotal_2_1</vt:lpstr>
      <vt:lpstr>'F6051 Diff'!page\x2dtotal_2_1</vt:lpstr>
      <vt:lpstr>'F6052'!page\x2dtotal_2_1</vt:lpstr>
      <vt:lpstr>'F6083'!page\x2dtotal_2_1</vt:lpstr>
      <vt:lpstr>'F6083 Diff'!page\x2dtotal_2_1</vt:lpstr>
      <vt:lpstr>'F6088'!page\x2dtotal_2_1</vt:lpstr>
      <vt:lpstr>'F6088 Diff'!page\x2dtotal_2_1</vt:lpstr>
      <vt:lpstr>'F9333'!page\x2dtotal_2_1</vt:lpstr>
      <vt:lpstr>'F9333 Diff'!page\x2dtotal_2_1</vt:lpstr>
      <vt:lpstr>page\x2dtotal_2_1</vt:lpstr>
      <vt:lpstr>'F6001'!Print_Area</vt:lpstr>
      <vt:lpstr>'F6005'!Print_Area</vt:lpstr>
      <vt:lpstr>'F6026'!Print_Area</vt:lpstr>
      <vt:lpstr>'F6027'!Print_Area</vt:lpstr>
      <vt:lpstr>'F6031'!Print_Area</vt:lpstr>
      <vt:lpstr>'F6051'!Print_Area</vt:lpstr>
      <vt:lpstr>'F6052'!Print_Area</vt:lpstr>
      <vt:lpstr>'F6083'!Print_Area</vt:lpstr>
      <vt:lpstr>'F6088'!Print_Area</vt:lpstr>
      <vt:lpstr>'F9333'!Print_Area</vt:lpstr>
    </vt:vector>
  </TitlesOfParts>
  <Company>State of California - DWR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Onate, Olga@DWR</dc:creator>
  <cp:lastModifiedBy>Zhao, Jing</cp:lastModifiedBy>
  <dcterms:created xsi:type="dcterms:W3CDTF">2024-08-26T15:58:04Z</dcterms:created>
  <dcterms:modified xsi:type="dcterms:W3CDTF">2024-11-13T17:39:42Z</dcterms:modified>
</cp:coreProperties>
</file>