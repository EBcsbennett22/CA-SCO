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3970\"/>
    </mc:Choice>
  </mc:AlternateContent>
  <xr:revisionPtr revIDLastSave="0" documentId="13_ncr:1_{512FCB3A-8F9B-44BB-A282-E853E9FAF0C7}" xr6:coauthVersionLast="47" xr6:coauthVersionMax="47" xr10:uidLastSave="{00000000-0000-0000-0000-000000000000}"/>
  <bookViews>
    <workbookView xWindow="-24120" yWindow="-120" windowWidth="24240" windowHeight="13140" tabRatio="778" firstSheet="2" activeTab="15" xr2:uid="{00000000-000D-0000-FFFF-FFFF00000000}"/>
  </bookViews>
  <sheets>
    <sheet name="F0001" sheetId="1" r:id="rId1"/>
    <sheet name="F0106" sheetId="14" r:id="rId2"/>
    <sheet name="F0106 Diff" sheetId="15" r:id="rId3"/>
    <sheet name="F0133" sheetId="2" r:id="rId4"/>
    <sheet name="F0133 Diff" sheetId="3" r:id="rId5"/>
    <sheet name="F0193" sheetId="16" r:id="rId6"/>
    <sheet name="F0193 Diff" sheetId="17" r:id="rId7"/>
    <sheet name="F0226" sheetId="18" r:id="rId8"/>
    <sheet name="F0226 Diff" sheetId="19" r:id="rId9"/>
    <sheet name="F0269" sheetId="4" r:id="rId10"/>
    <sheet name="F0276" sheetId="20" r:id="rId11"/>
    <sheet name="F0278" sheetId="13" r:id="rId12"/>
    <sheet name="F0281" sheetId="5" r:id="rId13"/>
    <sheet name="F0281 Diff" sheetId="6" r:id="rId14"/>
    <sheet name="F0386" sheetId="21" r:id="rId15"/>
    <sheet name="F0386 Diff" sheetId="22" r:id="rId16"/>
    <sheet name="F0387" sheetId="7" r:id="rId17"/>
    <sheet name="F0387 Diff" sheetId="8" r:id="rId18"/>
    <sheet name="F0558" sheetId="11" r:id="rId19"/>
    <sheet name="F0558 Diff" sheetId="12" r:id="rId20"/>
    <sheet name="F0679" sheetId="9" r:id="rId21"/>
    <sheet name="F0679 Diff" sheetId="10" r:id="rId22"/>
  </sheets>
  <externalReferences>
    <externalReference r:id="rId23"/>
    <externalReference r:id="rId24"/>
    <externalReference r:id="rId25"/>
  </externalReferences>
  <definedNames>
    <definedName name="page\x2dtotal\x2dmaster0_1_1">#REF!</definedName>
    <definedName name="page\x2dtotal\x2dmaster0_10_1" localSheetId="10">#REF!</definedName>
    <definedName name="page\x2dtotal\x2dmaster0_10_1" localSheetId="12">#REF!</definedName>
    <definedName name="page\x2dtotal\x2dmaster0_10_1" localSheetId="13">#REF!</definedName>
    <definedName name="page\x2dtotal\x2dmaster0_10_1" localSheetId="14">#REF!</definedName>
    <definedName name="page\x2dtotal\x2dmaster0_10_1" localSheetId="15">#REF!</definedName>
    <definedName name="page\x2dtotal\x2dmaster0_10_1" localSheetId="18">#REF!</definedName>
    <definedName name="page\x2dtotal\x2dmaster0_10_1" localSheetId="19">#REF!</definedName>
    <definedName name="page\x2dtotal\x2dmaster0_10_1">'F0679'!$A$22</definedName>
    <definedName name="page\x2dtotal\x2dmaster0_11_1" localSheetId="10">#REF!</definedName>
    <definedName name="page\x2dtotal\x2dmaster0_11_1" localSheetId="14">#REF!</definedName>
    <definedName name="page\x2dtotal\x2dmaster0_11_1" localSheetId="15">#REF!</definedName>
    <definedName name="page\x2dtotal\x2dmaster0_11_1" localSheetId="18">#REF!</definedName>
    <definedName name="page\x2dtotal\x2dmaster0_11_1" localSheetId="19">#REF!</definedName>
    <definedName name="page\x2dtotal\x2dmaster0_11_1">#REF!</definedName>
    <definedName name="page\x2dtotal\x2dmaster0_12_1" localSheetId="10">#REF!</definedName>
    <definedName name="page\x2dtotal\x2dmaster0_12_1" localSheetId="12">#REF!</definedName>
    <definedName name="page\x2dtotal\x2dmaster0_12_1" localSheetId="13">#REF!</definedName>
    <definedName name="page\x2dtotal\x2dmaster0_12_1" localSheetId="14">#REF!</definedName>
    <definedName name="page\x2dtotal\x2dmaster0_12_1" localSheetId="15">#REF!</definedName>
    <definedName name="page\x2dtotal\x2dmaster0_12_1">#REF!</definedName>
    <definedName name="page\x2dtotal\x2dmaster0_13_1">#REF!</definedName>
    <definedName name="page\x2dtotal\x2dmaster0_14_1">#REF!</definedName>
    <definedName name="page\x2dtotal\x2dmaster0_2_1" localSheetId="1">'F0106'!$A$22</definedName>
    <definedName name="page\x2dtotal\x2dmaster0_2_1" localSheetId="2">'F0106'!$A$22</definedName>
    <definedName name="page\x2dtotal\x2dmaster0_2_1">#REF!</definedName>
    <definedName name="page\x2dtotal\x2dmaster0_3_1" localSheetId="10">#REF!</definedName>
    <definedName name="page\x2dtotal\x2dmaster0_3_1" localSheetId="12">#REF!</definedName>
    <definedName name="page\x2dtotal\x2dmaster0_3_1" localSheetId="13">#REF!</definedName>
    <definedName name="page\x2dtotal\x2dmaster0_3_1" localSheetId="14">#REF!</definedName>
    <definedName name="page\x2dtotal\x2dmaster0_3_1" localSheetId="15">#REF!</definedName>
    <definedName name="page\x2dtotal\x2dmaster0_3_1" localSheetId="18">#REF!</definedName>
    <definedName name="page\x2dtotal\x2dmaster0_3_1" localSheetId="19">#REF!</definedName>
    <definedName name="page\x2dtotal\x2dmaster0_3_1">'F0133'!$A$26</definedName>
    <definedName name="page\x2dtotal\x2dmaster0_4_1" localSheetId="5">'F0193'!$A$22</definedName>
    <definedName name="page\x2dtotal\x2dmaster0_4_1" localSheetId="6">'F0193'!$A$22</definedName>
    <definedName name="page\x2dtotal\x2dmaster0_4_1" localSheetId="10">#REF!</definedName>
    <definedName name="page\x2dtotal\x2dmaster0_4_1" localSheetId="14">#REF!</definedName>
    <definedName name="page\x2dtotal\x2dmaster0_4_1" localSheetId="15">#REF!</definedName>
    <definedName name="page\x2dtotal\x2dmaster0_4_1" localSheetId="18">#REF!</definedName>
    <definedName name="page\x2dtotal\x2dmaster0_4_1" localSheetId="19">#REF!</definedName>
    <definedName name="page\x2dtotal\x2dmaster0_4_1">#REF!</definedName>
    <definedName name="page\x2dtotal\x2dmaster0_5_1" localSheetId="7">'F0226'!$A$22</definedName>
    <definedName name="page\x2dtotal\x2dmaster0_5_1" localSheetId="8">'F0226'!$A$22</definedName>
    <definedName name="page\x2dtotal\x2dmaster0_5_1" localSheetId="10">#REF!</definedName>
    <definedName name="page\x2dtotal\x2dmaster0_5_1" localSheetId="14">#REF!</definedName>
    <definedName name="page\x2dtotal\x2dmaster0_5_1" localSheetId="15">#REF!</definedName>
    <definedName name="page\x2dtotal\x2dmaster0_5_1" localSheetId="18">#REF!</definedName>
    <definedName name="page\x2dtotal\x2dmaster0_5_1" localSheetId="19">#REF!</definedName>
    <definedName name="page\x2dtotal\x2dmaster0_5_1">#REF!</definedName>
    <definedName name="page\x2dtotal\x2dmaster0_6_1" localSheetId="10">#REF!</definedName>
    <definedName name="page\x2dtotal\x2dmaster0_6_1" localSheetId="14">#REF!</definedName>
    <definedName name="page\x2dtotal\x2dmaster0_6_1" localSheetId="15">#REF!</definedName>
    <definedName name="page\x2dtotal\x2dmaster0_6_1" localSheetId="18">#REF!</definedName>
    <definedName name="page\x2dtotal\x2dmaster0_6_1" localSheetId="19">#REF!</definedName>
    <definedName name="page\x2dtotal\x2dmaster0_6_1">'F0281'!$A$22</definedName>
    <definedName name="page\x2dtotal\x2dmaster0_7_1" localSheetId="10">#REF!</definedName>
    <definedName name="page\x2dtotal\x2dmaster0_7_1" localSheetId="14">'F0386'!$A$22</definedName>
    <definedName name="page\x2dtotal\x2dmaster0_7_1" localSheetId="15">#REF!</definedName>
    <definedName name="page\x2dtotal\x2dmaster0_7_1" localSheetId="18">#REF!</definedName>
    <definedName name="page\x2dtotal\x2dmaster0_7_1" localSheetId="19">#REF!</definedName>
    <definedName name="page\x2dtotal\x2dmaster0_7_1">#REF!</definedName>
    <definedName name="page\x2dtotal\x2dmaster0_8_1" localSheetId="10">#REF!</definedName>
    <definedName name="page\x2dtotal\x2dmaster0_8_1" localSheetId="12">#REF!</definedName>
    <definedName name="page\x2dtotal\x2dmaster0_8_1" localSheetId="13">#REF!</definedName>
    <definedName name="page\x2dtotal\x2dmaster0_8_1" localSheetId="14">#REF!</definedName>
    <definedName name="page\x2dtotal\x2dmaster0_8_1" localSheetId="15">#REF!</definedName>
    <definedName name="page\x2dtotal\x2dmaster0_8_1" localSheetId="18">#REF!</definedName>
    <definedName name="page\x2dtotal\x2dmaster0_8_1" localSheetId="19">#REF!</definedName>
    <definedName name="page\x2dtotal\x2dmaster0_8_1">'F0387'!$A$22</definedName>
    <definedName name="page\x2dtotal\x2dmaster0_9_1" localSheetId="10">#REF!</definedName>
    <definedName name="page\x2dtotal\x2dmaster0_9_1" localSheetId="14">#REF!</definedName>
    <definedName name="page\x2dtotal\x2dmaster0_9_1" localSheetId="15">#REF!</definedName>
    <definedName name="page\x2dtotal\x2dmaster0_9_1" localSheetId="18">'F0558'!$A$22</definedName>
    <definedName name="page\x2dtotal\x2dmaster0_9_1" localSheetId="19">'F0558'!$A$22</definedName>
    <definedName name="page\x2dtotal\x2dmaster0_9_1">#REF!</definedName>
    <definedName name="page\x2dtotal_1_1" localSheetId="10">#REF!</definedName>
    <definedName name="page\x2dtotal_1_1" localSheetId="14">#REF!</definedName>
    <definedName name="page\x2dtotal_1_1" localSheetId="15">#REF!</definedName>
    <definedName name="page\x2dtotal_1_1" localSheetId="18">#REF!</definedName>
    <definedName name="page\x2dtotal_1_1" localSheetId="19">#REF!</definedName>
    <definedName name="page\x2dtotal_1_1">#REF!</definedName>
    <definedName name="page\x2dtotal_10_1" localSheetId="10">#REF!</definedName>
    <definedName name="page\x2dtotal_10_1" localSheetId="12">#REF!</definedName>
    <definedName name="page\x2dtotal_10_1" localSheetId="13">#REF!</definedName>
    <definedName name="page\x2dtotal_10_1" localSheetId="14">#REF!</definedName>
    <definedName name="page\x2dtotal_10_1" localSheetId="15">#REF!</definedName>
    <definedName name="page\x2dtotal_10_1" localSheetId="18">#REF!</definedName>
    <definedName name="page\x2dtotal_10_1" localSheetId="19">#REF!</definedName>
    <definedName name="page\x2dtotal_10_1">'F0679'!$A$22</definedName>
    <definedName name="page\x2dtotal_11_1" localSheetId="10">#REF!</definedName>
    <definedName name="page\x2dtotal_11_1" localSheetId="14">#REF!</definedName>
    <definedName name="page\x2dtotal_11_1" localSheetId="15">#REF!</definedName>
    <definedName name="page\x2dtotal_11_1" localSheetId="18">#REF!</definedName>
    <definedName name="page\x2dtotal_11_1" localSheetId="19">#REF!</definedName>
    <definedName name="page\x2dtotal_11_1">#REF!</definedName>
    <definedName name="page\x2dtotal_12_1" localSheetId="10">#REF!</definedName>
    <definedName name="page\x2dtotal_12_1" localSheetId="12">#REF!</definedName>
    <definedName name="page\x2dtotal_12_1" localSheetId="13">#REF!</definedName>
    <definedName name="page\x2dtotal_12_1" localSheetId="14">#REF!</definedName>
    <definedName name="page\x2dtotal_12_1" localSheetId="15">#REF!</definedName>
    <definedName name="page\x2dtotal_12_1">#REF!</definedName>
    <definedName name="page\x2dtotal_13_1">#REF!</definedName>
    <definedName name="page\x2dtotal_14_1">#REF!</definedName>
    <definedName name="page\x2dtotal_2_1" localSheetId="1">'F0106'!$A$22</definedName>
    <definedName name="page\x2dtotal_2_1" localSheetId="2">'F0106'!$A$22</definedName>
    <definedName name="page\x2dtotal_2_1">#REF!</definedName>
    <definedName name="page\x2dtotal_3_1" localSheetId="10">#REF!</definedName>
    <definedName name="page\x2dtotal_3_1" localSheetId="12">#REF!</definedName>
    <definedName name="page\x2dtotal_3_1" localSheetId="13">#REF!</definedName>
    <definedName name="page\x2dtotal_3_1" localSheetId="14">#REF!</definedName>
    <definedName name="page\x2dtotal_3_1" localSheetId="15">#REF!</definedName>
    <definedName name="page\x2dtotal_3_1" localSheetId="18">#REF!</definedName>
    <definedName name="page\x2dtotal_3_1" localSheetId="19">#REF!</definedName>
    <definedName name="page\x2dtotal_3_1">'F0133'!$A$26</definedName>
    <definedName name="page\x2dtotal_4_1" localSheetId="5">'F0193'!$A$22</definedName>
    <definedName name="page\x2dtotal_4_1" localSheetId="6">'F0193'!$A$22</definedName>
    <definedName name="page\x2dtotal_4_1" localSheetId="10">#REF!</definedName>
    <definedName name="page\x2dtotal_4_1" localSheetId="14">#REF!</definedName>
    <definedName name="page\x2dtotal_4_1" localSheetId="15">#REF!</definedName>
    <definedName name="page\x2dtotal_4_1" localSheetId="18">#REF!</definedName>
    <definedName name="page\x2dtotal_4_1" localSheetId="19">#REF!</definedName>
    <definedName name="page\x2dtotal_4_1">#REF!</definedName>
    <definedName name="page\x2dtotal_5_1" localSheetId="7">'F0226'!$A$22</definedName>
    <definedName name="page\x2dtotal_5_1" localSheetId="8">'F0226'!$A$22</definedName>
    <definedName name="page\x2dtotal_5_1" localSheetId="10">#REF!</definedName>
    <definedName name="page\x2dtotal_5_1" localSheetId="14">#REF!</definedName>
    <definedName name="page\x2dtotal_5_1" localSheetId="15">#REF!</definedName>
    <definedName name="page\x2dtotal_5_1" localSheetId="18">#REF!</definedName>
    <definedName name="page\x2dtotal_5_1" localSheetId="19">#REF!</definedName>
    <definedName name="page\x2dtotal_5_1">#REF!</definedName>
    <definedName name="page\x2dtotal_6_1" localSheetId="10">#REF!</definedName>
    <definedName name="page\x2dtotal_6_1" localSheetId="14">#REF!</definedName>
    <definedName name="page\x2dtotal_6_1" localSheetId="15">#REF!</definedName>
    <definedName name="page\x2dtotal_6_1" localSheetId="18">#REF!</definedName>
    <definedName name="page\x2dtotal_6_1" localSheetId="19">#REF!</definedName>
    <definedName name="page\x2dtotal_6_1">'F0281'!$A$22</definedName>
    <definedName name="page\x2dtotal_7_1" localSheetId="10">#REF!</definedName>
    <definedName name="page\x2dtotal_7_1" localSheetId="14">'F0386'!$A$22</definedName>
    <definedName name="page\x2dtotal_7_1" localSheetId="15">#REF!</definedName>
    <definedName name="page\x2dtotal_7_1" localSheetId="18">#REF!</definedName>
    <definedName name="page\x2dtotal_7_1" localSheetId="19">#REF!</definedName>
    <definedName name="page\x2dtotal_7_1">#REF!</definedName>
    <definedName name="page\x2dtotal_8_1" localSheetId="10">#REF!</definedName>
    <definedName name="page\x2dtotal_8_1" localSheetId="12">#REF!</definedName>
    <definedName name="page\x2dtotal_8_1" localSheetId="13">#REF!</definedName>
    <definedName name="page\x2dtotal_8_1" localSheetId="14">#REF!</definedName>
    <definedName name="page\x2dtotal_8_1" localSheetId="15">#REF!</definedName>
    <definedName name="page\x2dtotal_8_1" localSheetId="18">#REF!</definedName>
    <definedName name="page\x2dtotal_8_1" localSheetId="19">#REF!</definedName>
    <definedName name="page\x2dtotal_8_1">'F0387'!$A$22</definedName>
    <definedName name="page\x2dtotal_9_1" localSheetId="10">#REF!</definedName>
    <definedName name="page\x2dtotal_9_1" localSheetId="14">#REF!</definedName>
    <definedName name="page\x2dtotal_9_1" localSheetId="15">#REF!</definedName>
    <definedName name="page\x2dtotal_9_1" localSheetId="18">'F0558'!$A$22</definedName>
    <definedName name="page\x2dtotal_9_1" localSheetId="19">'F0558'!$A$22</definedName>
    <definedName name="page\x2dtotal_9_1">#REF!</definedName>
    <definedName name="_xlnm.Print_Area" localSheetId="10">'F0276'!$A$1:$J$26</definedName>
    <definedName name="_xlnm.Print_Area" localSheetId="13">'F0281 Diff'!$A$1:$V$33</definedName>
    <definedName name="_xlnm.Print_Area" localSheetId="19">'F0558 Diff'!$A$1:$V$32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2" l="1"/>
  <c r="V12" i="22"/>
  <c r="I13" i="22"/>
  <c r="V13" i="22"/>
  <c r="I14" i="22"/>
  <c r="V14" i="22"/>
  <c r="V30" i="22" s="1"/>
  <c r="I15" i="22"/>
  <c r="I16" i="22"/>
  <c r="I17" i="22"/>
  <c r="I19" i="22"/>
  <c r="V19" i="22"/>
  <c r="I20" i="22"/>
  <c r="V20" i="22"/>
  <c r="I21" i="22"/>
  <c r="V21" i="22"/>
  <c r="I22" i="22"/>
  <c r="V22" i="22"/>
  <c r="I23" i="22"/>
  <c r="V23" i="22"/>
  <c r="I24" i="22"/>
  <c r="V24" i="22"/>
  <c r="I25" i="22"/>
  <c r="V25" i="22"/>
  <c r="I26" i="22"/>
  <c r="V26" i="22"/>
  <c r="I27" i="22"/>
  <c r="V27" i="22"/>
  <c r="I28" i="22"/>
  <c r="V28" i="22"/>
  <c r="I29" i="22"/>
  <c r="V29" i="22"/>
  <c r="E30" i="22"/>
  <c r="G30" i="22"/>
  <c r="K30" i="22"/>
  <c r="M30" i="22"/>
  <c r="O30" i="22"/>
  <c r="Q30" i="22"/>
  <c r="S30" i="22"/>
  <c r="T30" i="22"/>
  <c r="I30" i="22" l="1"/>
  <c r="J9" i="20"/>
  <c r="J10" i="20"/>
  <c r="J11" i="20"/>
  <c r="J12" i="20"/>
  <c r="J13" i="20"/>
  <c r="J24" i="20" s="1"/>
  <c r="J14" i="20"/>
  <c r="J15" i="20"/>
  <c r="J16" i="20"/>
  <c r="J17" i="20"/>
  <c r="J18" i="20"/>
  <c r="J19" i="20"/>
  <c r="J20" i="20"/>
  <c r="J21" i="20"/>
  <c r="J22" i="20"/>
  <c r="J23" i="20"/>
  <c r="D24" i="20"/>
  <c r="F24" i="20"/>
  <c r="H24" i="20"/>
  <c r="I12" i="19" l="1"/>
  <c r="V12" i="19"/>
  <c r="I13" i="19"/>
  <c r="V13" i="19"/>
  <c r="I14" i="19"/>
  <c r="V14" i="19"/>
  <c r="V30" i="19" s="1"/>
  <c r="I15" i="19"/>
  <c r="I16" i="19"/>
  <c r="I30" i="19" s="1"/>
  <c r="I17" i="19"/>
  <c r="V17" i="19"/>
  <c r="I19" i="19"/>
  <c r="V19" i="19"/>
  <c r="I20" i="19"/>
  <c r="V20" i="19"/>
  <c r="I21" i="19"/>
  <c r="V21" i="19"/>
  <c r="I22" i="19"/>
  <c r="V22" i="19"/>
  <c r="I23" i="19"/>
  <c r="V23" i="19"/>
  <c r="I24" i="19"/>
  <c r="V24" i="19"/>
  <c r="I25" i="19"/>
  <c r="V25" i="19"/>
  <c r="I26" i="19"/>
  <c r="V26" i="19"/>
  <c r="I27" i="19"/>
  <c r="V27" i="19"/>
  <c r="I28" i="19"/>
  <c r="V28" i="19"/>
  <c r="I29" i="19"/>
  <c r="V29" i="19"/>
  <c r="E30" i="19"/>
  <c r="G30" i="19"/>
  <c r="K30" i="19"/>
  <c r="M30" i="19"/>
  <c r="O30" i="19"/>
  <c r="Q30" i="19"/>
  <c r="S30" i="19"/>
  <c r="T30" i="19"/>
  <c r="I12" i="17" l="1"/>
  <c r="V12" i="17"/>
  <c r="I13" i="17"/>
  <c r="V13" i="17"/>
  <c r="I14" i="17"/>
  <c r="V14" i="17"/>
  <c r="V30" i="17" s="1"/>
  <c r="I15" i="17"/>
  <c r="I30" i="17" s="1"/>
  <c r="V15" i="17"/>
  <c r="I16" i="17"/>
  <c r="V16" i="17"/>
  <c r="I17" i="17"/>
  <c r="V17" i="17"/>
  <c r="I19" i="17"/>
  <c r="V19" i="17"/>
  <c r="I20" i="17"/>
  <c r="V20" i="17"/>
  <c r="I21" i="17"/>
  <c r="V21" i="17"/>
  <c r="I22" i="17"/>
  <c r="V22" i="17"/>
  <c r="I23" i="17"/>
  <c r="V23" i="17"/>
  <c r="I24" i="17"/>
  <c r="V24" i="17"/>
  <c r="I25" i="17"/>
  <c r="V25" i="17"/>
  <c r="I26" i="17"/>
  <c r="V26" i="17"/>
  <c r="I27" i="17"/>
  <c r="V27" i="17"/>
  <c r="I28" i="17"/>
  <c r="V28" i="17"/>
  <c r="I29" i="17"/>
  <c r="V29" i="17"/>
  <c r="E30" i="17"/>
  <c r="G30" i="17"/>
  <c r="K30" i="17"/>
  <c r="M30" i="17"/>
  <c r="O30" i="17"/>
  <c r="Q30" i="17"/>
  <c r="S30" i="17"/>
  <c r="T30" i="17"/>
  <c r="I12" i="15" l="1"/>
  <c r="V12" i="15"/>
  <c r="I13" i="15"/>
  <c r="V13" i="15"/>
  <c r="I14" i="15"/>
  <c r="V14" i="15"/>
  <c r="V30" i="15" s="1"/>
  <c r="E15" i="15"/>
  <c r="E30" i="15" s="1"/>
  <c r="I15" i="15"/>
  <c r="I30" i="15" s="1"/>
  <c r="V15" i="15"/>
  <c r="I16" i="15"/>
  <c r="V16" i="15"/>
  <c r="I17" i="15"/>
  <c r="V17" i="15"/>
  <c r="I19" i="15"/>
  <c r="V19" i="15"/>
  <c r="I20" i="15"/>
  <c r="V20" i="15"/>
  <c r="I21" i="15"/>
  <c r="V21" i="15"/>
  <c r="I22" i="15"/>
  <c r="V22" i="15"/>
  <c r="I23" i="15"/>
  <c r="V23" i="15"/>
  <c r="I24" i="15"/>
  <c r="V24" i="15"/>
  <c r="I25" i="15"/>
  <c r="V25" i="15"/>
  <c r="I26" i="15"/>
  <c r="V26" i="15"/>
  <c r="I27" i="15"/>
  <c r="V27" i="15"/>
  <c r="I28" i="15"/>
  <c r="V28" i="15"/>
  <c r="I29" i="15"/>
  <c r="V29" i="15"/>
  <c r="G30" i="15"/>
  <c r="K30" i="15"/>
  <c r="M30" i="15"/>
  <c r="O30" i="15"/>
  <c r="Q30" i="15"/>
  <c r="S30" i="15"/>
  <c r="T30" i="15"/>
  <c r="J9" i="13" l="1"/>
  <c r="J24" i="13" s="1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D24" i="13"/>
  <c r="F24" i="13"/>
  <c r="H24" i="13"/>
  <c r="I12" i="12" l="1"/>
  <c r="V12" i="12"/>
  <c r="I13" i="12"/>
  <c r="V13" i="12"/>
  <c r="I14" i="12"/>
  <c r="V14" i="12"/>
  <c r="I15" i="12"/>
  <c r="V15" i="12"/>
  <c r="I16" i="12"/>
  <c r="V16" i="12"/>
  <c r="I17" i="12"/>
  <c r="V17" i="12"/>
  <c r="I19" i="12"/>
  <c r="V19" i="12"/>
  <c r="I20" i="12"/>
  <c r="V20" i="12"/>
  <c r="I21" i="12"/>
  <c r="V21" i="12"/>
  <c r="I22" i="12"/>
  <c r="V22" i="12"/>
  <c r="I23" i="12"/>
  <c r="V23" i="12"/>
  <c r="I24" i="12"/>
  <c r="V24" i="12"/>
  <c r="I25" i="12"/>
  <c r="V25" i="12"/>
  <c r="I26" i="12"/>
  <c r="V26" i="12"/>
  <c r="I27" i="12"/>
  <c r="V27" i="12"/>
  <c r="I28" i="12"/>
  <c r="V28" i="12"/>
  <c r="I29" i="12"/>
  <c r="V29" i="12"/>
  <c r="E30" i="12"/>
  <c r="G30" i="12"/>
  <c r="K30" i="12"/>
  <c r="M30" i="12"/>
  <c r="O30" i="12"/>
  <c r="Q30" i="12"/>
  <c r="S30" i="12"/>
  <c r="T30" i="12"/>
  <c r="V30" i="12" l="1"/>
  <c r="I30" i="12"/>
  <c r="I12" i="10" l="1"/>
  <c r="I30" i="10" s="1"/>
  <c r="V12" i="10"/>
  <c r="V30" i="10" s="1"/>
  <c r="I13" i="10"/>
  <c r="V13" i="10"/>
  <c r="I14" i="10"/>
  <c r="V14" i="10"/>
  <c r="I15" i="10"/>
  <c r="V15" i="10"/>
  <c r="I16" i="10"/>
  <c r="V16" i="10"/>
  <c r="I17" i="10"/>
  <c r="V17" i="10"/>
  <c r="I19" i="10"/>
  <c r="V19" i="10"/>
  <c r="I20" i="10"/>
  <c r="V20" i="10"/>
  <c r="I21" i="10"/>
  <c r="V21" i="10"/>
  <c r="I22" i="10"/>
  <c r="V22" i="10"/>
  <c r="I23" i="10"/>
  <c r="V23" i="10"/>
  <c r="I24" i="10"/>
  <c r="V24" i="10"/>
  <c r="I25" i="10"/>
  <c r="V25" i="10"/>
  <c r="I26" i="10"/>
  <c r="V26" i="10"/>
  <c r="I27" i="10"/>
  <c r="V27" i="10"/>
  <c r="I28" i="10"/>
  <c r="V28" i="10"/>
  <c r="I29" i="10"/>
  <c r="V29" i="10"/>
  <c r="E30" i="10"/>
  <c r="G30" i="10"/>
  <c r="K30" i="10"/>
  <c r="M30" i="10"/>
  <c r="O30" i="10"/>
  <c r="Q30" i="10"/>
  <c r="S30" i="10"/>
  <c r="T30" i="10"/>
  <c r="I12" i="8"/>
  <c r="V12" i="8"/>
  <c r="I13" i="8"/>
  <c r="V13" i="8"/>
  <c r="I14" i="8"/>
  <c r="V14" i="8"/>
  <c r="V30" i="8" s="1"/>
  <c r="I15" i="8"/>
  <c r="I30" i="8" s="1"/>
  <c r="V15" i="8"/>
  <c r="I16" i="8"/>
  <c r="V16" i="8"/>
  <c r="I17" i="8"/>
  <c r="V17" i="8"/>
  <c r="I19" i="8"/>
  <c r="V19" i="8"/>
  <c r="I20" i="8"/>
  <c r="V20" i="8"/>
  <c r="I21" i="8"/>
  <c r="V21" i="8"/>
  <c r="I22" i="8"/>
  <c r="V22" i="8"/>
  <c r="I23" i="8"/>
  <c r="V23" i="8"/>
  <c r="I24" i="8"/>
  <c r="V24" i="8"/>
  <c r="I25" i="8"/>
  <c r="V25" i="8"/>
  <c r="I26" i="8"/>
  <c r="V26" i="8"/>
  <c r="I27" i="8"/>
  <c r="V27" i="8"/>
  <c r="I28" i="8"/>
  <c r="V28" i="8"/>
  <c r="I29" i="8"/>
  <c r="V29" i="8"/>
  <c r="E30" i="8"/>
  <c r="G30" i="8"/>
  <c r="K30" i="8"/>
  <c r="M30" i="8"/>
  <c r="O30" i="8"/>
  <c r="Q30" i="8"/>
  <c r="S30" i="8"/>
  <c r="T30" i="8"/>
  <c r="I12" i="6"/>
  <c r="I30" i="6" s="1"/>
  <c r="V12" i="6"/>
  <c r="V30" i="6" s="1"/>
  <c r="I13" i="6"/>
  <c r="V13" i="6"/>
  <c r="I14" i="6"/>
  <c r="V14" i="6"/>
  <c r="I15" i="6"/>
  <c r="V15" i="6"/>
  <c r="I16" i="6"/>
  <c r="V16" i="6"/>
  <c r="I17" i="6"/>
  <c r="V17" i="6"/>
  <c r="I19" i="6"/>
  <c r="V19" i="6"/>
  <c r="I20" i="6"/>
  <c r="V20" i="6"/>
  <c r="I21" i="6"/>
  <c r="V21" i="6"/>
  <c r="I22" i="6"/>
  <c r="V22" i="6"/>
  <c r="I23" i="6"/>
  <c r="V23" i="6"/>
  <c r="I24" i="6"/>
  <c r="V24" i="6"/>
  <c r="I25" i="6"/>
  <c r="V25" i="6"/>
  <c r="I26" i="6"/>
  <c r="V26" i="6"/>
  <c r="I27" i="6"/>
  <c r="V27" i="6"/>
  <c r="I28" i="6"/>
  <c r="V28" i="6"/>
  <c r="I29" i="6"/>
  <c r="V29" i="6"/>
  <c r="E30" i="6"/>
  <c r="G30" i="6"/>
  <c r="K30" i="6"/>
  <c r="M30" i="6"/>
  <c r="O30" i="6"/>
  <c r="Q30" i="6"/>
  <c r="S30" i="6"/>
  <c r="T30" i="6"/>
  <c r="I12" i="3"/>
  <c r="V12" i="3"/>
  <c r="I13" i="3"/>
  <c r="V13" i="3"/>
  <c r="I14" i="3"/>
  <c r="V14" i="3"/>
  <c r="V30" i="3" s="1"/>
  <c r="I15" i="3"/>
  <c r="I30" i="3" s="1"/>
  <c r="V15" i="3"/>
  <c r="I16" i="3"/>
  <c r="V16" i="3"/>
  <c r="I17" i="3"/>
  <c r="V17" i="3"/>
  <c r="I19" i="3"/>
  <c r="V19" i="3"/>
  <c r="I20" i="3"/>
  <c r="V20" i="3"/>
  <c r="I21" i="3"/>
  <c r="V21" i="3"/>
  <c r="I22" i="3"/>
  <c r="V22" i="3"/>
  <c r="I23" i="3"/>
  <c r="V23" i="3"/>
  <c r="I24" i="3"/>
  <c r="V24" i="3"/>
  <c r="I25" i="3"/>
  <c r="V25" i="3"/>
  <c r="I26" i="3"/>
  <c r="V26" i="3"/>
  <c r="I27" i="3"/>
  <c r="V27" i="3"/>
  <c r="I28" i="3"/>
  <c r="V28" i="3"/>
  <c r="I29" i="3"/>
  <c r="V29" i="3"/>
  <c r="E30" i="3"/>
  <c r="G30" i="3"/>
  <c r="K30" i="3"/>
  <c r="M30" i="3"/>
  <c r="O30" i="3"/>
  <c r="Q30" i="3"/>
  <c r="S30" i="3"/>
  <c r="T30" i="3"/>
</calcChain>
</file>

<file path=xl/sharedStrings.xml><?xml version="1.0" encoding="utf-8"?>
<sst xmlns="http://schemas.openxmlformats.org/spreadsheetml/2006/main" count="924" uniqueCount="203">
  <si>
    <r>
      <rPr>
        <b/>
        <sz val="11"/>
        <rFont val="Calibri"/>
        <family val="2"/>
      </rPr>
      <t xml:space="preserve">DEPARTMENT OF RESOURCES RECYCLING AND RECOVERY (3970)
</t>
    </r>
    <r>
      <rPr>
        <b/>
        <sz val="11"/>
        <rFont val="Calibri"/>
        <family val="2"/>
      </rPr>
      <t xml:space="preserve">Statement of Changes in Capital Assets Group of Accounts - Report 18 General Fund (0001)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</si>
  <si>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>CAPITAL ASSETS</t>
    </r>
  </si>
  <si>
    <r>
      <rPr>
        <b/>
        <sz val="11"/>
        <rFont val="Calibri"/>
        <family val="2"/>
      </rPr>
      <t xml:space="preserve">Beginning
</t>
    </r>
    <r>
      <rPr>
        <b/>
        <sz val="11"/>
        <rFont val="Calibri"/>
        <family val="2"/>
      </rPr>
      <t>Balance</t>
    </r>
    <r>
      <rPr>
        <b/>
        <vertAlign val="superscript"/>
        <sz val="11"/>
        <rFont val="Calibri"/>
        <family val="2"/>
      </rPr>
      <t>1</t>
    </r>
    <r>
      <rPr>
        <b/>
        <sz val="11"/>
        <rFont val="Calibri"/>
        <family val="2"/>
      </rPr>
      <t xml:space="preserve">                </t>
    </r>
    <r>
      <rPr>
        <u/>
        <sz val="11"/>
        <rFont val="Times New Roman"/>
        <family val="1"/>
      </rPr>
      <t>        </t>
    </r>
    <r>
      <rPr>
        <b/>
        <u/>
        <sz val="11"/>
        <rFont val="Calibri"/>
        <family val="2"/>
      </rPr>
      <t>Additions         </t>
    </r>
    <r>
      <rPr>
        <b/>
        <sz val="11"/>
        <rFont val="Calibri"/>
        <family val="2"/>
      </rPr>
      <t xml:space="preserve">      </t>
    </r>
    <r>
      <rPr>
        <u/>
        <sz val="11"/>
        <rFont val="Times New Roman"/>
        <family val="1"/>
      </rPr>
      <t>       </t>
    </r>
    <r>
      <rPr>
        <b/>
        <u/>
        <sz val="11"/>
        <rFont val="Calibri"/>
        <family val="2"/>
      </rPr>
      <t>Deductions       </t>
    </r>
  </si>
  <si>
    <r>
      <rPr>
        <b/>
        <sz val="11"/>
        <rFont val="Calibri"/>
        <family val="2"/>
      </rPr>
      <t>Balance</t>
    </r>
    <r>
      <rPr>
        <b/>
        <vertAlign val="superscript"/>
        <sz val="11"/>
        <rFont val="Calibri"/>
        <family val="2"/>
      </rPr>
      <t xml:space="preserve">2
</t>
    </r>
    <r>
      <rPr>
        <b/>
        <u/>
        <sz val="11"/>
        <rFont val="Calibri"/>
        <family val="2"/>
      </rPr>
      <t>     June 30, 2024     </t>
    </r>
  </si>
  <si>
    <r>
      <rPr>
        <b/>
        <sz val="11"/>
        <rFont val="Calibri"/>
        <family val="2"/>
      </rPr>
      <t xml:space="preserve">Tangible Assets
</t>
    </r>
    <r>
      <rPr>
        <sz val="11"/>
        <rFont val="Calibri"/>
        <family val="2"/>
      </rPr>
      <t xml:space="preserve">Land Buildings
</t>
    </r>
    <r>
      <rPr>
        <sz val="11"/>
        <rFont val="Calibri"/>
        <family val="2"/>
      </rPr>
      <t xml:space="preserve">Improvements Other Than Buildings Equipment
</t>
    </r>
    <r>
      <rPr>
        <sz val="11"/>
        <rFont val="Calibri"/>
        <family val="2"/>
      </rPr>
      <t xml:space="preserve">Construction Work in Progress Infrastructure - Depreciable
</t>
    </r>
    <r>
      <rPr>
        <b/>
        <sz val="11"/>
        <rFont val="Calibri"/>
        <family val="2"/>
      </rPr>
      <t>Intangible Assets</t>
    </r>
  </si>
  <si>
    <r>
      <rPr>
        <sz val="11"/>
        <rFont val="Calibri"/>
        <family val="2"/>
      </rPr>
      <t>Computer Software - Amortizable</t>
    </r>
  </si>
  <si>
    <r>
      <rPr>
        <sz val="11"/>
        <rFont val="Calibri"/>
        <family val="2"/>
      </rPr>
      <t>Land Use Rights - Amortizable</t>
    </r>
  </si>
  <si>
    <r>
      <rPr>
        <sz val="11"/>
        <rFont val="Calibri"/>
        <family val="2"/>
      </rPr>
      <t>Patents, Copyrights, and Trademarks - Amortizable</t>
    </r>
  </si>
  <si>
    <r>
      <rPr>
        <sz val="11"/>
        <rFont val="Calibri"/>
        <family val="2"/>
      </rPr>
      <t>Other Intangible Assets - Amortizable</t>
    </r>
  </si>
  <si>
    <r>
      <rPr>
        <sz val="11"/>
        <rFont val="Calibri"/>
        <family val="2"/>
      </rPr>
      <t>Right-to-Use Leased Land - Amortizable</t>
    </r>
  </si>
  <si>
    <r>
      <rPr>
        <sz val="11"/>
        <rFont val="Calibri"/>
        <family val="2"/>
      </rPr>
      <t>Right-to-Use Leased Buildings - Amortizable</t>
    </r>
  </si>
  <si>
    <r>
      <rPr>
        <sz val="11"/>
        <rFont val="Calibri"/>
        <family val="2"/>
      </rPr>
      <t>Right-to-Use Leased Equipment - Amortizable</t>
    </r>
  </si>
  <si>
    <r>
      <rPr>
        <sz val="11"/>
        <rFont val="Calibri"/>
        <family val="2"/>
      </rPr>
      <t>Land Use Rights - Non-Amortizable</t>
    </r>
  </si>
  <si>
    <r>
      <rPr>
        <sz val="11"/>
        <rFont val="Calibri"/>
        <family val="2"/>
      </rPr>
      <t>Patents, Copyrights, and Trademarks - Non-Amortizable</t>
    </r>
  </si>
  <si>
    <r>
      <rPr>
        <sz val="11"/>
        <rFont val="Calibri"/>
        <family val="2"/>
      </rPr>
      <t xml:space="preserve">Other Intangible Assets - Non-Amortizable
</t>
    </r>
    <r>
      <rPr>
        <sz val="11"/>
        <rFont val="Calibri"/>
        <family val="2"/>
      </rPr>
      <t>Internally Generated Intangible Assets in Progress</t>
    </r>
  </si>
  <si>
    <r>
      <rPr>
        <u/>
        <sz val="11"/>
        <rFont val="Times New Roman"/>
        <family val="1"/>
      </rPr>
      <t>                                 </t>
    </r>
  </si>
  <si>
    <r>
      <rPr>
        <b/>
        <sz val="11"/>
        <rFont val="Calibri"/>
        <family val="2"/>
      </rPr>
      <t>TOTAL CAPITAL ASSETS</t>
    </r>
  </si>
  <si>
    <r>
      <rPr>
        <b/>
        <u/>
        <sz val="11"/>
        <rFont val="Calibri"/>
        <family val="2"/>
      </rPr>
      <t>  $                       -       </t>
    </r>
  </si>
  <si>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 Asset beginning balances must agree with prior year ending balances. Any differences must be documented and explained in Report 18- Statement of Changes in Capital Assets Beginning Balance Differential Report. See illustration next page.
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The ending balances should equal the debit balances on Report 19 for each asset type.</t>
    </r>
  </si>
  <si>
    <r>
      <rPr>
        <b/>
        <sz val="6.5"/>
        <rFont val="Calibri"/>
        <family val="2"/>
      </rPr>
      <t xml:space="preserve">DEPARTMENT OF RESOURCES RECYCLING AND RECOVERY (3970)
</t>
    </r>
    <r>
      <rPr>
        <b/>
        <sz val="6.5"/>
        <rFont val="Calibri"/>
        <family val="2"/>
      </rPr>
      <t xml:space="preserve">Statement of Changes in Capital Assets Group of Accounts - Report 18 Beginning Balance Differential Report
</t>
    </r>
    <r>
      <rPr>
        <b/>
        <sz val="6.5"/>
        <rFont val="Calibri"/>
        <family val="2"/>
      </rPr>
      <t xml:space="preserve">General Fund (0001)
</t>
    </r>
    <r>
      <rPr>
        <b/>
        <sz val="6.5"/>
        <rFont val="Calibri"/>
        <family val="2"/>
      </rPr>
      <t>As of June 30, 2024</t>
    </r>
  </si>
  <si>
    <r>
      <rPr>
        <b/>
        <sz val="6.5"/>
        <rFont val="Calibri"/>
        <family val="2"/>
      </rPr>
      <t>Breakdown of Difference:</t>
    </r>
  </si>
  <si>
    <r>
      <rPr>
        <b/>
        <sz val="6.5"/>
        <rFont val="Calibri"/>
        <family val="2"/>
      </rPr>
      <t>Prior Year Ending</t>
    </r>
  </si>
  <si>
    <r>
      <rPr>
        <b/>
        <sz val="6.5"/>
        <rFont val="Calibri"/>
        <family val="2"/>
      </rPr>
      <t>Current Year</t>
    </r>
  </si>
  <si>
    <r>
      <rPr>
        <b/>
        <sz val="6.5"/>
        <rFont val="Calibri"/>
        <family val="2"/>
      </rPr>
      <t>Difference</t>
    </r>
  </si>
  <si>
    <r>
      <rPr>
        <b/>
        <sz val="6.5"/>
        <rFont val="Calibri"/>
        <family val="2"/>
      </rPr>
      <t>Assets unreported</t>
    </r>
  </si>
  <si>
    <r>
      <rPr>
        <b/>
        <sz val="6.5"/>
        <rFont val="Calibri"/>
        <family val="2"/>
      </rPr>
      <t>Non-capitalizable</t>
    </r>
  </si>
  <si>
    <r>
      <rPr>
        <b/>
        <sz val="6.5"/>
        <rFont val="Calibri"/>
        <family val="2"/>
      </rPr>
      <t>Transfers from</t>
    </r>
  </si>
  <si>
    <r>
      <rPr>
        <b/>
        <sz val="6.5"/>
        <rFont val="Calibri"/>
        <family val="2"/>
      </rPr>
      <t>Other amounts</t>
    </r>
  </si>
  <si>
    <r>
      <rPr>
        <b/>
        <sz val="6.5"/>
        <rFont val="Calibri"/>
        <family val="2"/>
      </rPr>
      <t>Restatement</t>
    </r>
  </si>
  <si>
    <r>
      <rPr>
        <b/>
        <sz val="6.5"/>
        <rFont val="Calibri"/>
        <family val="2"/>
      </rPr>
      <t>Balance</t>
    </r>
  </si>
  <si>
    <r>
      <rPr>
        <b/>
        <sz val="6.5"/>
        <rFont val="Calibri"/>
        <family val="2"/>
      </rPr>
      <t>Beginning Balance</t>
    </r>
  </si>
  <si>
    <r>
      <rPr>
        <b/>
        <sz val="6.5"/>
        <rFont val="Calibri"/>
        <family val="2"/>
      </rPr>
      <t>in the prior year</t>
    </r>
  </si>
  <si>
    <r>
      <rPr>
        <b/>
        <sz val="6.5"/>
        <rFont val="Calibri"/>
        <family val="2"/>
      </rPr>
      <t>assets reported as</t>
    </r>
  </si>
  <si>
    <r>
      <rPr>
        <b/>
        <sz val="6.5"/>
        <rFont val="Calibri"/>
        <family val="2"/>
      </rPr>
      <t>other</t>
    </r>
  </si>
  <si>
    <r>
      <rPr>
        <b/>
        <sz val="6.5"/>
        <rFont val="Calibri"/>
        <family val="2"/>
      </rPr>
      <t>that make up the</t>
    </r>
  </si>
  <si>
    <r>
      <rPr>
        <b/>
        <sz val="6.5"/>
        <rFont val="Calibri"/>
        <family val="2"/>
      </rPr>
      <t>Amount</t>
    </r>
  </si>
  <si>
    <r>
      <rPr>
        <b/>
        <sz val="6.5"/>
        <rFont val="Calibri"/>
        <family val="2"/>
      </rPr>
      <t>capital assets in</t>
    </r>
  </si>
  <si>
    <r>
      <rPr>
        <b/>
        <sz val="6.5"/>
        <rFont val="Calibri"/>
        <family val="2"/>
      </rPr>
      <t>departments</t>
    </r>
  </si>
  <si>
    <r>
      <rPr>
        <b/>
        <sz val="6.5"/>
        <rFont val="Calibri"/>
        <family val="2"/>
      </rPr>
      <t>difference</t>
    </r>
  </si>
  <si>
    <r>
      <rPr>
        <b/>
        <sz val="6.5"/>
        <rFont val="Calibri"/>
        <family val="2"/>
      </rPr>
      <t>the prior year</t>
    </r>
  </si>
  <si>
    <r>
      <rPr>
        <sz val="6.5"/>
        <rFont val="Calibri"/>
        <family val="2"/>
      </rPr>
      <t>(at historical</t>
    </r>
  </si>
  <si>
    <r>
      <rPr>
        <sz val="6.5"/>
        <rFont val="Calibri"/>
        <family val="2"/>
      </rPr>
      <t>(provide</t>
    </r>
  </si>
  <si>
    <r>
      <rPr>
        <sz val="6.5"/>
        <rFont val="Calibri"/>
        <family val="2"/>
      </rPr>
      <t>(should agree to</t>
    </r>
  </si>
  <si>
    <r>
      <rPr>
        <sz val="6.5"/>
        <rFont val="Calibri"/>
        <family val="2"/>
      </rPr>
      <t>cost/book value)</t>
    </r>
  </si>
  <si>
    <r>
      <rPr>
        <sz val="6.5"/>
        <rFont val="Calibri"/>
        <family val="2"/>
      </rPr>
      <t>description):</t>
    </r>
  </si>
  <si>
    <r>
      <rPr>
        <sz val="6.5"/>
        <rFont val="Calibri"/>
        <family val="2"/>
      </rPr>
      <t xml:space="preserve">description): </t>
    </r>
    <r>
      <rPr>
        <b/>
        <u/>
        <sz val="4.5"/>
        <rFont val="Calibri"/>
        <family val="2"/>
      </rPr>
      <t>GASB</t>
    </r>
  </si>
  <si>
    <r>
      <rPr>
        <sz val="6.5"/>
        <rFont val="Calibri"/>
        <family val="2"/>
      </rPr>
      <t>the difference</t>
    </r>
  </si>
  <si>
    <r>
      <rPr>
        <b/>
        <u/>
        <sz val="4.5"/>
        <rFont val="Calibri"/>
        <family val="2"/>
      </rPr>
      <t xml:space="preserve">prior year asset
</t>
    </r>
    <r>
      <rPr>
        <b/>
        <u/>
        <sz val="4.5"/>
        <rFont val="Calibri"/>
        <family val="2"/>
      </rPr>
      <t>classification was</t>
    </r>
  </si>
  <si>
    <r>
      <rPr>
        <b/>
        <u/>
        <sz val="4.5"/>
        <rFont val="Calibri"/>
        <family val="2"/>
      </rPr>
      <t xml:space="preserve">incorrect entry was
</t>
    </r>
    <r>
      <rPr>
        <b/>
        <u/>
        <sz val="4.5"/>
        <rFont val="Calibri"/>
        <family val="2"/>
      </rPr>
      <t>made in current year</t>
    </r>
  </si>
  <si>
    <r>
      <rPr>
        <b/>
        <u/>
        <sz val="4.5"/>
        <rFont val="Calibri"/>
        <family val="2"/>
      </rPr>
      <t xml:space="preserve">87 FY 2021-2022
</t>
    </r>
    <r>
      <rPr>
        <b/>
        <u/>
        <sz val="4.5"/>
        <rFont val="Calibri"/>
        <family val="2"/>
      </rPr>
      <t>implementation</t>
    </r>
  </si>
  <si>
    <r>
      <rPr>
        <sz val="6.5"/>
        <rFont val="Calibri"/>
        <family val="2"/>
      </rPr>
      <t>calculated)</t>
    </r>
  </si>
  <si>
    <r>
      <rPr>
        <b/>
        <u/>
        <sz val="4.5"/>
        <rFont val="Calibri"/>
        <family val="2"/>
      </rPr>
      <t>incorrect</t>
    </r>
  </si>
  <si>
    <r>
      <rPr>
        <b/>
        <u/>
        <sz val="4.5"/>
        <rFont val="Calibri"/>
        <family val="2"/>
      </rPr>
      <t>balance</t>
    </r>
  </si>
  <si>
    <r>
      <rPr>
        <b/>
        <u/>
        <sz val="4.5"/>
        <rFont val="Calibri"/>
        <family val="2"/>
      </rPr>
      <t>beginning balance</t>
    </r>
  </si>
  <si>
    <r>
      <rPr>
        <b/>
        <u/>
        <sz val="4.5"/>
        <rFont val="Calibri"/>
        <family val="2"/>
      </rPr>
      <t>adjustment.</t>
    </r>
  </si>
  <si>
    <r>
      <rPr>
        <u/>
        <sz val="4.5"/>
        <rFont val="Times New Roman"/>
        <family val="1"/>
      </rPr>
      <t>                                                </t>
    </r>
  </si>
  <si>
    <r>
      <rPr>
        <b/>
        <sz val="6.5"/>
        <rFont val="Calibri"/>
        <family val="2"/>
      </rPr>
      <t>Tangible Assets</t>
    </r>
  </si>
  <si>
    <r>
      <rPr>
        <sz val="6.5"/>
        <rFont val="Calibri"/>
        <family val="2"/>
      </rPr>
      <t xml:space="preserve">Land                                                                        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-
</t>
    </r>
    <r>
      <rPr>
        <sz val="6.5"/>
        <rFont val="Calibri"/>
        <family val="2"/>
      </rPr>
      <t xml:space="preserve">Buildings                                                                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-
</t>
    </r>
    <r>
      <rPr>
        <sz val="6.5"/>
        <rFont val="Calibri"/>
        <family val="2"/>
      </rPr>
      <t xml:space="preserve">Improvements Other Than Buildings               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-
</t>
    </r>
    <r>
      <rPr>
        <sz val="6.5"/>
        <rFont val="Calibri"/>
        <family val="2"/>
      </rPr>
      <t xml:space="preserve">Equipment                                                             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-
</t>
    </r>
    <r>
      <rPr>
        <sz val="6.5"/>
        <rFont val="Calibri"/>
        <family val="2"/>
      </rPr>
      <t xml:space="preserve">Construction Work in Progress                         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-
</t>
    </r>
    <r>
      <rPr>
        <sz val="6.5"/>
        <rFont val="Calibri"/>
        <family val="2"/>
      </rPr>
      <t xml:space="preserve">Infrastructure - Depreciable                              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-
</t>
    </r>
    <r>
      <rPr>
        <b/>
        <sz val="6.5"/>
        <rFont val="Calibri"/>
        <family val="2"/>
      </rPr>
      <t>Intangible Assets</t>
    </r>
  </si>
  <si>
    <r>
      <rPr>
        <sz val="6.5"/>
        <rFont val="Calibri"/>
        <family val="2"/>
      </rPr>
      <t>Computer Software - Amortizable</t>
    </r>
  </si>
  <si>
    <r>
      <rPr>
        <sz val="6.5"/>
        <rFont val="Calibri"/>
        <family val="2"/>
      </rPr>
      <t>-</t>
    </r>
  </si>
  <si>
    <r>
      <rPr>
        <sz val="6.5"/>
        <rFont val="Calibri"/>
        <family val="2"/>
      </rPr>
      <t>Land Use Rights - Amortizable</t>
    </r>
  </si>
  <si>
    <r>
      <rPr>
        <sz val="6.5"/>
        <rFont val="Calibri"/>
        <family val="2"/>
      </rPr>
      <t>Patents, Copyrights, and Trademarks - Amortizable</t>
    </r>
  </si>
  <si>
    <r>
      <rPr>
        <sz val="6.5"/>
        <rFont val="Calibri"/>
        <family val="2"/>
      </rPr>
      <t>Other Intangible Assets - Amortizable</t>
    </r>
  </si>
  <si>
    <r>
      <rPr>
        <sz val="6.5"/>
        <rFont val="Calibri"/>
        <family val="2"/>
      </rPr>
      <t>Right-to-Use Leased Land - Amortizable</t>
    </r>
  </si>
  <si>
    <r>
      <rPr>
        <sz val="6.5"/>
        <rFont val="Calibri"/>
        <family val="2"/>
      </rPr>
      <t>Right-to-Use Leased Buildings - Amortizable</t>
    </r>
  </si>
  <si>
    <r>
      <rPr>
        <sz val="6.5"/>
        <rFont val="Calibri"/>
        <family val="2"/>
      </rPr>
      <t>Right-to-Use Leased Equipment - Amortizable</t>
    </r>
  </si>
  <si>
    <r>
      <rPr>
        <sz val="6.5"/>
        <rFont val="Calibri"/>
        <family val="2"/>
      </rPr>
      <t>Land Use Rights - Non-Amortizable</t>
    </r>
  </si>
  <si>
    <r>
      <rPr>
        <sz val="6.5"/>
        <rFont val="Calibri"/>
        <family val="2"/>
      </rPr>
      <t>Patents, Copyrights, and Trademarks - Non-Amortizable</t>
    </r>
  </si>
  <si>
    <r>
      <rPr>
        <sz val="6.5"/>
        <rFont val="Calibri"/>
        <family val="2"/>
      </rPr>
      <t xml:space="preserve">Other Intangible Assets - Non-Amortizable
</t>
    </r>
    <r>
      <rPr>
        <sz val="6.5"/>
        <rFont val="Calibri"/>
        <family val="2"/>
      </rPr>
      <t>Internally Generated Intangible Assets in Progress</t>
    </r>
  </si>
  <si>
    <r>
      <rPr>
        <sz val="6.5"/>
        <rFont val="Calibri"/>
        <family val="2"/>
      </rPr>
      <t xml:space="preserve">-
</t>
    </r>
    <r>
      <rPr>
        <u/>
        <sz val="6.5"/>
        <rFont val="Times New Roman"/>
        <family val="1"/>
      </rPr>
      <t>                                  </t>
    </r>
    <r>
      <rPr>
        <sz val="6.5"/>
        <rFont val="Times New Roman"/>
        <family val="1"/>
      </rPr>
      <t xml:space="preserve">   </t>
    </r>
    <r>
      <rPr>
        <u/>
        <sz val="6.5"/>
        <rFont val="Times New Roman"/>
        <family val="1"/>
      </rPr>
      <t>                                  </t>
    </r>
    <r>
      <rPr>
        <sz val="6.5"/>
        <rFont val="Times New Roman"/>
        <family val="1"/>
      </rPr>
      <t xml:space="preserve">   </t>
    </r>
    <r>
      <rPr>
        <u/>
        <sz val="6.5"/>
        <rFont val="Times New Roman"/>
        <family val="1"/>
      </rPr>
      <t>                             </t>
    </r>
    <r>
      <rPr>
        <u/>
        <sz val="6.5"/>
        <rFont val="Calibri"/>
        <family val="2"/>
      </rPr>
      <t>-  </t>
    </r>
  </si>
  <si>
    <r>
      <rPr>
        <sz val="6.5"/>
        <rFont val="Calibri"/>
        <family val="2"/>
      </rPr>
      <t xml:space="preserve">-
</t>
    </r>
    <r>
      <rPr>
        <u/>
        <sz val="6.5"/>
        <rFont val="Times New Roman"/>
        <family val="1"/>
      </rPr>
      <t>                                                                  </t>
    </r>
    <r>
      <rPr>
        <sz val="6.5"/>
        <rFont val="Times New Roman"/>
        <family val="1"/>
      </rPr>
      <t xml:space="preserve">   </t>
    </r>
    <r>
      <rPr>
        <u/>
        <sz val="6.5"/>
        <rFont val="Times New Roman"/>
        <family val="1"/>
      </rPr>
      <t>                             </t>
    </r>
    <r>
      <rPr>
        <u/>
        <sz val="6.5"/>
        <rFont val="Calibri"/>
        <family val="2"/>
      </rPr>
      <t>-  </t>
    </r>
  </si>
  <si>
    <r>
      <rPr>
        <b/>
        <sz val="6.5"/>
        <rFont val="Calibri"/>
        <family val="2"/>
      </rPr>
      <t>Total</t>
    </r>
  </si>
  <si>
    <r>
      <rPr>
        <u/>
        <sz val="6.5"/>
        <rFont val="Times New Roman"/>
        <family val="1"/>
      </rPr>
      <t>                             </t>
    </r>
    <r>
      <rPr>
        <b/>
        <u/>
        <sz val="6.5"/>
        <rFont val="Calibri"/>
        <family val="2"/>
      </rPr>
      <t>-  </t>
    </r>
    <r>
      <rPr>
        <b/>
        <sz val="6.5"/>
        <rFont val="Calibri"/>
        <family val="2"/>
      </rPr>
      <t xml:space="preserve">    </t>
    </r>
    <r>
      <rPr>
        <u/>
        <sz val="6.5"/>
        <rFont val="Times New Roman"/>
        <family val="1"/>
      </rPr>
      <t>                             </t>
    </r>
    <r>
      <rPr>
        <b/>
        <u/>
        <sz val="6.5"/>
        <rFont val="Calibri"/>
        <family val="2"/>
      </rPr>
      <t>-  </t>
    </r>
    <r>
      <rPr>
        <b/>
        <sz val="6.5"/>
        <rFont val="Calibri"/>
        <family val="2"/>
      </rPr>
      <t xml:space="preserve">                                    -                                       -      </t>
    </r>
    <r>
      <rPr>
        <u/>
        <sz val="6.5"/>
        <rFont val="Times New Roman"/>
        <family val="1"/>
      </rPr>
      <t>                             </t>
    </r>
    <r>
      <rPr>
        <b/>
        <u/>
        <sz val="6.5"/>
        <rFont val="Calibri"/>
        <family val="2"/>
      </rPr>
      <t>-  </t>
    </r>
  </si>
  <si>
    <r>
      <rPr>
        <u/>
        <sz val="6.5"/>
        <rFont val="Times New Roman"/>
        <family val="1"/>
      </rPr>
      <t>                             </t>
    </r>
    <r>
      <rPr>
        <b/>
        <u/>
        <sz val="6.5"/>
        <rFont val="Calibri"/>
        <family val="2"/>
      </rPr>
      <t>-  </t>
    </r>
  </si>
  <si>
    <r>
      <rPr>
        <u/>
        <sz val="6.5"/>
        <rFont val="Times New Roman"/>
        <family val="1"/>
      </rPr>
      <t>                             </t>
    </r>
    <r>
      <rPr>
        <b/>
        <u/>
        <sz val="6.5"/>
        <rFont val="Calibri"/>
        <family val="2"/>
      </rPr>
      <t>-                                   -  </t>
    </r>
    <r>
      <rPr>
        <b/>
        <sz val="6.5"/>
        <rFont val="Calibri"/>
        <family val="2"/>
      </rPr>
      <t xml:space="preserve">    </t>
    </r>
    <r>
      <rPr>
        <u/>
        <sz val="6.5"/>
        <rFont val="Times New Roman"/>
        <family val="1"/>
      </rPr>
      <t>                             </t>
    </r>
    <r>
      <rPr>
        <b/>
        <u/>
        <sz val="6.5"/>
        <rFont val="Calibri"/>
        <family val="2"/>
      </rPr>
      <t>-  </t>
    </r>
  </si>
  <si>
    <r>
      <rPr>
        <sz val="6.5"/>
        <rFont val="Calibri"/>
        <family val="2"/>
      </rPr>
      <t xml:space="preserve">Report Instructions:
</t>
    </r>
    <r>
      <rPr>
        <sz val="6.5"/>
        <rFont val="Calibri"/>
        <family val="2"/>
      </rPr>
      <t xml:space="preserve">Col. 1 -            Enter Ending Balance from Prior Year Report 18.
</t>
    </r>
    <r>
      <rPr>
        <sz val="6.5"/>
        <rFont val="Calibri"/>
        <family val="2"/>
      </rPr>
      <t xml:space="preserve">Col. 2 -            Enter Beginning Balance from Current Year Report 18.
</t>
    </r>
    <r>
      <rPr>
        <sz val="6.5"/>
        <rFont val="Calibri"/>
        <family val="2"/>
      </rPr>
      <t xml:space="preserve">Col. 3 -            Compute difference between current year beginning balance and prior year ending balance.
</t>
    </r>
    <r>
      <rPr>
        <sz val="6.5"/>
        <rFont val="Calibri"/>
        <family val="2"/>
      </rPr>
      <t xml:space="preserve">Research posting and source documents to identify and explain the difference.
</t>
    </r>
    <r>
      <rPr>
        <sz val="6.5"/>
        <rFont val="Calibri"/>
        <family val="2"/>
      </rPr>
      <t xml:space="preserve">Col. 4 - 9         Breakdown and categorize the differences in columns 4 to 9.
</t>
    </r>
    <r>
      <rPr>
        <sz val="6.5"/>
        <rFont val="Calibri"/>
        <family val="2"/>
      </rPr>
      <t>Col. 10 -          Compute the sum of columns 4 to 8. The amount should agree with the computed difference in column 3.</t>
    </r>
  </si>
  <si>
    <t>Sub Fund:</t>
  </si>
  <si>
    <t>0133</t>
  </si>
  <si>
    <t>Fund:</t>
  </si>
  <si>
    <r>
      <rPr>
        <sz val="11"/>
        <color theme="1"/>
        <rFont val="Calibri"/>
        <family val="2"/>
      </rPr>
      <t>2418</t>
    </r>
    <r>
      <rPr>
        <sz val="10"/>
        <color theme="1"/>
        <rFont val="Arial"/>
        <family val="2"/>
      </rPr>
      <t xml:space="preserve"> - Right-to-use SBITA - Amortizab</t>
    </r>
  </si>
  <si>
    <r>
      <rPr>
        <sz val="11"/>
        <color theme="1"/>
        <rFont val="Calibri"/>
        <family val="2"/>
      </rPr>
      <t>2416</t>
    </r>
    <r>
      <rPr>
        <sz val="10"/>
        <color theme="1"/>
        <rFont val="Arial"/>
        <family val="2"/>
      </rPr>
      <t xml:space="preserve"> - Rights Leased Buildgs-Amortiz</t>
    </r>
  </si>
  <si>
    <t>Intangible Assets</t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</si>
  <si>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</t>
    </r>
  </si>
  <si>
    <t>Tangible Assets</t>
  </si>
  <si>
    <t>Ending Balance</t>
  </si>
  <si>
    <t>Deductions</t>
  </si>
  <si>
    <t>Additions</t>
  </si>
  <si>
    <t>Beginning Balance</t>
  </si>
  <si>
    <t>Account – Description</t>
  </si>
  <si>
    <t xml:space="preserve">  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</si>
  <si>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10:54:57</t>
    </r>
  </si>
  <si>
    <t>Subfund:</t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</si>
  <si>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08/12/2024</t>
    </r>
  </si>
  <si>
    <t>0133 - California Beverage Container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</si>
  <si>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</si>
  <si>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3970 - Resources Recycling &amp; Recovery</t>
  </si>
  <si>
    <t>Business Unit:</t>
  </si>
  <si>
    <t>As of 06/30/2024</t>
  </si>
  <si>
    <t>Fiscal Year 2023-24</t>
  </si>
  <si>
    <t>Fund 0133</t>
  </si>
  <si>
    <t>Resources Recycling &amp; Recovery - 3970</t>
  </si>
  <si>
    <t>REPORT 18 – STATEMENT OF CHANGES IN CAPITAL ASSETS</t>
  </si>
  <si>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</si>
  <si>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Total</t>
  </si>
  <si>
    <t>Internally Generated Intangible Assets in Progress</t>
  </si>
  <si>
    <t>Other Intangible Assets - Non-Amortizable</t>
  </si>
  <si>
    <t>Patents, Copyrights, and Trademarks - Non-Amortizable</t>
  </si>
  <si>
    <t>Land Use Rights - Non-Amortizable</t>
  </si>
  <si>
    <t>Right-to-Use Leased Equipment - Amortizable</t>
  </si>
  <si>
    <t>Right-to-Use Leased Buildings - Amortizable</t>
  </si>
  <si>
    <t>Right-to-Use Leased Land - Amortizable</t>
  </si>
  <si>
    <t>Other Intangible Assets - Amortizable</t>
  </si>
  <si>
    <t>Patents, Copyrights, and Trademarks - Amortizable</t>
  </si>
  <si>
    <t>Land Use Rights - Amortizable</t>
  </si>
  <si>
    <t>Computer Software - Amortizable</t>
  </si>
  <si>
    <t>Infrastructure - Depreciable</t>
  </si>
  <si>
    <t>Construction Work in Progress</t>
  </si>
  <si>
    <t>Equipment</t>
  </si>
  <si>
    <t>Improvements Other Than Buildings</t>
  </si>
  <si>
    <t>Buildings</t>
  </si>
  <si>
    <t>Land</t>
  </si>
  <si>
    <r>
      <t xml:space="preserve">Restatement Amount 
</t>
    </r>
    <r>
      <rPr>
        <sz val="10"/>
        <color rgb="FF000000"/>
        <rFont val="Times New Roman"/>
        <charset val="204"/>
      </rPr>
      <t>(should agree to the difference calculated)</t>
    </r>
  </si>
  <si>
    <r>
      <t xml:space="preserve">Other amounts that make up the difference </t>
    </r>
    <r>
      <rPr>
        <sz val="10"/>
        <color rgb="FF000000"/>
        <rFont val="Times New Roman"/>
        <charset val="204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GASB 87 FY 2021-2022 implementation beginning balance adjustment.</t>
    </r>
  </si>
  <si>
    <r>
      <t xml:space="preserve">Other amounts that make up the difference </t>
    </r>
    <r>
      <rPr>
        <sz val="10"/>
        <color rgb="FF000000"/>
        <rFont val="Times New Roman"/>
        <charset val="204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</si>
  <si>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r>
      <t xml:space="preserve">Other amounts that make up the difference </t>
    </r>
    <r>
      <rPr>
        <sz val="10"/>
        <color rgb="FF000000"/>
        <rFont val="Times New Roman"/>
        <charset val="204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</si>
  <si>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Transfers from other departments
</t>
    </r>
    <r>
      <rPr>
        <sz val="10"/>
        <color rgb="FF000000"/>
        <rFont val="Times New Roman"/>
        <charset val="204"/>
      </rPr>
      <t>(at historical cost/book value)</t>
    </r>
  </si>
  <si>
    <t>Non-capitalizable assets reported as capital assets in the prior year</t>
  </si>
  <si>
    <t>Assets unreported in the prior year</t>
  </si>
  <si>
    <t>Difference</t>
  </si>
  <si>
    <t>Current Year Beginning Balance</t>
  </si>
  <si>
    <t>Prior Year Ending Balance</t>
  </si>
  <si>
    <t>(10)</t>
  </si>
  <si>
    <t>(9)</t>
  </si>
  <si>
    <t>(8)</t>
  </si>
  <si>
    <t>(7)</t>
  </si>
  <si>
    <t>(6)</t>
  </si>
  <si>
    <t>(5)</t>
  </si>
  <si>
    <t>(4)</t>
  </si>
  <si>
    <t>(3)</t>
  </si>
  <si>
    <t>(2)</t>
  </si>
  <si>
    <t>(1)</t>
  </si>
  <si>
    <t>Breakdown of Difference:</t>
  </si>
  <si>
    <t>As of June 30, 2024</t>
  </si>
  <si>
    <t>California Beverage Container Recycling Fund  (0133)</t>
  </si>
  <si>
    <t>Beginning Balance Differential Report</t>
  </si>
  <si>
    <t>Statement of Changes in Capital Assets Group of Accounts - Report 18</t>
  </si>
  <si>
    <t>Resources Recycling &amp; Recovery (3970)</t>
  </si>
  <si>
    <r>
      <rPr>
        <b/>
        <sz val="6.5"/>
        <rFont val="Calibri"/>
        <family val="2"/>
      </rPr>
      <t xml:space="preserve">DEPARTMENT OF RESOURCES RECYCLING AND RECOVERY (3970)
</t>
    </r>
    <r>
      <rPr>
        <b/>
        <sz val="6.5"/>
        <rFont val="Calibri"/>
        <family val="2"/>
      </rPr>
      <t xml:space="preserve">Statement of Changes in Capital Assets Group of Accounts - Report 18 Beginning Balance Differential Report
</t>
    </r>
    <r>
      <rPr>
        <b/>
        <sz val="6.5"/>
        <rFont val="Calibri"/>
        <family val="2"/>
      </rPr>
      <t xml:space="preserve">Glass Processing Fee Account (0269)
</t>
    </r>
    <r>
      <rPr>
        <b/>
        <sz val="6.5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</si>
  <si>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RESOURCES RECYCLING AND RECOVERY (3970)
</t>
    </r>
    <r>
      <rPr>
        <b/>
        <sz val="11"/>
        <rFont val="Calibri"/>
        <family val="2"/>
      </rPr>
      <t xml:space="preserve">Statement of Changes in Capital Assets Group of Accounts - Report 18
</t>
    </r>
    <r>
      <rPr>
        <b/>
        <sz val="11"/>
        <rFont val="Calibri"/>
        <family val="2"/>
      </rPr>
      <t>Glass Processing Fee Account (0269) As of June 30, 2024</t>
    </r>
  </si>
  <si>
    <t>0281</t>
  </si>
  <si>
    <t>0281 - Recycling Market Development R</t>
  </si>
  <si>
    <t>Fund 0281</t>
  </si>
  <si>
    <t>**Prior year ending balance is zero because it was reported in Fund 0133 in FY 22/23</t>
  </si>
  <si>
    <t>Recycling Market Development Rev (0281)</t>
  </si>
  <si>
    <t>0387</t>
  </si>
  <si>
    <r>
      <rPr>
        <sz val="10"/>
        <color rgb="FF000000"/>
        <rFont val="Times New Roman"/>
        <charset val="204"/>
      </rPr>
      <t>2341</t>
    </r>
    <r>
      <rPr>
        <sz val="10"/>
        <color theme="1"/>
        <rFont val="Arial"/>
        <family val="2"/>
      </rPr>
      <t xml:space="preserve"> - Equipment</t>
    </r>
  </si>
  <si>
    <t>0387 - Integrated Waste Management Ac</t>
  </si>
  <si>
    <t>Fund 0387</t>
  </si>
  <si>
    <t>Integrated Waste Management Account (0387)</t>
  </si>
  <si>
    <t>0679</t>
  </si>
  <si>
    <r>
      <rPr>
        <sz val="10"/>
        <color rgb="FF000000"/>
        <rFont val="Times New Roman"/>
        <charset val="204"/>
      </rPr>
      <t>2341</t>
    </r>
    <r>
      <rPr>
        <sz val="10"/>
        <color theme="1"/>
        <rFont val="Arial"/>
      </rPr>
      <t xml:space="preserve"> - Equipment</t>
    </r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</si>
  <si>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10:54:57</t>
    </r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</si>
  <si>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08/12/2024</t>
    </r>
  </si>
  <si>
    <t>0679 - State Water Quality Cntrl Fund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</si>
  <si>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</si>
  <si>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 0679</t>
  </si>
  <si>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</si>
  <si>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State Water Quality Control Fund (0679)</t>
  </si>
  <si>
    <t>0558</t>
  </si>
  <si>
    <t>0558 - Farm &amp; Ranch Solid Waste Clean</t>
  </si>
  <si>
    <t>Fund 0558</t>
  </si>
  <si>
    <r>
      <t xml:space="preserve">Restatement Amount 
</t>
    </r>
    <r>
      <rPr>
        <sz val="11"/>
        <color theme="1"/>
        <rFont val="Calibri"/>
        <family val="2"/>
      </rPr>
      <t>(should agree to the difference calculated)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</si>
  <si>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GASB 87 FY 2021-2022 implementation beginning balance adjustment.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</si>
  <si>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</si>
  <si>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</si>
  <si>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Transfers from other departments
</t>
    </r>
    <r>
      <rPr>
        <sz val="11"/>
        <color theme="1"/>
        <rFont val="Calibri"/>
        <family val="2"/>
      </rPr>
      <t>(at historical cost/book value)</t>
    </r>
  </si>
  <si>
    <t>Farm &amp; Ranch Solid Waste Cleanup and Abatement Accounts (0558)</t>
  </si>
  <si>
    <t>The ending balances should equal the debit balances on Report 19 for each asset type.</t>
  </si>
  <si>
    <t>Statement of Changes in Capital Assets Beginning Balance Differential Report. See illustration next page.</t>
  </si>
  <si>
    <t>Asset beginning balances must agree with prior year ending balances. Any differences must be documented and explained in Report 18-</t>
  </si>
  <si>
    <t>TOTAL CAPITAL ASSETS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</si>
  <si>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2024</t>
    </r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</si>
  <si>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</si>
  <si>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CAPITAL ASSETS</t>
  </si>
  <si>
    <t>PET Processing Fee Acct Fund (0278)</t>
  </si>
  <si>
    <t>Department of Resources Recycling &amp; Recovery (3970)</t>
  </si>
  <si>
    <t>0106</t>
  </si>
  <si>
    <t>0106 - Department Of Pesticide Regula</t>
  </si>
  <si>
    <t>Fund 0106</t>
  </si>
  <si>
    <t>Department of Pesticide Regulation (0106)</t>
  </si>
  <si>
    <t>0193</t>
  </si>
  <si>
    <t>0193 - Waste Discharge Permit Fund</t>
  </si>
  <si>
    <t>Fund 0193</t>
  </si>
  <si>
    <t>Waste Discharge Permit Fund (0193)</t>
  </si>
  <si>
    <t>0226</t>
  </si>
  <si>
    <t>0226 - California Tire Recycling Mana</t>
  </si>
  <si>
    <t>Fund 0226</t>
  </si>
  <si>
    <t>California Tire Recycling Management Fund (0226)</t>
  </si>
  <si>
    <t>Penalty Acct, CA Bev Container Fund (0276)</t>
  </si>
  <si>
    <t>0386</t>
  </si>
  <si>
    <t>0386 - Solid Waste Disposal Site Clea</t>
  </si>
  <si>
    <t>Fund 0386</t>
  </si>
  <si>
    <t>Solid Waste Disposal Site Cleanup Trust (0386)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</si>
</sst>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\(0\)"/>
    <numFmt numFmtId="165" formatCode="_(* #,##0.00_);_(* \(#,##0.00\);_(* &quot;-&quot;_);_(@_)"/>
  </numFmts>
  <fonts count="49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Times New Roman"/>
    </font>
    <font>
      <b/>
      <sz val="6.5"/>
      <name val="Calibri"/>
    </font>
    <font>
      <sz val="6.5"/>
      <color rgb="FF000000"/>
      <name val="Calibri"/>
      <family val="2"/>
    </font>
    <font>
      <sz val="6.5"/>
      <name val="Calibri"/>
    </font>
    <font>
      <b/>
      <sz val="4.5"/>
      <name val="Calibri"/>
    </font>
    <font>
      <b/>
      <u/>
      <sz val="4.5"/>
      <name val="Calibri"/>
    </font>
    <font>
      <sz val="4.5"/>
      <name val="Times New Roman"/>
    </font>
    <font>
      <b/>
      <sz val="11"/>
      <name val="Calibri"/>
      <family val="2"/>
    </font>
    <font>
      <b/>
      <vertAlign val="superscript"/>
      <sz val="11"/>
      <name val="Calibri"/>
      <family val="2"/>
    </font>
    <font>
      <u/>
      <sz val="11"/>
      <name val="Times New Roman"/>
      <family val="1"/>
    </font>
    <font>
      <b/>
      <u/>
      <sz val="11"/>
      <name val="Calibri"/>
      <family val="2"/>
    </font>
    <font>
      <sz val="11"/>
      <name val="Calibri"/>
      <family val="2"/>
    </font>
    <font>
      <vertAlign val="superscript"/>
      <sz val="11"/>
      <name val="Calibri"/>
      <family val="2"/>
    </font>
    <font>
      <b/>
      <sz val="6.5"/>
      <name val="Calibri"/>
      <family val="2"/>
    </font>
    <font>
      <sz val="6.5"/>
      <name val="Calibri"/>
      <family val="2"/>
    </font>
    <font>
      <b/>
      <u/>
      <sz val="4.5"/>
      <name val="Calibri"/>
      <family val="2"/>
    </font>
    <font>
      <u/>
      <sz val="4.5"/>
      <name val="Times New Roman"/>
      <family val="1"/>
    </font>
    <font>
      <u/>
      <sz val="6.5"/>
      <name val="Times New Roman"/>
      <family val="1"/>
    </font>
    <font>
      <sz val="6.5"/>
      <name val="Times New Roman"/>
      <family val="1"/>
    </font>
    <font>
      <u/>
      <sz val="6.5"/>
      <name val="Calibri"/>
      <family val="2"/>
    </font>
    <font>
      <b/>
      <u/>
      <sz val="6.5"/>
      <name val="Calibri"/>
      <family val="2"/>
    </font>
    <font>
      <sz val="10"/>
      <color rgb="FF000000"/>
      <name val="Times New Roman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8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u/>
      <sz val="8"/>
      <color theme="1"/>
      <name val="Calibri"/>
      <family val="2"/>
      <scheme val="minor"/>
    </font>
    <font>
      <u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1"/>
      <color rgb="FF000080"/>
      <name val="Calibri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Arial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8">
    <xf numFmtId="0" fontId="0" fillId="0" borderId="0"/>
    <xf numFmtId="0" fontId="28" fillId="0" borderId="0"/>
    <xf numFmtId="0" fontId="2" fillId="0" borderId="0"/>
    <xf numFmtId="0" fontId="26" fillId="0" borderId="0"/>
    <xf numFmtId="0" fontId="32" fillId="0" borderId="0"/>
    <xf numFmtId="0" fontId="1" fillId="0" borderId="0"/>
    <xf numFmtId="0" fontId="1" fillId="0" borderId="0"/>
    <xf numFmtId="0" fontId="32" fillId="0" borderId="0"/>
  </cellStyleXfs>
  <cellXfs count="281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 wrapText="1" indent="4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7" fillId="0" borderId="0" xfId="0" applyNumberFormat="1" applyFont="1" applyAlignment="1">
      <alignment horizontal="center" vertical="top" shrinkToFit="1"/>
    </xf>
    <xf numFmtId="0" fontId="0" fillId="2" borderId="0" xfId="0" applyFill="1" applyAlignment="1">
      <alignment horizontal="left" wrapText="1"/>
    </xf>
    <xf numFmtId="164" fontId="7" fillId="0" borderId="3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 indent="2"/>
    </xf>
    <xf numFmtId="0" fontId="9" fillId="0" borderId="0" xfId="0" applyFont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28" fillId="0" borderId="0" xfId="1"/>
    <xf numFmtId="0" fontId="30" fillId="0" borderId="0" xfId="1" applyFont="1" applyAlignment="1">
      <alignment horizontal="left" vertical="center" wrapText="1"/>
    </xf>
    <xf numFmtId="39" fontId="31" fillId="3" borderId="0" xfId="1" applyNumberFormat="1" applyFont="1" applyFill="1" applyAlignment="1">
      <alignment horizontal="right" vertical="top" wrapText="1"/>
    </xf>
    <xf numFmtId="0" fontId="30" fillId="3" borderId="0" xfId="1" applyFont="1" applyFill="1" applyAlignment="1">
      <alignment horizontal="right" vertical="center" wrapText="1"/>
    </xf>
    <xf numFmtId="0" fontId="2" fillId="0" borderId="0" xfId="2"/>
    <xf numFmtId="43" fontId="2" fillId="0" borderId="0" xfId="2" applyNumberFormat="1"/>
    <xf numFmtId="0" fontId="2" fillId="0" borderId="0" xfId="2" applyProtection="1">
      <protection locked="0"/>
    </xf>
    <xf numFmtId="43" fontId="2" fillId="0" borderId="0" xfId="2" applyNumberFormat="1" applyProtection="1">
      <protection locked="0"/>
    </xf>
    <xf numFmtId="41" fontId="27" fillId="0" borderId="4" xfId="2" applyNumberFormat="1" applyFont="1" applyBorder="1"/>
    <xf numFmtId="41" fontId="2" fillId="0" borderId="0" xfId="2" applyNumberFormat="1"/>
    <xf numFmtId="41" fontId="2" fillId="4" borderId="0" xfId="2" applyNumberFormat="1" applyFill="1"/>
    <xf numFmtId="0" fontId="27" fillId="0" borderId="0" xfId="2" applyFont="1"/>
    <xf numFmtId="41" fontId="2" fillId="0" borderId="0" xfId="2" applyNumberFormat="1" applyProtection="1">
      <protection locked="0"/>
    </xf>
    <xf numFmtId="41" fontId="2" fillId="0" borderId="5" xfId="2" applyNumberFormat="1" applyBorder="1" applyProtection="1">
      <protection locked="0"/>
    </xf>
    <xf numFmtId="41" fontId="2" fillId="4" borderId="0" xfId="2" applyNumberFormat="1" applyFill="1" applyProtection="1">
      <protection locked="0"/>
    </xf>
    <xf numFmtId="37" fontId="31" fillId="3" borderId="0" xfId="1" applyNumberFormat="1" applyFont="1" applyFill="1" applyAlignment="1">
      <alignment horizontal="right" vertical="top" wrapText="1"/>
    </xf>
    <xf numFmtId="0" fontId="27" fillId="0" borderId="0" xfId="2" applyFont="1" applyProtection="1">
      <protection locked="0"/>
    </xf>
    <xf numFmtId="43" fontId="2" fillId="4" borderId="0" xfId="2" applyNumberFormat="1" applyFill="1" applyProtection="1">
      <protection locked="0"/>
    </xf>
    <xf numFmtId="0" fontId="27" fillId="0" borderId="5" xfId="2" applyFont="1" applyBorder="1" applyAlignment="1" applyProtection="1">
      <alignment horizontal="center" vertical="top" wrapText="1"/>
      <protection locked="0"/>
    </xf>
    <xf numFmtId="0" fontId="2" fillId="0" borderId="0" xfId="2" applyAlignment="1" applyProtection="1">
      <alignment horizontal="center"/>
      <protection locked="0"/>
    </xf>
    <xf numFmtId="0" fontId="2" fillId="4" borderId="0" xfId="2" applyFill="1" applyAlignment="1" applyProtection="1">
      <alignment horizontal="center"/>
      <protection locked="0"/>
    </xf>
    <xf numFmtId="0" fontId="27" fillId="0" borderId="5" xfId="2" applyFont="1" applyBorder="1" applyAlignment="1" applyProtection="1">
      <alignment horizontal="center" vertical="top"/>
      <protection locked="0"/>
    </xf>
    <xf numFmtId="0" fontId="2" fillId="0" borderId="0" xfId="2" quotePrefix="1" applyAlignment="1" applyProtection="1">
      <alignment horizontal="center"/>
      <protection locked="0"/>
    </xf>
    <xf numFmtId="43" fontId="27" fillId="0" borderId="6" xfId="2" applyNumberFormat="1" applyFont="1" applyBorder="1" applyAlignment="1" applyProtection="1">
      <alignment horizontal="centerContinuous"/>
      <protection locked="0"/>
    </xf>
    <xf numFmtId="0" fontId="27" fillId="0" borderId="0" xfId="2" applyFont="1" applyAlignment="1" applyProtection="1">
      <alignment horizontal="centerContinuous"/>
      <protection locked="0"/>
    </xf>
    <xf numFmtId="0" fontId="26" fillId="0" borderId="0" xfId="3" applyAlignment="1">
      <alignment horizontal="left" vertical="top"/>
    </xf>
    <xf numFmtId="0" fontId="26" fillId="0" borderId="0" xfId="3" applyAlignment="1">
      <alignment horizontal="left" wrapText="1"/>
    </xf>
    <xf numFmtId="0" fontId="26" fillId="0" borderId="2" xfId="3" applyBorder="1" applyAlignment="1">
      <alignment horizontal="center" vertical="top" wrapText="1"/>
    </xf>
    <xf numFmtId="0" fontId="26" fillId="0" borderId="0" xfId="3" applyAlignment="1">
      <alignment horizontal="left" vertical="top" wrapText="1" indent="2"/>
    </xf>
    <xf numFmtId="0" fontId="26" fillId="0" borderId="0" xfId="3" applyAlignment="1">
      <alignment horizontal="left" vertical="center" wrapText="1"/>
    </xf>
    <xf numFmtId="0" fontId="26" fillId="0" borderId="1" xfId="3" applyBorder="1" applyAlignment="1">
      <alignment horizontal="left" vertical="center" wrapText="1"/>
    </xf>
    <xf numFmtId="0" fontId="26" fillId="0" borderId="0" xfId="3" applyAlignment="1">
      <alignment horizontal="left" vertical="top" wrapText="1" indent="1"/>
    </xf>
    <xf numFmtId="0" fontId="8" fillId="0" borderId="0" xfId="3" applyFont="1" applyAlignment="1">
      <alignment horizontal="center" vertical="top" wrapText="1"/>
    </xf>
    <xf numFmtId="0" fontId="26" fillId="0" borderId="3" xfId="3" applyBorder="1" applyAlignment="1">
      <alignment horizontal="left" vertical="center" wrapText="1"/>
    </xf>
    <xf numFmtId="0" fontId="26" fillId="2" borderId="0" xfId="3" applyFill="1" applyAlignment="1">
      <alignment horizontal="left" vertical="center" wrapText="1"/>
    </xf>
    <xf numFmtId="0" fontId="11" fillId="0" borderId="0" xfId="3" applyFont="1" applyAlignment="1">
      <alignment horizontal="center" vertical="top" wrapText="1"/>
    </xf>
    <xf numFmtId="0" fontId="10" fillId="0" borderId="0" xfId="3" applyFont="1" applyAlignment="1">
      <alignment horizontal="center" vertical="top" wrapText="1"/>
    </xf>
    <xf numFmtId="0" fontId="26" fillId="0" borderId="1" xfId="3" applyBorder="1" applyAlignment="1">
      <alignment horizontal="left" wrapText="1"/>
    </xf>
    <xf numFmtId="0" fontId="26" fillId="2" borderId="0" xfId="3" applyFill="1" applyAlignment="1">
      <alignment horizontal="left" wrapText="1"/>
    </xf>
    <xf numFmtId="0" fontId="9" fillId="0" borderId="0" xfId="3" applyFont="1" applyAlignment="1">
      <alignment horizontal="center" vertical="top" wrapText="1"/>
    </xf>
    <xf numFmtId="0" fontId="26" fillId="0" borderId="0" xfId="3" applyAlignment="1">
      <alignment horizontal="center" vertical="top" wrapText="1"/>
    </xf>
    <xf numFmtId="0" fontId="6" fillId="0" borderId="0" xfId="3" applyFont="1" applyAlignment="1">
      <alignment horizontal="center" vertical="top" wrapText="1"/>
    </xf>
    <xf numFmtId="164" fontId="7" fillId="0" borderId="0" xfId="3" applyNumberFormat="1" applyFont="1" applyAlignment="1">
      <alignment horizontal="center" vertical="top" shrinkToFit="1"/>
    </xf>
    <xf numFmtId="164" fontId="7" fillId="0" borderId="3" xfId="3" applyNumberFormat="1" applyFont="1" applyBorder="1" applyAlignment="1">
      <alignment horizontal="center" vertical="top" shrinkToFit="1"/>
    </xf>
    <xf numFmtId="0" fontId="26" fillId="0" borderId="3" xfId="3" applyBorder="1" applyAlignment="1">
      <alignment horizontal="left" wrapText="1"/>
    </xf>
    <xf numFmtId="0" fontId="3" fillId="0" borderId="0" xfId="3" applyFont="1" applyAlignment="1">
      <alignment horizontal="left" vertical="center" wrapText="1" indent="4"/>
    </xf>
    <xf numFmtId="43" fontId="28" fillId="0" borderId="0" xfId="1" applyNumberFormat="1"/>
    <xf numFmtId="0" fontId="28" fillId="0" borderId="0" xfId="1" applyProtection="1">
      <protection locked="0"/>
    </xf>
    <xf numFmtId="43" fontId="28" fillId="0" borderId="0" xfId="1" applyNumberFormat="1" applyProtection="1">
      <protection locked="0"/>
    </xf>
    <xf numFmtId="41" fontId="27" fillId="0" borderId="4" xfId="1" applyNumberFormat="1" applyFont="1" applyBorder="1"/>
    <xf numFmtId="41" fontId="28" fillId="0" borderId="0" xfId="1" applyNumberFormat="1"/>
    <xf numFmtId="41" fontId="28" fillId="4" borderId="0" xfId="1" applyNumberFormat="1" applyFill="1"/>
    <xf numFmtId="0" fontId="27" fillId="0" borderId="0" xfId="1" applyFont="1"/>
    <xf numFmtId="41" fontId="28" fillId="0" borderId="0" xfId="1" applyNumberFormat="1" applyProtection="1">
      <protection locked="0"/>
    </xf>
    <xf numFmtId="41" fontId="28" fillId="0" borderId="5" xfId="1" applyNumberFormat="1" applyBorder="1" applyProtection="1">
      <protection locked="0"/>
    </xf>
    <xf numFmtId="41" fontId="28" fillId="4" borderId="0" xfId="1" applyNumberFormat="1" applyFill="1" applyProtection="1">
      <protection locked="0"/>
    </xf>
    <xf numFmtId="0" fontId="27" fillId="0" borderId="0" xfId="1" applyFont="1" applyProtection="1">
      <protection locked="0"/>
    </xf>
    <xf numFmtId="43" fontId="28" fillId="4" borderId="0" xfId="1" applyNumberFormat="1" applyFill="1" applyProtection="1">
      <protection locked="0"/>
    </xf>
    <xf numFmtId="0" fontId="27" fillId="0" borderId="5" xfId="1" applyFont="1" applyBorder="1" applyAlignment="1" applyProtection="1">
      <alignment horizontal="center" vertical="top" wrapText="1"/>
      <protection locked="0"/>
    </xf>
    <xf numFmtId="0" fontId="28" fillId="0" borderId="0" xfId="1" applyAlignment="1" applyProtection="1">
      <alignment horizontal="center"/>
      <protection locked="0"/>
    </xf>
    <xf numFmtId="0" fontId="28" fillId="4" borderId="0" xfId="1" applyFill="1" applyAlignment="1" applyProtection="1">
      <alignment horizontal="center"/>
      <protection locked="0"/>
    </xf>
    <xf numFmtId="0" fontId="27" fillId="0" borderId="5" xfId="1" applyFont="1" applyBorder="1" applyAlignment="1" applyProtection="1">
      <alignment horizontal="center" vertical="top"/>
      <protection locked="0"/>
    </xf>
    <xf numFmtId="0" fontId="28" fillId="0" borderId="0" xfId="1" quotePrefix="1" applyAlignment="1" applyProtection="1">
      <alignment horizontal="center"/>
      <protection locked="0"/>
    </xf>
    <xf numFmtId="43" fontId="27" fillId="0" borderId="6" xfId="1" applyNumberFormat="1" applyFont="1" applyBorder="1" applyAlignment="1" applyProtection="1">
      <alignment horizontal="centerContinuous"/>
      <protection locked="0"/>
    </xf>
    <xf numFmtId="0" fontId="27" fillId="0" borderId="0" xfId="1" applyFont="1" applyAlignment="1" applyProtection="1">
      <alignment horizontal="centerContinuous"/>
      <protection locked="0"/>
    </xf>
    <xf numFmtId="0" fontId="32" fillId="0" borderId="0" xfId="4"/>
    <xf numFmtId="0" fontId="30" fillId="0" borderId="0" xfId="4" applyFont="1" applyAlignment="1">
      <alignment horizontal="left" vertical="center" wrapText="1"/>
    </xf>
    <xf numFmtId="39" fontId="31" fillId="3" borderId="0" xfId="4" applyNumberFormat="1" applyFont="1" applyFill="1" applyAlignment="1">
      <alignment horizontal="right" vertical="top" wrapText="1"/>
    </xf>
    <xf numFmtId="0" fontId="30" fillId="3" borderId="0" xfId="4" applyFont="1" applyFill="1" applyAlignment="1">
      <alignment horizontal="right" vertical="center" wrapText="1"/>
    </xf>
    <xf numFmtId="0" fontId="40" fillId="0" borderId="0" xfId="1" applyFont="1" applyAlignment="1">
      <alignment horizontal="left" vertical="center" wrapText="1"/>
    </xf>
    <xf numFmtId="39" fontId="41" fillId="3" borderId="0" xfId="1" applyNumberFormat="1" applyFont="1" applyFill="1" applyAlignment="1">
      <alignment horizontal="right" vertical="top" wrapText="1"/>
    </xf>
    <xf numFmtId="0" fontId="40" fillId="3" borderId="0" xfId="1" applyFont="1" applyFill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 indent="35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4"/>
    </xf>
    <xf numFmtId="0" fontId="4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 indent="6"/>
    </xf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 indent="4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6" fillId="0" borderId="0" xfId="0" applyFont="1" applyAlignment="1">
      <alignment horizontal="left" vertical="center" wrapText="1" indent="67"/>
    </xf>
    <xf numFmtId="164" fontId="7" fillId="0" borderId="0" xfId="0" applyNumberFormat="1" applyFont="1" applyAlignment="1">
      <alignment horizontal="center" vertical="top" shrinkToFit="1"/>
    </xf>
    <xf numFmtId="164" fontId="7" fillId="0" borderId="3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 wrapText="1" indent="3"/>
    </xf>
    <xf numFmtId="0" fontId="8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0" fontId="9" fillId="0" borderId="0" xfId="0" applyFont="1" applyAlignment="1">
      <alignment horizontal="left" vertical="top" wrapText="1" indent="3"/>
    </xf>
    <xf numFmtId="0" fontId="0" fillId="0" borderId="1" xfId="0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horizontal="left" vertical="top" wrapText="1"/>
    </xf>
    <xf numFmtId="0" fontId="28" fillId="0" borderId="0" xfId="1" applyAlignment="1">
      <alignment horizontal="left" vertical="top" wrapText="1"/>
    </xf>
    <xf numFmtId="0" fontId="35" fillId="0" borderId="0" xfId="1" applyFont="1" applyAlignment="1">
      <alignment horizontal="center" vertical="top" wrapText="1"/>
    </xf>
    <xf numFmtId="0" fontId="33" fillId="0" borderId="0" xfId="1" applyFont="1" applyAlignment="1">
      <alignment horizontal="left" indent="1"/>
    </xf>
    <xf numFmtId="0" fontId="28" fillId="0" borderId="0" xfId="1" applyAlignment="1">
      <alignment vertical="top" wrapText="1"/>
    </xf>
    <xf numFmtId="0" fontId="28" fillId="0" borderId="0" xfId="1" applyAlignment="1">
      <alignment horizontal="left" indent="1"/>
    </xf>
    <xf numFmtId="0" fontId="34" fillId="0" borderId="0" xfId="1" applyFont="1" applyAlignment="1">
      <alignment horizontal="left" indent="1"/>
    </xf>
    <xf numFmtId="0" fontId="30" fillId="3" borderId="0" xfId="1" applyFont="1" applyFill="1" applyAlignment="1">
      <alignment horizontal="left" vertical="center" wrapText="1"/>
    </xf>
    <xf numFmtId="0" fontId="30" fillId="3" borderId="0" xfId="1" applyFont="1" applyFill="1" applyAlignment="1">
      <alignment horizontal="right" vertical="center" wrapText="1"/>
    </xf>
    <xf numFmtId="0" fontId="28" fillId="3" borderId="0" xfId="1" applyFill="1" applyAlignment="1">
      <alignment horizontal="left" vertical="top" wrapText="1"/>
    </xf>
    <xf numFmtId="39" fontId="31" fillId="3" borderId="0" xfId="1" applyNumberFormat="1" applyFont="1" applyFill="1" applyAlignment="1">
      <alignment horizontal="right" vertical="top" wrapText="1"/>
    </xf>
    <xf numFmtId="0" fontId="28" fillId="0" borderId="0" xfId="1" applyAlignment="1">
      <alignment horizontal="center" indent="1"/>
    </xf>
    <xf numFmtId="0" fontId="31" fillId="0" borderId="0" xfId="1" applyFont="1" applyAlignment="1">
      <alignment horizontal="right" vertical="center" wrapText="1"/>
    </xf>
    <xf numFmtId="39" fontId="29" fillId="0" borderId="0" xfId="1" applyNumberFormat="1" applyFont="1" applyAlignment="1">
      <alignment horizontal="right" vertical="center" wrapText="1"/>
    </xf>
    <xf numFmtId="0" fontId="28" fillId="0" borderId="0" xfId="1" applyAlignment="1">
      <alignment vertical="center" wrapText="1"/>
    </xf>
    <xf numFmtId="0" fontId="26" fillId="0" borderId="0" xfId="3" applyAlignment="1">
      <alignment horizontal="center" vertical="center" wrapText="1"/>
    </xf>
    <xf numFmtId="0" fontId="26" fillId="0" borderId="0" xfId="3" applyAlignment="1">
      <alignment horizontal="left" vertical="top" wrapText="1" indent="35"/>
    </xf>
    <xf numFmtId="0" fontId="26" fillId="0" borderId="0" xfId="3" applyAlignment="1">
      <alignment horizontal="center" vertical="top" wrapText="1"/>
    </xf>
    <xf numFmtId="0" fontId="26" fillId="0" borderId="0" xfId="3" applyAlignment="1">
      <alignment horizontal="left" vertical="top" wrapText="1" indent="4"/>
    </xf>
    <xf numFmtId="0" fontId="4" fillId="0" borderId="0" xfId="3" applyFont="1" applyAlignment="1">
      <alignment horizontal="left" vertical="top" wrapText="1" indent="6"/>
    </xf>
    <xf numFmtId="0" fontId="26" fillId="0" borderId="0" xfId="3" applyAlignment="1">
      <alignment horizontal="left" vertical="top" wrapText="1"/>
    </xf>
    <xf numFmtId="0" fontId="4" fillId="0" borderId="0" xfId="3" applyFont="1" applyAlignment="1">
      <alignment horizontal="center" vertical="top" wrapText="1"/>
    </xf>
    <xf numFmtId="0" fontId="26" fillId="0" borderId="0" xfId="3" applyAlignment="1">
      <alignment horizontal="left" vertical="top" wrapText="1" indent="6"/>
    </xf>
    <xf numFmtId="0" fontId="26" fillId="0" borderId="1" xfId="3" applyBorder="1" applyAlignment="1">
      <alignment horizontal="left" vertical="center" wrapText="1"/>
    </xf>
    <xf numFmtId="0" fontId="5" fillId="0" borderId="0" xfId="3" applyFont="1" applyAlignment="1">
      <alignment horizontal="right" vertical="center" wrapText="1" indent="1"/>
    </xf>
    <xf numFmtId="0" fontId="5" fillId="0" borderId="0" xfId="3" applyFont="1" applyAlignment="1">
      <alignment horizontal="left" vertical="center" wrapText="1"/>
    </xf>
    <xf numFmtId="0" fontId="3" fillId="0" borderId="0" xfId="3" applyFont="1" applyAlignment="1">
      <alignment horizontal="left" vertical="top" wrapText="1" indent="4"/>
    </xf>
    <xf numFmtId="0" fontId="3" fillId="0" borderId="2" xfId="3" applyFont="1" applyBorder="1" applyAlignment="1">
      <alignment horizontal="left" vertical="top" wrapText="1"/>
    </xf>
    <xf numFmtId="0" fontId="3" fillId="0" borderId="0" xfId="3" applyFont="1" applyAlignment="1">
      <alignment horizontal="right" vertical="top" wrapText="1" indent="1"/>
    </xf>
    <xf numFmtId="0" fontId="3" fillId="0" borderId="0" xfId="3" applyFont="1" applyAlignment="1">
      <alignment horizontal="left" vertical="top" wrapText="1"/>
    </xf>
    <xf numFmtId="0" fontId="26" fillId="0" borderId="0" xfId="3" applyAlignment="1">
      <alignment horizontal="left" vertical="center" wrapText="1" indent="5"/>
    </xf>
    <xf numFmtId="0" fontId="6" fillId="0" borderId="0" xfId="3" applyFont="1" applyAlignment="1">
      <alignment horizontal="left" vertical="center" wrapText="1" indent="67"/>
    </xf>
    <xf numFmtId="164" fontId="7" fillId="0" borderId="0" xfId="3" applyNumberFormat="1" applyFont="1" applyAlignment="1">
      <alignment horizontal="center" vertical="top" shrinkToFit="1"/>
    </xf>
    <xf numFmtId="164" fontId="7" fillId="0" borderId="3" xfId="3" applyNumberFormat="1" applyFont="1" applyBorder="1" applyAlignment="1">
      <alignment horizontal="center" vertical="top" shrinkToFit="1"/>
    </xf>
    <xf numFmtId="0" fontId="6" fillId="0" borderId="0" xfId="3" applyFont="1" applyAlignment="1">
      <alignment horizontal="center" vertical="top" wrapText="1"/>
    </xf>
    <xf numFmtId="0" fontId="6" fillId="0" borderId="0" xfId="3" applyFont="1" applyAlignment="1">
      <alignment horizontal="left" vertical="top" wrapText="1" indent="1"/>
    </xf>
    <xf numFmtId="0" fontId="26" fillId="0" borderId="0" xfId="3" applyAlignment="1">
      <alignment horizontal="left" wrapText="1"/>
    </xf>
    <xf numFmtId="0" fontId="6" fillId="0" borderId="0" xfId="3" applyFont="1" applyAlignment="1">
      <alignment horizontal="left" vertical="top" wrapText="1" indent="2"/>
    </xf>
    <xf numFmtId="0" fontId="8" fillId="0" borderId="0" xfId="3" applyFont="1" applyAlignment="1">
      <alignment horizontal="left" vertical="top" wrapText="1" indent="3"/>
    </xf>
    <xf numFmtId="0" fontId="8" fillId="0" borderId="0" xfId="3" applyFont="1" applyAlignment="1">
      <alignment horizontal="left" vertical="top" wrapText="1" indent="2"/>
    </xf>
    <xf numFmtId="0" fontId="26" fillId="0" borderId="0" xfId="3" applyAlignment="1">
      <alignment horizontal="left" vertical="center" wrapText="1"/>
    </xf>
    <xf numFmtId="0" fontId="26" fillId="0" borderId="0" xfId="3" applyAlignment="1">
      <alignment horizontal="left" vertical="top" wrapText="1" indent="1"/>
    </xf>
    <xf numFmtId="0" fontId="9" fillId="0" borderId="0" xfId="3" applyFont="1" applyAlignment="1">
      <alignment horizontal="left" vertical="top" wrapText="1" indent="3"/>
    </xf>
    <xf numFmtId="0" fontId="26" fillId="0" borderId="1" xfId="3" applyBorder="1" applyAlignment="1">
      <alignment horizontal="left" wrapText="1"/>
    </xf>
    <xf numFmtId="0" fontId="6" fillId="0" borderId="0" xfId="3" applyFont="1" applyAlignment="1">
      <alignment horizontal="left" vertical="center" wrapText="1"/>
    </xf>
    <xf numFmtId="0" fontId="26" fillId="0" borderId="3" xfId="3" applyBorder="1" applyAlignment="1">
      <alignment horizontal="left" vertical="center" wrapText="1"/>
    </xf>
    <xf numFmtId="0" fontId="8" fillId="0" borderId="0" xfId="3" applyFont="1" applyAlignment="1">
      <alignment horizontal="left" vertical="top" wrapText="1" indent="1"/>
    </xf>
    <xf numFmtId="0" fontId="8" fillId="0" borderId="0" xfId="3" applyFont="1" applyAlignment="1">
      <alignment horizontal="center" vertical="top" wrapText="1"/>
    </xf>
    <xf numFmtId="0" fontId="8" fillId="0" borderId="0" xfId="3" applyFont="1" applyAlignment="1">
      <alignment horizontal="right" vertical="top" wrapText="1"/>
    </xf>
    <xf numFmtId="0" fontId="6" fillId="0" borderId="0" xfId="3" applyFont="1" applyAlignment="1">
      <alignment horizontal="left" vertical="top" wrapText="1"/>
    </xf>
    <xf numFmtId="0" fontId="26" fillId="0" borderId="0" xfId="3" applyAlignment="1">
      <alignment horizontal="left" vertical="top" wrapText="1" indent="2"/>
    </xf>
    <xf numFmtId="0" fontId="35" fillId="0" borderId="0" xfId="4" applyFont="1" applyAlignment="1">
      <alignment horizontal="left" vertical="top" wrapText="1"/>
    </xf>
    <xf numFmtId="0" fontId="36" fillId="0" borderId="0" xfId="4" applyFont="1" applyAlignment="1">
      <alignment horizontal="left" vertical="top" wrapText="1"/>
    </xf>
    <xf numFmtId="0" fontId="32" fillId="0" borderId="0" xfId="4" applyAlignment="1">
      <alignment horizontal="left" vertical="top" wrapText="1"/>
    </xf>
    <xf numFmtId="0" fontId="35" fillId="0" borderId="0" xfId="4" applyFont="1" applyAlignment="1">
      <alignment horizontal="center" vertical="top" wrapText="1"/>
    </xf>
    <xf numFmtId="0" fontId="33" fillId="0" borderId="0" xfId="4" applyFont="1" applyAlignment="1">
      <alignment horizontal="left" indent="1"/>
    </xf>
    <xf numFmtId="0" fontId="32" fillId="0" borderId="0" xfId="4" applyAlignment="1">
      <alignment vertical="top" wrapText="1"/>
    </xf>
    <xf numFmtId="0" fontId="32" fillId="0" borderId="0" xfId="4" applyAlignment="1">
      <alignment horizontal="left" indent="1"/>
    </xf>
    <xf numFmtId="0" fontId="34" fillId="0" borderId="0" xfId="4" applyFont="1" applyAlignment="1">
      <alignment horizontal="left" indent="1"/>
    </xf>
    <xf numFmtId="0" fontId="30" fillId="3" borderId="0" xfId="4" applyFont="1" applyFill="1" applyAlignment="1">
      <alignment horizontal="left" vertical="center" wrapText="1"/>
    </xf>
    <xf numFmtId="0" fontId="30" fillId="3" borderId="0" xfId="4" applyFont="1" applyFill="1" applyAlignment="1">
      <alignment horizontal="right" vertical="center" wrapText="1"/>
    </xf>
    <xf numFmtId="0" fontId="32" fillId="0" borderId="0" xfId="4" applyAlignment="1">
      <alignment horizontal="center" indent="1"/>
    </xf>
    <xf numFmtId="0" fontId="32" fillId="3" borderId="0" xfId="4" applyFill="1" applyAlignment="1">
      <alignment horizontal="left" vertical="top" wrapText="1"/>
    </xf>
    <xf numFmtId="39" fontId="31" fillId="3" borderId="0" xfId="4" applyNumberFormat="1" applyFont="1" applyFill="1" applyAlignment="1">
      <alignment horizontal="right" vertical="top" wrapText="1"/>
    </xf>
    <xf numFmtId="0" fontId="31" fillId="0" borderId="0" xfId="4" applyFont="1" applyAlignment="1">
      <alignment horizontal="right" vertical="center" wrapText="1"/>
    </xf>
    <xf numFmtId="39" fontId="29" fillId="0" borderId="0" xfId="4" applyNumberFormat="1" applyFont="1" applyAlignment="1">
      <alignment horizontal="right" vertical="center" wrapText="1"/>
    </xf>
    <xf numFmtId="0" fontId="32" fillId="0" borderId="0" xfId="4" applyAlignment="1">
      <alignment vertical="center" wrapText="1"/>
    </xf>
    <xf numFmtId="39" fontId="39" fillId="0" borderId="0" xfId="1" applyNumberFormat="1" applyFont="1" applyAlignment="1">
      <alignment horizontal="right" vertical="center" wrapText="1"/>
    </xf>
    <xf numFmtId="0" fontId="40" fillId="3" borderId="0" xfId="1" applyFont="1" applyFill="1" applyAlignment="1">
      <alignment horizontal="left" vertical="center" wrapText="1"/>
    </xf>
    <xf numFmtId="0" fontId="40" fillId="3" borderId="0" xfId="1" applyFont="1" applyFill="1" applyAlignment="1">
      <alignment horizontal="right" vertical="center" wrapText="1"/>
    </xf>
    <xf numFmtId="39" fontId="41" fillId="3" borderId="0" xfId="1" applyNumberFormat="1" applyFont="1" applyFill="1" applyAlignment="1">
      <alignment horizontal="right" vertical="top" wrapText="1"/>
    </xf>
    <xf numFmtId="0" fontId="41" fillId="0" borderId="0" xfId="1" applyFont="1" applyAlignment="1">
      <alignment horizontal="right" vertical="center" wrapText="1"/>
    </xf>
    <xf numFmtId="0" fontId="44" fillId="0" borderId="0" xfId="1" applyFont="1" applyAlignment="1">
      <alignment horizontal="left" vertical="top" wrapText="1"/>
    </xf>
    <xf numFmtId="0" fontId="45" fillId="0" borderId="0" xfId="1" applyFont="1" applyAlignment="1">
      <alignment horizontal="left" vertical="top" wrapText="1"/>
    </xf>
    <xf numFmtId="0" fontId="43" fillId="0" borderId="0" xfId="1" applyFont="1" applyAlignment="1">
      <alignment horizontal="left" indent="1"/>
    </xf>
    <xf numFmtId="0" fontId="44" fillId="0" borderId="0" xfId="1" applyFont="1" applyAlignment="1">
      <alignment horizontal="center" vertical="top" wrapText="1"/>
    </xf>
    <xf numFmtId="0" fontId="42" fillId="0" borderId="0" xfId="1" applyFont="1" applyAlignment="1">
      <alignment horizontal="left" indent="1"/>
    </xf>
    <xf numFmtId="165" fontId="27" fillId="0" borderId="4" xfId="1" applyNumberFormat="1" applyFont="1" applyBorder="1"/>
    <xf numFmtId="165" fontId="28" fillId="0" borderId="0" xfId="1" applyNumberFormat="1"/>
    <xf numFmtId="165" fontId="28" fillId="0" borderId="0" xfId="1" applyNumberFormat="1" applyProtection="1">
      <protection locked="0"/>
    </xf>
    <xf numFmtId="0" fontId="1" fillId="0" borderId="0" xfId="5"/>
    <xf numFmtId="43" fontId="1" fillId="0" borderId="0" xfId="5" applyNumberFormat="1"/>
    <xf numFmtId="43" fontId="1" fillId="0" borderId="0" xfId="5" applyNumberFormat="1" applyProtection="1">
      <protection locked="0"/>
    </xf>
    <xf numFmtId="0" fontId="1" fillId="0" borderId="0" xfId="5" applyProtection="1">
      <protection locked="0"/>
    </xf>
    <xf numFmtId="0" fontId="47" fillId="0" borderId="0" xfId="5" applyFont="1" applyProtection="1">
      <protection locked="0"/>
    </xf>
    <xf numFmtId="44" fontId="27" fillId="0" borderId="4" xfId="5" applyNumberFormat="1" applyFont="1" applyBorder="1"/>
    <xf numFmtId="44" fontId="1" fillId="0" borderId="0" xfId="5" applyNumberFormat="1"/>
    <xf numFmtId="0" fontId="27" fillId="0" borderId="0" xfId="5" applyFont="1" applyProtection="1">
      <protection locked="0"/>
    </xf>
    <xf numFmtId="43" fontId="1" fillId="0" borderId="5" xfId="5" applyNumberFormat="1" applyBorder="1" applyProtection="1">
      <protection locked="0"/>
    </xf>
    <xf numFmtId="44" fontId="1" fillId="0" borderId="0" xfId="5" applyNumberFormat="1" applyProtection="1">
      <protection locked="0"/>
    </xf>
    <xf numFmtId="0" fontId="1" fillId="0" borderId="0" xfId="5" applyAlignment="1">
      <alignment horizontal="center"/>
    </xf>
    <xf numFmtId="0" fontId="27" fillId="0" borderId="5" xfId="5" applyFont="1" applyBorder="1" applyAlignment="1" applyProtection="1">
      <alignment horizontal="center" wrapText="1"/>
      <protection locked="0"/>
    </xf>
    <xf numFmtId="43" fontId="1" fillId="0" borderId="0" xfId="5" applyNumberFormat="1" applyAlignment="1" applyProtection="1">
      <alignment horizontal="center"/>
      <protection locked="0"/>
    </xf>
    <xf numFmtId="43" fontId="27" fillId="0" borderId="5" xfId="5" applyNumberFormat="1" applyFont="1" applyBorder="1" applyAlignment="1" applyProtection="1">
      <alignment horizontal="center"/>
      <protection locked="0"/>
    </xf>
    <xf numFmtId="0" fontId="27" fillId="0" borderId="0" xfId="5" applyFont="1" applyAlignment="1" applyProtection="1">
      <alignment horizontal="centerContinuous"/>
      <protection locked="0"/>
    </xf>
    <xf numFmtId="0" fontId="1" fillId="0" borderId="0" xfId="6"/>
    <xf numFmtId="43" fontId="1" fillId="0" borderId="0" xfId="6" applyNumberFormat="1"/>
    <xf numFmtId="0" fontId="1" fillId="0" borderId="0" xfId="6" applyProtection="1">
      <protection locked="0"/>
    </xf>
    <xf numFmtId="43" fontId="1" fillId="0" borderId="0" xfId="6" applyNumberFormat="1" applyProtection="1">
      <protection locked="0"/>
    </xf>
    <xf numFmtId="40" fontId="1" fillId="0" borderId="0" xfId="6" applyNumberFormat="1"/>
    <xf numFmtId="40" fontId="1" fillId="4" borderId="0" xfId="6" applyNumberFormat="1" applyFill="1"/>
    <xf numFmtId="38" fontId="27" fillId="0" borderId="4" xfId="6" applyNumberFormat="1" applyFont="1" applyBorder="1"/>
    <xf numFmtId="38" fontId="1" fillId="0" borderId="0" xfId="6" applyNumberFormat="1"/>
    <xf numFmtId="0" fontId="27" fillId="0" borderId="0" xfId="6" applyFont="1"/>
    <xf numFmtId="41" fontId="1" fillId="0" borderId="0" xfId="6" applyNumberFormat="1"/>
    <xf numFmtId="41" fontId="1" fillId="0" borderId="0" xfId="6" applyNumberFormat="1" applyProtection="1">
      <protection locked="0"/>
    </xf>
    <xf numFmtId="41" fontId="1" fillId="0" borderId="5" xfId="6" applyNumberFormat="1" applyBorder="1" applyProtection="1">
      <protection locked="0"/>
    </xf>
    <xf numFmtId="41" fontId="1" fillId="4" borderId="0" xfId="6" applyNumberFormat="1" applyFill="1" applyProtection="1">
      <protection locked="0"/>
    </xf>
    <xf numFmtId="0" fontId="27" fillId="0" borderId="0" xfId="6" applyFont="1" applyProtection="1">
      <protection locked="0"/>
    </xf>
    <xf numFmtId="40" fontId="1" fillId="0" borderId="0" xfId="6" applyNumberFormat="1" applyProtection="1">
      <protection locked="0"/>
    </xf>
    <xf numFmtId="40" fontId="1" fillId="4" borderId="0" xfId="6" applyNumberFormat="1" applyFill="1" applyProtection="1">
      <protection locked="0"/>
    </xf>
    <xf numFmtId="38" fontId="1" fillId="0" borderId="0" xfId="6" applyNumberFormat="1" applyProtection="1">
      <protection locked="0"/>
    </xf>
    <xf numFmtId="43" fontId="1" fillId="4" borderId="0" xfId="6" applyNumberFormat="1" applyFill="1" applyProtection="1">
      <protection locked="0"/>
    </xf>
    <xf numFmtId="0" fontId="27" fillId="0" borderId="5" xfId="6" applyFont="1" applyBorder="1" applyAlignment="1" applyProtection="1">
      <alignment horizontal="center" vertical="top" wrapText="1"/>
      <protection locked="0"/>
    </xf>
    <xf numFmtId="0" fontId="1" fillId="0" borderId="0" xfId="6" applyAlignment="1" applyProtection="1">
      <alignment horizontal="center"/>
      <protection locked="0"/>
    </xf>
    <xf numFmtId="0" fontId="1" fillId="4" borderId="0" xfId="6" applyFill="1" applyAlignment="1" applyProtection="1">
      <alignment horizontal="center"/>
      <protection locked="0"/>
    </xf>
    <xf numFmtId="0" fontId="27" fillId="0" borderId="5" xfId="6" applyFont="1" applyBorder="1" applyAlignment="1" applyProtection="1">
      <alignment horizontal="center" vertical="top"/>
      <protection locked="0"/>
    </xf>
    <xf numFmtId="0" fontId="1" fillId="0" borderId="0" xfId="6" quotePrefix="1" applyAlignment="1" applyProtection="1">
      <alignment horizontal="center"/>
      <protection locked="0"/>
    </xf>
    <xf numFmtId="43" fontId="27" fillId="0" borderId="6" xfId="6" applyNumberFormat="1" applyFont="1" applyBorder="1" applyAlignment="1" applyProtection="1">
      <alignment horizontal="centerContinuous"/>
      <protection locked="0"/>
    </xf>
    <xf numFmtId="0" fontId="27" fillId="0" borderId="0" xfId="6" applyFont="1" applyAlignment="1" applyProtection="1">
      <alignment horizontal="centerContinuous"/>
      <protection locked="0"/>
    </xf>
    <xf numFmtId="41" fontId="27" fillId="0" borderId="4" xfId="6" applyNumberFormat="1" applyFont="1" applyBorder="1"/>
    <xf numFmtId="41" fontId="1" fillId="4" borderId="0" xfId="6" applyNumberFormat="1" applyFill="1"/>
    <xf numFmtId="0" fontId="32" fillId="0" borderId="0" xfId="7"/>
    <xf numFmtId="0" fontId="32" fillId="0" borderId="0" xfId="7" applyAlignment="1">
      <alignment horizontal="center" indent="1"/>
    </xf>
    <xf numFmtId="0" fontId="32" fillId="0" borderId="0" xfId="7" applyAlignment="1">
      <alignment horizontal="left" indent="1"/>
    </xf>
    <xf numFmtId="39" fontId="29" fillId="0" borderId="0" xfId="7" applyNumberFormat="1" applyFont="1" applyAlignment="1">
      <alignment horizontal="right" vertical="center" wrapText="1"/>
    </xf>
    <xf numFmtId="0" fontId="32" fillId="0" borderId="0" xfId="7" applyAlignment="1">
      <alignment vertical="center" wrapText="1"/>
    </xf>
    <xf numFmtId="0" fontId="30" fillId="0" borderId="0" xfId="7" applyFont="1" applyAlignment="1">
      <alignment horizontal="left" vertical="center" wrapText="1"/>
    </xf>
    <xf numFmtId="0" fontId="31" fillId="0" borderId="0" xfId="7" applyFont="1" applyAlignment="1">
      <alignment horizontal="right" vertical="center" wrapText="1"/>
    </xf>
    <xf numFmtId="39" fontId="31" fillId="3" borderId="0" xfId="7" applyNumberFormat="1" applyFont="1" applyFill="1" applyAlignment="1">
      <alignment horizontal="right" vertical="top" wrapText="1"/>
    </xf>
    <xf numFmtId="39" fontId="31" fillId="3" borderId="0" xfId="7" applyNumberFormat="1" applyFont="1" applyFill="1" applyAlignment="1">
      <alignment horizontal="right" vertical="top" wrapText="1"/>
    </xf>
    <xf numFmtId="0" fontId="32" fillId="3" borderId="0" xfId="7" applyFill="1" applyAlignment="1">
      <alignment horizontal="left" vertical="top" wrapText="1"/>
    </xf>
    <xf numFmtId="0" fontId="33" fillId="0" borderId="0" xfId="7" applyFont="1" applyAlignment="1">
      <alignment horizontal="left" indent="1"/>
    </xf>
    <xf numFmtId="0" fontId="30" fillId="3" borderId="0" xfId="7" applyFont="1" applyFill="1" applyAlignment="1">
      <alignment horizontal="right" vertical="center" wrapText="1"/>
    </xf>
    <xf numFmtId="0" fontId="30" fillId="3" borderId="0" xfId="7" applyFont="1" applyFill="1" applyAlignment="1">
      <alignment horizontal="right" vertical="center" wrapText="1"/>
    </xf>
    <xf numFmtId="0" fontId="30" fillId="3" borderId="0" xfId="7" applyFont="1" applyFill="1" applyAlignment="1">
      <alignment horizontal="left" vertical="center" wrapText="1"/>
    </xf>
    <xf numFmtId="0" fontId="34" fillId="0" borderId="0" xfId="7" applyFont="1" applyAlignment="1">
      <alignment horizontal="left" indent="1"/>
    </xf>
    <xf numFmtId="0" fontId="32" fillId="0" borderId="0" xfId="7" applyAlignment="1">
      <alignment horizontal="left" vertical="top" wrapText="1"/>
    </xf>
    <xf numFmtId="0" fontId="32" fillId="0" borderId="0" xfId="7" applyAlignment="1">
      <alignment vertical="top" wrapText="1"/>
    </xf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horizontal="left" vertical="top" wrapText="1"/>
    </xf>
    <xf numFmtId="0" fontId="35" fillId="0" borderId="0" xfId="7" applyFont="1" applyAlignment="1">
      <alignment horizontal="center" vertical="top" wrapText="1"/>
    </xf>
    <xf numFmtId="0" fontId="47" fillId="0" borderId="0" xfId="6" applyFont="1" applyProtection="1">
      <protection locked="0"/>
    </xf>
    <xf numFmtId="44" fontId="27" fillId="0" borderId="4" xfId="6" applyNumberFormat="1" applyFont="1" applyBorder="1"/>
    <xf numFmtId="44" fontId="1" fillId="0" borderId="0" xfId="6" applyNumberFormat="1"/>
    <xf numFmtId="43" fontId="1" fillId="0" borderId="5" xfId="6" applyNumberFormat="1" applyBorder="1" applyProtection="1">
      <protection locked="0"/>
    </xf>
    <xf numFmtId="44" fontId="1" fillId="0" borderId="0" xfId="6" applyNumberFormat="1" applyProtection="1">
      <protection locked="0"/>
    </xf>
    <xf numFmtId="0" fontId="1" fillId="0" borderId="0" xfId="6" applyAlignment="1">
      <alignment horizontal="center"/>
    </xf>
    <xf numFmtId="0" fontId="27" fillId="0" borderId="5" xfId="6" applyFont="1" applyBorder="1" applyAlignment="1" applyProtection="1">
      <alignment horizontal="center" wrapText="1"/>
      <protection locked="0"/>
    </xf>
    <xf numFmtId="43" fontId="1" fillId="0" borderId="0" xfId="6" applyNumberFormat="1" applyAlignment="1" applyProtection="1">
      <alignment horizontal="center"/>
      <protection locked="0"/>
    </xf>
    <xf numFmtId="43" fontId="27" fillId="0" borderId="5" xfId="6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2" xfId="1" xr:uid="{02F07485-2B8E-4E83-9583-3C6C919F5DA6}"/>
    <cellStyle name="Normal 2 2" xfId="2" xr:uid="{8FF00939-2B02-4729-957E-4D2D65C38AFB}"/>
    <cellStyle name="Normal 2 3" xfId="6" xr:uid="{4E166B50-F1D7-498F-85DF-21289AB406B0}"/>
    <cellStyle name="Normal 2 4" xfId="7" xr:uid="{2390E215-151A-4664-8EFA-B51FF4F38C14}"/>
    <cellStyle name="Normal 3" xfId="3" xr:uid="{DAE29E36-6904-46A9-AADF-199C4CA240D2}"/>
    <cellStyle name="Normal 4" xfId="4" xr:uid="{B7BB2ECC-6B2A-4F9F-B255-80BB35CFBEE8}"/>
    <cellStyle name="Normal 5" xfId="5" xr:uid="{9882CCB4-85D1-4981-9845-A1273F91A7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15500</xdr:colOff>
      <xdr:row>1</xdr:row>
      <xdr:rowOff>581660</xdr:rowOff>
    </xdr:from>
    <xdr:ext cx="112776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193547</xdr:colOff>
      <xdr:row>13</xdr:row>
      <xdr:rowOff>195580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17</xdr:col>
      <xdr:colOff>70104</xdr:colOff>
      <xdr:row>13</xdr:row>
      <xdr:rowOff>195580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1909</xdr:colOff>
      <xdr:row>13</xdr:row>
      <xdr:rowOff>195580</xdr:rowOff>
    </xdr:from>
    <xdr:ext cx="112776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252476</xdr:colOff>
      <xdr:row>16</xdr:row>
      <xdr:rowOff>108458</xdr:rowOff>
    </xdr:from>
    <xdr:ext cx="76200" cy="345503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6200" cy="3455035"/>
        </a:xfrm>
        <a:custGeom>
          <a:avLst/>
          <a:gdLst/>
          <a:ahLst/>
          <a:cxnLst/>
          <a:rect l="0" t="0" r="0" b="0"/>
          <a:pathLst>
            <a:path w="76200" h="3455035">
              <a:moveTo>
                <a:pt x="76200" y="3454908"/>
              </a:moveTo>
              <a:lnTo>
                <a:pt x="0" y="3454908"/>
              </a:lnTo>
              <a:lnTo>
                <a:pt x="0" y="0"/>
              </a:lnTo>
              <a:lnTo>
                <a:pt x="76200" y="0"/>
              </a:lnTo>
              <a:lnTo>
                <a:pt x="76200" y="345490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9</xdr:col>
      <xdr:colOff>62451</xdr:colOff>
      <xdr:row>37</xdr:row>
      <xdr:rowOff>210820</xdr:rowOff>
    </xdr:from>
    <xdr:ext cx="676910" cy="762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21844</xdr:colOff>
      <xdr:row>37</xdr:row>
      <xdr:rowOff>210820</xdr:rowOff>
    </xdr:from>
    <xdr:ext cx="676910" cy="762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35527</xdr:colOff>
      <xdr:row>38</xdr:row>
      <xdr:rowOff>116839</xdr:rowOff>
    </xdr:from>
    <xdr:ext cx="676910" cy="762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23335</xdr:colOff>
      <xdr:row>38</xdr:row>
      <xdr:rowOff>116839</xdr:rowOff>
    </xdr:from>
    <xdr:ext cx="676910" cy="762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11143</xdr:colOff>
      <xdr:row>38</xdr:row>
      <xdr:rowOff>103136</xdr:rowOff>
    </xdr:from>
    <xdr:ext cx="676910" cy="2159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76910" cy="21590"/>
        </a:xfrm>
        <a:custGeom>
          <a:avLst/>
          <a:gdLst/>
          <a:ahLst/>
          <a:cxnLst/>
          <a:rect l="0" t="0" r="0" b="0"/>
          <a:pathLst>
            <a:path w="676910" h="21590">
              <a:moveTo>
                <a:pt x="676656" y="13716"/>
              </a:moveTo>
              <a:lnTo>
                <a:pt x="0" y="13716"/>
              </a:lnTo>
              <a:lnTo>
                <a:pt x="0" y="21336"/>
              </a:lnTo>
              <a:lnTo>
                <a:pt x="676656" y="21336"/>
              </a:lnTo>
              <a:lnTo>
                <a:pt x="676656" y="13716"/>
              </a:lnTo>
              <a:close/>
            </a:path>
            <a:path w="676910" h="21590">
              <a:moveTo>
                <a:pt x="676656" y="0"/>
              </a:moveTo>
              <a:lnTo>
                <a:pt x="0" y="0"/>
              </a:lnTo>
              <a:lnTo>
                <a:pt x="0" y="7620"/>
              </a:lnTo>
              <a:lnTo>
                <a:pt x="676656" y="7620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62451</xdr:colOff>
      <xdr:row>38</xdr:row>
      <xdr:rowOff>103136</xdr:rowOff>
    </xdr:from>
    <xdr:ext cx="676910" cy="2159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76910" cy="21590"/>
        </a:xfrm>
        <a:custGeom>
          <a:avLst/>
          <a:gdLst/>
          <a:ahLst/>
          <a:cxnLst/>
          <a:rect l="0" t="0" r="0" b="0"/>
          <a:pathLst>
            <a:path w="676910" h="21590">
              <a:moveTo>
                <a:pt x="676656" y="13716"/>
              </a:moveTo>
              <a:lnTo>
                <a:pt x="0" y="13716"/>
              </a:lnTo>
              <a:lnTo>
                <a:pt x="0" y="21336"/>
              </a:lnTo>
              <a:lnTo>
                <a:pt x="676656" y="21336"/>
              </a:lnTo>
              <a:lnTo>
                <a:pt x="676656" y="13716"/>
              </a:lnTo>
              <a:close/>
            </a:path>
            <a:path w="676910" h="21590">
              <a:moveTo>
                <a:pt x="676656" y="0"/>
              </a:moveTo>
              <a:lnTo>
                <a:pt x="0" y="0"/>
              </a:lnTo>
              <a:lnTo>
                <a:pt x="0" y="7620"/>
              </a:lnTo>
              <a:lnTo>
                <a:pt x="676656" y="7620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21844</xdr:colOff>
      <xdr:row>38</xdr:row>
      <xdr:rowOff>116839</xdr:rowOff>
    </xdr:from>
    <xdr:ext cx="676910" cy="762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73152</xdr:colOff>
      <xdr:row>38</xdr:row>
      <xdr:rowOff>116839</xdr:rowOff>
    </xdr:from>
    <xdr:ext cx="1351915" cy="762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1351915" cy="7620"/>
        </a:xfrm>
        <a:custGeom>
          <a:avLst/>
          <a:gdLst/>
          <a:ahLst/>
          <a:cxnLst/>
          <a:rect l="0" t="0" r="0" b="0"/>
          <a:pathLst>
            <a:path w="1351915" h="7620">
              <a:moveTo>
                <a:pt x="1351788" y="7620"/>
              </a:moveTo>
              <a:lnTo>
                <a:pt x="0" y="7620"/>
              </a:lnTo>
              <a:lnTo>
                <a:pt x="0" y="0"/>
              </a:lnTo>
              <a:lnTo>
                <a:pt x="1351788" y="0"/>
              </a:lnTo>
              <a:lnTo>
                <a:pt x="1351788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21</xdr:col>
      <xdr:colOff>37592</xdr:colOff>
      <xdr:row>38</xdr:row>
      <xdr:rowOff>116839</xdr:rowOff>
    </xdr:from>
    <xdr:ext cx="676910" cy="762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15500</xdr:colOff>
      <xdr:row>1</xdr:row>
      <xdr:rowOff>607221</xdr:rowOff>
    </xdr:from>
    <xdr:ext cx="112776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7749F312-C045-4A3D-B222-3A8AA2EB5F60}"/>
            </a:ext>
          </a:extLst>
        </xdr:cNvPr>
        <xdr:cNvSpPr/>
      </xdr:nvSpPr>
      <xdr:spPr>
        <a:xfrm>
          <a:off x="4892300" y="378621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193547</xdr:colOff>
      <xdr:row>13</xdr:row>
      <xdr:rowOff>195741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DA79A1D-2FD8-4465-9EFE-6B3CBD812094}"/>
            </a:ext>
          </a:extLst>
        </xdr:cNvPr>
        <xdr:cNvSpPr/>
      </xdr:nvSpPr>
      <xdr:spPr>
        <a:xfrm>
          <a:off x="8118347" y="2662716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17</xdr:col>
      <xdr:colOff>70104</xdr:colOff>
      <xdr:row>13</xdr:row>
      <xdr:rowOff>195741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11282240-DD10-428F-8B72-842D29C6E51D}"/>
            </a:ext>
          </a:extLst>
        </xdr:cNvPr>
        <xdr:cNvSpPr/>
      </xdr:nvSpPr>
      <xdr:spPr>
        <a:xfrm>
          <a:off x="10433304" y="2662716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1909</xdr:colOff>
      <xdr:row>13</xdr:row>
      <xdr:rowOff>195741</xdr:rowOff>
    </xdr:from>
    <xdr:ext cx="112776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9D1FEC4-0536-4C7B-8663-3C59B9BD82C0}"/>
            </a:ext>
          </a:extLst>
        </xdr:cNvPr>
        <xdr:cNvSpPr/>
      </xdr:nvSpPr>
      <xdr:spPr>
        <a:xfrm>
          <a:off x="12193909" y="2662716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252476</xdr:colOff>
      <xdr:row>16</xdr:row>
      <xdr:rowOff>116943</xdr:rowOff>
    </xdr:from>
    <xdr:ext cx="76200" cy="345503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DB8F495C-0E0A-4030-B060-CD630D57546A}"/>
            </a:ext>
          </a:extLst>
        </xdr:cNvPr>
        <xdr:cNvSpPr/>
      </xdr:nvSpPr>
      <xdr:spPr>
        <a:xfrm>
          <a:off x="5129276" y="3164943"/>
          <a:ext cx="76200" cy="3455035"/>
        </a:xfrm>
        <a:custGeom>
          <a:avLst/>
          <a:gdLst/>
          <a:ahLst/>
          <a:cxnLst/>
          <a:rect l="0" t="0" r="0" b="0"/>
          <a:pathLst>
            <a:path w="76200" h="3455035">
              <a:moveTo>
                <a:pt x="76200" y="3454908"/>
              </a:moveTo>
              <a:lnTo>
                <a:pt x="0" y="3454908"/>
              </a:lnTo>
              <a:lnTo>
                <a:pt x="0" y="0"/>
              </a:lnTo>
              <a:lnTo>
                <a:pt x="76200" y="0"/>
              </a:lnTo>
              <a:lnTo>
                <a:pt x="76200" y="345490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9</xdr:col>
      <xdr:colOff>62451</xdr:colOff>
      <xdr:row>37</xdr:row>
      <xdr:rowOff>206605</xdr:rowOff>
    </xdr:from>
    <xdr:ext cx="676910" cy="762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56C42436-9DCB-4AD2-AD43-C2CA26EB5A4C}"/>
            </a:ext>
          </a:extLst>
        </xdr:cNvPr>
        <xdr:cNvSpPr/>
      </xdr:nvSpPr>
      <xdr:spPr>
        <a:xfrm>
          <a:off x="5548851" y="7236055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21844</xdr:colOff>
      <xdr:row>37</xdr:row>
      <xdr:rowOff>206605</xdr:rowOff>
    </xdr:from>
    <xdr:ext cx="676910" cy="762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268605ED-B4C4-44C3-A74F-19FDD5F3865D}"/>
            </a:ext>
          </a:extLst>
        </xdr:cNvPr>
        <xdr:cNvSpPr/>
      </xdr:nvSpPr>
      <xdr:spPr>
        <a:xfrm>
          <a:off x="6727444" y="7236055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35527</xdr:colOff>
      <xdr:row>38</xdr:row>
      <xdr:rowOff>112625</xdr:rowOff>
    </xdr:from>
    <xdr:ext cx="676910" cy="762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7EC3226F-6A16-4B7B-801F-99B41E69CA48}"/>
            </a:ext>
          </a:extLst>
        </xdr:cNvPr>
        <xdr:cNvSpPr/>
      </xdr:nvSpPr>
      <xdr:spPr>
        <a:xfrm>
          <a:off x="1864327" y="7351625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23335</xdr:colOff>
      <xdr:row>38</xdr:row>
      <xdr:rowOff>112625</xdr:rowOff>
    </xdr:from>
    <xdr:ext cx="676910" cy="762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CDF8FA78-B681-49BF-93B4-1AF65E55C26E}"/>
            </a:ext>
          </a:extLst>
        </xdr:cNvPr>
        <xdr:cNvSpPr/>
      </xdr:nvSpPr>
      <xdr:spPr>
        <a:xfrm>
          <a:off x="3071335" y="7351625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11130</xdr:colOff>
      <xdr:row>38</xdr:row>
      <xdr:rowOff>98919</xdr:rowOff>
    </xdr:from>
    <xdr:ext cx="676910" cy="2159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E80207EE-F296-43B9-BE99-51EBD8A13688}"/>
            </a:ext>
          </a:extLst>
        </xdr:cNvPr>
        <xdr:cNvSpPr/>
      </xdr:nvSpPr>
      <xdr:spPr>
        <a:xfrm>
          <a:off x="4278330" y="7337919"/>
          <a:ext cx="676910" cy="21590"/>
        </a:xfrm>
        <a:custGeom>
          <a:avLst/>
          <a:gdLst/>
          <a:ahLst/>
          <a:cxnLst/>
          <a:rect l="0" t="0" r="0" b="0"/>
          <a:pathLst>
            <a:path w="676910" h="21590">
              <a:moveTo>
                <a:pt x="676656" y="13716"/>
              </a:moveTo>
              <a:lnTo>
                <a:pt x="0" y="13716"/>
              </a:lnTo>
              <a:lnTo>
                <a:pt x="0" y="21336"/>
              </a:lnTo>
              <a:lnTo>
                <a:pt x="676656" y="21336"/>
              </a:lnTo>
              <a:lnTo>
                <a:pt x="676656" y="13716"/>
              </a:lnTo>
              <a:close/>
            </a:path>
            <a:path w="676910" h="21590">
              <a:moveTo>
                <a:pt x="676656" y="0"/>
              </a:moveTo>
              <a:lnTo>
                <a:pt x="0" y="0"/>
              </a:lnTo>
              <a:lnTo>
                <a:pt x="0" y="7620"/>
              </a:lnTo>
              <a:lnTo>
                <a:pt x="676656" y="7620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62438</xdr:colOff>
      <xdr:row>38</xdr:row>
      <xdr:rowOff>98919</xdr:rowOff>
    </xdr:from>
    <xdr:ext cx="676910" cy="2159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864E446C-CB4B-4142-952A-447C3AFE2F76}"/>
            </a:ext>
          </a:extLst>
        </xdr:cNvPr>
        <xdr:cNvSpPr/>
      </xdr:nvSpPr>
      <xdr:spPr>
        <a:xfrm>
          <a:off x="5548838" y="7337919"/>
          <a:ext cx="676910" cy="21590"/>
        </a:xfrm>
        <a:custGeom>
          <a:avLst/>
          <a:gdLst/>
          <a:ahLst/>
          <a:cxnLst/>
          <a:rect l="0" t="0" r="0" b="0"/>
          <a:pathLst>
            <a:path w="676910" h="21590">
              <a:moveTo>
                <a:pt x="676656" y="13716"/>
              </a:moveTo>
              <a:lnTo>
                <a:pt x="0" y="13716"/>
              </a:lnTo>
              <a:lnTo>
                <a:pt x="0" y="21336"/>
              </a:lnTo>
              <a:lnTo>
                <a:pt x="676656" y="21336"/>
              </a:lnTo>
              <a:lnTo>
                <a:pt x="676656" y="13716"/>
              </a:lnTo>
              <a:close/>
            </a:path>
            <a:path w="676910" h="21590">
              <a:moveTo>
                <a:pt x="676656" y="0"/>
              </a:moveTo>
              <a:lnTo>
                <a:pt x="0" y="0"/>
              </a:lnTo>
              <a:lnTo>
                <a:pt x="0" y="7620"/>
              </a:lnTo>
              <a:lnTo>
                <a:pt x="676656" y="7620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21844</xdr:colOff>
      <xdr:row>38</xdr:row>
      <xdr:rowOff>112625</xdr:rowOff>
    </xdr:from>
    <xdr:ext cx="676910" cy="762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71D8BA6C-8EE0-41BF-A53C-BA379E3E7C0E}"/>
            </a:ext>
          </a:extLst>
        </xdr:cNvPr>
        <xdr:cNvSpPr/>
      </xdr:nvSpPr>
      <xdr:spPr>
        <a:xfrm>
          <a:off x="6727444" y="7351625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73152</xdr:colOff>
      <xdr:row>38</xdr:row>
      <xdr:rowOff>112625</xdr:rowOff>
    </xdr:from>
    <xdr:ext cx="1351915" cy="762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71096241-802C-4C9C-B7C9-9B7A93DCF63C}"/>
            </a:ext>
          </a:extLst>
        </xdr:cNvPr>
        <xdr:cNvSpPr/>
      </xdr:nvSpPr>
      <xdr:spPr>
        <a:xfrm>
          <a:off x="11045952" y="7351625"/>
          <a:ext cx="1351915" cy="7620"/>
        </a:xfrm>
        <a:custGeom>
          <a:avLst/>
          <a:gdLst/>
          <a:ahLst/>
          <a:cxnLst/>
          <a:rect l="0" t="0" r="0" b="0"/>
          <a:pathLst>
            <a:path w="1351915" h="7620">
              <a:moveTo>
                <a:pt x="1351788" y="7620"/>
              </a:moveTo>
              <a:lnTo>
                <a:pt x="0" y="7620"/>
              </a:lnTo>
              <a:lnTo>
                <a:pt x="0" y="0"/>
              </a:lnTo>
              <a:lnTo>
                <a:pt x="1351788" y="0"/>
              </a:lnTo>
              <a:lnTo>
                <a:pt x="1351788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21</xdr:col>
      <xdr:colOff>37592</xdr:colOff>
      <xdr:row>38</xdr:row>
      <xdr:rowOff>112625</xdr:rowOff>
    </xdr:from>
    <xdr:ext cx="676910" cy="762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BA28D62-C943-46C7-9A25-8F322BB62E45}"/>
            </a:ext>
          </a:extLst>
        </xdr:cNvPr>
        <xdr:cNvSpPr/>
      </xdr:nvSpPr>
      <xdr:spPr>
        <a:xfrm>
          <a:off x="12839192" y="7351625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7620"/>
              </a:moveTo>
              <a:lnTo>
                <a:pt x="0" y="7620"/>
              </a:lnTo>
              <a:lnTo>
                <a:pt x="0" y="0"/>
              </a:lnTo>
              <a:lnTo>
                <a:pt x="676656" y="0"/>
              </a:lnTo>
              <a:lnTo>
                <a:pt x="676656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970\10%20Report%2018-Statement%20of%20Changes%20in%20Capital%20Assets-08.12.2024%20.xlsx" TargetMode="External"/><Relationship Id="rId1" Type="http://schemas.openxmlformats.org/officeDocument/2006/relationships/externalLinkPath" Target="10%20Report%2018-Statement%20of%20Changes%20in%20Capital%20Assets-08.12.2024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970\Fund%200276%20Report_18_Differential%20Report%20FY23.24.xlsx" TargetMode="External"/><Relationship Id="rId1" Type="http://schemas.openxmlformats.org/officeDocument/2006/relationships/externalLinkPath" Target="Fund%200276%20Report_18_Differential%20Report%20FY23.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970\Fund%200386%20Report_18_Differential%20Report%20FY23.24.xlsx" TargetMode="External"/><Relationship Id="rId1" Type="http://schemas.openxmlformats.org/officeDocument/2006/relationships/externalLinkPath" Target="Fund%200386%20Report_18_Differential%20Report%20FY23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0276 Dif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workbookViewId="0">
      <selection sqref="A1:W1"/>
    </sheetView>
  </sheetViews>
  <sheetFormatPr defaultRowHeight="12.75" x14ac:dyDescent="0.2"/>
  <cols>
    <col min="1" max="1" width="24.5" customWidth="1"/>
    <col min="2" max="2" width="16.1640625" customWidth="1"/>
    <col min="3" max="3" width="3.33203125" customWidth="1"/>
    <col min="4" max="4" width="12.6640625" customWidth="1"/>
    <col min="5" max="5" width="1.1640625" customWidth="1"/>
    <col min="6" max="6" width="12.6640625" customWidth="1"/>
    <col min="7" max="7" width="1.1640625" customWidth="1"/>
    <col min="8" max="8" width="8" customWidth="1"/>
    <col min="9" max="9" width="4.6640625" customWidth="1"/>
    <col min="10" max="10" width="1.1640625" customWidth="1"/>
    <col min="11" max="11" width="12.6640625" customWidth="1"/>
    <col min="12" max="13" width="1.1640625" customWidth="1"/>
    <col min="14" max="14" width="10.5" customWidth="1"/>
    <col min="15" max="15" width="2.1640625" customWidth="1"/>
    <col min="16" max="16" width="11.5" customWidth="1"/>
    <col min="17" max="17" width="1.1640625" customWidth="1"/>
    <col min="18" max="18" width="12.6640625" customWidth="1"/>
    <col min="19" max="19" width="9.33203125" customWidth="1"/>
    <col min="20" max="20" width="3.33203125" customWidth="1"/>
    <col min="21" max="21" width="14" customWidth="1"/>
    <col min="22" max="22" width="12.6640625" customWidth="1"/>
    <col min="23" max="23" width="2.1640625" customWidth="1"/>
  </cols>
  <sheetData>
    <row r="1" spans="1:23" ht="112.5" customHeight="1" x14ac:dyDescent="0.2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</row>
    <row r="2" spans="1:23" ht="63" customHeight="1" x14ac:dyDescent="0.2">
      <c r="A2" s="1" t="s">
        <v>1</v>
      </c>
      <c r="B2" s="94" t="s">
        <v>2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5" t="s">
        <v>3</v>
      </c>
      <c r="U2" s="95"/>
      <c r="V2" s="95"/>
      <c r="W2" s="95"/>
    </row>
    <row r="3" spans="1:23" ht="78.599999999999994" customHeight="1" x14ac:dyDescent="0.2">
      <c r="A3" s="96" t="s">
        <v>4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</row>
    <row r="4" spans="1:23" ht="16.5" customHeight="1" x14ac:dyDescent="0.2">
      <c r="A4" s="97" t="s">
        <v>5</v>
      </c>
      <c r="B4" s="97"/>
      <c r="C4" s="97"/>
      <c r="D4" s="97"/>
      <c r="E4" s="97"/>
      <c r="F4" s="97"/>
      <c r="G4" s="97"/>
      <c r="H4" s="97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3"/>
    </row>
    <row r="5" spans="1:23" ht="16.5" customHeight="1" x14ac:dyDescent="0.2">
      <c r="A5" s="97" t="s">
        <v>6</v>
      </c>
      <c r="B5" s="97"/>
      <c r="C5" s="97"/>
      <c r="D5" s="97"/>
      <c r="E5" s="97"/>
      <c r="F5" s="97"/>
      <c r="G5" s="97"/>
      <c r="H5" s="97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3"/>
    </row>
    <row r="6" spans="1:23" ht="16.5" customHeight="1" x14ac:dyDescent="0.2">
      <c r="A6" s="97" t="s">
        <v>7</v>
      </c>
      <c r="B6" s="97"/>
      <c r="C6" s="97"/>
      <c r="D6" s="97"/>
      <c r="E6" s="97"/>
      <c r="F6" s="97"/>
      <c r="G6" s="97"/>
      <c r="H6" s="97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3"/>
    </row>
    <row r="7" spans="1:23" ht="16.5" customHeight="1" x14ac:dyDescent="0.2">
      <c r="A7" s="97" t="s">
        <v>8</v>
      </c>
      <c r="B7" s="97"/>
      <c r="C7" s="97"/>
      <c r="D7" s="97"/>
      <c r="E7" s="97"/>
      <c r="F7" s="97"/>
      <c r="G7" s="97"/>
      <c r="H7" s="97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3"/>
    </row>
    <row r="8" spans="1:23" ht="16.5" customHeight="1" x14ac:dyDescent="0.2">
      <c r="A8" s="97" t="s">
        <v>9</v>
      </c>
      <c r="B8" s="97"/>
      <c r="C8" s="97"/>
      <c r="D8" s="97"/>
      <c r="E8" s="97"/>
      <c r="F8" s="97"/>
      <c r="G8" s="97"/>
      <c r="H8" s="97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3"/>
    </row>
    <row r="9" spans="1:23" ht="16.5" customHeight="1" x14ac:dyDescent="0.2">
      <c r="A9" s="97" t="s">
        <v>10</v>
      </c>
      <c r="B9" s="97"/>
      <c r="C9" s="97"/>
      <c r="D9" s="97"/>
      <c r="E9" s="97"/>
      <c r="F9" s="97"/>
      <c r="G9" s="97"/>
      <c r="H9" s="97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3"/>
    </row>
    <row r="10" spans="1:23" ht="16.5" customHeight="1" x14ac:dyDescent="0.2">
      <c r="A10" s="97" t="s">
        <v>11</v>
      </c>
      <c r="B10" s="97"/>
      <c r="C10" s="97"/>
      <c r="D10" s="97"/>
      <c r="E10" s="97"/>
      <c r="F10" s="97"/>
      <c r="G10" s="97"/>
      <c r="H10" s="97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3"/>
    </row>
    <row r="11" spans="1:23" ht="16.5" customHeight="1" x14ac:dyDescent="0.2">
      <c r="A11" s="97" t="s">
        <v>12</v>
      </c>
      <c r="B11" s="97"/>
      <c r="C11" s="97"/>
      <c r="D11" s="97"/>
      <c r="E11" s="97"/>
      <c r="F11" s="97"/>
      <c r="G11" s="97"/>
      <c r="H11" s="97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3"/>
    </row>
    <row r="12" spans="1:23" ht="16.5" customHeight="1" x14ac:dyDescent="0.2">
      <c r="A12" s="99" t="s">
        <v>13</v>
      </c>
      <c r="B12" s="99"/>
      <c r="C12" s="99"/>
      <c r="D12" s="99"/>
      <c r="E12" s="99"/>
      <c r="F12" s="99"/>
      <c r="G12" s="99"/>
      <c r="H12" s="99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3"/>
    </row>
    <row r="13" spans="1:23" ht="33" customHeight="1" x14ac:dyDescent="0.2">
      <c r="A13" s="100" t="s">
        <v>14</v>
      </c>
      <c r="B13" s="100"/>
      <c r="C13" s="100"/>
      <c r="D13" s="100"/>
      <c r="E13" s="100"/>
      <c r="F13" s="100"/>
      <c r="G13" s="100"/>
      <c r="H13" s="100"/>
      <c r="I13" s="101"/>
      <c r="J13" s="101"/>
      <c r="K13" s="101"/>
      <c r="L13" s="101"/>
      <c r="M13" s="101"/>
      <c r="N13" s="102" t="s">
        <v>15</v>
      </c>
      <c r="O13" s="102"/>
      <c r="P13" s="102"/>
      <c r="Q13" s="102"/>
      <c r="R13" s="103" t="s">
        <v>15</v>
      </c>
      <c r="S13" s="103"/>
      <c r="T13" s="103"/>
      <c r="U13" s="103" t="s">
        <v>15</v>
      </c>
      <c r="V13" s="103"/>
      <c r="W13" s="5"/>
    </row>
    <row r="14" spans="1:23" ht="16.5" customHeight="1" x14ac:dyDescent="0.2">
      <c r="A14" s="104" t="s">
        <v>16</v>
      </c>
      <c r="B14" s="104"/>
      <c r="C14" s="104"/>
      <c r="D14" s="104"/>
      <c r="E14" s="104"/>
      <c r="F14" s="104"/>
      <c r="G14" s="104"/>
      <c r="H14" s="104"/>
      <c r="I14" s="105" t="s">
        <v>17</v>
      </c>
      <c r="J14" s="105"/>
      <c r="K14" s="105"/>
      <c r="L14" s="105"/>
      <c r="M14" s="105"/>
      <c r="N14" s="106" t="s">
        <v>17</v>
      </c>
      <c r="O14" s="106"/>
      <c r="P14" s="106"/>
      <c r="Q14" s="106"/>
      <c r="R14" s="107" t="s">
        <v>17</v>
      </c>
      <c r="S14" s="107"/>
      <c r="T14" s="107"/>
      <c r="U14" s="107" t="s">
        <v>17</v>
      </c>
      <c r="V14" s="107"/>
      <c r="W14" s="3"/>
    </row>
    <row r="15" spans="1:23" ht="75.75" customHeight="1" x14ac:dyDescent="0.2">
      <c r="A15" s="108" t="s">
        <v>18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</row>
    <row r="16" spans="1:23" ht="99" customHeight="1" x14ac:dyDescent="0.2">
      <c r="A16" s="93" t="s">
        <v>19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</row>
    <row r="17" spans="1:23" ht="18" customHeight="1" x14ac:dyDescent="0.2">
      <c r="A17" s="109" t="s">
        <v>20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</row>
    <row r="18" spans="1:23" ht="10.15" customHeight="1" x14ac:dyDescent="0.2">
      <c r="A18" s="98"/>
      <c r="B18" s="98"/>
      <c r="C18" s="98"/>
      <c r="D18" s="6">
        <v>-1</v>
      </c>
      <c r="E18" s="3"/>
      <c r="F18" s="6">
        <v>-2</v>
      </c>
      <c r="G18" s="3"/>
      <c r="H18" s="110">
        <v>-3</v>
      </c>
      <c r="I18" s="110"/>
      <c r="J18" s="7"/>
      <c r="K18" s="8">
        <v>-4</v>
      </c>
      <c r="L18" s="9"/>
      <c r="M18" s="111">
        <v>-5</v>
      </c>
      <c r="N18" s="111"/>
      <c r="O18" s="9"/>
      <c r="P18" s="8">
        <v>-6</v>
      </c>
      <c r="Q18" s="9"/>
      <c r="R18" s="8">
        <v>-7</v>
      </c>
      <c r="S18" s="111">
        <v>-8</v>
      </c>
      <c r="T18" s="111"/>
      <c r="U18" s="8">
        <v>-9</v>
      </c>
      <c r="V18" s="6">
        <v>-10</v>
      </c>
      <c r="W18" s="3"/>
    </row>
    <row r="19" spans="1:23" ht="9" customHeight="1" x14ac:dyDescent="0.2">
      <c r="A19" s="98"/>
      <c r="B19" s="98"/>
      <c r="C19" s="98"/>
      <c r="D19" s="10" t="s">
        <v>21</v>
      </c>
      <c r="E19" s="3"/>
      <c r="F19" s="10" t="s">
        <v>22</v>
      </c>
      <c r="G19" s="3"/>
      <c r="H19" s="112" t="s">
        <v>23</v>
      </c>
      <c r="I19" s="112"/>
      <c r="J19" s="7"/>
      <c r="K19" s="10" t="s">
        <v>24</v>
      </c>
      <c r="L19" s="3"/>
      <c r="M19" s="112" t="s">
        <v>25</v>
      </c>
      <c r="N19" s="112"/>
      <c r="O19" s="3"/>
      <c r="P19" s="10" t="s">
        <v>26</v>
      </c>
      <c r="Q19" s="3"/>
      <c r="R19" s="10" t="s">
        <v>27</v>
      </c>
      <c r="S19" s="113" t="s">
        <v>27</v>
      </c>
      <c r="T19" s="113"/>
      <c r="U19" s="10" t="s">
        <v>27</v>
      </c>
      <c r="V19" s="10" t="s">
        <v>28</v>
      </c>
      <c r="W19" s="3"/>
    </row>
    <row r="20" spans="1:23" ht="9" customHeight="1" x14ac:dyDescent="0.2">
      <c r="A20" s="98"/>
      <c r="B20" s="98"/>
      <c r="C20" s="98"/>
      <c r="D20" s="10" t="s">
        <v>29</v>
      </c>
      <c r="E20" s="3"/>
      <c r="F20" s="10" t="s">
        <v>30</v>
      </c>
      <c r="G20" s="3"/>
      <c r="H20" s="114"/>
      <c r="I20" s="114"/>
      <c r="J20" s="7"/>
      <c r="K20" s="10" t="s">
        <v>31</v>
      </c>
      <c r="L20" s="3"/>
      <c r="M20" s="112" t="s">
        <v>32</v>
      </c>
      <c r="N20" s="112"/>
      <c r="O20" s="3"/>
      <c r="P20" s="10" t="s">
        <v>33</v>
      </c>
      <c r="Q20" s="3"/>
      <c r="R20" s="10" t="s">
        <v>34</v>
      </c>
      <c r="S20" s="113" t="s">
        <v>34</v>
      </c>
      <c r="T20" s="113"/>
      <c r="U20" s="10" t="s">
        <v>34</v>
      </c>
      <c r="V20" s="10" t="s">
        <v>35</v>
      </c>
      <c r="W20" s="3"/>
    </row>
    <row r="21" spans="1:23" ht="9" customHeight="1" x14ac:dyDescent="0.2">
      <c r="A21" s="114"/>
      <c r="B21" s="114"/>
      <c r="C21" s="114"/>
      <c r="D21" s="3"/>
      <c r="E21" s="3"/>
      <c r="F21" s="3"/>
      <c r="G21" s="3"/>
      <c r="H21" s="114"/>
      <c r="I21" s="114"/>
      <c r="J21" s="7"/>
      <c r="K21" s="3"/>
      <c r="L21" s="3"/>
      <c r="M21" s="112" t="s">
        <v>36</v>
      </c>
      <c r="N21" s="112"/>
      <c r="O21" s="3"/>
      <c r="P21" s="10" t="s">
        <v>37</v>
      </c>
      <c r="Q21" s="3"/>
      <c r="R21" s="10" t="s">
        <v>38</v>
      </c>
      <c r="S21" s="115" t="s">
        <v>38</v>
      </c>
      <c r="T21" s="115"/>
      <c r="U21" s="10" t="s">
        <v>38</v>
      </c>
      <c r="V21" s="3"/>
      <c r="W21" s="3"/>
    </row>
    <row r="22" spans="1:23" ht="9" customHeight="1" x14ac:dyDescent="0.2">
      <c r="A22" s="114"/>
      <c r="B22" s="114"/>
      <c r="C22" s="114"/>
      <c r="D22" s="3"/>
      <c r="E22" s="3"/>
      <c r="F22" s="3"/>
      <c r="G22" s="3"/>
      <c r="H22" s="114"/>
      <c r="I22" s="114"/>
      <c r="J22" s="7"/>
      <c r="K22" s="3"/>
      <c r="L22" s="3"/>
      <c r="M22" s="112" t="s">
        <v>39</v>
      </c>
      <c r="N22" s="112"/>
      <c r="O22" s="3"/>
      <c r="P22" s="11" t="s">
        <v>40</v>
      </c>
      <c r="Q22" s="3"/>
      <c r="R22" s="11" t="s">
        <v>41</v>
      </c>
      <c r="S22" s="116" t="s">
        <v>41</v>
      </c>
      <c r="T22" s="116"/>
      <c r="U22" s="11" t="s">
        <v>41</v>
      </c>
      <c r="V22" s="11" t="s">
        <v>42</v>
      </c>
      <c r="W22" s="3"/>
    </row>
    <row r="23" spans="1:23" ht="9" customHeight="1" x14ac:dyDescent="0.2">
      <c r="A23" s="114"/>
      <c r="B23" s="114"/>
      <c r="C23" s="114"/>
      <c r="D23" s="3"/>
      <c r="E23" s="3"/>
      <c r="F23" s="3"/>
      <c r="G23" s="3"/>
      <c r="H23" s="114"/>
      <c r="I23" s="114"/>
      <c r="J23" s="7"/>
      <c r="K23" s="3"/>
      <c r="L23" s="3"/>
      <c r="M23" s="114"/>
      <c r="N23" s="114"/>
      <c r="O23" s="3"/>
      <c r="P23" s="11" t="s">
        <v>43</v>
      </c>
      <c r="Q23" s="3"/>
      <c r="R23" s="11" t="s">
        <v>44</v>
      </c>
      <c r="S23" s="117" t="s">
        <v>44</v>
      </c>
      <c r="T23" s="117"/>
      <c r="U23" s="2" t="s">
        <v>45</v>
      </c>
      <c r="V23" s="11" t="s">
        <v>46</v>
      </c>
      <c r="W23" s="3"/>
    </row>
    <row r="24" spans="1:23" ht="13.5" customHeight="1" x14ac:dyDescent="0.2">
      <c r="A24" s="118"/>
      <c r="B24" s="118"/>
      <c r="C24" s="118"/>
      <c r="D24" s="5"/>
      <c r="E24" s="5"/>
      <c r="F24" s="5"/>
      <c r="G24" s="5"/>
      <c r="H24" s="118"/>
      <c r="I24" s="118"/>
      <c r="J24" s="12"/>
      <c r="K24" s="5"/>
      <c r="L24" s="5"/>
      <c r="M24" s="118"/>
      <c r="N24" s="118"/>
      <c r="O24" s="5"/>
      <c r="P24" s="5"/>
      <c r="Q24" s="5"/>
      <c r="R24" s="13" t="s">
        <v>47</v>
      </c>
      <c r="S24" s="119" t="s">
        <v>48</v>
      </c>
      <c r="T24" s="119"/>
      <c r="U24" s="14" t="s">
        <v>49</v>
      </c>
      <c r="V24" s="11" t="s">
        <v>50</v>
      </c>
      <c r="W24" s="5"/>
    </row>
    <row r="25" spans="1:23" ht="6.75" customHeight="1" x14ac:dyDescent="0.2">
      <c r="A25" s="114"/>
      <c r="B25" s="114"/>
      <c r="C25" s="114"/>
      <c r="D25" s="3"/>
      <c r="E25" s="3"/>
      <c r="F25" s="3"/>
      <c r="G25" s="3"/>
      <c r="H25" s="114"/>
      <c r="I25" s="114"/>
      <c r="J25" s="7"/>
      <c r="K25" s="3"/>
      <c r="L25" s="3"/>
      <c r="M25" s="114"/>
      <c r="N25" s="114"/>
      <c r="O25" s="3"/>
      <c r="P25" s="3"/>
      <c r="Q25" s="3"/>
      <c r="R25" s="15" t="s">
        <v>51</v>
      </c>
      <c r="S25" s="120" t="s">
        <v>52</v>
      </c>
      <c r="T25" s="120"/>
      <c r="U25" s="15" t="s">
        <v>53</v>
      </c>
      <c r="V25" s="3"/>
      <c r="W25" s="3"/>
    </row>
    <row r="26" spans="1:23" ht="7.15" customHeight="1" x14ac:dyDescent="0.2">
      <c r="A26" s="114"/>
      <c r="B26" s="114"/>
      <c r="C26" s="114"/>
      <c r="D26" s="16"/>
      <c r="E26" s="3"/>
      <c r="F26" s="16"/>
      <c r="G26" s="3"/>
      <c r="H26" s="121"/>
      <c r="I26" s="121"/>
      <c r="J26" s="7"/>
      <c r="K26" s="16"/>
      <c r="L26" s="3"/>
      <c r="M26" s="121"/>
      <c r="N26" s="121"/>
      <c r="O26" s="3"/>
      <c r="P26" s="16"/>
      <c r="Q26" s="3"/>
      <c r="R26" s="16"/>
      <c r="S26" s="114"/>
      <c r="T26" s="114"/>
      <c r="U26" s="17" t="s">
        <v>54</v>
      </c>
      <c r="V26" s="18" t="s">
        <v>55</v>
      </c>
      <c r="W26" s="3"/>
    </row>
    <row r="27" spans="1:23" ht="19.5" customHeight="1" x14ac:dyDescent="0.2">
      <c r="A27" s="122" t="s">
        <v>56</v>
      </c>
      <c r="B27" s="122"/>
      <c r="C27" s="122"/>
      <c r="D27" s="19"/>
      <c r="E27" s="5"/>
      <c r="F27" s="19"/>
      <c r="G27" s="5"/>
      <c r="H27" s="123"/>
      <c r="I27" s="123"/>
      <c r="J27" s="12"/>
      <c r="K27" s="19"/>
      <c r="L27" s="5"/>
      <c r="M27" s="123"/>
      <c r="N27" s="123"/>
      <c r="O27" s="5"/>
      <c r="P27" s="19"/>
      <c r="Q27" s="5"/>
      <c r="R27" s="19"/>
      <c r="S27" s="118"/>
      <c r="T27" s="118"/>
      <c r="U27" s="5"/>
      <c r="V27" s="5"/>
      <c r="W27" s="5"/>
    </row>
    <row r="28" spans="1:23" ht="63" customHeight="1" x14ac:dyDescent="0.2">
      <c r="A28" s="98" t="s">
        <v>57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</row>
    <row r="29" spans="1:23" ht="9" customHeight="1" x14ac:dyDescent="0.2">
      <c r="A29" s="124" t="s">
        <v>58</v>
      </c>
      <c r="B29" s="124"/>
      <c r="C29" s="125" t="s">
        <v>59</v>
      </c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3"/>
      <c r="P29" s="3"/>
      <c r="Q29" s="3"/>
      <c r="R29" s="3"/>
      <c r="S29" s="126" t="s">
        <v>59</v>
      </c>
      <c r="T29" s="126"/>
      <c r="U29" s="126"/>
      <c r="V29" s="126"/>
      <c r="W29" s="3"/>
    </row>
    <row r="30" spans="1:23" ht="9" customHeight="1" x14ac:dyDescent="0.2">
      <c r="A30" s="124" t="s">
        <v>60</v>
      </c>
      <c r="B30" s="124"/>
      <c r="C30" s="125" t="s">
        <v>59</v>
      </c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3"/>
      <c r="P30" s="3"/>
      <c r="Q30" s="3"/>
      <c r="R30" s="3"/>
      <c r="S30" s="126" t="s">
        <v>59</v>
      </c>
      <c r="T30" s="126"/>
      <c r="U30" s="126"/>
      <c r="V30" s="126"/>
      <c r="W30" s="3"/>
    </row>
    <row r="31" spans="1:23" ht="9" customHeight="1" x14ac:dyDescent="0.2">
      <c r="A31" s="124" t="s">
        <v>61</v>
      </c>
      <c r="B31" s="124"/>
      <c r="C31" s="125" t="s">
        <v>59</v>
      </c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3"/>
      <c r="P31" s="3"/>
      <c r="Q31" s="3"/>
      <c r="R31" s="3"/>
      <c r="S31" s="126" t="s">
        <v>59</v>
      </c>
      <c r="T31" s="126"/>
      <c r="U31" s="126"/>
      <c r="V31" s="126"/>
      <c r="W31" s="3"/>
    </row>
    <row r="32" spans="1:23" ht="9" customHeight="1" x14ac:dyDescent="0.2">
      <c r="A32" s="124" t="s">
        <v>62</v>
      </c>
      <c r="B32" s="124"/>
      <c r="C32" s="125" t="s">
        <v>59</v>
      </c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3"/>
      <c r="P32" s="3"/>
      <c r="Q32" s="3"/>
      <c r="R32" s="3"/>
      <c r="S32" s="126" t="s">
        <v>59</v>
      </c>
      <c r="T32" s="126"/>
      <c r="U32" s="126"/>
      <c r="V32" s="126"/>
      <c r="W32" s="3"/>
    </row>
    <row r="33" spans="1:23" ht="9" customHeight="1" x14ac:dyDescent="0.2">
      <c r="A33" s="124" t="s">
        <v>63</v>
      </c>
      <c r="B33" s="124"/>
      <c r="C33" s="125" t="s">
        <v>59</v>
      </c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3"/>
      <c r="P33" s="3"/>
      <c r="Q33" s="3"/>
      <c r="R33" s="3"/>
      <c r="S33" s="126" t="s">
        <v>59</v>
      </c>
      <c r="T33" s="126"/>
      <c r="U33" s="126"/>
      <c r="V33" s="126"/>
      <c r="W33" s="3"/>
    </row>
    <row r="34" spans="1:23" ht="9" customHeight="1" x14ac:dyDescent="0.2">
      <c r="A34" s="124" t="s">
        <v>64</v>
      </c>
      <c r="B34" s="124"/>
      <c r="C34" s="125" t="s">
        <v>59</v>
      </c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3"/>
      <c r="P34" s="3"/>
      <c r="Q34" s="3"/>
      <c r="R34" s="3"/>
      <c r="S34" s="126" t="s">
        <v>59</v>
      </c>
      <c r="T34" s="126"/>
      <c r="U34" s="126"/>
      <c r="V34" s="126"/>
      <c r="W34" s="3"/>
    </row>
    <row r="35" spans="1:23" ht="9" customHeight="1" x14ac:dyDescent="0.2">
      <c r="A35" s="124" t="s">
        <v>65</v>
      </c>
      <c r="B35" s="124"/>
      <c r="C35" s="125" t="s">
        <v>59</v>
      </c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3"/>
      <c r="P35" s="3"/>
      <c r="Q35" s="3"/>
      <c r="R35" s="3"/>
      <c r="S35" s="126" t="s">
        <v>59</v>
      </c>
      <c r="T35" s="126"/>
      <c r="U35" s="126"/>
      <c r="V35" s="126"/>
      <c r="W35" s="3"/>
    </row>
    <row r="36" spans="1:23" ht="9" customHeight="1" x14ac:dyDescent="0.2">
      <c r="A36" s="124" t="s">
        <v>66</v>
      </c>
      <c r="B36" s="124"/>
      <c r="C36" s="125" t="s">
        <v>59</v>
      </c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3"/>
      <c r="P36" s="3"/>
      <c r="Q36" s="3"/>
      <c r="R36" s="3"/>
      <c r="S36" s="126" t="s">
        <v>59</v>
      </c>
      <c r="T36" s="126"/>
      <c r="U36" s="126"/>
      <c r="V36" s="126"/>
      <c r="W36" s="3"/>
    </row>
    <row r="37" spans="1:23" ht="9" customHeight="1" x14ac:dyDescent="0.2">
      <c r="A37" s="124" t="s">
        <v>67</v>
      </c>
      <c r="B37" s="124"/>
      <c r="C37" s="125" t="s">
        <v>59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3"/>
      <c r="P37" s="3"/>
      <c r="Q37" s="3"/>
      <c r="R37" s="3"/>
      <c r="S37" s="126" t="s">
        <v>59</v>
      </c>
      <c r="T37" s="126"/>
      <c r="U37" s="126"/>
      <c r="V37" s="126"/>
      <c r="W37" s="3"/>
    </row>
    <row r="38" spans="1:23" ht="18" customHeight="1" x14ac:dyDescent="0.2">
      <c r="A38" s="119" t="s">
        <v>68</v>
      </c>
      <c r="B38" s="119"/>
      <c r="C38" s="128" t="s">
        <v>69</v>
      </c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5"/>
      <c r="P38" s="4"/>
      <c r="Q38" s="5"/>
      <c r="R38" s="4"/>
      <c r="S38" s="98" t="s">
        <v>70</v>
      </c>
      <c r="T38" s="98"/>
      <c r="U38" s="98"/>
      <c r="V38" s="98"/>
      <c r="W38" s="5"/>
    </row>
    <row r="39" spans="1:23" ht="10.15" customHeight="1" x14ac:dyDescent="0.2">
      <c r="A39" s="127" t="s">
        <v>71</v>
      </c>
      <c r="B39" s="127"/>
      <c r="C39" s="128" t="s">
        <v>72</v>
      </c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3"/>
      <c r="P39" s="20" t="s">
        <v>73</v>
      </c>
      <c r="Q39" s="3"/>
      <c r="R39" s="20" t="s">
        <v>73</v>
      </c>
      <c r="S39" s="98" t="s">
        <v>74</v>
      </c>
      <c r="T39" s="98"/>
      <c r="U39" s="98"/>
      <c r="V39" s="98"/>
      <c r="W39" s="3"/>
    </row>
    <row r="40" spans="1:23" ht="81" customHeight="1" x14ac:dyDescent="0.2">
      <c r="A40" s="98" t="s">
        <v>75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</row>
  </sheetData>
  <mergeCells count="100">
    <mergeCell ref="A39:B39"/>
    <mergeCell ref="C39:N39"/>
    <mergeCell ref="S39:V39"/>
    <mergeCell ref="A40:W40"/>
    <mergeCell ref="A37:B37"/>
    <mergeCell ref="C37:N37"/>
    <mergeCell ref="S37:V37"/>
    <mergeCell ref="A38:B38"/>
    <mergeCell ref="C38:N38"/>
    <mergeCell ref="S38:V38"/>
    <mergeCell ref="A35:B35"/>
    <mergeCell ref="C35:N35"/>
    <mergeCell ref="S35:V35"/>
    <mergeCell ref="A36:B36"/>
    <mergeCell ref="C36:N36"/>
    <mergeCell ref="S36:V36"/>
    <mergeCell ref="A33:B33"/>
    <mergeCell ref="C33:N33"/>
    <mergeCell ref="S33:V33"/>
    <mergeCell ref="A34:B34"/>
    <mergeCell ref="C34:N34"/>
    <mergeCell ref="S34:V34"/>
    <mergeCell ref="A31:B31"/>
    <mergeCell ref="C31:N31"/>
    <mergeCell ref="S31:V31"/>
    <mergeCell ref="A32:B32"/>
    <mergeCell ref="C32:N32"/>
    <mergeCell ref="S32:V32"/>
    <mergeCell ref="A29:B29"/>
    <mergeCell ref="C29:N29"/>
    <mergeCell ref="S29:V29"/>
    <mergeCell ref="A30:B30"/>
    <mergeCell ref="C30:N30"/>
    <mergeCell ref="S30:V30"/>
    <mergeCell ref="A27:C27"/>
    <mergeCell ref="H27:I27"/>
    <mergeCell ref="M27:N27"/>
    <mergeCell ref="S27:T27"/>
    <mergeCell ref="A28:W28"/>
    <mergeCell ref="A25:C25"/>
    <mergeCell ref="H25:I25"/>
    <mergeCell ref="M25:N25"/>
    <mergeCell ref="S25:T25"/>
    <mergeCell ref="A26:C26"/>
    <mergeCell ref="H26:I26"/>
    <mergeCell ref="M26:N26"/>
    <mergeCell ref="S26:T26"/>
    <mergeCell ref="A23:C23"/>
    <mergeCell ref="H23:I23"/>
    <mergeCell ref="M23:N23"/>
    <mergeCell ref="S23:T23"/>
    <mergeCell ref="A24:C24"/>
    <mergeCell ref="H24:I24"/>
    <mergeCell ref="M24:N24"/>
    <mergeCell ref="S24:T24"/>
    <mergeCell ref="A21:C21"/>
    <mergeCell ref="H21:I21"/>
    <mergeCell ref="M21:N21"/>
    <mergeCell ref="S21:T21"/>
    <mergeCell ref="A22:C22"/>
    <mergeCell ref="H22:I22"/>
    <mergeCell ref="M22:N22"/>
    <mergeCell ref="S22:T22"/>
    <mergeCell ref="A15:W15"/>
    <mergeCell ref="A16:W16"/>
    <mergeCell ref="A17:W17"/>
    <mergeCell ref="A18:C20"/>
    <mergeCell ref="H18:I18"/>
    <mergeCell ref="M18:N18"/>
    <mergeCell ref="S18:T18"/>
    <mergeCell ref="H19:I19"/>
    <mergeCell ref="M19:N19"/>
    <mergeCell ref="S19:T19"/>
    <mergeCell ref="H20:I20"/>
    <mergeCell ref="M20:N20"/>
    <mergeCell ref="S20:T20"/>
    <mergeCell ref="A14:H14"/>
    <mergeCell ref="I14:M14"/>
    <mergeCell ref="N14:Q14"/>
    <mergeCell ref="R14:T14"/>
    <mergeCell ref="U14:V14"/>
    <mergeCell ref="A13:H13"/>
    <mergeCell ref="I13:M13"/>
    <mergeCell ref="N13:Q13"/>
    <mergeCell ref="R13:T13"/>
    <mergeCell ref="U13:V13"/>
    <mergeCell ref="A1:W1"/>
    <mergeCell ref="B2:S2"/>
    <mergeCell ref="T2:W2"/>
    <mergeCell ref="A3:W3"/>
    <mergeCell ref="A4:H4"/>
    <mergeCell ref="I4:V12"/>
    <mergeCell ref="A5:H5"/>
    <mergeCell ref="A6:H6"/>
    <mergeCell ref="A7:H7"/>
    <mergeCell ref="A8:H8"/>
    <mergeCell ref="A9:H9"/>
    <mergeCell ref="A10:H10"/>
    <mergeCell ref="A11:H11"/>
    <mergeCell ref="A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28F0-A47A-4D4C-A45F-ABADD57A963E}">
  <dimension ref="A1:J23"/>
  <sheetViews>
    <sheetView showGridLines="0" workbookViewId="0">
      <selection activeCell="H33" sqref="H33"/>
    </sheetView>
  </sheetViews>
  <sheetFormatPr defaultRowHeight="15" x14ac:dyDescent="0.25"/>
  <cols>
    <col min="1" max="1" width="14.6640625" style="21" customWidth="1"/>
    <col min="2" max="2" width="6" style="21" customWidth="1"/>
    <col min="3" max="3" width="8.6640625" style="21" customWidth="1"/>
    <col min="4" max="4" width="5.33203125" style="21" customWidth="1"/>
    <col min="5" max="5" width="22" style="21" customWidth="1"/>
    <col min="6" max="6" width="24" style="21" customWidth="1"/>
    <col min="7" max="7" width="20" style="21" customWidth="1"/>
    <col min="8" max="8" width="16.6640625" style="21" customWidth="1"/>
    <col min="9" max="9" width="3.33203125" style="21" customWidth="1"/>
    <col min="10" max="10" width="26" style="21" customWidth="1"/>
    <col min="11" max="16384" width="9.33203125" style="21"/>
  </cols>
  <sheetData>
    <row r="1" spans="1:10" x14ac:dyDescent="0.25">
      <c r="A1" s="131"/>
      <c r="B1" s="131"/>
      <c r="C1" s="131"/>
      <c r="D1" s="131"/>
      <c r="E1" s="131"/>
      <c r="F1" s="131"/>
      <c r="G1" s="131"/>
      <c r="H1" s="131"/>
      <c r="I1" s="131" t="s">
        <v>166</v>
      </c>
      <c r="J1" s="131"/>
    </row>
    <row r="2" spans="1:10" x14ac:dyDescent="0.25">
      <c r="A2" s="205" t="s">
        <v>101</v>
      </c>
      <c r="B2" s="205"/>
      <c r="C2" s="205"/>
      <c r="D2" s="205"/>
      <c r="E2" s="205"/>
      <c r="F2" s="205"/>
      <c r="G2" s="205"/>
      <c r="H2" s="205"/>
      <c r="I2" s="205"/>
      <c r="J2" s="205"/>
    </row>
    <row r="3" spans="1:10" x14ac:dyDescent="0.25">
      <c r="A3" s="205" t="s">
        <v>100</v>
      </c>
      <c r="B3" s="205"/>
      <c r="C3" s="205"/>
      <c r="D3" s="205"/>
      <c r="E3" s="205"/>
      <c r="F3" s="205"/>
      <c r="G3" s="205"/>
      <c r="H3" s="205"/>
      <c r="I3" s="205"/>
      <c r="J3" s="205"/>
    </row>
    <row r="4" spans="1:10" x14ac:dyDescent="0.25">
      <c r="A4" s="205" t="s">
        <v>188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x14ac:dyDescent="0.25">
      <c r="A5" s="205" t="s">
        <v>98</v>
      </c>
      <c r="B5" s="205"/>
      <c r="C5" s="205"/>
      <c r="D5" s="205"/>
      <c r="E5" s="205"/>
      <c r="F5" s="205"/>
      <c r="G5" s="205"/>
      <c r="H5" s="205"/>
      <c r="I5" s="205"/>
      <c r="J5" s="205"/>
    </row>
    <row r="6" spans="1:10" x14ac:dyDescent="0.25">
      <c r="A6" s="205" t="s">
        <v>97</v>
      </c>
      <c r="B6" s="205"/>
      <c r="C6" s="205"/>
      <c r="D6" s="205"/>
      <c r="E6" s="205"/>
      <c r="F6" s="205"/>
      <c r="G6" s="205"/>
      <c r="H6" s="205"/>
      <c r="I6" s="205"/>
      <c r="J6" s="205"/>
    </row>
    <row r="7" spans="1:10" x14ac:dyDescent="0.25">
      <c r="A7" s="202" t="s">
        <v>96</v>
      </c>
      <c r="B7" s="202"/>
      <c r="C7" s="203" t="s">
        <v>95</v>
      </c>
      <c r="D7" s="203"/>
      <c r="E7" s="203"/>
      <c r="F7" s="203"/>
      <c r="G7" s="203"/>
      <c r="H7" s="203"/>
      <c r="I7" s="131" t="s">
        <v>164</v>
      </c>
      <c r="J7" s="131"/>
    </row>
    <row r="8" spans="1:10" x14ac:dyDescent="0.25">
      <c r="A8" s="202" t="s">
        <v>78</v>
      </c>
      <c r="B8" s="202"/>
      <c r="C8" s="203" t="s">
        <v>187</v>
      </c>
      <c r="D8" s="203"/>
      <c r="E8" s="203"/>
      <c r="F8" s="203"/>
      <c r="G8" s="203"/>
      <c r="H8" s="203"/>
      <c r="I8" s="131" t="s">
        <v>162</v>
      </c>
      <c r="J8" s="131"/>
    </row>
    <row r="9" spans="1:10" x14ac:dyDescent="0.25">
      <c r="A9" s="202" t="s">
        <v>91</v>
      </c>
      <c r="B9" s="202"/>
      <c r="C9" s="134"/>
      <c r="D9" s="134"/>
      <c r="E9" s="134"/>
      <c r="F9" s="134"/>
      <c r="G9" s="134"/>
      <c r="H9" s="134"/>
      <c r="I9" s="131" t="s">
        <v>161</v>
      </c>
      <c r="J9" s="131"/>
    </row>
    <row r="10" spans="1:10" x14ac:dyDescent="0.25">
      <c r="A10" s="131"/>
      <c r="B10" s="131"/>
      <c r="C10" s="131"/>
      <c r="D10" s="131"/>
      <c r="E10" s="131"/>
      <c r="F10" s="131"/>
      <c r="G10" s="131"/>
      <c r="H10" s="131"/>
      <c r="I10" s="131"/>
      <c r="J10" s="131"/>
    </row>
    <row r="11" spans="1:10" x14ac:dyDescent="0.25">
      <c r="A11" s="135"/>
      <c r="B11" s="135"/>
      <c r="C11" s="135"/>
      <c r="D11" s="135"/>
      <c r="E11" s="135"/>
      <c r="F11" s="135"/>
      <c r="G11" s="135"/>
      <c r="H11" s="135"/>
      <c r="I11" s="135"/>
      <c r="J11" s="135"/>
    </row>
    <row r="12" spans="1:10" x14ac:dyDescent="0.25">
      <c r="A12" s="204" t="s">
        <v>89</v>
      </c>
      <c r="B12" s="204"/>
      <c r="C12" s="204"/>
      <c r="D12" s="204"/>
      <c r="E12" s="204"/>
      <c r="F12" s="204"/>
      <c r="G12" s="204"/>
      <c r="H12" s="204"/>
      <c r="I12" s="204"/>
      <c r="J12" s="204"/>
    </row>
    <row r="13" spans="1:10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0" x14ac:dyDescent="0.25">
      <c r="A14" s="198" t="s">
        <v>88</v>
      </c>
      <c r="B14" s="198"/>
      <c r="C14" s="198"/>
      <c r="D14" s="198"/>
      <c r="E14" s="198"/>
      <c r="F14" s="92" t="s">
        <v>87</v>
      </c>
      <c r="G14" s="92" t="s">
        <v>86</v>
      </c>
      <c r="H14" s="199" t="s">
        <v>85</v>
      </c>
      <c r="I14" s="199"/>
      <c r="J14" s="92" t="s">
        <v>84</v>
      </c>
    </row>
    <row r="15" spans="1:10" x14ac:dyDescent="0.25">
      <c r="A15" s="206" t="s">
        <v>83</v>
      </c>
      <c r="B15" s="206"/>
      <c r="C15" s="206"/>
      <c r="D15" s="206"/>
      <c r="E15" s="206"/>
      <c r="F15" s="206"/>
      <c r="G15" s="206"/>
      <c r="H15" s="206"/>
      <c r="I15" s="206"/>
      <c r="J15" s="206"/>
    </row>
    <row r="16" spans="1:10" x14ac:dyDescent="0.25">
      <c r="A16" s="139" t="s">
        <v>160</v>
      </c>
      <c r="B16" s="139"/>
      <c r="C16" s="139"/>
      <c r="D16" s="139"/>
      <c r="E16" s="139"/>
      <c r="F16" s="91">
        <v>1533.33</v>
      </c>
      <c r="G16" s="91">
        <v>0</v>
      </c>
      <c r="H16" s="200">
        <v>32.06</v>
      </c>
      <c r="I16" s="200"/>
      <c r="J16" s="91">
        <v>1501.27</v>
      </c>
    </row>
    <row r="17" spans="1:10" x14ac:dyDescent="0.25">
      <c r="A17" s="135"/>
      <c r="B17" s="135"/>
      <c r="C17" s="135"/>
      <c r="D17" s="135"/>
      <c r="E17" s="135"/>
      <c r="F17" s="135"/>
      <c r="G17" s="135"/>
      <c r="H17" s="135"/>
      <c r="I17" s="135"/>
      <c r="J17" s="135"/>
    </row>
    <row r="18" spans="1:10" x14ac:dyDescent="0.25">
      <c r="A18" s="90" t="s">
        <v>78</v>
      </c>
      <c r="B18" s="201" t="s">
        <v>186</v>
      </c>
      <c r="C18" s="201"/>
      <c r="D18" s="201"/>
      <c r="E18" s="197">
        <v>1533.33</v>
      </c>
      <c r="F18" s="197"/>
      <c r="G18" s="197">
        <v>0</v>
      </c>
      <c r="H18" s="197">
        <v>32.06</v>
      </c>
      <c r="I18" s="197"/>
      <c r="J18" s="197">
        <v>1501.27</v>
      </c>
    </row>
    <row r="19" spans="1:10" x14ac:dyDescent="0.25">
      <c r="A19" s="90" t="s">
        <v>76</v>
      </c>
      <c r="B19" s="144"/>
      <c r="C19" s="144"/>
      <c r="D19" s="144"/>
      <c r="E19" s="197"/>
      <c r="F19" s="197"/>
      <c r="G19" s="197"/>
      <c r="H19" s="197"/>
      <c r="I19" s="197"/>
      <c r="J19" s="197"/>
    </row>
    <row r="20" spans="1:10" x14ac:dyDescent="0.25">
      <c r="A20" s="135"/>
      <c r="B20" s="135"/>
      <c r="C20" s="135"/>
      <c r="D20" s="135"/>
      <c r="E20" s="135"/>
      <c r="F20" s="135"/>
      <c r="G20" s="135"/>
      <c r="H20" s="135"/>
      <c r="I20" s="135"/>
      <c r="J20" s="135"/>
    </row>
    <row r="21" spans="1:10" x14ac:dyDescent="0.25">
      <c r="A21" s="135"/>
      <c r="B21" s="135"/>
      <c r="C21" s="135"/>
      <c r="D21" s="135"/>
      <c r="E21" s="135"/>
      <c r="F21" s="135"/>
      <c r="G21" s="135"/>
      <c r="H21" s="135"/>
      <c r="I21" s="135"/>
      <c r="J21" s="135"/>
    </row>
    <row r="22" spans="1:10" x14ac:dyDescent="0.25">
      <c r="A22" s="135"/>
      <c r="B22" s="135"/>
      <c r="C22" s="135"/>
      <c r="D22" s="135"/>
      <c r="E22" s="135"/>
      <c r="F22" s="135"/>
      <c r="G22" s="135"/>
      <c r="H22" s="135"/>
      <c r="I22" s="135"/>
      <c r="J22" s="135"/>
    </row>
    <row r="23" spans="1:10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</row>
  </sheetData>
  <mergeCells count="39">
    <mergeCell ref="H18:I19"/>
    <mergeCell ref="J18:J19"/>
    <mergeCell ref="B19:D19"/>
    <mergeCell ref="A20:J20"/>
    <mergeCell ref="A21:J21"/>
    <mergeCell ref="A22:J22"/>
    <mergeCell ref="A23:J23"/>
    <mergeCell ref="A16:E16"/>
    <mergeCell ref="H16:I16"/>
    <mergeCell ref="A17:J17"/>
    <mergeCell ref="B18:D18"/>
    <mergeCell ref="E18:F19"/>
    <mergeCell ref="G18:G19"/>
    <mergeCell ref="I10:J10"/>
    <mergeCell ref="A11:J11"/>
    <mergeCell ref="A12:J12"/>
    <mergeCell ref="A13:J13"/>
    <mergeCell ref="A14:E14"/>
    <mergeCell ref="H14:I14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C756-CEDD-464C-A3A4-E1E56018EBFD}">
  <dimension ref="A1:V40"/>
  <sheetViews>
    <sheetView workbookViewId="0">
      <selection activeCell="I37" sqref="I37"/>
    </sheetView>
  </sheetViews>
  <sheetFormatPr defaultRowHeight="15" x14ac:dyDescent="0.25"/>
  <cols>
    <col min="1" max="1" width="2" style="225" customWidth="1"/>
    <col min="2" max="2" width="10.5" style="225" customWidth="1"/>
    <col min="3" max="3" width="51.6640625" style="225" customWidth="1"/>
    <col min="4" max="4" width="2" style="225" customWidth="1"/>
    <col min="5" max="5" width="18.33203125" style="226" customWidth="1"/>
    <col min="6" max="6" width="2" style="226" customWidth="1"/>
    <col min="7" max="7" width="18.33203125" style="226" customWidth="1"/>
    <col min="8" max="8" width="2" style="226" customWidth="1"/>
    <col min="9" max="9" width="18.33203125" style="226" customWidth="1"/>
    <col min="10" max="10" width="2" style="226" customWidth="1"/>
    <col min="11" max="11" width="18.33203125" style="226" customWidth="1"/>
    <col min="12" max="12" width="2" style="225" customWidth="1"/>
    <col min="13" max="13" width="18.33203125" style="225" customWidth="1"/>
    <col min="14" max="14" width="2" style="225" customWidth="1"/>
    <col min="15" max="15" width="18.33203125" style="225" customWidth="1"/>
    <col min="16" max="16" width="2" style="225" customWidth="1"/>
    <col min="17" max="17" width="18.33203125" style="225" customWidth="1"/>
    <col min="18" max="18" width="2" style="225" customWidth="1"/>
    <col min="19" max="20" width="18.33203125" style="225" customWidth="1"/>
    <col min="21" max="21" width="2" style="225" customWidth="1"/>
    <col min="22" max="22" width="18.33203125" style="225" customWidth="1"/>
    <col min="23" max="16384" width="9.33203125" style="225"/>
  </cols>
  <sheetData>
    <row r="1" spans="1:22" x14ac:dyDescent="0.25">
      <c r="A1" s="249" t="s">
        <v>146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</row>
    <row r="2" spans="1:22" x14ac:dyDescent="0.25">
      <c r="A2" s="249" t="s">
        <v>145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</row>
    <row r="3" spans="1:22" x14ac:dyDescent="0.25">
      <c r="A3" s="249" t="s">
        <v>144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</row>
    <row r="4" spans="1:22" x14ac:dyDescent="0.25">
      <c r="A4" s="249" t="s">
        <v>189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</row>
    <row r="5" spans="1:22" x14ac:dyDescent="0.25">
      <c r="A5" s="249" t="s">
        <v>142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</row>
    <row r="6" spans="1:22" x14ac:dyDescent="0.25">
      <c r="A6" s="227"/>
      <c r="B6" s="227"/>
      <c r="C6" s="227"/>
      <c r="D6" s="227"/>
      <c r="E6" s="228"/>
      <c r="F6" s="228"/>
      <c r="G6" s="228"/>
      <c r="H6" s="228"/>
      <c r="I6" s="228"/>
      <c r="J6" s="228"/>
      <c r="K6" s="228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</row>
    <row r="7" spans="1:22" ht="15.75" thickBot="1" x14ac:dyDescent="0.3">
      <c r="A7" s="227"/>
      <c r="B7" s="227"/>
      <c r="C7" s="227"/>
      <c r="D7" s="227"/>
      <c r="E7" s="228"/>
      <c r="F7" s="228"/>
      <c r="G7" s="228"/>
      <c r="H7" s="228"/>
      <c r="I7" s="228"/>
      <c r="J7" s="242"/>
      <c r="K7" s="248" t="s">
        <v>141</v>
      </c>
      <c r="L7" s="248"/>
      <c r="M7" s="248"/>
      <c r="N7" s="248"/>
      <c r="O7" s="248"/>
      <c r="P7" s="248"/>
      <c r="Q7" s="248"/>
      <c r="R7" s="248"/>
      <c r="S7" s="248"/>
      <c r="T7" s="248"/>
      <c r="U7" s="227"/>
      <c r="V7" s="227"/>
    </row>
    <row r="8" spans="1:22" x14ac:dyDescent="0.25">
      <c r="A8" s="227"/>
      <c r="B8" s="227"/>
      <c r="C8" s="227"/>
      <c r="D8" s="227"/>
      <c r="E8" s="247" t="s">
        <v>140</v>
      </c>
      <c r="F8" s="244"/>
      <c r="G8" s="247" t="s">
        <v>139</v>
      </c>
      <c r="H8" s="244"/>
      <c r="I8" s="247" t="s">
        <v>138</v>
      </c>
      <c r="J8" s="245"/>
      <c r="K8" s="247" t="s">
        <v>137</v>
      </c>
      <c r="L8" s="227"/>
      <c r="M8" s="247" t="s">
        <v>136</v>
      </c>
      <c r="N8" s="244"/>
      <c r="O8" s="247" t="s">
        <v>135</v>
      </c>
      <c r="P8" s="244"/>
      <c r="Q8" s="247" t="s">
        <v>134</v>
      </c>
      <c r="R8" s="244"/>
      <c r="S8" s="247" t="s">
        <v>133</v>
      </c>
      <c r="T8" s="247" t="s">
        <v>132</v>
      </c>
      <c r="U8" s="244"/>
      <c r="V8" s="247" t="s">
        <v>131</v>
      </c>
    </row>
    <row r="9" spans="1:22" ht="115.5" x14ac:dyDescent="0.25">
      <c r="A9" s="238"/>
      <c r="B9" s="227"/>
      <c r="C9" s="227"/>
      <c r="D9" s="227"/>
      <c r="E9" s="243" t="s">
        <v>130</v>
      </c>
      <c r="F9" s="244"/>
      <c r="G9" s="243" t="s">
        <v>129</v>
      </c>
      <c r="H9" s="244"/>
      <c r="I9" s="246" t="s">
        <v>128</v>
      </c>
      <c r="J9" s="245"/>
      <c r="K9" s="243" t="s">
        <v>127</v>
      </c>
      <c r="L9" s="244"/>
      <c r="M9" s="243" t="s">
        <v>126</v>
      </c>
      <c r="N9" s="227"/>
      <c r="O9" s="243" t="s">
        <v>125</v>
      </c>
      <c r="P9" s="227"/>
      <c r="Q9" s="243" t="s">
        <v>124</v>
      </c>
      <c r="R9" s="227"/>
      <c r="S9" s="243" t="s">
        <v>123</v>
      </c>
      <c r="T9" s="243" t="s">
        <v>122</v>
      </c>
      <c r="U9" s="227"/>
      <c r="V9" s="243" t="s">
        <v>121</v>
      </c>
    </row>
    <row r="10" spans="1:22" x14ac:dyDescent="0.25">
      <c r="A10" s="227"/>
      <c r="B10" s="227"/>
      <c r="C10" s="227"/>
      <c r="D10" s="227"/>
      <c r="E10" s="228"/>
      <c r="F10" s="228"/>
      <c r="G10" s="228"/>
      <c r="H10" s="228"/>
      <c r="I10" s="228"/>
      <c r="J10" s="242"/>
      <c r="K10" s="228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</row>
    <row r="11" spans="1:22" x14ac:dyDescent="0.25">
      <c r="A11" s="238" t="s">
        <v>83</v>
      </c>
      <c r="B11" s="227"/>
      <c r="C11" s="227"/>
      <c r="D11" s="227"/>
      <c r="E11" s="228"/>
      <c r="F11" s="228"/>
      <c r="G11" s="228"/>
      <c r="H11" s="228"/>
      <c r="I11" s="228"/>
      <c r="J11" s="242"/>
      <c r="K11" s="228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</row>
    <row r="12" spans="1:22" x14ac:dyDescent="0.25">
      <c r="A12" s="227"/>
      <c r="B12" s="227" t="s">
        <v>120</v>
      </c>
      <c r="C12" s="227"/>
      <c r="D12" s="227"/>
      <c r="E12" s="235"/>
      <c r="F12" s="235"/>
      <c r="G12" s="235"/>
      <c r="H12" s="235"/>
      <c r="I12" s="234">
        <f>G12-E12</f>
        <v>0</v>
      </c>
      <c r="J12" s="237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4">
        <f>SUM(K12:T12)</f>
        <v>0</v>
      </c>
    </row>
    <row r="13" spans="1:22" x14ac:dyDescent="0.25">
      <c r="A13" s="227"/>
      <c r="B13" s="227" t="s">
        <v>119</v>
      </c>
      <c r="C13" s="227"/>
      <c r="D13" s="227"/>
      <c r="E13" s="235"/>
      <c r="F13" s="235"/>
      <c r="G13" s="235"/>
      <c r="H13" s="235"/>
      <c r="I13" s="234">
        <f>G13-E13</f>
        <v>0</v>
      </c>
      <c r="J13" s="237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4">
        <f>SUM(K13:T13)</f>
        <v>0</v>
      </c>
    </row>
    <row r="14" spans="1:22" x14ac:dyDescent="0.25">
      <c r="A14" s="227"/>
      <c r="B14" s="227" t="s">
        <v>118</v>
      </c>
      <c r="C14" s="227"/>
      <c r="D14" s="227"/>
      <c r="E14" s="235"/>
      <c r="F14" s="235"/>
      <c r="G14" s="235"/>
      <c r="H14" s="235"/>
      <c r="I14" s="234">
        <f>G14-E14</f>
        <v>0</v>
      </c>
      <c r="J14" s="237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4">
        <f>SUM(K14:T14)</f>
        <v>0</v>
      </c>
    </row>
    <row r="15" spans="1:22" x14ac:dyDescent="0.25">
      <c r="A15" s="227"/>
      <c r="B15" s="227" t="s">
        <v>117</v>
      </c>
      <c r="C15" s="227"/>
      <c r="D15" s="227"/>
      <c r="E15" s="234">
        <f>C15-A15</f>
        <v>0</v>
      </c>
      <c r="F15" s="239"/>
      <c r="G15" s="241">
        <v>1533.33</v>
      </c>
      <c r="H15" s="239"/>
      <c r="I15" s="232">
        <f>G15-E15</f>
        <v>1533.33</v>
      </c>
      <c r="J15" s="240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4">
        <f>SUM(K15:T15)</f>
        <v>0</v>
      </c>
    </row>
    <row r="16" spans="1:22" x14ac:dyDescent="0.25">
      <c r="A16" s="227"/>
      <c r="B16" s="227" t="s">
        <v>116</v>
      </c>
      <c r="C16" s="227"/>
      <c r="D16" s="227"/>
      <c r="E16" s="235"/>
      <c r="F16" s="235"/>
      <c r="G16" s="235"/>
      <c r="H16" s="235"/>
      <c r="I16" s="234">
        <f>G16-E16</f>
        <v>0</v>
      </c>
      <c r="J16" s="237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4">
        <f>SUM(K16:T16)</f>
        <v>0</v>
      </c>
    </row>
    <row r="17" spans="1:22" x14ac:dyDescent="0.25">
      <c r="A17" s="227"/>
      <c r="B17" s="227" t="s">
        <v>115</v>
      </c>
      <c r="C17" s="227"/>
      <c r="D17" s="227"/>
      <c r="E17" s="235"/>
      <c r="F17" s="235"/>
      <c r="G17" s="235"/>
      <c r="H17" s="235"/>
      <c r="I17" s="234">
        <f>G17-E17</f>
        <v>0</v>
      </c>
      <c r="J17" s="237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4">
        <f>SUM(K17:T17)</f>
        <v>0</v>
      </c>
    </row>
    <row r="18" spans="1:22" x14ac:dyDescent="0.25">
      <c r="A18" s="238" t="s">
        <v>81</v>
      </c>
      <c r="B18" s="227"/>
      <c r="C18" s="227"/>
      <c r="D18" s="227"/>
      <c r="E18" s="235"/>
      <c r="F18" s="235"/>
      <c r="G18" s="235"/>
      <c r="H18" s="235"/>
      <c r="I18" s="234"/>
      <c r="J18" s="237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4"/>
    </row>
    <row r="19" spans="1:22" x14ac:dyDescent="0.25">
      <c r="A19" s="227"/>
      <c r="B19" s="227" t="s">
        <v>114</v>
      </c>
      <c r="C19" s="227"/>
      <c r="D19" s="227"/>
      <c r="E19" s="235"/>
      <c r="F19" s="235"/>
      <c r="G19" s="235"/>
      <c r="H19" s="235"/>
      <c r="I19" s="234">
        <f>G19-E19</f>
        <v>0</v>
      </c>
      <c r="J19" s="237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4">
        <f>SUM(K19:T19)</f>
        <v>0</v>
      </c>
    </row>
    <row r="20" spans="1:22" x14ac:dyDescent="0.25">
      <c r="A20" s="227"/>
      <c r="B20" s="227" t="s">
        <v>113</v>
      </c>
      <c r="C20" s="227"/>
      <c r="D20" s="227"/>
      <c r="E20" s="235"/>
      <c r="F20" s="235"/>
      <c r="G20" s="235"/>
      <c r="H20" s="235"/>
      <c r="I20" s="234">
        <f>G20-E20</f>
        <v>0</v>
      </c>
      <c r="J20" s="237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4">
        <f>SUM(K20:T20)</f>
        <v>0</v>
      </c>
    </row>
    <row r="21" spans="1:22" x14ac:dyDescent="0.25">
      <c r="A21" s="227"/>
      <c r="B21" s="227" t="s">
        <v>112</v>
      </c>
      <c r="C21" s="227"/>
      <c r="D21" s="227"/>
      <c r="E21" s="235"/>
      <c r="F21" s="235"/>
      <c r="G21" s="235"/>
      <c r="H21" s="235"/>
      <c r="I21" s="234">
        <f>G21-E21</f>
        <v>0</v>
      </c>
      <c r="J21" s="237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4">
        <f>SUM(K21:T21)</f>
        <v>0</v>
      </c>
    </row>
    <row r="22" spans="1:22" x14ac:dyDescent="0.25">
      <c r="A22" s="227"/>
      <c r="B22" s="227" t="s">
        <v>111</v>
      </c>
      <c r="C22" s="227"/>
      <c r="D22" s="227"/>
      <c r="E22" s="235"/>
      <c r="F22" s="235"/>
      <c r="G22" s="235"/>
      <c r="H22" s="235"/>
      <c r="I22" s="234">
        <f>G22-E22</f>
        <v>0</v>
      </c>
      <c r="J22" s="237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4">
        <f>SUM(K22:T22)</f>
        <v>0</v>
      </c>
    </row>
    <row r="23" spans="1:22" x14ac:dyDescent="0.25">
      <c r="A23" s="227"/>
      <c r="B23" s="227" t="s">
        <v>110</v>
      </c>
      <c r="C23" s="227"/>
      <c r="D23" s="227"/>
      <c r="E23" s="235"/>
      <c r="F23" s="235"/>
      <c r="G23" s="235"/>
      <c r="H23" s="235"/>
      <c r="I23" s="234">
        <f>G23-E23</f>
        <v>0</v>
      </c>
      <c r="J23" s="237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4">
        <f>SUM(K23:T23)</f>
        <v>0</v>
      </c>
    </row>
    <row r="24" spans="1:22" x14ac:dyDescent="0.25">
      <c r="A24" s="227"/>
      <c r="B24" s="227" t="s">
        <v>109</v>
      </c>
      <c r="C24" s="227"/>
      <c r="D24" s="227"/>
      <c r="E24" s="235"/>
      <c r="F24" s="235"/>
      <c r="G24" s="235"/>
      <c r="H24" s="235"/>
      <c r="I24" s="234">
        <f>G24-E24</f>
        <v>0</v>
      </c>
      <c r="J24" s="237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4">
        <f>SUM(K24:T24)</f>
        <v>0</v>
      </c>
    </row>
    <row r="25" spans="1:22" x14ac:dyDescent="0.25">
      <c r="A25" s="227"/>
      <c r="B25" s="227" t="s">
        <v>108</v>
      </c>
      <c r="C25" s="227"/>
      <c r="D25" s="227"/>
      <c r="E25" s="235"/>
      <c r="F25" s="235"/>
      <c r="G25" s="235"/>
      <c r="H25" s="235"/>
      <c r="I25" s="234">
        <f>G25-E25</f>
        <v>0</v>
      </c>
      <c r="J25" s="237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4">
        <f>SUM(K25:T25)</f>
        <v>0</v>
      </c>
    </row>
    <row r="26" spans="1:22" x14ac:dyDescent="0.25">
      <c r="A26" s="227"/>
      <c r="B26" s="227" t="s">
        <v>107</v>
      </c>
      <c r="C26" s="227"/>
      <c r="D26" s="227"/>
      <c r="E26" s="235"/>
      <c r="F26" s="235"/>
      <c r="G26" s="235"/>
      <c r="H26" s="235"/>
      <c r="I26" s="234">
        <f>G26-E26</f>
        <v>0</v>
      </c>
      <c r="J26" s="237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4">
        <f>SUM(K26:T26)</f>
        <v>0</v>
      </c>
    </row>
    <row r="27" spans="1:22" x14ac:dyDescent="0.25">
      <c r="A27" s="227"/>
      <c r="B27" s="227" t="s">
        <v>106</v>
      </c>
      <c r="C27" s="227"/>
      <c r="D27" s="227"/>
      <c r="E27" s="235"/>
      <c r="F27" s="235"/>
      <c r="G27" s="235"/>
      <c r="H27" s="235"/>
      <c r="I27" s="234">
        <f>G27-E27</f>
        <v>0</v>
      </c>
      <c r="J27" s="237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4">
        <f>SUM(K27:T27)</f>
        <v>0</v>
      </c>
    </row>
    <row r="28" spans="1:22" x14ac:dyDescent="0.25">
      <c r="A28" s="227"/>
      <c r="B28" s="227" t="s">
        <v>105</v>
      </c>
      <c r="C28" s="227"/>
      <c r="D28" s="227"/>
      <c r="E28" s="235"/>
      <c r="F28" s="235"/>
      <c r="G28" s="235"/>
      <c r="H28" s="235"/>
      <c r="I28" s="234">
        <f>G28-E28</f>
        <v>0</v>
      </c>
      <c r="J28" s="237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4">
        <f>SUM(K28:T28)</f>
        <v>0</v>
      </c>
    </row>
    <row r="29" spans="1:22" x14ac:dyDescent="0.25">
      <c r="A29" s="227"/>
      <c r="B29" s="227" t="s">
        <v>104</v>
      </c>
      <c r="C29" s="227"/>
      <c r="D29" s="227"/>
      <c r="E29" s="236"/>
      <c r="F29" s="235"/>
      <c r="G29" s="236"/>
      <c r="H29" s="235"/>
      <c r="I29" s="234">
        <f>G29-E29</f>
        <v>0</v>
      </c>
      <c r="J29" s="237"/>
      <c r="K29" s="236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4">
        <f>SUM(K29:T29)</f>
        <v>0</v>
      </c>
    </row>
    <row r="30" spans="1:22" ht="15.75" thickBot="1" x14ac:dyDescent="0.3">
      <c r="A30" s="233" t="s">
        <v>103</v>
      </c>
      <c r="E30" s="70">
        <f>SUM(E12:E29)</f>
        <v>0</v>
      </c>
      <c r="F30" s="229"/>
      <c r="G30" s="231">
        <f>SUM(G12:G29)</f>
        <v>1533.33</v>
      </c>
      <c r="H30" s="232"/>
      <c r="I30" s="231">
        <f>SUM(I12:I29)</f>
        <v>1533.33</v>
      </c>
      <c r="J30" s="230"/>
      <c r="K30" s="70">
        <f>SUM(K12:K29)</f>
        <v>0</v>
      </c>
      <c r="L30" s="229"/>
      <c r="M30" s="70">
        <f>SUM(M12:M29)</f>
        <v>0</v>
      </c>
      <c r="N30" s="229"/>
      <c r="O30" s="70">
        <f>SUM(O12:O29)</f>
        <v>0</v>
      </c>
      <c r="P30" s="229"/>
      <c r="Q30" s="70">
        <f>SUM(Q12:Q29)</f>
        <v>0</v>
      </c>
      <c r="R30" s="229"/>
      <c r="S30" s="70">
        <f>SUM(S12:S29)</f>
        <v>0</v>
      </c>
      <c r="T30" s="70">
        <f>SUM(T12:T29)</f>
        <v>0</v>
      </c>
      <c r="U30" s="229"/>
      <c r="V30" s="70">
        <f>SUM(V12:V29)</f>
        <v>0</v>
      </c>
    </row>
    <row r="31" spans="1:22" ht="15.75" thickTop="1" x14ac:dyDescent="0.25">
      <c r="A31" s="227"/>
      <c r="B31" s="227"/>
      <c r="C31" s="227"/>
      <c r="D31" s="227"/>
      <c r="E31" s="228"/>
      <c r="F31" s="228"/>
      <c r="G31" s="228"/>
      <c r="H31" s="228"/>
      <c r="I31" s="228"/>
      <c r="J31" s="228"/>
      <c r="K31" s="228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</row>
    <row r="32" spans="1:22" x14ac:dyDescent="0.25">
      <c r="A32" s="227"/>
      <c r="B32" s="68" t="s">
        <v>152</v>
      </c>
      <c r="C32" s="227"/>
      <c r="D32" s="227"/>
      <c r="E32" s="228"/>
      <c r="F32" s="228"/>
      <c r="G32" s="228"/>
      <c r="H32" s="228"/>
      <c r="I32" s="228"/>
      <c r="J32" s="228"/>
      <c r="K32" s="228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</row>
    <row r="33" spans="1:22" x14ac:dyDescent="0.25">
      <c r="A33" s="227"/>
      <c r="B33" s="227"/>
      <c r="C33" s="227"/>
      <c r="D33" s="227"/>
      <c r="E33" s="228"/>
      <c r="F33" s="228"/>
      <c r="G33" s="228"/>
      <c r="H33" s="228"/>
      <c r="I33" s="228"/>
      <c r="J33" s="228"/>
      <c r="K33" s="228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</row>
    <row r="34" spans="1:22" x14ac:dyDescent="0.25">
      <c r="A34" s="227"/>
      <c r="B34" s="227"/>
      <c r="C34" s="227"/>
      <c r="D34" s="227"/>
      <c r="E34" s="228"/>
      <c r="F34" s="228"/>
      <c r="G34" s="228"/>
      <c r="H34" s="228"/>
      <c r="I34" s="228"/>
      <c r="J34" s="228"/>
      <c r="K34" s="228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</row>
    <row r="35" spans="1:22" x14ac:dyDescent="0.25">
      <c r="A35" s="227"/>
      <c r="B35" s="227"/>
      <c r="C35" s="227"/>
      <c r="D35" s="227"/>
      <c r="E35" s="228"/>
      <c r="F35" s="228"/>
      <c r="G35" s="228"/>
      <c r="H35" s="228"/>
      <c r="I35" s="228"/>
      <c r="J35" s="228"/>
      <c r="K35" s="228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</row>
    <row r="36" spans="1:22" x14ac:dyDescent="0.25">
      <c r="A36" s="227"/>
      <c r="B36" s="227"/>
      <c r="C36" s="227"/>
      <c r="D36" s="227"/>
      <c r="E36" s="228"/>
      <c r="F36" s="228"/>
      <c r="G36" s="228"/>
      <c r="H36" s="228"/>
      <c r="I36" s="228"/>
      <c r="J36" s="228"/>
      <c r="K36" s="228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</row>
    <row r="37" spans="1:22" x14ac:dyDescent="0.25">
      <c r="A37" s="227"/>
      <c r="B37" s="227"/>
      <c r="C37" s="227"/>
      <c r="D37" s="227"/>
      <c r="E37" s="228"/>
      <c r="F37" s="228"/>
      <c r="G37" s="228"/>
      <c r="H37" s="228"/>
      <c r="I37" s="228"/>
      <c r="J37" s="228"/>
      <c r="K37" s="228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</row>
    <row r="38" spans="1:22" x14ac:dyDescent="0.25">
      <c r="A38" s="227"/>
      <c r="B38" s="227"/>
      <c r="C38" s="227"/>
      <c r="D38" s="227"/>
      <c r="E38" s="228"/>
      <c r="F38" s="228"/>
      <c r="G38" s="228"/>
      <c r="H38" s="228"/>
      <c r="I38" s="228"/>
      <c r="J38" s="228"/>
      <c r="K38" s="228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</row>
    <row r="39" spans="1:22" x14ac:dyDescent="0.25">
      <c r="A39" s="227"/>
      <c r="B39" s="227"/>
      <c r="C39" s="227"/>
      <c r="D39" s="227"/>
      <c r="E39" s="228"/>
      <c r="F39" s="228"/>
      <c r="G39" s="228"/>
      <c r="H39" s="228"/>
      <c r="I39" s="228"/>
      <c r="J39" s="228"/>
      <c r="K39" s="228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</row>
    <row r="40" spans="1:22" x14ac:dyDescent="0.25">
      <c r="A40" s="227"/>
      <c r="B40" s="227"/>
      <c r="C40" s="227"/>
      <c r="D40" s="227"/>
      <c r="E40" s="228"/>
      <c r="F40" s="228"/>
      <c r="G40" s="228"/>
      <c r="H40" s="228"/>
      <c r="I40" s="228"/>
      <c r="J40" s="228"/>
      <c r="K40" s="228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C138-54B3-4F30-A6C3-1B765A7305B4}">
  <sheetPr>
    <pageSetUpPr fitToPage="1"/>
  </sheetPr>
  <dimension ref="A1:J27"/>
  <sheetViews>
    <sheetView showGridLines="0" workbookViewId="0">
      <selection activeCell="F20" sqref="F20"/>
    </sheetView>
  </sheetViews>
  <sheetFormatPr defaultRowHeight="15" x14ac:dyDescent="0.25"/>
  <cols>
    <col min="1" max="1" width="14.6640625" style="21" customWidth="1"/>
    <col min="2" max="2" width="6" style="21" customWidth="1"/>
    <col min="3" max="3" width="8.6640625" style="21" customWidth="1"/>
    <col min="4" max="4" width="5.33203125" style="21" customWidth="1"/>
    <col min="5" max="5" width="22" style="21" customWidth="1"/>
    <col min="6" max="6" width="24" style="21" customWidth="1"/>
    <col min="7" max="7" width="20" style="21" customWidth="1"/>
    <col min="8" max="8" width="16.6640625" style="21" customWidth="1"/>
    <col min="9" max="9" width="3.33203125" style="21" customWidth="1"/>
    <col min="10" max="10" width="26" style="21" customWidth="1"/>
    <col min="11" max="16384" width="9.33203125" style="21"/>
  </cols>
  <sheetData>
    <row r="1" spans="1:10" x14ac:dyDescent="0.25">
      <c r="A1" s="131"/>
      <c r="B1" s="131"/>
      <c r="C1" s="131"/>
      <c r="D1" s="131"/>
      <c r="E1" s="131"/>
      <c r="F1" s="131"/>
      <c r="G1" s="131"/>
      <c r="H1" s="131"/>
      <c r="I1" s="131" t="s">
        <v>102</v>
      </c>
      <c r="J1" s="131"/>
    </row>
    <row r="2" spans="1:10" x14ac:dyDescent="0.25">
      <c r="A2" s="132" t="s">
        <v>101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x14ac:dyDescent="0.25">
      <c r="A3" s="132" t="s">
        <v>100</v>
      </c>
      <c r="B3" s="132"/>
      <c r="C3" s="132"/>
      <c r="D3" s="132"/>
      <c r="E3" s="132"/>
      <c r="F3" s="132"/>
      <c r="G3" s="132"/>
      <c r="H3" s="132"/>
      <c r="I3" s="132"/>
      <c r="J3" s="132"/>
    </row>
    <row r="4" spans="1:10" x14ac:dyDescent="0.25">
      <c r="A4" s="132" t="s">
        <v>99</v>
      </c>
      <c r="B4" s="132"/>
      <c r="C4" s="132"/>
      <c r="D4" s="132"/>
      <c r="E4" s="132"/>
      <c r="F4" s="132"/>
      <c r="G4" s="132"/>
      <c r="H4" s="132"/>
      <c r="I4" s="132"/>
      <c r="J4" s="132"/>
    </row>
    <row r="5" spans="1:10" x14ac:dyDescent="0.25">
      <c r="A5" s="132" t="s">
        <v>98</v>
      </c>
      <c r="B5" s="132"/>
      <c r="C5" s="132"/>
      <c r="D5" s="132"/>
      <c r="E5" s="132"/>
      <c r="F5" s="132"/>
      <c r="G5" s="132"/>
      <c r="H5" s="132"/>
      <c r="I5" s="132"/>
      <c r="J5" s="132"/>
    </row>
    <row r="6" spans="1:10" x14ac:dyDescent="0.25">
      <c r="A6" s="132" t="s">
        <v>97</v>
      </c>
      <c r="B6" s="132"/>
      <c r="C6" s="132"/>
      <c r="D6" s="132"/>
      <c r="E6" s="132"/>
      <c r="F6" s="132"/>
      <c r="G6" s="132"/>
      <c r="H6" s="132"/>
      <c r="I6" s="132"/>
      <c r="J6" s="132"/>
    </row>
    <row r="7" spans="1:10" x14ac:dyDescent="0.25">
      <c r="A7" s="129" t="s">
        <v>96</v>
      </c>
      <c r="B7" s="129"/>
      <c r="C7" s="130" t="s">
        <v>95</v>
      </c>
      <c r="D7" s="130"/>
      <c r="E7" s="130"/>
      <c r="F7" s="130"/>
      <c r="G7" s="130"/>
      <c r="H7" s="130"/>
      <c r="I7" s="131" t="s">
        <v>94</v>
      </c>
      <c r="J7" s="131"/>
    </row>
    <row r="8" spans="1:10" x14ac:dyDescent="0.25">
      <c r="A8" s="129" t="s">
        <v>78</v>
      </c>
      <c r="B8" s="129"/>
      <c r="C8" s="130" t="s">
        <v>93</v>
      </c>
      <c r="D8" s="130"/>
      <c r="E8" s="130"/>
      <c r="F8" s="130"/>
      <c r="G8" s="130"/>
      <c r="H8" s="130"/>
      <c r="I8" s="131" t="s">
        <v>92</v>
      </c>
      <c r="J8" s="131"/>
    </row>
    <row r="9" spans="1:10" x14ac:dyDescent="0.25">
      <c r="A9" s="129" t="s">
        <v>91</v>
      </c>
      <c r="B9" s="129"/>
      <c r="C9" s="134"/>
      <c r="D9" s="134"/>
      <c r="E9" s="134"/>
      <c r="F9" s="134"/>
      <c r="G9" s="134"/>
      <c r="H9" s="134"/>
      <c r="I9" s="131" t="s">
        <v>90</v>
      </c>
      <c r="J9" s="131"/>
    </row>
    <row r="10" spans="1:10" x14ac:dyDescent="0.25">
      <c r="A10" s="131"/>
      <c r="B10" s="131"/>
      <c r="C10" s="131"/>
      <c r="D10" s="131"/>
      <c r="E10" s="131"/>
      <c r="F10" s="131"/>
      <c r="G10" s="131"/>
      <c r="H10" s="131"/>
      <c r="I10" s="131"/>
      <c r="J10" s="131"/>
    </row>
    <row r="11" spans="1:10" x14ac:dyDescent="0.25">
      <c r="A11" s="135"/>
      <c r="B11" s="135"/>
      <c r="C11" s="135"/>
      <c r="D11" s="135"/>
      <c r="E11" s="135"/>
      <c r="F11" s="135"/>
      <c r="G11" s="135"/>
      <c r="H11" s="135"/>
      <c r="I11" s="135"/>
      <c r="J11" s="135"/>
    </row>
    <row r="12" spans="1:10" x14ac:dyDescent="0.25">
      <c r="A12" s="136" t="s">
        <v>89</v>
      </c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10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0" x14ac:dyDescent="0.25">
      <c r="A14" s="137" t="s">
        <v>88</v>
      </c>
      <c r="B14" s="137"/>
      <c r="C14" s="137"/>
      <c r="D14" s="137"/>
      <c r="E14" s="137"/>
      <c r="F14" s="24" t="s">
        <v>87</v>
      </c>
      <c r="G14" s="24" t="s">
        <v>86</v>
      </c>
      <c r="H14" s="138" t="s">
        <v>85</v>
      </c>
      <c r="I14" s="138"/>
      <c r="J14" s="24" t="s">
        <v>84</v>
      </c>
    </row>
    <row r="15" spans="1:10" x14ac:dyDescent="0.25">
      <c r="A15" s="133" t="s">
        <v>83</v>
      </c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0" x14ac:dyDescent="0.25">
      <c r="A16" s="139" t="s">
        <v>82</v>
      </c>
      <c r="B16" s="139"/>
      <c r="C16" s="139"/>
      <c r="D16" s="139"/>
      <c r="E16" s="139"/>
      <c r="F16" s="23">
        <v>1850702.284</v>
      </c>
      <c r="G16" s="23">
        <v>0</v>
      </c>
      <c r="H16" s="140">
        <v>26805.21</v>
      </c>
      <c r="I16" s="140"/>
      <c r="J16" s="23">
        <v>1823897.074</v>
      </c>
    </row>
    <row r="17" spans="1:10" x14ac:dyDescent="0.25">
      <c r="A17" s="135"/>
      <c r="B17" s="135"/>
      <c r="C17" s="135"/>
      <c r="D17" s="135"/>
      <c r="E17" s="135"/>
      <c r="F17" s="135"/>
      <c r="G17" s="135"/>
      <c r="H17" s="135"/>
      <c r="I17" s="135"/>
      <c r="J17" s="135"/>
    </row>
    <row r="18" spans="1:10" x14ac:dyDescent="0.25">
      <c r="A18" s="133" t="s">
        <v>81</v>
      </c>
      <c r="B18" s="133"/>
      <c r="C18" s="133"/>
      <c r="D18" s="133"/>
      <c r="E18" s="133"/>
      <c r="F18" s="133"/>
      <c r="G18" s="133"/>
      <c r="H18" s="133"/>
      <c r="I18" s="133"/>
      <c r="J18" s="133"/>
    </row>
    <row r="19" spans="1:10" x14ac:dyDescent="0.25">
      <c r="A19" s="139" t="s">
        <v>80</v>
      </c>
      <c r="B19" s="139"/>
      <c r="C19" s="139"/>
      <c r="D19" s="139"/>
      <c r="E19" s="139"/>
      <c r="F19" s="23">
        <v>3754734.51</v>
      </c>
      <c r="G19" s="23">
        <v>0</v>
      </c>
      <c r="H19" s="140">
        <v>0</v>
      </c>
      <c r="I19" s="140"/>
      <c r="J19" s="23">
        <v>3754734.51</v>
      </c>
    </row>
    <row r="20" spans="1:10" x14ac:dyDescent="0.25">
      <c r="A20" s="139" t="s">
        <v>79</v>
      </c>
      <c r="B20" s="139"/>
      <c r="C20" s="139"/>
      <c r="D20" s="139"/>
      <c r="E20" s="139"/>
      <c r="F20" s="23">
        <v>2895561.4</v>
      </c>
      <c r="G20" s="23">
        <v>0</v>
      </c>
      <c r="H20" s="140">
        <v>0</v>
      </c>
      <c r="I20" s="140"/>
      <c r="J20" s="23">
        <v>2895561.4</v>
      </c>
    </row>
    <row r="21" spans="1:10" x14ac:dyDescent="0.25">
      <c r="A21" s="135"/>
      <c r="B21" s="135"/>
      <c r="C21" s="135"/>
      <c r="D21" s="135"/>
      <c r="E21" s="135"/>
      <c r="F21" s="135"/>
      <c r="G21" s="135"/>
      <c r="H21" s="135"/>
      <c r="I21" s="135"/>
      <c r="J21" s="135"/>
    </row>
    <row r="22" spans="1:10" x14ac:dyDescent="0.25">
      <c r="A22" s="22" t="s">
        <v>78</v>
      </c>
      <c r="B22" s="142" t="s">
        <v>77</v>
      </c>
      <c r="C22" s="142"/>
      <c r="D22" s="142"/>
      <c r="E22" s="143">
        <v>8500998.1940000001</v>
      </c>
      <c r="F22" s="143"/>
      <c r="G22" s="143">
        <v>0</v>
      </c>
      <c r="H22" s="143">
        <v>26805.21</v>
      </c>
      <c r="I22" s="143"/>
      <c r="J22" s="143">
        <v>8474192.9839999992</v>
      </c>
    </row>
    <row r="23" spans="1:10" x14ac:dyDescent="0.25">
      <c r="A23" s="22" t="s">
        <v>76</v>
      </c>
      <c r="B23" s="144"/>
      <c r="C23" s="144"/>
      <c r="D23" s="144"/>
      <c r="E23" s="143"/>
      <c r="F23" s="143"/>
      <c r="G23" s="143"/>
      <c r="H23" s="143"/>
      <c r="I23" s="143"/>
      <c r="J23" s="143"/>
    </row>
    <row r="24" spans="1:10" x14ac:dyDescent="0.25">
      <c r="A24" s="135"/>
      <c r="B24" s="135"/>
      <c r="C24" s="135"/>
      <c r="D24" s="135"/>
      <c r="E24" s="135"/>
      <c r="F24" s="135"/>
      <c r="G24" s="135"/>
      <c r="H24" s="135"/>
      <c r="I24" s="135"/>
      <c r="J24" s="135"/>
    </row>
    <row r="25" spans="1:10" x14ac:dyDescent="0.25">
      <c r="A25" s="135"/>
      <c r="B25" s="135"/>
      <c r="C25" s="135"/>
      <c r="D25" s="135"/>
      <c r="E25" s="135"/>
      <c r="F25" s="135"/>
      <c r="G25" s="135"/>
      <c r="H25" s="135"/>
      <c r="I25" s="135"/>
      <c r="J25" s="135"/>
    </row>
    <row r="26" spans="1:10" x14ac:dyDescent="0.25">
      <c r="A26" s="135"/>
      <c r="B26" s="135"/>
      <c r="C26" s="135"/>
      <c r="D26" s="135"/>
      <c r="E26" s="135"/>
      <c r="F26" s="135"/>
      <c r="G26" s="135"/>
      <c r="H26" s="135"/>
      <c r="I26" s="135"/>
      <c r="J26" s="135"/>
    </row>
    <row r="27" spans="1:10" x14ac:dyDescent="0.25">
      <c r="A27" s="141"/>
      <c r="B27" s="141"/>
      <c r="C27" s="141"/>
      <c r="D27" s="141"/>
      <c r="E27" s="141"/>
      <c r="F27" s="141"/>
      <c r="G27" s="141"/>
      <c r="H27" s="141"/>
      <c r="I27" s="141"/>
      <c r="J27" s="141"/>
    </row>
  </sheetData>
  <mergeCells count="45">
    <mergeCell ref="A27:J27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16:E16"/>
    <mergeCell ref="H16:I16"/>
    <mergeCell ref="A17:J17"/>
    <mergeCell ref="A18:J18"/>
    <mergeCell ref="A19:E19"/>
    <mergeCell ref="H19:I19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</mergeCells>
  <pageMargins left="0.7" right="0.7" top="0.75" bottom="0.75" header="0.3" footer="0.3"/>
  <pageSetup scale="9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E5E0-C2D7-445A-B5E8-0E39CD4EF7FF}">
  <dimension ref="A1:V40"/>
  <sheetViews>
    <sheetView topLeftCell="A9" workbookViewId="0">
      <selection activeCell="F20" sqref="F20"/>
    </sheetView>
  </sheetViews>
  <sheetFormatPr defaultRowHeight="15" x14ac:dyDescent="0.25"/>
  <cols>
    <col min="1" max="1" width="2" style="25" customWidth="1"/>
    <col min="2" max="2" width="10.5" style="25" customWidth="1"/>
    <col min="3" max="3" width="51.6640625" style="25" customWidth="1"/>
    <col min="4" max="4" width="2" style="25" customWidth="1"/>
    <col min="5" max="5" width="18.33203125" style="26" customWidth="1"/>
    <col min="6" max="6" width="2" style="26" customWidth="1"/>
    <col min="7" max="7" width="18.33203125" style="26" customWidth="1"/>
    <col min="8" max="8" width="2" style="26" customWidth="1"/>
    <col min="9" max="9" width="18.33203125" style="26" customWidth="1"/>
    <col min="10" max="10" width="2" style="26" customWidth="1"/>
    <col min="11" max="11" width="18.33203125" style="26" customWidth="1"/>
    <col min="12" max="12" width="2" style="25" customWidth="1"/>
    <col min="13" max="13" width="18.33203125" style="25" customWidth="1"/>
    <col min="14" max="14" width="2" style="25" customWidth="1"/>
    <col min="15" max="15" width="18.33203125" style="25" customWidth="1"/>
    <col min="16" max="16" width="2" style="25" customWidth="1"/>
    <col min="17" max="17" width="18.33203125" style="25" customWidth="1"/>
    <col min="18" max="18" width="2" style="25" customWidth="1"/>
    <col min="19" max="20" width="18.33203125" style="25" customWidth="1"/>
    <col min="21" max="21" width="2" style="25" customWidth="1"/>
    <col min="22" max="22" width="18.33203125" style="25" customWidth="1"/>
    <col min="23" max="16384" width="9.33203125" style="25"/>
  </cols>
  <sheetData>
    <row r="1" spans="1:22" x14ac:dyDescent="0.25">
      <c r="A1" s="45" t="s">
        <v>146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2" x14ac:dyDescent="0.25">
      <c r="A2" s="45" t="s">
        <v>145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x14ac:dyDescent="0.25">
      <c r="A3" s="45" t="s">
        <v>144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x14ac:dyDescent="0.25">
      <c r="A4" s="45" t="s">
        <v>143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22" x14ac:dyDescent="0.25">
      <c r="A5" s="45" t="s">
        <v>142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2" x14ac:dyDescent="0.25">
      <c r="A6" s="27"/>
      <c r="B6" s="27"/>
      <c r="C6" s="27"/>
      <c r="D6" s="27"/>
      <c r="E6" s="28"/>
      <c r="F6" s="28"/>
      <c r="G6" s="28"/>
      <c r="H6" s="28"/>
      <c r="I6" s="28"/>
      <c r="J6" s="28"/>
      <c r="K6" s="28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pans="1:22" ht="15.75" thickBot="1" x14ac:dyDescent="0.3">
      <c r="A7" s="27"/>
      <c r="B7" s="27"/>
      <c r="C7" s="27"/>
      <c r="D7" s="27"/>
      <c r="E7" s="28"/>
      <c r="F7" s="28"/>
      <c r="G7" s="28"/>
      <c r="H7" s="28"/>
      <c r="I7" s="28"/>
      <c r="J7" s="38"/>
      <c r="K7" s="44" t="s">
        <v>141</v>
      </c>
      <c r="L7" s="44"/>
      <c r="M7" s="44"/>
      <c r="N7" s="44"/>
      <c r="O7" s="44"/>
      <c r="P7" s="44"/>
      <c r="Q7" s="44"/>
      <c r="R7" s="44"/>
      <c r="S7" s="44"/>
      <c r="T7" s="44"/>
      <c r="U7" s="27"/>
      <c r="V7" s="27"/>
    </row>
    <row r="8" spans="1:22" x14ac:dyDescent="0.25">
      <c r="A8" s="27"/>
      <c r="B8" s="27"/>
      <c r="C8" s="27"/>
      <c r="D8" s="27"/>
      <c r="E8" s="43" t="s">
        <v>140</v>
      </c>
      <c r="F8" s="40"/>
      <c r="G8" s="43" t="s">
        <v>139</v>
      </c>
      <c r="H8" s="40"/>
      <c r="I8" s="43" t="s">
        <v>138</v>
      </c>
      <c r="J8" s="41"/>
      <c r="K8" s="43" t="s">
        <v>137</v>
      </c>
      <c r="L8" s="27"/>
      <c r="M8" s="43" t="s">
        <v>136</v>
      </c>
      <c r="N8" s="40"/>
      <c r="O8" s="43" t="s">
        <v>135</v>
      </c>
      <c r="P8" s="40"/>
      <c r="Q8" s="43" t="s">
        <v>134</v>
      </c>
      <c r="R8" s="40"/>
      <c r="S8" s="43" t="s">
        <v>133</v>
      </c>
      <c r="T8" s="43" t="s">
        <v>132</v>
      </c>
      <c r="U8" s="40"/>
      <c r="V8" s="43" t="s">
        <v>131</v>
      </c>
    </row>
    <row r="9" spans="1:22" ht="115.5" x14ac:dyDescent="0.25">
      <c r="A9" s="37"/>
      <c r="B9" s="27"/>
      <c r="C9" s="27"/>
      <c r="D9" s="27"/>
      <c r="E9" s="39" t="s">
        <v>130</v>
      </c>
      <c r="F9" s="40"/>
      <c r="G9" s="39" t="s">
        <v>129</v>
      </c>
      <c r="H9" s="40"/>
      <c r="I9" s="42" t="s">
        <v>128</v>
      </c>
      <c r="J9" s="41"/>
      <c r="K9" s="39" t="s">
        <v>127</v>
      </c>
      <c r="L9" s="40"/>
      <c r="M9" s="39" t="s">
        <v>126</v>
      </c>
      <c r="N9" s="27"/>
      <c r="O9" s="39" t="s">
        <v>125</v>
      </c>
      <c r="P9" s="27"/>
      <c r="Q9" s="39" t="s">
        <v>124</v>
      </c>
      <c r="R9" s="27"/>
      <c r="S9" s="39" t="s">
        <v>123</v>
      </c>
      <c r="T9" s="39" t="s">
        <v>122</v>
      </c>
      <c r="U9" s="27"/>
      <c r="V9" s="39" t="s">
        <v>121</v>
      </c>
    </row>
    <row r="10" spans="1:22" x14ac:dyDescent="0.25">
      <c r="A10" s="27"/>
      <c r="B10" s="27"/>
      <c r="C10" s="27"/>
      <c r="D10" s="27"/>
      <c r="E10" s="28"/>
      <c r="F10" s="28"/>
      <c r="G10" s="28"/>
      <c r="H10" s="28"/>
      <c r="I10" s="28"/>
      <c r="J10" s="38"/>
      <c r="K10" s="28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</row>
    <row r="11" spans="1:22" x14ac:dyDescent="0.25">
      <c r="A11" s="37" t="s">
        <v>83</v>
      </c>
      <c r="B11" s="27"/>
      <c r="C11" s="27"/>
      <c r="D11" s="27"/>
      <c r="E11" s="28"/>
      <c r="F11" s="28"/>
      <c r="G11" s="28"/>
      <c r="H11" s="28"/>
      <c r="I11" s="28"/>
      <c r="J11" s="38"/>
      <c r="K11" s="28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</row>
    <row r="12" spans="1:22" x14ac:dyDescent="0.25">
      <c r="A12" s="27"/>
      <c r="B12" s="27" t="s">
        <v>120</v>
      </c>
      <c r="C12" s="27"/>
      <c r="D12" s="27"/>
      <c r="E12" s="33"/>
      <c r="F12" s="33"/>
      <c r="G12" s="33"/>
      <c r="H12" s="33"/>
      <c r="I12" s="30">
        <f t="shared" ref="I12:I17" si="0">G12-E12</f>
        <v>0</v>
      </c>
      <c r="J12" s="35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0">
        <f t="shared" ref="V12:V17" si="1">SUM(K12:T12)</f>
        <v>0</v>
      </c>
    </row>
    <row r="13" spans="1:22" x14ac:dyDescent="0.25">
      <c r="A13" s="27"/>
      <c r="B13" s="27" t="s">
        <v>119</v>
      </c>
      <c r="C13" s="27"/>
      <c r="D13" s="27"/>
      <c r="E13" s="33"/>
      <c r="F13" s="33"/>
      <c r="G13" s="33"/>
      <c r="H13" s="33"/>
      <c r="I13" s="30">
        <f t="shared" si="0"/>
        <v>0</v>
      </c>
      <c r="J13" s="35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0">
        <f t="shared" si="1"/>
        <v>0</v>
      </c>
    </row>
    <row r="14" spans="1:22" x14ac:dyDescent="0.25">
      <c r="A14" s="27"/>
      <c r="B14" s="27" t="s">
        <v>118</v>
      </c>
      <c r="C14" s="27"/>
      <c r="D14" s="27"/>
      <c r="E14" s="33"/>
      <c r="F14" s="33"/>
      <c r="G14" s="33"/>
      <c r="H14" s="33"/>
      <c r="I14" s="30">
        <f t="shared" si="0"/>
        <v>0</v>
      </c>
      <c r="J14" s="35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0">
        <f t="shared" si="1"/>
        <v>0</v>
      </c>
    </row>
    <row r="15" spans="1:22" x14ac:dyDescent="0.25">
      <c r="A15" s="27"/>
      <c r="B15" s="27" t="s">
        <v>117</v>
      </c>
      <c r="C15" s="27"/>
      <c r="D15" s="27"/>
      <c r="E15" s="33"/>
      <c r="F15" s="33"/>
      <c r="G15" s="36">
        <v>1850702.284</v>
      </c>
      <c r="H15" s="33"/>
      <c r="I15" s="30">
        <f t="shared" si="0"/>
        <v>1850702.284</v>
      </c>
      <c r="J15" s="35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0">
        <f t="shared" si="1"/>
        <v>0</v>
      </c>
    </row>
    <row r="16" spans="1:22" x14ac:dyDescent="0.25">
      <c r="A16" s="27"/>
      <c r="B16" s="27" t="s">
        <v>116</v>
      </c>
      <c r="C16" s="27"/>
      <c r="D16" s="27"/>
      <c r="E16" s="33"/>
      <c r="F16" s="33"/>
      <c r="G16" s="33"/>
      <c r="H16" s="33"/>
      <c r="I16" s="30">
        <f t="shared" si="0"/>
        <v>0</v>
      </c>
      <c r="J16" s="35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0">
        <f t="shared" si="1"/>
        <v>0</v>
      </c>
    </row>
    <row r="17" spans="1:22" x14ac:dyDescent="0.25">
      <c r="A17" s="27"/>
      <c r="B17" s="27" t="s">
        <v>115</v>
      </c>
      <c r="C17" s="27"/>
      <c r="D17" s="27"/>
      <c r="E17" s="33"/>
      <c r="F17" s="33"/>
      <c r="G17" s="33"/>
      <c r="H17" s="33"/>
      <c r="I17" s="30">
        <f t="shared" si="0"/>
        <v>0</v>
      </c>
      <c r="J17" s="35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0">
        <f t="shared" si="1"/>
        <v>0</v>
      </c>
    </row>
    <row r="18" spans="1:22" x14ac:dyDescent="0.25">
      <c r="A18" s="37" t="s">
        <v>81</v>
      </c>
      <c r="B18" s="27"/>
      <c r="C18" s="27"/>
      <c r="D18" s="27"/>
      <c r="E18" s="33"/>
      <c r="F18" s="33"/>
      <c r="G18" s="33"/>
      <c r="H18" s="33"/>
      <c r="I18" s="30"/>
      <c r="J18" s="35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0"/>
    </row>
    <row r="19" spans="1:22" x14ac:dyDescent="0.25">
      <c r="A19" s="27"/>
      <c r="B19" s="27" t="s">
        <v>114</v>
      </c>
      <c r="C19" s="27"/>
      <c r="D19" s="27"/>
      <c r="E19" s="33"/>
      <c r="F19" s="33"/>
      <c r="G19" s="33"/>
      <c r="H19" s="33"/>
      <c r="I19" s="30">
        <f t="shared" ref="I19:I29" si="2">G19-E19</f>
        <v>0</v>
      </c>
      <c r="J19" s="35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0">
        <f t="shared" ref="V19:V29" si="3">SUM(K19:T19)</f>
        <v>0</v>
      </c>
    </row>
    <row r="20" spans="1:22" x14ac:dyDescent="0.25">
      <c r="A20" s="27"/>
      <c r="B20" s="27" t="s">
        <v>113</v>
      </c>
      <c r="C20" s="27"/>
      <c r="D20" s="27"/>
      <c r="E20" s="33"/>
      <c r="F20" s="33"/>
      <c r="G20" s="33"/>
      <c r="H20" s="33"/>
      <c r="I20" s="30">
        <f t="shared" si="2"/>
        <v>0</v>
      </c>
      <c r="J20" s="35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0">
        <f t="shared" si="3"/>
        <v>0</v>
      </c>
    </row>
    <row r="21" spans="1:22" x14ac:dyDescent="0.25">
      <c r="A21" s="27"/>
      <c r="B21" s="27" t="s">
        <v>112</v>
      </c>
      <c r="C21" s="27"/>
      <c r="D21" s="27"/>
      <c r="E21" s="33"/>
      <c r="F21" s="33"/>
      <c r="G21" s="33"/>
      <c r="H21" s="33"/>
      <c r="I21" s="30">
        <f t="shared" si="2"/>
        <v>0</v>
      </c>
      <c r="J21" s="35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0">
        <f t="shared" si="3"/>
        <v>0</v>
      </c>
    </row>
    <row r="22" spans="1:22" x14ac:dyDescent="0.25">
      <c r="A22" s="27"/>
      <c r="B22" s="27" t="s">
        <v>111</v>
      </c>
      <c r="C22" s="27"/>
      <c r="D22" s="27"/>
      <c r="E22" s="33"/>
      <c r="F22" s="33"/>
      <c r="G22" s="33"/>
      <c r="H22" s="33"/>
      <c r="I22" s="30">
        <f t="shared" si="2"/>
        <v>0</v>
      </c>
      <c r="J22" s="35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0">
        <f t="shared" si="3"/>
        <v>0</v>
      </c>
    </row>
    <row r="23" spans="1:22" x14ac:dyDescent="0.25">
      <c r="A23" s="27"/>
      <c r="B23" s="27" t="s">
        <v>110</v>
      </c>
      <c r="C23" s="27"/>
      <c r="D23" s="27"/>
      <c r="E23" s="33"/>
      <c r="F23" s="33"/>
      <c r="G23" s="33"/>
      <c r="H23" s="33"/>
      <c r="I23" s="30">
        <f t="shared" si="2"/>
        <v>0</v>
      </c>
      <c r="J23" s="35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0">
        <f t="shared" si="3"/>
        <v>0</v>
      </c>
    </row>
    <row r="24" spans="1:22" x14ac:dyDescent="0.25">
      <c r="A24" s="27"/>
      <c r="B24" s="27" t="s">
        <v>109</v>
      </c>
      <c r="C24" s="27"/>
      <c r="D24" s="27"/>
      <c r="E24" s="33">
        <v>0</v>
      </c>
      <c r="F24" s="33"/>
      <c r="G24" s="36">
        <v>3754734.51</v>
      </c>
      <c r="H24" s="33"/>
      <c r="I24" s="30">
        <f t="shared" si="2"/>
        <v>3754734.51</v>
      </c>
      <c r="J24" s="35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0">
        <f t="shared" si="3"/>
        <v>0</v>
      </c>
    </row>
    <row r="25" spans="1:22" x14ac:dyDescent="0.25">
      <c r="A25" s="27"/>
      <c r="B25" s="27" t="s">
        <v>108</v>
      </c>
      <c r="C25" s="27"/>
      <c r="D25" s="27"/>
      <c r="E25" s="33"/>
      <c r="F25" s="33"/>
      <c r="G25" s="36">
        <v>2895561.4</v>
      </c>
      <c r="H25" s="33"/>
      <c r="I25" s="30">
        <f t="shared" si="2"/>
        <v>2895561.4</v>
      </c>
      <c r="J25" s="35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0">
        <f t="shared" si="3"/>
        <v>0</v>
      </c>
    </row>
    <row r="26" spans="1:22" x14ac:dyDescent="0.25">
      <c r="A26" s="27"/>
      <c r="B26" s="27" t="s">
        <v>107</v>
      </c>
      <c r="C26" s="27"/>
      <c r="D26" s="27"/>
      <c r="E26" s="33"/>
      <c r="F26" s="33"/>
      <c r="G26" s="33"/>
      <c r="H26" s="33"/>
      <c r="I26" s="30">
        <f t="shared" si="2"/>
        <v>0</v>
      </c>
      <c r="J26" s="35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0">
        <f t="shared" si="3"/>
        <v>0</v>
      </c>
    </row>
    <row r="27" spans="1:22" x14ac:dyDescent="0.25">
      <c r="A27" s="27"/>
      <c r="B27" s="27" t="s">
        <v>106</v>
      </c>
      <c r="C27" s="27"/>
      <c r="D27" s="27"/>
      <c r="E27" s="33"/>
      <c r="F27" s="33"/>
      <c r="G27" s="33"/>
      <c r="H27" s="33"/>
      <c r="I27" s="30">
        <f t="shared" si="2"/>
        <v>0</v>
      </c>
      <c r="J27" s="35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0">
        <f t="shared" si="3"/>
        <v>0</v>
      </c>
    </row>
    <row r="28" spans="1:22" x14ac:dyDescent="0.25">
      <c r="A28" s="27"/>
      <c r="B28" s="27" t="s">
        <v>105</v>
      </c>
      <c r="C28" s="27"/>
      <c r="D28" s="27"/>
      <c r="E28" s="33"/>
      <c r="F28" s="33"/>
      <c r="G28" s="33"/>
      <c r="H28" s="33"/>
      <c r="I28" s="30">
        <f t="shared" si="2"/>
        <v>0</v>
      </c>
      <c r="J28" s="35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0">
        <f t="shared" si="3"/>
        <v>0</v>
      </c>
    </row>
    <row r="29" spans="1:22" x14ac:dyDescent="0.25">
      <c r="A29" s="27"/>
      <c r="B29" s="27" t="s">
        <v>104</v>
      </c>
      <c r="C29" s="27"/>
      <c r="D29" s="27"/>
      <c r="E29" s="34"/>
      <c r="F29" s="33"/>
      <c r="G29" s="34"/>
      <c r="H29" s="33"/>
      <c r="I29" s="30">
        <f t="shared" si="2"/>
        <v>0</v>
      </c>
      <c r="J29" s="35"/>
      <c r="K29" s="3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0">
        <f t="shared" si="3"/>
        <v>0</v>
      </c>
    </row>
    <row r="30" spans="1:22" ht="15.75" thickBot="1" x14ac:dyDescent="0.3">
      <c r="A30" s="32" t="s">
        <v>103</v>
      </c>
      <c r="E30" s="29">
        <f>SUM(E12:E29)</f>
        <v>0</v>
      </c>
      <c r="F30" s="30"/>
      <c r="G30" s="29">
        <f>SUM(G12:G29)</f>
        <v>8500998.1940000001</v>
      </c>
      <c r="H30" s="30"/>
      <c r="I30" s="29">
        <f>SUM(I12:I29)</f>
        <v>8500998.1940000001</v>
      </c>
      <c r="J30" s="31"/>
      <c r="K30" s="29">
        <f>SUM(K12:K29)</f>
        <v>0</v>
      </c>
      <c r="L30" s="30"/>
      <c r="M30" s="29">
        <f>SUM(M12:M29)</f>
        <v>0</v>
      </c>
      <c r="N30" s="30"/>
      <c r="O30" s="29">
        <f>SUM(O12:O29)</f>
        <v>0</v>
      </c>
      <c r="P30" s="30"/>
      <c r="Q30" s="29">
        <f>SUM(Q12:Q29)</f>
        <v>0</v>
      </c>
      <c r="R30" s="30"/>
      <c r="S30" s="29">
        <f>SUM(S12:S29)</f>
        <v>0</v>
      </c>
      <c r="T30" s="29">
        <f>SUM(T12:T29)</f>
        <v>0</v>
      </c>
      <c r="U30" s="30"/>
      <c r="V30" s="29">
        <f>SUM(V12:V29)</f>
        <v>0</v>
      </c>
    </row>
    <row r="31" spans="1:22" ht="15.75" thickTop="1" x14ac:dyDescent="0.25">
      <c r="A31" s="27"/>
      <c r="B31" s="27"/>
      <c r="C31" s="27"/>
      <c r="D31" s="27"/>
      <c r="E31" s="28"/>
      <c r="F31" s="28"/>
      <c r="G31" s="28"/>
      <c r="H31" s="28"/>
      <c r="I31" s="28"/>
      <c r="J31" s="28"/>
      <c r="K31" s="28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spans="1:22" x14ac:dyDescent="0.25">
      <c r="A32" s="27"/>
      <c r="B32" s="27"/>
      <c r="C32" s="27"/>
      <c r="D32" s="27"/>
      <c r="E32" s="28"/>
      <c r="F32" s="28"/>
      <c r="G32" s="28"/>
      <c r="H32" s="28"/>
      <c r="I32" s="28"/>
      <c r="J32" s="28"/>
      <c r="K32" s="28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spans="1:22" x14ac:dyDescent="0.25">
      <c r="A33" s="27"/>
      <c r="B33" s="27"/>
      <c r="C33" s="27"/>
      <c r="D33" s="27"/>
      <c r="E33" s="28"/>
      <c r="F33" s="28"/>
      <c r="G33" s="28"/>
      <c r="H33" s="28"/>
      <c r="I33" s="28"/>
      <c r="J33" s="28"/>
      <c r="K33" s="28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spans="1:22" x14ac:dyDescent="0.25">
      <c r="A34" s="27"/>
      <c r="B34" s="27"/>
      <c r="C34" s="27"/>
      <c r="D34" s="27"/>
      <c r="E34" s="28"/>
      <c r="F34" s="28"/>
      <c r="G34" s="28"/>
      <c r="H34" s="28"/>
      <c r="I34" s="28"/>
      <c r="J34" s="28"/>
      <c r="K34" s="28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spans="1:22" x14ac:dyDescent="0.25">
      <c r="A35" s="27"/>
      <c r="B35" s="27"/>
      <c r="C35" s="27"/>
      <c r="D35" s="27"/>
      <c r="E35" s="28"/>
      <c r="F35" s="28"/>
      <c r="G35" s="28"/>
      <c r="H35" s="28"/>
      <c r="I35" s="28"/>
      <c r="J35" s="28"/>
      <c r="K35" s="28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spans="1:22" x14ac:dyDescent="0.25">
      <c r="A36" s="27"/>
      <c r="B36" s="27"/>
      <c r="C36" s="27"/>
      <c r="D36" s="27"/>
      <c r="E36" s="28"/>
      <c r="F36" s="28"/>
      <c r="G36" s="28"/>
      <c r="H36" s="28"/>
      <c r="I36" s="28"/>
      <c r="J36" s="28"/>
      <c r="K36" s="28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spans="1:22" x14ac:dyDescent="0.25">
      <c r="A37" s="27"/>
      <c r="B37" s="27"/>
      <c r="C37" s="27"/>
      <c r="D37" s="27"/>
      <c r="E37" s="28"/>
      <c r="F37" s="28"/>
      <c r="G37" s="28"/>
      <c r="H37" s="28"/>
      <c r="I37" s="28"/>
      <c r="J37" s="28"/>
      <c r="K37" s="28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spans="1:22" x14ac:dyDescent="0.25">
      <c r="A38" s="27"/>
      <c r="B38" s="27"/>
      <c r="C38" s="27"/>
      <c r="D38" s="27"/>
      <c r="E38" s="28"/>
      <c r="F38" s="28"/>
      <c r="G38" s="28"/>
      <c r="H38" s="28"/>
      <c r="I38" s="28"/>
      <c r="J38" s="28"/>
      <c r="K38" s="28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spans="1:22" x14ac:dyDescent="0.25">
      <c r="A39" s="27"/>
      <c r="B39" s="27"/>
      <c r="C39" s="27"/>
      <c r="D39" s="27"/>
      <c r="E39" s="28"/>
      <c r="F39" s="28"/>
      <c r="G39" s="28"/>
      <c r="H39" s="28"/>
      <c r="I39" s="28"/>
      <c r="J39" s="28"/>
      <c r="K39" s="28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spans="1:22" x14ac:dyDescent="0.25">
      <c r="A40" s="27"/>
      <c r="B40" s="27"/>
      <c r="C40" s="27"/>
      <c r="D40" s="27"/>
      <c r="E40" s="28"/>
      <c r="F40" s="28"/>
      <c r="G40" s="28"/>
      <c r="H40" s="28"/>
      <c r="I40" s="28"/>
      <c r="J40" s="28"/>
      <c r="K40" s="28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DC18-436C-4C60-9048-1248D28FF721}">
  <dimension ref="A1:J23"/>
  <sheetViews>
    <sheetView showGridLines="0" workbookViewId="0">
      <selection activeCell="K28" sqref="K28"/>
    </sheetView>
  </sheetViews>
  <sheetFormatPr defaultRowHeight="15" x14ac:dyDescent="0.25"/>
  <cols>
    <col min="1" max="1" width="14.6640625" style="21" customWidth="1"/>
    <col min="2" max="2" width="6" style="21" customWidth="1"/>
    <col min="3" max="3" width="8.6640625" style="21" customWidth="1"/>
    <col min="4" max="4" width="5.33203125" style="21" customWidth="1"/>
    <col min="5" max="5" width="22" style="21" customWidth="1"/>
    <col min="6" max="6" width="24" style="21" customWidth="1"/>
    <col min="7" max="7" width="20" style="21" customWidth="1"/>
    <col min="8" max="8" width="16.6640625" style="21" customWidth="1"/>
    <col min="9" max="9" width="3.33203125" style="21" customWidth="1"/>
    <col min="10" max="10" width="26" style="21" customWidth="1"/>
    <col min="11" max="16384" width="9.33203125" style="21"/>
  </cols>
  <sheetData>
    <row r="1" spans="1:10" x14ac:dyDescent="0.25">
      <c r="A1" s="131"/>
      <c r="B1" s="131"/>
      <c r="C1" s="131"/>
      <c r="D1" s="131"/>
      <c r="E1" s="131"/>
      <c r="F1" s="131"/>
      <c r="G1" s="131"/>
      <c r="H1" s="131"/>
      <c r="I1" s="131" t="s">
        <v>102</v>
      </c>
      <c r="J1" s="131"/>
    </row>
    <row r="2" spans="1:10" x14ac:dyDescent="0.25">
      <c r="A2" s="132" t="s">
        <v>101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x14ac:dyDescent="0.25">
      <c r="A3" s="132" t="s">
        <v>100</v>
      </c>
      <c r="B3" s="132"/>
      <c r="C3" s="132"/>
      <c r="D3" s="132"/>
      <c r="E3" s="132"/>
      <c r="F3" s="132"/>
      <c r="G3" s="132"/>
      <c r="H3" s="132"/>
      <c r="I3" s="132"/>
      <c r="J3" s="132"/>
    </row>
    <row r="4" spans="1:10" x14ac:dyDescent="0.25">
      <c r="A4" s="132" t="s">
        <v>192</v>
      </c>
      <c r="B4" s="132"/>
      <c r="C4" s="132"/>
      <c r="D4" s="132"/>
      <c r="E4" s="132"/>
      <c r="F4" s="132"/>
      <c r="G4" s="132"/>
      <c r="H4" s="132"/>
      <c r="I4" s="132"/>
      <c r="J4" s="132"/>
    </row>
    <row r="5" spans="1:10" x14ac:dyDescent="0.25">
      <c r="A5" s="132" t="s">
        <v>98</v>
      </c>
      <c r="B5" s="132"/>
      <c r="C5" s="132"/>
      <c r="D5" s="132"/>
      <c r="E5" s="132"/>
      <c r="F5" s="132"/>
      <c r="G5" s="132"/>
      <c r="H5" s="132"/>
      <c r="I5" s="132"/>
      <c r="J5" s="132"/>
    </row>
    <row r="6" spans="1:10" x14ac:dyDescent="0.25">
      <c r="A6" s="132" t="s">
        <v>97</v>
      </c>
      <c r="B6" s="132"/>
      <c r="C6" s="132"/>
      <c r="D6" s="132"/>
      <c r="E6" s="132"/>
      <c r="F6" s="132"/>
      <c r="G6" s="132"/>
      <c r="H6" s="132"/>
      <c r="I6" s="132"/>
      <c r="J6" s="132"/>
    </row>
    <row r="7" spans="1:10" x14ac:dyDescent="0.25">
      <c r="A7" s="129" t="s">
        <v>96</v>
      </c>
      <c r="B7" s="129"/>
      <c r="C7" s="130" t="s">
        <v>95</v>
      </c>
      <c r="D7" s="130"/>
      <c r="E7" s="130"/>
      <c r="F7" s="130"/>
      <c r="G7" s="130"/>
      <c r="H7" s="130"/>
      <c r="I7" s="131" t="s">
        <v>94</v>
      </c>
      <c r="J7" s="131"/>
    </row>
    <row r="8" spans="1:10" x14ac:dyDescent="0.25">
      <c r="A8" s="129" t="s">
        <v>78</v>
      </c>
      <c r="B8" s="129"/>
      <c r="C8" s="130" t="s">
        <v>191</v>
      </c>
      <c r="D8" s="130"/>
      <c r="E8" s="130"/>
      <c r="F8" s="130"/>
      <c r="G8" s="130"/>
      <c r="H8" s="130"/>
      <c r="I8" s="131" t="s">
        <v>92</v>
      </c>
      <c r="J8" s="131"/>
    </row>
    <row r="9" spans="1:10" x14ac:dyDescent="0.25">
      <c r="A9" s="129" t="s">
        <v>91</v>
      </c>
      <c r="B9" s="129"/>
      <c r="C9" s="134"/>
      <c r="D9" s="134"/>
      <c r="E9" s="134"/>
      <c r="F9" s="134"/>
      <c r="G9" s="134"/>
      <c r="H9" s="134"/>
      <c r="I9" s="131" t="s">
        <v>90</v>
      </c>
      <c r="J9" s="131"/>
    </row>
    <row r="10" spans="1:10" x14ac:dyDescent="0.25">
      <c r="A10" s="131"/>
      <c r="B10" s="131"/>
      <c r="C10" s="131"/>
      <c r="D10" s="131"/>
      <c r="E10" s="131"/>
      <c r="F10" s="131"/>
      <c r="G10" s="131"/>
      <c r="H10" s="131"/>
      <c r="I10" s="131"/>
      <c r="J10" s="131"/>
    </row>
    <row r="11" spans="1:10" x14ac:dyDescent="0.25">
      <c r="A11" s="135"/>
      <c r="B11" s="135"/>
      <c r="C11" s="135"/>
      <c r="D11" s="135"/>
      <c r="E11" s="135"/>
      <c r="F11" s="135"/>
      <c r="G11" s="135"/>
      <c r="H11" s="135"/>
      <c r="I11" s="135"/>
      <c r="J11" s="135"/>
    </row>
    <row r="12" spans="1:10" x14ac:dyDescent="0.25">
      <c r="A12" s="136" t="s">
        <v>89</v>
      </c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10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0" x14ac:dyDescent="0.25">
      <c r="A14" s="137" t="s">
        <v>88</v>
      </c>
      <c r="B14" s="137"/>
      <c r="C14" s="137"/>
      <c r="D14" s="137"/>
      <c r="E14" s="137"/>
      <c r="F14" s="24" t="s">
        <v>87</v>
      </c>
      <c r="G14" s="24" t="s">
        <v>86</v>
      </c>
      <c r="H14" s="138" t="s">
        <v>85</v>
      </c>
      <c r="I14" s="138"/>
      <c r="J14" s="24" t="s">
        <v>84</v>
      </c>
    </row>
    <row r="15" spans="1:10" x14ac:dyDescent="0.25">
      <c r="A15" s="133" t="s">
        <v>83</v>
      </c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0" x14ac:dyDescent="0.25">
      <c r="A16" s="139" t="s">
        <v>82</v>
      </c>
      <c r="B16" s="139"/>
      <c r="C16" s="139"/>
      <c r="D16" s="139"/>
      <c r="E16" s="139"/>
      <c r="F16" s="23">
        <v>5208.47</v>
      </c>
      <c r="G16" s="23">
        <v>0</v>
      </c>
      <c r="H16" s="140">
        <v>112.21</v>
      </c>
      <c r="I16" s="140"/>
      <c r="J16" s="23">
        <v>5096.26</v>
      </c>
    </row>
    <row r="17" spans="1:10" x14ac:dyDescent="0.25">
      <c r="A17" s="135"/>
      <c r="B17" s="135"/>
      <c r="C17" s="135"/>
      <c r="D17" s="135"/>
      <c r="E17" s="135"/>
      <c r="F17" s="135"/>
      <c r="G17" s="135"/>
      <c r="H17" s="135"/>
      <c r="I17" s="135"/>
      <c r="J17" s="135"/>
    </row>
    <row r="18" spans="1:10" x14ac:dyDescent="0.25">
      <c r="A18" s="22" t="s">
        <v>78</v>
      </c>
      <c r="B18" s="142" t="s">
        <v>190</v>
      </c>
      <c r="C18" s="142"/>
      <c r="D18" s="142"/>
      <c r="E18" s="143">
        <v>5208.47</v>
      </c>
      <c r="F18" s="143"/>
      <c r="G18" s="143">
        <v>0</v>
      </c>
      <c r="H18" s="143">
        <v>112.21</v>
      </c>
      <c r="I18" s="143"/>
      <c r="J18" s="143">
        <v>5096.26</v>
      </c>
    </row>
    <row r="19" spans="1:10" x14ac:dyDescent="0.25">
      <c r="A19" s="22" t="s">
        <v>76</v>
      </c>
      <c r="B19" s="144"/>
      <c r="C19" s="144"/>
      <c r="D19" s="144"/>
      <c r="E19" s="143"/>
      <c r="F19" s="143"/>
      <c r="G19" s="143"/>
      <c r="H19" s="143"/>
      <c r="I19" s="143"/>
      <c r="J19" s="143"/>
    </row>
    <row r="20" spans="1:10" x14ac:dyDescent="0.25">
      <c r="A20" s="135"/>
      <c r="B20" s="135"/>
      <c r="C20" s="135"/>
      <c r="D20" s="135"/>
      <c r="E20" s="135"/>
      <c r="F20" s="135"/>
      <c r="G20" s="135"/>
      <c r="H20" s="135"/>
      <c r="I20" s="135"/>
      <c r="J20" s="135"/>
    </row>
    <row r="21" spans="1:10" x14ac:dyDescent="0.25">
      <c r="A21" s="135"/>
      <c r="B21" s="135"/>
      <c r="C21" s="135"/>
      <c r="D21" s="135"/>
      <c r="E21" s="135"/>
      <c r="F21" s="135"/>
      <c r="G21" s="135"/>
      <c r="H21" s="135"/>
      <c r="I21" s="135"/>
      <c r="J21" s="135"/>
    </row>
    <row r="22" spans="1:10" x14ac:dyDescent="0.25">
      <c r="A22" s="135"/>
      <c r="B22" s="135"/>
      <c r="C22" s="135"/>
      <c r="D22" s="135"/>
      <c r="E22" s="135"/>
      <c r="F22" s="135"/>
      <c r="G22" s="135"/>
      <c r="H22" s="135"/>
      <c r="I22" s="135"/>
      <c r="J22" s="135"/>
    </row>
    <row r="23" spans="1:10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</row>
  </sheetData>
  <mergeCells count="39">
    <mergeCell ref="H18:I19"/>
    <mergeCell ref="J18:J19"/>
    <mergeCell ref="B19:D19"/>
    <mergeCell ref="A20:J20"/>
    <mergeCell ref="A21:J21"/>
    <mergeCell ref="A22:J22"/>
    <mergeCell ref="A23:J23"/>
    <mergeCell ref="A16:E16"/>
    <mergeCell ref="H16:I16"/>
    <mergeCell ref="A17:J17"/>
    <mergeCell ref="B18:D18"/>
    <mergeCell ref="E18:F19"/>
    <mergeCell ref="G18:G19"/>
    <mergeCell ref="I10:J10"/>
    <mergeCell ref="A11:J11"/>
    <mergeCell ref="A12:J12"/>
    <mergeCell ref="A13:J13"/>
    <mergeCell ref="A14:E14"/>
    <mergeCell ref="H14:I14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E56B-2662-4F4A-90A5-FD887FC2C738}">
  <sheetPr>
    <pageSetUpPr fitToPage="1"/>
  </sheetPr>
  <dimension ref="A1:V40"/>
  <sheetViews>
    <sheetView workbookViewId="0">
      <selection activeCell="E37" sqref="E37"/>
    </sheetView>
  </sheetViews>
  <sheetFormatPr defaultRowHeight="15" x14ac:dyDescent="0.25"/>
  <cols>
    <col min="1" max="1" width="2" style="225" customWidth="1"/>
    <col min="2" max="2" width="10.5" style="225" customWidth="1"/>
    <col min="3" max="3" width="51.6640625" style="225" customWidth="1"/>
    <col min="4" max="4" width="2" style="225" customWidth="1"/>
    <col min="5" max="5" width="18.33203125" style="226" customWidth="1"/>
    <col min="6" max="6" width="2" style="226" customWidth="1"/>
    <col min="7" max="7" width="18.33203125" style="226" customWidth="1"/>
    <col min="8" max="8" width="2" style="226" customWidth="1"/>
    <col min="9" max="9" width="18.33203125" style="226" customWidth="1"/>
    <col min="10" max="10" width="2" style="226" customWidth="1"/>
    <col min="11" max="11" width="18.33203125" style="226" customWidth="1"/>
    <col min="12" max="12" width="2" style="225" customWidth="1"/>
    <col min="13" max="13" width="18.33203125" style="225" customWidth="1"/>
    <col min="14" max="14" width="2" style="225" customWidth="1"/>
    <col min="15" max="15" width="18.33203125" style="225" customWidth="1"/>
    <col min="16" max="16" width="2" style="225" customWidth="1"/>
    <col min="17" max="17" width="18.33203125" style="225" customWidth="1"/>
    <col min="18" max="18" width="2" style="225" customWidth="1"/>
    <col min="19" max="20" width="18.33203125" style="225" customWidth="1"/>
    <col min="21" max="21" width="2" style="225" customWidth="1"/>
    <col min="22" max="22" width="18.33203125" style="225" customWidth="1"/>
    <col min="23" max="16384" width="9.33203125" style="225"/>
  </cols>
  <sheetData>
    <row r="1" spans="1:22" x14ac:dyDescent="0.25">
      <c r="A1" s="249" t="s">
        <v>146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</row>
    <row r="2" spans="1:22" x14ac:dyDescent="0.25">
      <c r="A2" s="249" t="s">
        <v>145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</row>
    <row r="3" spans="1:22" x14ac:dyDescent="0.25">
      <c r="A3" s="249" t="s">
        <v>144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</row>
    <row r="4" spans="1:22" x14ac:dyDescent="0.25">
      <c r="A4" s="249" t="s">
        <v>193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</row>
    <row r="5" spans="1:22" x14ac:dyDescent="0.25">
      <c r="A5" s="249" t="s">
        <v>142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</row>
    <row r="6" spans="1:22" x14ac:dyDescent="0.25">
      <c r="A6" s="227"/>
      <c r="B6" s="227"/>
      <c r="C6" s="227"/>
      <c r="D6" s="227"/>
      <c r="E6" s="228"/>
      <c r="F6" s="228"/>
      <c r="G6" s="228"/>
      <c r="H6" s="228"/>
      <c r="I6" s="228"/>
      <c r="J6" s="228"/>
      <c r="K6" s="228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</row>
    <row r="7" spans="1:22" ht="15.75" thickBot="1" x14ac:dyDescent="0.3">
      <c r="A7" s="227"/>
      <c r="B7" s="227"/>
      <c r="C7" s="227"/>
      <c r="D7" s="227"/>
      <c r="E7" s="228"/>
      <c r="F7" s="228"/>
      <c r="G7" s="228"/>
      <c r="H7" s="228"/>
      <c r="I7" s="228"/>
      <c r="J7" s="242"/>
      <c r="K7" s="248" t="s">
        <v>141</v>
      </c>
      <c r="L7" s="248"/>
      <c r="M7" s="248"/>
      <c r="N7" s="248"/>
      <c r="O7" s="248"/>
      <c r="P7" s="248"/>
      <c r="Q7" s="248"/>
      <c r="R7" s="248"/>
      <c r="S7" s="248"/>
      <c r="T7" s="248"/>
      <c r="U7" s="227"/>
      <c r="V7" s="227"/>
    </row>
    <row r="8" spans="1:22" x14ac:dyDescent="0.25">
      <c r="A8" s="227"/>
      <c r="B8" s="227"/>
      <c r="C8" s="227"/>
      <c r="D8" s="227"/>
      <c r="E8" s="247" t="s">
        <v>140</v>
      </c>
      <c r="F8" s="244"/>
      <c r="G8" s="247" t="s">
        <v>139</v>
      </c>
      <c r="H8" s="244"/>
      <c r="I8" s="247" t="s">
        <v>138</v>
      </c>
      <c r="J8" s="245"/>
      <c r="K8" s="247" t="s">
        <v>137</v>
      </c>
      <c r="L8" s="227"/>
      <c r="M8" s="247" t="s">
        <v>136</v>
      </c>
      <c r="N8" s="244"/>
      <c r="O8" s="247" t="s">
        <v>135</v>
      </c>
      <c r="P8" s="244"/>
      <c r="Q8" s="247" t="s">
        <v>134</v>
      </c>
      <c r="R8" s="244"/>
      <c r="S8" s="247" t="s">
        <v>133</v>
      </c>
      <c r="T8" s="247" t="s">
        <v>132</v>
      </c>
      <c r="U8" s="244"/>
      <c r="V8" s="247" t="s">
        <v>131</v>
      </c>
    </row>
    <row r="9" spans="1:22" ht="131.25" x14ac:dyDescent="0.25">
      <c r="A9" s="238"/>
      <c r="B9" s="227"/>
      <c r="C9" s="227"/>
      <c r="D9" s="227"/>
      <c r="E9" s="243" t="s">
        <v>130</v>
      </c>
      <c r="F9" s="244"/>
      <c r="G9" s="243" t="s">
        <v>129</v>
      </c>
      <c r="H9" s="244"/>
      <c r="I9" s="246" t="s">
        <v>128</v>
      </c>
      <c r="J9" s="245"/>
      <c r="K9" s="243" t="s">
        <v>127</v>
      </c>
      <c r="L9" s="244"/>
      <c r="M9" s="243" t="s">
        <v>126</v>
      </c>
      <c r="N9" s="227"/>
      <c r="O9" s="243" t="s">
        <v>175</v>
      </c>
      <c r="P9" s="227"/>
      <c r="Q9" s="243" t="s">
        <v>174</v>
      </c>
      <c r="R9" s="227"/>
      <c r="S9" s="243" t="s">
        <v>173</v>
      </c>
      <c r="T9" s="243" t="s">
        <v>172</v>
      </c>
      <c r="U9" s="227"/>
      <c r="V9" s="243" t="s">
        <v>171</v>
      </c>
    </row>
    <row r="10" spans="1:22" x14ac:dyDescent="0.25">
      <c r="A10" s="227"/>
      <c r="B10" s="227"/>
      <c r="C10" s="227"/>
      <c r="D10" s="227"/>
      <c r="E10" s="228"/>
      <c r="F10" s="228"/>
      <c r="G10" s="228"/>
      <c r="H10" s="228"/>
      <c r="I10" s="228"/>
      <c r="J10" s="242"/>
      <c r="K10" s="228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</row>
    <row r="11" spans="1:22" x14ac:dyDescent="0.25">
      <c r="A11" s="238" t="s">
        <v>83</v>
      </c>
      <c r="B11" s="227"/>
      <c r="C11" s="227"/>
      <c r="D11" s="227"/>
      <c r="E11" s="228"/>
      <c r="F11" s="228"/>
      <c r="G11" s="228"/>
      <c r="H11" s="228"/>
      <c r="I11" s="228"/>
      <c r="J11" s="242"/>
      <c r="K11" s="228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</row>
    <row r="12" spans="1:22" x14ac:dyDescent="0.25">
      <c r="A12" s="227"/>
      <c r="B12" s="227" t="s">
        <v>120</v>
      </c>
      <c r="C12" s="227"/>
      <c r="D12" s="227"/>
      <c r="E12" s="235"/>
      <c r="F12" s="235"/>
      <c r="G12" s="235"/>
      <c r="H12" s="235"/>
      <c r="I12" s="234">
        <f>G12-E12</f>
        <v>0</v>
      </c>
      <c r="J12" s="237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4">
        <f>SUM(K12:T12)</f>
        <v>0</v>
      </c>
    </row>
    <row r="13" spans="1:22" x14ac:dyDescent="0.25">
      <c r="A13" s="227"/>
      <c r="B13" s="227" t="s">
        <v>119</v>
      </c>
      <c r="C13" s="227"/>
      <c r="D13" s="227"/>
      <c r="E13" s="235"/>
      <c r="F13" s="235"/>
      <c r="G13" s="235"/>
      <c r="H13" s="235"/>
      <c r="I13" s="234">
        <f>G13-E13</f>
        <v>0</v>
      </c>
      <c r="J13" s="237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4">
        <f>SUM(K13:T13)</f>
        <v>0</v>
      </c>
    </row>
    <row r="14" spans="1:22" x14ac:dyDescent="0.25">
      <c r="A14" s="227"/>
      <c r="B14" s="227" t="s">
        <v>118</v>
      </c>
      <c r="C14" s="227"/>
      <c r="D14" s="227"/>
      <c r="E14" s="235"/>
      <c r="F14" s="235"/>
      <c r="G14" s="235"/>
      <c r="H14" s="235"/>
      <c r="I14" s="234">
        <f>G14-E14</f>
        <v>0</v>
      </c>
      <c r="J14" s="237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4">
        <f>SUM(K14:T14)</f>
        <v>0</v>
      </c>
    </row>
    <row r="15" spans="1:22" x14ac:dyDescent="0.25">
      <c r="A15" s="227"/>
      <c r="B15" s="227" t="s">
        <v>117</v>
      </c>
      <c r="C15" s="227"/>
      <c r="D15" s="227"/>
      <c r="E15" s="235">
        <v>0</v>
      </c>
      <c r="F15" s="235"/>
      <c r="G15" s="235">
        <v>5208.47</v>
      </c>
      <c r="H15" s="235"/>
      <c r="I15" s="234">
        <f>G15-E15</f>
        <v>5208.47</v>
      </c>
      <c r="J15" s="237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4">
        <f>SUM(K15:T15)</f>
        <v>0</v>
      </c>
    </row>
    <row r="16" spans="1:22" x14ac:dyDescent="0.25">
      <c r="A16" s="227"/>
      <c r="B16" s="227" t="s">
        <v>116</v>
      </c>
      <c r="C16" s="227"/>
      <c r="D16" s="227"/>
      <c r="E16" s="235"/>
      <c r="F16" s="235"/>
      <c r="G16" s="235"/>
      <c r="H16" s="235"/>
      <c r="I16" s="234">
        <f>G16-E16</f>
        <v>0</v>
      </c>
      <c r="J16" s="237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4">
        <f>SUM(K16:T16)</f>
        <v>0</v>
      </c>
    </row>
    <row r="17" spans="1:22" x14ac:dyDescent="0.25">
      <c r="A17" s="227"/>
      <c r="B17" s="227" t="s">
        <v>115</v>
      </c>
      <c r="C17" s="227"/>
      <c r="D17" s="227"/>
      <c r="E17" s="235"/>
      <c r="F17" s="235"/>
      <c r="G17" s="235"/>
      <c r="H17" s="235"/>
      <c r="I17" s="234">
        <f>G17-E17</f>
        <v>0</v>
      </c>
      <c r="J17" s="237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4">
        <f>SUM(K17:T17)</f>
        <v>0</v>
      </c>
    </row>
    <row r="18" spans="1:22" x14ac:dyDescent="0.25">
      <c r="A18" s="238" t="s">
        <v>81</v>
      </c>
      <c r="B18" s="227"/>
      <c r="C18" s="227"/>
      <c r="D18" s="227"/>
      <c r="E18" s="235"/>
      <c r="F18" s="235"/>
      <c r="G18" s="235"/>
      <c r="H18" s="235"/>
      <c r="I18" s="234"/>
      <c r="J18" s="237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4"/>
    </row>
    <row r="19" spans="1:22" x14ac:dyDescent="0.25">
      <c r="A19" s="227"/>
      <c r="B19" s="227" t="s">
        <v>114</v>
      </c>
      <c r="C19" s="227"/>
      <c r="D19" s="227"/>
      <c r="E19" s="235"/>
      <c r="F19" s="235"/>
      <c r="G19" s="235"/>
      <c r="H19" s="235"/>
      <c r="I19" s="234">
        <f>G19-E19</f>
        <v>0</v>
      </c>
      <c r="J19" s="237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4">
        <f>SUM(K19:T19)</f>
        <v>0</v>
      </c>
    </row>
    <row r="20" spans="1:22" x14ac:dyDescent="0.25">
      <c r="A20" s="227"/>
      <c r="B20" s="227" t="s">
        <v>113</v>
      </c>
      <c r="C20" s="227"/>
      <c r="D20" s="227"/>
      <c r="E20" s="235"/>
      <c r="F20" s="235"/>
      <c r="G20" s="235"/>
      <c r="H20" s="235"/>
      <c r="I20" s="234">
        <f>G20-E20</f>
        <v>0</v>
      </c>
      <c r="J20" s="237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4">
        <f>SUM(K20:T20)</f>
        <v>0</v>
      </c>
    </row>
    <row r="21" spans="1:22" x14ac:dyDescent="0.25">
      <c r="A21" s="227"/>
      <c r="B21" s="227" t="s">
        <v>112</v>
      </c>
      <c r="C21" s="227"/>
      <c r="D21" s="227"/>
      <c r="E21" s="235"/>
      <c r="F21" s="235"/>
      <c r="G21" s="235"/>
      <c r="H21" s="235"/>
      <c r="I21" s="234">
        <f>G21-E21</f>
        <v>0</v>
      </c>
      <c r="J21" s="237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4">
        <f>SUM(K21:T21)</f>
        <v>0</v>
      </c>
    </row>
    <row r="22" spans="1:22" x14ac:dyDescent="0.25">
      <c r="A22" s="227"/>
      <c r="B22" s="227" t="s">
        <v>111</v>
      </c>
      <c r="C22" s="227"/>
      <c r="D22" s="227"/>
      <c r="E22" s="235"/>
      <c r="F22" s="235"/>
      <c r="G22" s="235"/>
      <c r="H22" s="235"/>
      <c r="I22" s="234">
        <f>G22-E22</f>
        <v>0</v>
      </c>
      <c r="J22" s="237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4">
        <f>SUM(K22:T22)</f>
        <v>0</v>
      </c>
    </row>
    <row r="23" spans="1:22" x14ac:dyDescent="0.25">
      <c r="A23" s="227"/>
      <c r="B23" s="227" t="s">
        <v>110</v>
      </c>
      <c r="C23" s="227"/>
      <c r="D23" s="227"/>
      <c r="E23" s="235"/>
      <c r="F23" s="235"/>
      <c r="G23" s="235"/>
      <c r="H23" s="235"/>
      <c r="I23" s="234">
        <f>G23-E23</f>
        <v>0</v>
      </c>
      <c r="J23" s="237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4">
        <f>SUM(K23:T23)</f>
        <v>0</v>
      </c>
    </row>
    <row r="24" spans="1:22" x14ac:dyDescent="0.25">
      <c r="A24" s="227"/>
      <c r="B24" s="227" t="s">
        <v>109</v>
      </c>
      <c r="C24" s="227"/>
      <c r="D24" s="227"/>
      <c r="E24" s="235">
        <v>0</v>
      </c>
      <c r="F24" s="235"/>
      <c r="G24" s="235"/>
      <c r="H24" s="235"/>
      <c r="I24" s="234">
        <f>G24-E24</f>
        <v>0</v>
      </c>
      <c r="J24" s="237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4">
        <f>SUM(K24:T24)</f>
        <v>0</v>
      </c>
    </row>
    <row r="25" spans="1:22" x14ac:dyDescent="0.25">
      <c r="A25" s="227"/>
      <c r="B25" s="227" t="s">
        <v>108</v>
      </c>
      <c r="C25" s="227"/>
      <c r="D25" s="227"/>
      <c r="E25" s="235"/>
      <c r="F25" s="235"/>
      <c r="G25" s="235"/>
      <c r="H25" s="235"/>
      <c r="I25" s="234">
        <f>G25-E25</f>
        <v>0</v>
      </c>
      <c r="J25" s="237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4">
        <f>SUM(K25:T25)</f>
        <v>0</v>
      </c>
    </row>
    <row r="26" spans="1:22" x14ac:dyDescent="0.25">
      <c r="A26" s="227"/>
      <c r="B26" s="227" t="s">
        <v>107</v>
      </c>
      <c r="C26" s="227"/>
      <c r="D26" s="227"/>
      <c r="E26" s="235"/>
      <c r="F26" s="235"/>
      <c r="G26" s="235"/>
      <c r="H26" s="235"/>
      <c r="I26" s="234">
        <f>G26-E26</f>
        <v>0</v>
      </c>
      <c r="J26" s="237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4">
        <f>SUM(K26:T26)</f>
        <v>0</v>
      </c>
    </row>
    <row r="27" spans="1:22" x14ac:dyDescent="0.25">
      <c r="A27" s="227"/>
      <c r="B27" s="227" t="s">
        <v>106</v>
      </c>
      <c r="C27" s="227"/>
      <c r="D27" s="227"/>
      <c r="E27" s="235"/>
      <c r="F27" s="235"/>
      <c r="G27" s="235"/>
      <c r="H27" s="235"/>
      <c r="I27" s="234">
        <f>G27-E27</f>
        <v>0</v>
      </c>
      <c r="J27" s="237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4">
        <f>SUM(K27:T27)</f>
        <v>0</v>
      </c>
    </row>
    <row r="28" spans="1:22" x14ac:dyDescent="0.25">
      <c r="A28" s="227"/>
      <c r="B28" s="227" t="s">
        <v>105</v>
      </c>
      <c r="C28" s="227"/>
      <c r="D28" s="227"/>
      <c r="E28" s="235"/>
      <c r="F28" s="235"/>
      <c r="G28" s="235"/>
      <c r="H28" s="235"/>
      <c r="I28" s="234">
        <f>G28-E28</f>
        <v>0</v>
      </c>
      <c r="J28" s="237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4">
        <f>SUM(K28:T28)</f>
        <v>0</v>
      </c>
    </row>
    <row r="29" spans="1:22" x14ac:dyDescent="0.25">
      <c r="A29" s="227"/>
      <c r="B29" s="227" t="s">
        <v>104</v>
      </c>
      <c r="C29" s="227"/>
      <c r="D29" s="227"/>
      <c r="E29" s="236"/>
      <c r="F29" s="235"/>
      <c r="G29" s="236"/>
      <c r="H29" s="235"/>
      <c r="I29" s="234">
        <f>G29-E29</f>
        <v>0</v>
      </c>
      <c r="J29" s="237"/>
      <c r="K29" s="236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4">
        <f>SUM(K29:T29)</f>
        <v>0</v>
      </c>
    </row>
    <row r="30" spans="1:22" ht="15.75" thickBot="1" x14ac:dyDescent="0.3">
      <c r="A30" s="233" t="s">
        <v>103</v>
      </c>
      <c r="E30" s="250">
        <f>SUM(E12:E29)</f>
        <v>0</v>
      </c>
      <c r="F30" s="234"/>
      <c r="G30" s="250">
        <f>SUM(G12:G29)</f>
        <v>5208.47</v>
      </c>
      <c r="H30" s="234"/>
      <c r="I30" s="250">
        <f>SUM(I12:I29)</f>
        <v>5208.47</v>
      </c>
      <c r="J30" s="251"/>
      <c r="K30" s="250">
        <f>SUM(K12:K29)</f>
        <v>0</v>
      </c>
      <c r="L30" s="234"/>
      <c r="M30" s="250">
        <f>SUM(M12:M29)</f>
        <v>0</v>
      </c>
      <c r="N30" s="234"/>
      <c r="O30" s="250">
        <f>SUM(O12:O29)</f>
        <v>0</v>
      </c>
      <c r="P30" s="234"/>
      <c r="Q30" s="250">
        <f>SUM(Q12:Q29)</f>
        <v>0</v>
      </c>
      <c r="R30" s="234"/>
      <c r="S30" s="250">
        <f>SUM(S12:S29)</f>
        <v>0</v>
      </c>
      <c r="T30" s="250">
        <f>SUM(T12:T29)</f>
        <v>0</v>
      </c>
      <c r="U30" s="234"/>
      <c r="V30" s="250">
        <f>SUM(V12:V29)</f>
        <v>0</v>
      </c>
    </row>
    <row r="31" spans="1:22" ht="15.75" thickTop="1" x14ac:dyDescent="0.25">
      <c r="A31" s="227"/>
      <c r="B31" s="227"/>
      <c r="C31" s="227"/>
      <c r="D31" s="227"/>
      <c r="E31" s="228"/>
      <c r="F31" s="228"/>
      <c r="G31" s="228"/>
      <c r="H31" s="228"/>
      <c r="I31" s="228"/>
      <c r="J31" s="228"/>
      <c r="K31" s="228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</row>
    <row r="32" spans="1:22" x14ac:dyDescent="0.25">
      <c r="A32" s="227"/>
      <c r="B32" s="227" t="s">
        <v>152</v>
      </c>
      <c r="C32" s="227"/>
      <c r="D32" s="227"/>
      <c r="E32" s="228"/>
      <c r="F32" s="228"/>
      <c r="G32" s="228"/>
      <c r="H32" s="228"/>
      <c r="I32" s="228"/>
      <c r="J32" s="228"/>
      <c r="K32" s="228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</row>
    <row r="33" spans="1:22" x14ac:dyDescent="0.25">
      <c r="B33" s="227"/>
      <c r="C33" s="227"/>
      <c r="D33" s="227"/>
      <c r="E33" s="228"/>
      <c r="F33" s="228"/>
      <c r="G33" s="228"/>
      <c r="H33" s="228"/>
      <c r="I33" s="228"/>
      <c r="J33" s="228"/>
      <c r="K33" s="228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</row>
    <row r="34" spans="1:22" x14ac:dyDescent="0.25">
      <c r="A34" s="227"/>
      <c r="B34" s="227"/>
      <c r="C34" s="227"/>
      <c r="D34" s="227"/>
      <c r="E34" s="228"/>
      <c r="F34" s="228"/>
      <c r="G34" s="228"/>
      <c r="H34" s="228"/>
      <c r="I34" s="228"/>
      <c r="J34" s="228"/>
      <c r="K34" s="228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</row>
    <row r="35" spans="1:22" x14ac:dyDescent="0.25">
      <c r="A35" s="227"/>
      <c r="B35" s="227"/>
      <c r="C35" s="227"/>
      <c r="D35" s="227"/>
      <c r="E35" s="228"/>
      <c r="F35" s="228"/>
      <c r="G35" s="228"/>
      <c r="H35" s="228"/>
      <c r="I35" s="228"/>
      <c r="J35" s="228"/>
      <c r="K35" s="228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</row>
    <row r="36" spans="1:22" x14ac:dyDescent="0.25">
      <c r="A36" s="227"/>
      <c r="B36" s="227"/>
      <c r="C36" s="227"/>
      <c r="D36" s="227"/>
      <c r="E36" s="228"/>
      <c r="F36" s="228"/>
      <c r="G36" s="228"/>
      <c r="H36" s="228"/>
      <c r="I36" s="228"/>
      <c r="J36" s="228"/>
      <c r="K36" s="228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</row>
    <row r="37" spans="1:22" x14ac:dyDescent="0.25">
      <c r="A37" s="227"/>
      <c r="B37" s="227"/>
      <c r="C37" s="227"/>
      <c r="D37" s="227"/>
      <c r="E37" s="228"/>
      <c r="F37" s="228"/>
      <c r="G37" s="228"/>
      <c r="H37" s="228"/>
      <c r="I37" s="228"/>
      <c r="J37" s="228"/>
      <c r="K37" s="228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</row>
    <row r="38" spans="1:22" x14ac:dyDescent="0.25">
      <c r="A38" s="227"/>
      <c r="B38" s="227"/>
      <c r="C38" s="227"/>
      <c r="D38" s="227"/>
      <c r="E38" s="228"/>
      <c r="F38" s="228"/>
      <c r="G38" s="228"/>
      <c r="H38" s="228"/>
      <c r="I38" s="228"/>
      <c r="J38" s="228"/>
      <c r="K38" s="228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</row>
    <row r="39" spans="1:22" x14ac:dyDescent="0.25">
      <c r="A39" s="227"/>
      <c r="B39" s="227"/>
      <c r="C39" s="227"/>
      <c r="D39" s="227"/>
      <c r="E39" s="228"/>
      <c r="F39" s="228"/>
      <c r="G39" s="228"/>
      <c r="H39" s="228"/>
      <c r="I39" s="228"/>
      <c r="J39" s="228"/>
      <c r="K39" s="228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</row>
    <row r="40" spans="1:22" x14ac:dyDescent="0.25">
      <c r="A40" s="227"/>
      <c r="B40" s="227"/>
      <c r="C40" s="227"/>
      <c r="D40" s="227"/>
      <c r="E40" s="228"/>
      <c r="F40" s="228"/>
      <c r="G40" s="228"/>
      <c r="H40" s="228"/>
      <c r="I40" s="228"/>
      <c r="J40" s="228"/>
      <c r="K40" s="228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</row>
  </sheetData>
  <printOptions horizontalCentered="1"/>
  <pageMargins left="0" right="0" top="0.75" bottom="0.75" header="0.3" footer="0.3"/>
  <pageSetup scale="61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4640-E7D2-482B-94CF-0704FDBCA19E}">
  <dimension ref="A1:J23"/>
  <sheetViews>
    <sheetView showGridLines="0" workbookViewId="0">
      <selection sqref="A1:C1"/>
    </sheetView>
  </sheetViews>
  <sheetFormatPr defaultRowHeight="15" x14ac:dyDescent="0.25"/>
  <cols>
    <col min="1" max="1" width="14.6640625" style="252" customWidth="1"/>
    <col min="2" max="2" width="6" style="252" customWidth="1"/>
    <col min="3" max="3" width="8.6640625" style="252" customWidth="1"/>
    <col min="4" max="4" width="5.33203125" style="252" customWidth="1"/>
    <col min="5" max="5" width="22" style="252" customWidth="1"/>
    <col min="6" max="6" width="24" style="252" customWidth="1"/>
    <col min="7" max="7" width="20" style="252" customWidth="1"/>
    <col min="8" max="8" width="16.6640625" style="252" customWidth="1"/>
    <col min="9" max="9" width="3.33203125" style="252" customWidth="1"/>
    <col min="10" max="10" width="26" style="252" customWidth="1"/>
    <col min="11" max="16384" width="9.33203125" style="252"/>
  </cols>
  <sheetData>
    <row r="1" spans="1:10" x14ac:dyDescent="0.25">
      <c r="A1" s="267"/>
      <c r="B1" s="267"/>
      <c r="C1" s="267"/>
      <c r="D1" s="267"/>
      <c r="E1" s="267"/>
      <c r="F1" s="267"/>
      <c r="G1" s="267"/>
      <c r="H1" s="267"/>
      <c r="I1" s="267" t="s">
        <v>102</v>
      </c>
      <c r="J1" s="267"/>
    </row>
    <row r="2" spans="1:10" x14ac:dyDescent="0.25">
      <c r="A2" s="271" t="s">
        <v>101</v>
      </c>
      <c r="B2" s="271"/>
      <c r="C2" s="271"/>
      <c r="D2" s="271"/>
      <c r="E2" s="271"/>
      <c r="F2" s="271"/>
      <c r="G2" s="271"/>
      <c r="H2" s="271"/>
      <c r="I2" s="271"/>
      <c r="J2" s="271"/>
    </row>
    <row r="3" spans="1:10" x14ac:dyDescent="0.25">
      <c r="A3" s="271" t="s">
        <v>100</v>
      </c>
      <c r="B3" s="271"/>
      <c r="C3" s="271"/>
      <c r="D3" s="271"/>
      <c r="E3" s="271"/>
      <c r="F3" s="271"/>
      <c r="G3" s="271"/>
      <c r="H3" s="271"/>
      <c r="I3" s="271"/>
      <c r="J3" s="271"/>
    </row>
    <row r="4" spans="1:10" x14ac:dyDescent="0.25">
      <c r="A4" s="271" t="s">
        <v>196</v>
      </c>
      <c r="B4" s="271"/>
      <c r="C4" s="271"/>
      <c r="D4" s="271"/>
      <c r="E4" s="271"/>
      <c r="F4" s="271"/>
      <c r="G4" s="271"/>
      <c r="H4" s="271"/>
      <c r="I4" s="271"/>
      <c r="J4" s="271"/>
    </row>
    <row r="5" spans="1:10" x14ac:dyDescent="0.25">
      <c r="A5" s="271" t="s">
        <v>98</v>
      </c>
      <c r="B5" s="271"/>
      <c r="C5" s="271"/>
      <c r="D5" s="271"/>
      <c r="E5" s="271"/>
      <c r="F5" s="271"/>
      <c r="G5" s="271"/>
      <c r="H5" s="271"/>
      <c r="I5" s="271"/>
      <c r="J5" s="271"/>
    </row>
    <row r="6" spans="1:10" x14ac:dyDescent="0.25">
      <c r="A6" s="271" t="s">
        <v>97</v>
      </c>
      <c r="B6" s="271"/>
      <c r="C6" s="271"/>
      <c r="D6" s="271"/>
      <c r="E6" s="271"/>
      <c r="F6" s="271"/>
      <c r="G6" s="271"/>
      <c r="H6" s="271"/>
      <c r="I6" s="271"/>
      <c r="J6" s="271"/>
    </row>
    <row r="7" spans="1:10" x14ac:dyDescent="0.25">
      <c r="A7" s="269" t="s">
        <v>96</v>
      </c>
      <c r="B7" s="269"/>
      <c r="C7" s="270" t="s">
        <v>95</v>
      </c>
      <c r="D7" s="270"/>
      <c r="E7" s="270"/>
      <c r="F7" s="270"/>
      <c r="G7" s="270"/>
      <c r="H7" s="270"/>
      <c r="I7" s="267" t="s">
        <v>94</v>
      </c>
      <c r="J7" s="267"/>
    </row>
    <row r="8" spans="1:10" x14ac:dyDescent="0.25">
      <c r="A8" s="269" t="s">
        <v>78</v>
      </c>
      <c r="B8" s="269"/>
      <c r="C8" s="270" t="s">
        <v>195</v>
      </c>
      <c r="D8" s="270"/>
      <c r="E8" s="270"/>
      <c r="F8" s="270"/>
      <c r="G8" s="270"/>
      <c r="H8" s="270"/>
      <c r="I8" s="267" t="s">
        <v>92</v>
      </c>
      <c r="J8" s="267"/>
    </row>
    <row r="9" spans="1:10" x14ac:dyDescent="0.25">
      <c r="A9" s="269" t="s">
        <v>91</v>
      </c>
      <c r="B9" s="269"/>
      <c r="C9" s="268"/>
      <c r="D9" s="268"/>
      <c r="E9" s="268"/>
      <c r="F9" s="268"/>
      <c r="G9" s="268"/>
      <c r="H9" s="268"/>
      <c r="I9" s="267" t="s">
        <v>90</v>
      </c>
      <c r="J9" s="267"/>
    </row>
    <row r="10" spans="1:10" x14ac:dyDescent="0.25">
      <c r="A10" s="267"/>
      <c r="B10" s="267"/>
      <c r="C10" s="267"/>
      <c r="D10" s="267"/>
      <c r="E10" s="267"/>
      <c r="F10" s="267"/>
      <c r="G10" s="267"/>
      <c r="H10" s="267"/>
      <c r="I10" s="267"/>
      <c r="J10" s="267"/>
    </row>
    <row r="11" spans="1:10" x14ac:dyDescent="0.25">
      <c r="A11" s="254"/>
      <c r="B11" s="254"/>
      <c r="C11" s="254"/>
      <c r="D11" s="254"/>
      <c r="E11" s="254"/>
      <c r="F11" s="254"/>
      <c r="G11" s="254"/>
      <c r="H11" s="254"/>
      <c r="I11" s="254"/>
      <c r="J11" s="254"/>
    </row>
    <row r="12" spans="1:10" x14ac:dyDescent="0.25">
      <c r="A12" s="266" t="s">
        <v>89</v>
      </c>
      <c r="B12" s="266"/>
      <c r="C12" s="266"/>
      <c r="D12" s="266"/>
      <c r="E12" s="266"/>
      <c r="F12" s="266"/>
      <c r="G12" s="266"/>
      <c r="H12" s="266"/>
      <c r="I12" s="266"/>
      <c r="J12" s="266"/>
    </row>
    <row r="13" spans="1:10" x14ac:dyDescent="0.25">
      <c r="A13" s="254"/>
      <c r="B13" s="254"/>
      <c r="C13" s="254"/>
      <c r="D13" s="254"/>
      <c r="E13" s="254"/>
      <c r="F13" s="254"/>
      <c r="G13" s="254"/>
      <c r="H13" s="254"/>
      <c r="I13" s="254"/>
      <c r="J13" s="254"/>
    </row>
    <row r="14" spans="1:10" x14ac:dyDescent="0.25">
      <c r="A14" s="265" t="s">
        <v>88</v>
      </c>
      <c r="B14" s="265"/>
      <c r="C14" s="265"/>
      <c r="D14" s="265"/>
      <c r="E14" s="265"/>
      <c r="F14" s="263" t="s">
        <v>87</v>
      </c>
      <c r="G14" s="263" t="s">
        <v>86</v>
      </c>
      <c r="H14" s="264" t="s">
        <v>85</v>
      </c>
      <c r="I14" s="264"/>
      <c r="J14" s="263" t="s">
        <v>84</v>
      </c>
    </row>
    <row r="15" spans="1:10" x14ac:dyDescent="0.25">
      <c r="A15" s="262" t="s">
        <v>83</v>
      </c>
      <c r="B15" s="262"/>
      <c r="C15" s="262"/>
      <c r="D15" s="262"/>
      <c r="E15" s="262"/>
      <c r="F15" s="262"/>
      <c r="G15" s="262"/>
      <c r="H15" s="262"/>
      <c r="I15" s="262"/>
      <c r="J15" s="262"/>
    </row>
    <row r="16" spans="1:10" x14ac:dyDescent="0.25">
      <c r="A16" s="261" t="s">
        <v>82</v>
      </c>
      <c r="B16" s="261"/>
      <c r="C16" s="261"/>
      <c r="D16" s="261"/>
      <c r="E16" s="261"/>
      <c r="F16" s="259">
        <v>257606.55</v>
      </c>
      <c r="G16" s="259">
        <v>0</v>
      </c>
      <c r="H16" s="260">
        <v>7763.68</v>
      </c>
      <c r="I16" s="260"/>
      <c r="J16" s="259">
        <v>249842.87</v>
      </c>
    </row>
    <row r="17" spans="1:10" x14ac:dyDescent="0.25">
      <c r="A17" s="254"/>
      <c r="B17" s="254"/>
      <c r="C17" s="254"/>
      <c r="D17" s="254"/>
      <c r="E17" s="254"/>
      <c r="F17" s="254"/>
      <c r="G17" s="254"/>
      <c r="H17" s="254"/>
      <c r="I17" s="254"/>
      <c r="J17" s="254"/>
    </row>
    <row r="18" spans="1:10" x14ac:dyDescent="0.25">
      <c r="A18" s="257" t="s">
        <v>78</v>
      </c>
      <c r="B18" s="258" t="s">
        <v>194</v>
      </c>
      <c r="C18" s="258"/>
      <c r="D18" s="258"/>
      <c r="E18" s="255">
        <v>257606.55</v>
      </c>
      <c r="F18" s="255"/>
      <c r="G18" s="255">
        <v>0</v>
      </c>
      <c r="H18" s="255">
        <v>7763.68</v>
      </c>
      <c r="I18" s="255"/>
      <c r="J18" s="255">
        <v>249842.87</v>
      </c>
    </row>
    <row r="19" spans="1:10" x14ac:dyDescent="0.25">
      <c r="A19" s="257" t="s">
        <v>76</v>
      </c>
      <c r="B19" s="256"/>
      <c r="C19" s="256"/>
      <c r="D19" s="256"/>
      <c r="E19" s="255"/>
      <c r="F19" s="255"/>
      <c r="G19" s="255"/>
      <c r="H19" s="255"/>
      <c r="I19" s="255"/>
      <c r="J19" s="255"/>
    </row>
    <row r="20" spans="1:10" x14ac:dyDescent="0.25">
      <c r="A20" s="254"/>
      <c r="B20" s="254"/>
      <c r="C20" s="254"/>
      <c r="D20" s="254"/>
      <c r="E20" s="254"/>
      <c r="F20" s="254"/>
      <c r="G20" s="254"/>
      <c r="H20" s="254"/>
      <c r="I20" s="254"/>
      <c r="J20" s="254"/>
    </row>
    <row r="21" spans="1:10" x14ac:dyDescent="0.25">
      <c r="A21" s="254"/>
      <c r="B21" s="254"/>
      <c r="C21" s="254"/>
      <c r="D21" s="254"/>
      <c r="E21" s="254"/>
      <c r="F21" s="254"/>
      <c r="G21" s="254"/>
      <c r="H21" s="254"/>
      <c r="I21" s="254"/>
      <c r="J21" s="254"/>
    </row>
    <row r="22" spans="1:10" x14ac:dyDescent="0.25">
      <c r="A22" s="254"/>
      <c r="B22" s="254"/>
      <c r="C22" s="254"/>
      <c r="D22" s="254"/>
      <c r="E22" s="254"/>
      <c r="F22" s="254"/>
      <c r="G22" s="254"/>
      <c r="H22" s="254"/>
      <c r="I22" s="254"/>
      <c r="J22" s="254"/>
    </row>
    <row r="23" spans="1:10" x14ac:dyDescent="0.25">
      <c r="A23" s="253"/>
      <c r="B23" s="253"/>
      <c r="C23" s="253"/>
      <c r="D23" s="253"/>
      <c r="E23" s="253"/>
      <c r="F23" s="253"/>
      <c r="G23" s="253"/>
      <c r="H23" s="253"/>
      <c r="I23" s="253"/>
      <c r="J23" s="253"/>
    </row>
  </sheetData>
  <mergeCells count="39"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  <mergeCell ref="A4:J4"/>
    <mergeCell ref="A11:J11"/>
    <mergeCell ref="A12:J12"/>
    <mergeCell ref="A13:J13"/>
    <mergeCell ref="A14:E14"/>
    <mergeCell ref="H14:I14"/>
    <mergeCell ref="A8:B8"/>
    <mergeCell ref="C8:H8"/>
    <mergeCell ref="I8:J8"/>
    <mergeCell ref="H18:I19"/>
    <mergeCell ref="J18:J19"/>
    <mergeCell ref="B19:D19"/>
    <mergeCell ref="A15:J15"/>
    <mergeCell ref="A9:B9"/>
    <mergeCell ref="C9:H9"/>
    <mergeCell ref="I9:J9"/>
    <mergeCell ref="A10:B10"/>
    <mergeCell ref="C10:H10"/>
    <mergeCell ref="I10:J10"/>
    <mergeCell ref="A20:J20"/>
    <mergeCell ref="A21:J21"/>
    <mergeCell ref="A22:J22"/>
    <mergeCell ref="A23:J23"/>
    <mergeCell ref="A16:E16"/>
    <mergeCell ref="H16:I16"/>
    <mergeCell ref="A17:J17"/>
    <mergeCell ref="B18:D18"/>
    <mergeCell ref="E18:F19"/>
    <mergeCell ref="G18:G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C788-8E96-473D-A2E7-4A1502545141}">
  <dimension ref="A1:V40"/>
  <sheetViews>
    <sheetView workbookViewId="0">
      <selection activeCell="G15" sqref="G15"/>
    </sheetView>
  </sheetViews>
  <sheetFormatPr defaultRowHeight="15" x14ac:dyDescent="0.25"/>
  <cols>
    <col min="1" max="1" width="2" style="225" customWidth="1"/>
    <col min="2" max="2" width="10.5" style="225" customWidth="1"/>
    <col min="3" max="3" width="51.6640625" style="225" customWidth="1"/>
    <col min="4" max="4" width="2" style="225" customWidth="1"/>
    <col min="5" max="5" width="18.33203125" style="226" customWidth="1"/>
    <col min="6" max="6" width="2" style="226" customWidth="1"/>
    <col min="7" max="7" width="18.33203125" style="226" customWidth="1"/>
    <col min="8" max="8" width="2" style="226" customWidth="1"/>
    <col min="9" max="9" width="18.33203125" style="226" customWidth="1"/>
    <col min="10" max="10" width="2" style="226" customWidth="1"/>
    <col min="11" max="11" width="18.33203125" style="226" customWidth="1"/>
    <col min="12" max="12" width="2" style="225" customWidth="1"/>
    <col min="13" max="13" width="18.33203125" style="225" customWidth="1"/>
    <col min="14" max="14" width="2" style="225" customWidth="1"/>
    <col min="15" max="15" width="18.33203125" style="225" customWidth="1"/>
    <col min="16" max="16" width="2" style="225" customWidth="1"/>
    <col min="17" max="17" width="18.33203125" style="225" customWidth="1"/>
    <col min="18" max="18" width="2" style="225" customWidth="1"/>
    <col min="19" max="20" width="18.33203125" style="225" customWidth="1"/>
    <col min="21" max="21" width="2" style="225" customWidth="1"/>
    <col min="22" max="22" width="18.33203125" style="225" customWidth="1"/>
    <col min="23" max="16384" width="9.33203125" style="225"/>
  </cols>
  <sheetData>
    <row r="1" spans="1:22" x14ac:dyDescent="0.25">
      <c r="A1" s="249" t="s">
        <v>146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</row>
    <row r="2" spans="1:22" x14ac:dyDescent="0.25">
      <c r="A2" s="249" t="s">
        <v>145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</row>
    <row r="3" spans="1:22" x14ac:dyDescent="0.25">
      <c r="A3" s="249" t="s">
        <v>144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</row>
    <row r="4" spans="1:22" x14ac:dyDescent="0.25">
      <c r="A4" s="249" t="s">
        <v>197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</row>
    <row r="5" spans="1:22" x14ac:dyDescent="0.25">
      <c r="A5" s="249" t="s">
        <v>142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</row>
    <row r="6" spans="1:22" x14ac:dyDescent="0.25">
      <c r="A6" s="227"/>
      <c r="B6" s="227"/>
      <c r="C6" s="227"/>
      <c r="D6" s="227"/>
      <c r="E6" s="228"/>
      <c r="F6" s="228"/>
      <c r="G6" s="228"/>
      <c r="H6" s="228"/>
      <c r="I6" s="228"/>
      <c r="J6" s="228"/>
      <c r="K6" s="228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</row>
    <row r="7" spans="1:22" ht="15.75" thickBot="1" x14ac:dyDescent="0.3">
      <c r="A7" s="227"/>
      <c r="B7" s="227"/>
      <c r="C7" s="227"/>
      <c r="D7" s="227"/>
      <c r="E7" s="228"/>
      <c r="F7" s="228"/>
      <c r="G7" s="228"/>
      <c r="H7" s="228"/>
      <c r="I7" s="228"/>
      <c r="J7" s="242"/>
      <c r="K7" s="248" t="s">
        <v>141</v>
      </c>
      <c r="L7" s="248"/>
      <c r="M7" s="248"/>
      <c r="N7" s="248"/>
      <c r="O7" s="248"/>
      <c r="P7" s="248"/>
      <c r="Q7" s="248"/>
      <c r="R7" s="248"/>
      <c r="S7" s="248"/>
      <c r="T7" s="248"/>
      <c r="U7" s="227"/>
      <c r="V7" s="227"/>
    </row>
    <row r="8" spans="1:22" x14ac:dyDescent="0.25">
      <c r="A8" s="227"/>
      <c r="B8" s="227"/>
      <c r="C8" s="227"/>
      <c r="D8" s="227"/>
      <c r="E8" s="247" t="s">
        <v>140</v>
      </c>
      <c r="F8" s="244"/>
      <c r="G8" s="247" t="s">
        <v>139</v>
      </c>
      <c r="H8" s="244"/>
      <c r="I8" s="247" t="s">
        <v>138</v>
      </c>
      <c r="J8" s="245"/>
      <c r="K8" s="247" t="s">
        <v>137</v>
      </c>
      <c r="L8" s="227"/>
      <c r="M8" s="247" t="s">
        <v>136</v>
      </c>
      <c r="N8" s="244"/>
      <c r="O8" s="247" t="s">
        <v>135</v>
      </c>
      <c r="P8" s="244"/>
      <c r="Q8" s="247" t="s">
        <v>134</v>
      </c>
      <c r="R8" s="244"/>
      <c r="S8" s="247" t="s">
        <v>133</v>
      </c>
      <c r="T8" s="247" t="s">
        <v>132</v>
      </c>
      <c r="U8" s="244"/>
      <c r="V8" s="247" t="s">
        <v>131</v>
      </c>
    </row>
    <row r="9" spans="1:22" ht="115.5" x14ac:dyDescent="0.25">
      <c r="A9" s="238"/>
      <c r="B9" s="227"/>
      <c r="C9" s="227"/>
      <c r="D9" s="227"/>
      <c r="E9" s="243" t="s">
        <v>130</v>
      </c>
      <c r="F9" s="244"/>
      <c r="G9" s="243" t="s">
        <v>129</v>
      </c>
      <c r="H9" s="244"/>
      <c r="I9" s="246" t="s">
        <v>128</v>
      </c>
      <c r="J9" s="245"/>
      <c r="K9" s="243" t="s">
        <v>127</v>
      </c>
      <c r="L9" s="244"/>
      <c r="M9" s="243" t="s">
        <v>126</v>
      </c>
      <c r="N9" s="227"/>
      <c r="O9" s="243" t="s">
        <v>125</v>
      </c>
      <c r="P9" s="227"/>
      <c r="Q9" s="243" t="s">
        <v>124</v>
      </c>
      <c r="R9" s="227"/>
      <c r="S9" s="243" t="s">
        <v>123</v>
      </c>
      <c r="T9" s="243" t="s">
        <v>122</v>
      </c>
      <c r="U9" s="227"/>
      <c r="V9" s="243" t="s">
        <v>121</v>
      </c>
    </row>
    <row r="10" spans="1:22" x14ac:dyDescent="0.25">
      <c r="A10" s="227"/>
      <c r="B10" s="227"/>
      <c r="C10" s="227"/>
      <c r="D10" s="227"/>
      <c r="E10" s="228"/>
      <c r="F10" s="228"/>
      <c r="G10" s="228"/>
      <c r="H10" s="228"/>
      <c r="I10" s="228"/>
      <c r="J10" s="242"/>
      <c r="K10" s="228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</row>
    <row r="11" spans="1:22" x14ac:dyDescent="0.25">
      <c r="A11" s="238" t="s">
        <v>83</v>
      </c>
      <c r="B11" s="227"/>
      <c r="C11" s="227"/>
      <c r="D11" s="227"/>
      <c r="E11" s="228"/>
      <c r="F11" s="228"/>
      <c r="G11" s="228"/>
      <c r="H11" s="228"/>
      <c r="I11" s="228"/>
      <c r="J11" s="242"/>
      <c r="K11" s="228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</row>
    <row r="12" spans="1:22" x14ac:dyDescent="0.25">
      <c r="A12" s="227"/>
      <c r="B12" s="227" t="s">
        <v>120</v>
      </c>
      <c r="C12" s="227"/>
      <c r="D12" s="227"/>
      <c r="E12" s="235"/>
      <c r="F12" s="235"/>
      <c r="G12" s="235"/>
      <c r="H12" s="235"/>
      <c r="I12" s="234">
        <f>G12-E12</f>
        <v>0</v>
      </c>
      <c r="J12" s="237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4">
        <f>SUM(K12:T12)</f>
        <v>0</v>
      </c>
    </row>
    <row r="13" spans="1:22" x14ac:dyDescent="0.25">
      <c r="A13" s="227"/>
      <c r="B13" s="227" t="s">
        <v>119</v>
      </c>
      <c r="C13" s="227"/>
      <c r="D13" s="227"/>
      <c r="E13" s="235"/>
      <c r="F13" s="235"/>
      <c r="G13" s="235"/>
      <c r="H13" s="235"/>
      <c r="I13" s="234">
        <f>G13-E13</f>
        <v>0</v>
      </c>
      <c r="J13" s="237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4">
        <f>SUM(K13:T13)</f>
        <v>0</v>
      </c>
    </row>
    <row r="14" spans="1:22" x14ac:dyDescent="0.25">
      <c r="A14" s="227"/>
      <c r="B14" s="227" t="s">
        <v>118</v>
      </c>
      <c r="C14" s="227"/>
      <c r="D14" s="227"/>
      <c r="E14" s="235"/>
      <c r="F14" s="235"/>
      <c r="G14" s="235"/>
      <c r="H14" s="235"/>
      <c r="I14" s="234">
        <f>G14-E14</f>
        <v>0</v>
      </c>
      <c r="J14" s="237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4">
        <f>SUM(K14:T14)</f>
        <v>0</v>
      </c>
    </row>
    <row r="15" spans="1:22" x14ac:dyDescent="0.25">
      <c r="A15" s="227"/>
      <c r="B15" s="227" t="s">
        <v>117</v>
      </c>
      <c r="C15" s="227"/>
      <c r="D15" s="227"/>
      <c r="E15" s="235">
        <v>0</v>
      </c>
      <c r="F15" s="235"/>
      <c r="G15" s="235">
        <v>257606.55</v>
      </c>
      <c r="H15" s="235"/>
      <c r="I15" s="234">
        <f>G15-E15</f>
        <v>257606.55</v>
      </c>
      <c r="J15" s="237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4"/>
    </row>
    <row r="16" spans="1:22" x14ac:dyDescent="0.25">
      <c r="A16" s="227"/>
      <c r="B16" s="227" t="s">
        <v>116</v>
      </c>
      <c r="C16" s="227"/>
      <c r="D16" s="227"/>
      <c r="E16" s="235"/>
      <c r="F16" s="235"/>
      <c r="G16" s="235"/>
      <c r="H16" s="235"/>
      <c r="I16" s="234">
        <f>G16-E16</f>
        <v>0</v>
      </c>
      <c r="J16" s="237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4"/>
    </row>
    <row r="17" spans="1:22" x14ac:dyDescent="0.25">
      <c r="A17" s="227"/>
      <c r="B17" s="227" t="s">
        <v>115</v>
      </c>
      <c r="C17" s="227"/>
      <c r="D17" s="227"/>
      <c r="E17" s="235"/>
      <c r="F17" s="235"/>
      <c r="G17" s="235"/>
      <c r="H17" s="235"/>
      <c r="I17" s="234">
        <f>G17-E17</f>
        <v>0</v>
      </c>
      <c r="J17" s="237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4">
        <f>SUM(K17:T17)</f>
        <v>0</v>
      </c>
    </row>
    <row r="18" spans="1:22" x14ac:dyDescent="0.25">
      <c r="A18" s="238" t="s">
        <v>81</v>
      </c>
      <c r="B18" s="227"/>
      <c r="C18" s="227"/>
      <c r="D18" s="227"/>
      <c r="E18" s="235"/>
      <c r="F18" s="235"/>
      <c r="G18" s="235"/>
      <c r="H18" s="235"/>
      <c r="I18" s="234"/>
      <c r="J18" s="237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4"/>
    </row>
    <row r="19" spans="1:22" x14ac:dyDescent="0.25">
      <c r="A19" s="227"/>
      <c r="B19" s="227" t="s">
        <v>114</v>
      </c>
      <c r="C19" s="227"/>
      <c r="D19" s="227"/>
      <c r="E19" s="235"/>
      <c r="F19" s="235"/>
      <c r="G19" s="235"/>
      <c r="H19" s="235"/>
      <c r="I19" s="234">
        <f>G19-E19</f>
        <v>0</v>
      </c>
      <c r="J19" s="237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4">
        <f>SUM(K19:T19)</f>
        <v>0</v>
      </c>
    </row>
    <row r="20" spans="1:22" x14ac:dyDescent="0.25">
      <c r="A20" s="227"/>
      <c r="B20" s="227" t="s">
        <v>113</v>
      </c>
      <c r="C20" s="227"/>
      <c r="D20" s="227"/>
      <c r="E20" s="235"/>
      <c r="F20" s="235"/>
      <c r="G20" s="235"/>
      <c r="H20" s="235"/>
      <c r="I20" s="234">
        <f>G20-E20</f>
        <v>0</v>
      </c>
      <c r="J20" s="237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4">
        <f>SUM(K20:T20)</f>
        <v>0</v>
      </c>
    </row>
    <row r="21" spans="1:22" x14ac:dyDescent="0.25">
      <c r="A21" s="227"/>
      <c r="B21" s="227" t="s">
        <v>112</v>
      </c>
      <c r="C21" s="227"/>
      <c r="D21" s="227"/>
      <c r="E21" s="235"/>
      <c r="F21" s="235"/>
      <c r="G21" s="235"/>
      <c r="H21" s="235"/>
      <c r="I21" s="234">
        <f>G21-E21</f>
        <v>0</v>
      </c>
      <c r="J21" s="237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4">
        <f>SUM(K21:T21)</f>
        <v>0</v>
      </c>
    </row>
    <row r="22" spans="1:22" x14ac:dyDescent="0.25">
      <c r="A22" s="227"/>
      <c r="B22" s="227" t="s">
        <v>111</v>
      </c>
      <c r="C22" s="227"/>
      <c r="D22" s="227"/>
      <c r="E22" s="235"/>
      <c r="F22" s="235"/>
      <c r="G22" s="235"/>
      <c r="H22" s="235"/>
      <c r="I22" s="234">
        <f>G22-E22</f>
        <v>0</v>
      </c>
      <c r="J22" s="237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4">
        <f>SUM(K22:T22)</f>
        <v>0</v>
      </c>
    </row>
    <row r="23" spans="1:22" x14ac:dyDescent="0.25">
      <c r="A23" s="227"/>
      <c r="B23" s="227" t="s">
        <v>110</v>
      </c>
      <c r="C23" s="227"/>
      <c r="D23" s="227"/>
      <c r="E23" s="235"/>
      <c r="F23" s="235"/>
      <c r="G23" s="235"/>
      <c r="H23" s="235"/>
      <c r="I23" s="234">
        <f>G23-E23</f>
        <v>0</v>
      </c>
      <c r="J23" s="237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4">
        <f>SUM(K23:T23)</f>
        <v>0</v>
      </c>
    </row>
    <row r="24" spans="1:22" x14ac:dyDescent="0.25">
      <c r="A24" s="227"/>
      <c r="B24" s="227" t="s">
        <v>109</v>
      </c>
      <c r="C24" s="227"/>
      <c r="D24" s="227"/>
      <c r="E24" s="235">
        <v>0</v>
      </c>
      <c r="F24" s="235"/>
      <c r="G24" s="235"/>
      <c r="H24" s="235"/>
      <c r="I24" s="234">
        <f>G24-E24</f>
        <v>0</v>
      </c>
      <c r="J24" s="237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4">
        <f>SUM(K24:T24)</f>
        <v>0</v>
      </c>
    </row>
    <row r="25" spans="1:22" x14ac:dyDescent="0.25">
      <c r="A25" s="227"/>
      <c r="B25" s="227" t="s">
        <v>108</v>
      </c>
      <c r="C25" s="227"/>
      <c r="D25" s="227"/>
      <c r="E25" s="235"/>
      <c r="F25" s="235"/>
      <c r="G25" s="235"/>
      <c r="H25" s="235"/>
      <c r="I25" s="234">
        <f>G25-E25</f>
        <v>0</v>
      </c>
      <c r="J25" s="237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4">
        <f>SUM(K25:T25)</f>
        <v>0</v>
      </c>
    </row>
    <row r="26" spans="1:22" x14ac:dyDescent="0.25">
      <c r="A26" s="227"/>
      <c r="B26" s="227" t="s">
        <v>107</v>
      </c>
      <c r="C26" s="227"/>
      <c r="D26" s="227"/>
      <c r="E26" s="235"/>
      <c r="F26" s="235"/>
      <c r="G26" s="235"/>
      <c r="H26" s="235"/>
      <c r="I26" s="234">
        <f>G26-E26</f>
        <v>0</v>
      </c>
      <c r="J26" s="237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4">
        <f>SUM(K26:T26)</f>
        <v>0</v>
      </c>
    </row>
    <row r="27" spans="1:22" x14ac:dyDescent="0.25">
      <c r="A27" s="227"/>
      <c r="B27" s="227" t="s">
        <v>106</v>
      </c>
      <c r="C27" s="227"/>
      <c r="D27" s="227"/>
      <c r="E27" s="235"/>
      <c r="F27" s="235"/>
      <c r="G27" s="235"/>
      <c r="H27" s="235"/>
      <c r="I27" s="234">
        <f>G27-E27</f>
        <v>0</v>
      </c>
      <c r="J27" s="237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4">
        <f>SUM(K27:T27)</f>
        <v>0</v>
      </c>
    </row>
    <row r="28" spans="1:22" x14ac:dyDescent="0.25">
      <c r="A28" s="227"/>
      <c r="B28" s="227" t="s">
        <v>105</v>
      </c>
      <c r="C28" s="227"/>
      <c r="D28" s="227"/>
      <c r="E28" s="235"/>
      <c r="F28" s="235"/>
      <c r="G28" s="235"/>
      <c r="H28" s="235"/>
      <c r="I28" s="234">
        <f>G28-E28</f>
        <v>0</v>
      </c>
      <c r="J28" s="237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4">
        <f>SUM(K28:T28)</f>
        <v>0</v>
      </c>
    </row>
    <row r="29" spans="1:22" x14ac:dyDescent="0.25">
      <c r="A29" s="227"/>
      <c r="B29" s="227" t="s">
        <v>104</v>
      </c>
      <c r="C29" s="227"/>
      <c r="D29" s="227"/>
      <c r="E29" s="236"/>
      <c r="F29" s="235"/>
      <c r="G29" s="236"/>
      <c r="H29" s="235"/>
      <c r="I29" s="234">
        <f>G29-E29</f>
        <v>0</v>
      </c>
      <c r="J29" s="237"/>
      <c r="K29" s="236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4">
        <f>SUM(K29:T29)</f>
        <v>0</v>
      </c>
    </row>
    <row r="30" spans="1:22" ht="15.75" thickBot="1" x14ac:dyDescent="0.3">
      <c r="A30" s="233" t="s">
        <v>103</v>
      </c>
      <c r="E30" s="250">
        <f>SUM(E12:E29)</f>
        <v>0</v>
      </c>
      <c r="F30" s="234"/>
      <c r="G30" s="250">
        <f>SUM(G12:G29)</f>
        <v>257606.55</v>
      </c>
      <c r="H30" s="234"/>
      <c r="I30" s="250">
        <f>SUM(I12:I29)</f>
        <v>257606.55</v>
      </c>
      <c r="J30" s="251"/>
      <c r="K30" s="250">
        <f>SUM(K12:K29)</f>
        <v>0</v>
      </c>
      <c r="L30" s="234"/>
      <c r="M30" s="250">
        <f>SUM(M12:M29)</f>
        <v>0</v>
      </c>
      <c r="N30" s="234"/>
      <c r="O30" s="250">
        <f>SUM(O12:O29)</f>
        <v>0</v>
      </c>
      <c r="P30" s="234"/>
      <c r="Q30" s="250">
        <f>SUM(Q12:Q29)</f>
        <v>0</v>
      </c>
      <c r="R30" s="234"/>
      <c r="S30" s="250">
        <f>SUM(S12:S29)</f>
        <v>0</v>
      </c>
      <c r="T30" s="250">
        <f>SUM(T12:T29)</f>
        <v>0</v>
      </c>
      <c r="U30" s="234"/>
      <c r="V30" s="250">
        <f>SUM(V12:V29)</f>
        <v>0</v>
      </c>
    </row>
    <row r="31" spans="1:22" ht="15.75" thickTop="1" x14ac:dyDescent="0.25">
      <c r="A31" s="227"/>
      <c r="B31" s="227"/>
      <c r="C31" s="227"/>
      <c r="D31" s="227"/>
      <c r="E31" s="228"/>
      <c r="F31" s="228"/>
      <c r="G31" s="228"/>
      <c r="H31" s="228"/>
      <c r="I31" s="228"/>
      <c r="J31" s="228"/>
      <c r="K31" s="228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</row>
    <row r="32" spans="1:22" x14ac:dyDescent="0.25">
      <c r="A32" s="227"/>
      <c r="B32" s="227" t="s">
        <v>152</v>
      </c>
      <c r="C32" s="227"/>
      <c r="D32" s="227"/>
      <c r="E32" s="228"/>
      <c r="F32" s="228"/>
      <c r="G32" s="228"/>
      <c r="H32" s="228"/>
      <c r="I32" s="228"/>
      <c r="J32" s="228"/>
      <c r="K32" s="228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</row>
    <row r="33" spans="1:22" x14ac:dyDescent="0.25">
      <c r="A33" s="227"/>
      <c r="B33" s="227"/>
      <c r="C33" s="227"/>
      <c r="D33" s="227"/>
      <c r="E33" s="228"/>
      <c r="F33" s="228"/>
      <c r="G33" s="228"/>
      <c r="H33" s="228"/>
      <c r="I33" s="228"/>
      <c r="J33" s="228"/>
      <c r="K33" s="228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</row>
    <row r="34" spans="1:22" x14ac:dyDescent="0.25">
      <c r="A34" s="227"/>
      <c r="B34" s="227"/>
      <c r="C34" s="227"/>
      <c r="D34" s="227"/>
      <c r="E34" s="228"/>
      <c r="F34" s="228"/>
      <c r="G34" s="228"/>
      <c r="H34" s="228"/>
      <c r="I34" s="228"/>
      <c r="J34" s="228"/>
      <c r="K34" s="228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</row>
    <row r="35" spans="1:22" x14ac:dyDescent="0.25">
      <c r="A35" s="227"/>
      <c r="B35" s="227"/>
      <c r="C35" s="227"/>
      <c r="D35" s="227"/>
      <c r="E35" s="228"/>
      <c r="F35" s="228"/>
      <c r="G35" s="228"/>
      <c r="H35" s="228"/>
      <c r="I35" s="228"/>
      <c r="J35" s="228"/>
      <c r="K35" s="228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</row>
    <row r="36" spans="1:22" x14ac:dyDescent="0.25">
      <c r="A36" s="227"/>
      <c r="B36" s="227"/>
      <c r="C36" s="227"/>
      <c r="D36" s="227"/>
      <c r="E36" s="228"/>
      <c r="F36" s="228"/>
      <c r="G36" s="228"/>
      <c r="H36" s="228"/>
      <c r="I36" s="228"/>
      <c r="J36" s="228"/>
      <c r="K36" s="228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</row>
    <row r="37" spans="1:22" x14ac:dyDescent="0.25">
      <c r="A37" s="227"/>
      <c r="B37" s="227"/>
      <c r="C37" s="227"/>
      <c r="D37" s="227"/>
      <c r="E37" s="228"/>
      <c r="F37" s="228"/>
      <c r="G37" s="228"/>
      <c r="H37" s="228"/>
      <c r="I37" s="228"/>
      <c r="J37" s="228"/>
      <c r="K37" s="228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</row>
    <row r="38" spans="1:22" x14ac:dyDescent="0.25">
      <c r="A38" s="227"/>
      <c r="B38" s="227"/>
      <c r="C38" s="227"/>
      <c r="D38" s="227"/>
      <c r="E38" s="228"/>
      <c r="F38" s="228"/>
      <c r="G38" s="228"/>
      <c r="H38" s="228"/>
      <c r="I38" s="228"/>
      <c r="J38" s="228"/>
      <c r="K38" s="228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</row>
    <row r="39" spans="1:22" x14ac:dyDescent="0.25">
      <c r="A39" s="227"/>
      <c r="B39" s="227"/>
      <c r="C39" s="227"/>
      <c r="D39" s="227"/>
      <c r="E39" s="228"/>
      <c r="F39" s="228"/>
      <c r="G39" s="228"/>
      <c r="H39" s="228"/>
      <c r="I39" s="228"/>
      <c r="J39" s="228"/>
      <c r="K39" s="228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</row>
    <row r="40" spans="1:22" x14ac:dyDescent="0.25">
      <c r="A40" s="227"/>
      <c r="B40" s="227"/>
      <c r="C40" s="227"/>
      <c r="D40" s="227"/>
      <c r="E40" s="228"/>
      <c r="F40" s="228"/>
      <c r="G40" s="228"/>
      <c r="H40" s="228"/>
      <c r="I40" s="228"/>
      <c r="J40" s="228"/>
      <c r="K40" s="228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5342-D778-4AC9-ADB7-4B3D0F5D53C9}">
  <dimension ref="A1:W40"/>
  <sheetViews>
    <sheetView workbookViewId="0">
      <selection activeCell="F20" sqref="F20"/>
    </sheetView>
  </sheetViews>
  <sheetFormatPr defaultRowHeight="12.75" x14ac:dyDescent="0.2"/>
  <cols>
    <col min="1" max="1" width="24.5" style="46" customWidth="1"/>
    <col min="2" max="2" width="16.1640625" style="46" customWidth="1"/>
    <col min="3" max="3" width="3.33203125" style="46" customWidth="1"/>
    <col min="4" max="4" width="12.6640625" style="46" customWidth="1"/>
    <col min="5" max="5" width="1.1640625" style="46" customWidth="1"/>
    <col min="6" max="6" width="12.6640625" style="46" customWidth="1"/>
    <col min="7" max="7" width="1.1640625" style="46" customWidth="1"/>
    <col min="8" max="8" width="8" style="46" customWidth="1"/>
    <col min="9" max="9" width="4.6640625" style="46" customWidth="1"/>
    <col min="10" max="10" width="1.1640625" style="46" customWidth="1"/>
    <col min="11" max="11" width="12.6640625" style="46" customWidth="1"/>
    <col min="12" max="13" width="1.1640625" style="46" customWidth="1"/>
    <col min="14" max="14" width="10.5" style="46" customWidth="1"/>
    <col min="15" max="15" width="2.1640625" style="46" customWidth="1"/>
    <col min="16" max="16" width="11.5" style="46" customWidth="1"/>
    <col min="17" max="17" width="1.1640625" style="46" customWidth="1"/>
    <col min="18" max="18" width="12.6640625" style="46" customWidth="1"/>
    <col min="19" max="19" width="9.33203125" style="46" customWidth="1"/>
    <col min="20" max="20" width="3.33203125" style="46" customWidth="1"/>
    <col min="21" max="21" width="14" style="46" customWidth="1"/>
    <col min="22" max="22" width="12.6640625" style="46" customWidth="1"/>
    <col min="23" max="23" width="2.1640625" style="46" customWidth="1"/>
    <col min="24" max="16384" width="9.33203125" style="46"/>
  </cols>
  <sheetData>
    <row r="1" spans="1:23" ht="112.5" customHeight="1" x14ac:dyDescent="0.2">
      <c r="A1" s="145" t="s">
        <v>148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</row>
    <row r="2" spans="1:23" ht="64.900000000000006" customHeight="1" x14ac:dyDescent="0.2">
      <c r="A2" s="66" t="s">
        <v>1</v>
      </c>
      <c r="B2" s="146" t="s">
        <v>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7" t="s">
        <v>3</v>
      </c>
      <c r="U2" s="147"/>
      <c r="V2" s="147"/>
      <c r="W2" s="147"/>
    </row>
    <row r="3" spans="1:23" ht="78.599999999999994" customHeight="1" x14ac:dyDescent="0.2">
      <c r="A3" s="148" t="s">
        <v>4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</row>
    <row r="4" spans="1:23" ht="16.5" customHeight="1" x14ac:dyDescent="0.2">
      <c r="A4" s="149" t="s">
        <v>5</v>
      </c>
      <c r="B4" s="149"/>
      <c r="C4" s="149"/>
      <c r="D4" s="149"/>
      <c r="E4" s="149"/>
      <c r="F4" s="149"/>
      <c r="G4" s="149"/>
      <c r="H4" s="149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47"/>
    </row>
    <row r="5" spans="1:23" ht="16.5" customHeight="1" x14ac:dyDescent="0.2">
      <c r="A5" s="149" t="s">
        <v>6</v>
      </c>
      <c r="B5" s="149"/>
      <c r="C5" s="149"/>
      <c r="D5" s="149"/>
      <c r="E5" s="149"/>
      <c r="F5" s="149"/>
      <c r="G5" s="149"/>
      <c r="H5" s="149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47"/>
    </row>
    <row r="6" spans="1:23" ht="16.5" customHeight="1" x14ac:dyDescent="0.2">
      <c r="A6" s="149" t="s">
        <v>7</v>
      </c>
      <c r="B6" s="149"/>
      <c r="C6" s="149"/>
      <c r="D6" s="149"/>
      <c r="E6" s="149"/>
      <c r="F6" s="149"/>
      <c r="G6" s="149"/>
      <c r="H6" s="149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47"/>
    </row>
    <row r="7" spans="1:23" ht="16.5" customHeight="1" x14ac:dyDescent="0.2">
      <c r="A7" s="149" t="s">
        <v>8</v>
      </c>
      <c r="B7" s="149"/>
      <c r="C7" s="149"/>
      <c r="D7" s="149"/>
      <c r="E7" s="149"/>
      <c r="F7" s="149"/>
      <c r="G7" s="149"/>
      <c r="H7" s="149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47"/>
    </row>
    <row r="8" spans="1:23" ht="16.5" customHeight="1" x14ac:dyDescent="0.2">
      <c r="A8" s="149" t="s">
        <v>9</v>
      </c>
      <c r="B8" s="149"/>
      <c r="C8" s="149"/>
      <c r="D8" s="149"/>
      <c r="E8" s="149"/>
      <c r="F8" s="149"/>
      <c r="G8" s="149"/>
      <c r="H8" s="149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47"/>
    </row>
    <row r="9" spans="1:23" ht="16.5" customHeight="1" x14ac:dyDescent="0.2">
      <c r="A9" s="149" t="s">
        <v>10</v>
      </c>
      <c r="B9" s="149"/>
      <c r="C9" s="149"/>
      <c r="D9" s="149"/>
      <c r="E9" s="149"/>
      <c r="F9" s="149"/>
      <c r="G9" s="149"/>
      <c r="H9" s="149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47"/>
    </row>
    <row r="10" spans="1:23" ht="16.5" customHeight="1" x14ac:dyDescent="0.2">
      <c r="A10" s="149" t="s">
        <v>11</v>
      </c>
      <c r="B10" s="149"/>
      <c r="C10" s="149"/>
      <c r="D10" s="149"/>
      <c r="E10" s="149"/>
      <c r="F10" s="149"/>
      <c r="G10" s="149"/>
      <c r="H10" s="149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47"/>
    </row>
    <row r="11" spans="1:23" ht="16.5" customHeight="1" x14ac:dyDescent="0.2">
      <c r="A11" s="149" t="s">
        <v>12</v>
      </c>
      <c r="B11" s="149"/>
      <c r="C11" s="149"/>
      <c r="D11" s="149"/>
      <c r="E11" s="149"/>
      <c r="F11" s="149"/>
      <c r="G11" s="149"/>
      <c r="H11" s="149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47"/>
    </row>
    <row r="12" spans="1:23" ht="16.5" customHeight="1" x14ac:dyDescent="0.2">
      <c r="A12" s="151" t="s">
        <v>13</v>
      </c>
      <c r="B12" s="151"/>
      <c r="C12" s="151"/>
      <c r="D12" s="151"/>
      <c r="E12" s="151"/>
      <c r="F12" s="151"/>
      <c r="G12" s="151"/>
      <c r="H12" s="151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47"/>
    </row>
    <row r="13" spans="1:23" ht="33" customHeight="1" x14ac:dyDescent="0.2">
      <c r="A13" s="152" t="s">
        <v>14</v>
      </c>
      <c r="B13" s="152"/>
      <c r="C13" s="152"/>
      <c r="D13" s="152"/>
      <c r="E13" s="152"/>
      <c r="F13" s="152"/>
      <c r="G13" s="152"/>
      <c r="H13" s="152"/>
      <c r="I13" s="153"/>
      <c r="J13" s="153"/>
      <c r="K13" s="153"/>
      <c r="L13" s="153"/>
      <c r="M13" s="153"/>
      <c r="N13" s="154" t="s">
        <v>15</v>
      </c>
      <c r="O13" s="154"/>
      <c r="P13" s="154"/>
      <c r="Q13" s="154"/>
      <c r="R13" s="155" t="s">
        <v>15</v>
      </c>
      <c r="S13" s="155"/>
      <c r="T13" s="155"/>
      <c r="U13" s="155" t="s">
        <v>15</v>
      </c>
      <c r="V13" s="155"/>
      <c r="W13" s="50"/>
    </row>
    <row r="14" spans="1:23" ht="16.5" customHeight="1" x14ac:dyDescent="0.2">
      <c r="A14" s="156" t="s">
        <v>16</v>
      </c>
      <c r="B14" s="156"/>
      <c r="C14" s="156"/>
      <c r="D14" s="156"/>
      <c r="E14" s="156"/>
      <c r="F14" s="156"/>
      <c r="G14" s="156"/>
      <c r="H14" s="156"/>
      <c r="I14" s="157" t="s">
        <v>17</v>
      </c>
      <c r="J14" s="157"/>
      <c r="K14" s="157"/>
      <c r="L14" s="157"/>
      <c r="M14" s="157"/>
      <c r="N14" s="158" t="s">
        <v>17</v>
      </c>
      <c r="O14" s="158"/>
      <c r="P14" s="158"/>
      <c r="Q14" s="158"/>
      <c r="R14" s="159" t="s">
        <v>17</v>
      </c>
      <c r="S14" s="159"/>
      <c r="T14" s="159"/>
      <c r="U14" s="159" t="s">
        <v>17</v>
      </c>
      <c r="V14" s="159"/>
      <c r="W14" s="47"/>
    </row>
    <row r="15" spans="1:23" ht="73.900000000000006" customHeight="1" x14ac:dyDescent="0.2">
      <c r="A15" s="160" t="s">
        <v>18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</row>
    <row r="16" spans="1:23" ht="99" customHeight="1" x14ac:dyDescent="0.2">
      <c r="A16" s="145" t="s">
        <v>147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</row>
    <row r="17" spans="1:23" ht="18.399999999999999" customHeight="1" x14ac:dyDescent="0.2">
      <c r="A17" s="161" t="s">
        <v>20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</row>
    <row r="18" spans="1:23" ht="9" customHeight="1" x14ac:dyDescent="0.2">
      <c r="A18" s="150"/>
      <c r="B18" s="150"/>
      <c r="C18" s="150"/>
      <c r="D18" s="63">
        <v>-1</v>
      </c>
      <c r="E18" s="47"/>
      <c r="F18" s="63">
        <v>-2</v>
      </c>
      <c r="G18" s="47"/>
      <c r="H18" s="162">
        <v>-3</v>
      </c>
      <c r="I18" s="162"/>
      <c r="J18" s="59"/>
      <c r="K18" s="64">
        <v>-4</v>
      </c>
      <c r="L18" s="65"/>
      <c r="M18" s="163">
        <v>-5</v>
      </c>
      <c r="N18" s="163"/>
      <c r="O18" s="65"/>
      <c r="P18" s="64">
        <v>-6</v>
      </c>
      <c r="Q18" s="65"/>
      <c r="R18" s="64">
        <v>-7</v>
      </c>
      <c r="S18" s="163">
        <v>-8</v>
      </c>
      <c r="T18" s="163"/>
      <c r="U18" s="64">
        <v>-9</v>
      </c>
      <c r="V18" s="63">
        <v>-10</v>
      </c>
      <c r="W18" s="47"/>
    </row>
    <row r="19" spans="1:23" ht="9" customHeight="1" x14ac:dyDescent="0.2">
      <c r="A19" s="150"/>
      <c r="B19" s="150"/>
      <c r="C19" s="150"/>
      <c r="D19" s="62" t="s">
        <v>21</v>
      </c>
      <c r="E19" s="47"/>
      <c r="F19" s="62" t="s">
        <v>22</v>
      </c>
      <c r="G19" s="47"/>
      <c r="H19" s="164" t="s">
        <v>23</v>
      </c>
      <c r="I19" s="164"/>
      <c r="J19" s="59"/>
      <c r="K19" s="62" t="s">
        <v>24</v>
      </c>
      <c r="L19" s="47"/>
      <c r="M19" s="164" t="s">
        <v>25</v>
      </c>
      <c r="N19" s="164"/>
      <c r="O19" s="47"/>
      <c r="P19" s="62" t="s">
        <v>26</v>
      </c>
      <c r="Q19" s="47"/>
      <c r="R19" s="62" t="s">
        <v>27</v>
      </c>
      <c r="S19" s="165" t="s">
        <v>27</v>
      </c>
      <c r="T19" s="165"/>
      <c r="U19" s="62" t="s">
        <v>27</v>
      </c>
      <c r="V19" s="62" t="s">
        <v>28</v>
      </c>
      <c r="W19" s="47"/>
    </row>
    <row r="20" spans="1:23" ht="9" customHeight="1" x14ac:dyDescent="0.2">
      <c r="A20" s="150"/>
      <c r="B20" s="150"/>
      <c r="C20" s="150"/>
      <c r="D20" s="62" t="s">
        <v>29</v>
      </c>
      <c r="E20" s="47"/>
      <c r="F20" s="62" t="s">
        <v>30</v>
      </c>
      <c r="G20" s="47"/>
      <c r="H20" s="166"/>
      <c r="I20" s="166"/>
      <c r="J20" s="59"/>
      <c r="K20" s="62" t="s">
        <v>31</v>
      </c>
      <c r="L20" s="47"/>
      <c r="M20" s="164" t="s">
        <v>32</v>
      </c>
      <c r="N20" s="164"/>
      <c r="O20" s="47"/>
      <c r="P20" s="62" t="s">
        <v>33</v>
      </c>
      <c r="Q20" s="47"/>
      <c r="R20" s="62" t="s">
        <v>34</v>
      </c>
      <c r="S20" s="165" t="s">
        <v>34</v>
      </c>
      <c r="T20" s="165"/>
      <c r="U20" s="62" t="s">
        <v>34</v>
      </c>
      <c r="V20" s="62" t="s">
        <v>35</v>
      </c>
      <c r="W20" s="47"/>
    </row>
    <row r="21" spans="1:23" ht="9" customHeight="1" x14ac:dyDescent="0.2">
      <c r="A21" s="166"/>
      <c r="B21" s="166"/>
      <c r="C21" s="166"/>
      <c r="D21" s="47"/>
      <c r="E21" s="47"/>
      <c r="F21" s="47"/>
      <c r="G21" s="47"/>
      <c r="H21" s="166"/>
      <c r="I21" s="166"/>
      <c r="J21" s="59"/>
      <c r="K21" s="47"/>
      <c r="L21" s="47"/>
      <c r="M21" s="164" t="s">
        <v>36</v>
      </c>
      <c r="N21" s="164"/>
      <c r="O21" s="47"/>
      <c r="P21" s="62" t="s">
        <v>37</v>
      </c>
      <c r="Q21" s="47"/>
      <c r="R21" s="62" t="s">
        <v>38</v>
      </c>
      <c r="S21" s="167" t="s">
        <v>38</v>
      </c>
      <c r="T21" s="167"/>
      <c r="U21" s="62" t="s">
        <v>38</v>
      </c>
      <c r="V21" s="47"/>
      <c r="W21" s="47"/>
    </row>
    <row r="22" spans="1:23" ht="9" customHeight="1" x14ac:dyDescent="0.2">
      <c r="A22" s="166"/>
      <c r="B22" s="166"/>
      <c r="C22" s="166"/>
      <c r="D22" s="47"/>
      <c r="E22" s="47"/>
      <c r="F22" s="47"/>
      <c r="G22" s="47"/>
      <c r="H22" s="166"/>
      <c r="I22" s="166"/>
      <c r="J22" s="59"/>
      <c r="K22" s="47"/>
      <c r="L22" s="47"/>
      <c r="M22" s="164" t="s">
        <v>39</v>
      </c>
      <c r="N22" s="164"/>
      <c r="O22" s="47"/>
      <c r="P22" s="53" t="s">
        <v>40</v>
      </c>
      <c r="Q22" s="47"/>
      <c r="R22" s="53" t="s">
        <v>41</v>
      </c>
      <c r="S22" s="168" t="s">
        <v>41</v>
      </c>
      <c r="T22" s="168"/>
      <c r="U22" s="53" t="s">
        <v>41</v>
      </c>
      <c r="V22" s="53" t="s">
        <v>42</v>
      </c>
      <c r="W22" s="47"/>
    </row>
    <row r="23" spans="1:23" ht="9" customHeight="1" x14ac:dyDescent="0.2">
      <c r="A23" s="166"/>
      <c r="B23" s="166"/>
      <c r="C23" s="166"/>
      <c r="D23" s="47"/>
      <c r="E23" s="47"/>
      <c r="F23" s="47"/>
      <c r="G23" s="47"/>
      <c r="H23" s="166"/>
      <c r="I23" s="166"/>
      <c r="J23" s="59"/>
      <c r="K23" s="47"/>
      <c r="L23" s="47"/>
      <c r="M23" s="166"/>
      <c r="N23" s="166"/>
      <c r="O23" s="47"/>
      <c r="P23" s="53" t="s">
        <v>43</v>
      </c>
      <c r="Q23" s="47"/>
      <c r="R23" s="53" t="s">
        <v>44</v>
      </c>
      <c r="S23" s="169" t="s">
        <v>44</v>
      </c>
      <c r="T23" s="169"/>
      <c r="U23" s="61" t="s">
        <v>45</v>
      </c>
      <c r="V23" s="53" t="s">
        <v>46</v>
      </c>
      <c r="W23" s="47"/>
    </row>
    <row r="24" spans="1:23" ht="13.5" customHeight="1" x14ac:dyDescent="0.2">
      <c r="A24" s="170"/>
      <c r="B24" s="170"/>
      <c r="C24" s="170"/>
      <c r="D24" s="50"/>
      <c r="E24" s="50"/>
      <c r="F24" s="50"/>
      <c r="G24" s="50"/>
      <c r="H24" s="170"/>
      <c r="I24" s="170"/>
      <c r="J24" s="55"/>
      <c r="K24" s="50"/>
      <c r="L24" s="50"/>
      <c r="M24" s="170"/>
      <c r="N24" s="170"/>
      <c r="O24" s="50"/>
      <c r="P24" s="50"/>
      <c r="Q24" s="50"/>
      <c r="R24" s="52" t="s">
        <v>47</v>
      </c>
      <c r="S24" s="171" t="s">
        <v>48</v>
      </c>
      <c r="T24" s="171"/>
      <c r="U24" s="49" t="s">
        <v>49</v>
      </c>
      <c r="V24" s="53" t="s">
        <v>50</v>
      </c>
      <c r="W24" s="50"/>
    </row>
    <row r="25" spans="1:23" ht="6.75" customHeight="1" x14ac:dyDescent="0.2">
      <c r="A25" s="166"/>
      <c r="B25" s="166"/>
      <c r="C25" s="166"/>
      <c r="D25" s="47"/>
      <c r="E25" s="47"/>
      <c r="F25" s="47"/>
      <c r="G25" s="47"/>
      <c r="H25" s="166"/>
      <c r="I25" s="166"/>
      <c r="J25" s="59"/>
      <c r="K25" s="47"/>
      <c r="L25" s="47"/>
      <c r="M25" s="166"/>
      <c r="N25" s="166"/>
      <c r="O25" s="47"/>
      <c r="P25" s="47"/>
      <c r="Q25" s="47"/>
      <c r="R25" s="60" t="s">
        <v>51</v>
      </c>
      <c r="S25" s="172" t="s">
        <v>52</v>
      </c>
      <c r="T25" s="172"/>
      <c r="U25" s="60" t="s">
        <v>53</v>
      </c>
      <c r="V25" s="47"/>
      <c r="W25" s="47"/>
    </row>
    <row r="26" spans="1:23" ht="6.75" customHeight="1" x14ac:dyDescent="0.2">
      <c r="A26" s="166"/>
      <c r="B26" s="166"/>
      <c r="C26" s="166"/>
      <c r="D26" s="58"/>
      <c r="E26" s="47"/>
      <c r="F26" s="58"/>
      <c r="G26" s="47"/>
      <c r="H26" s="173"/>
      <c r="I26" s="173"/>
      <c r="J26" s="59"/>
      <c r="K26" s="58"/>
      <c r="L26" s="47"/>
      <c r="M26" s="173"/>
      <c r="N26" s="173"/>
      <c r="O26" s="47"/>
      <c r="P26" s="58"/>
      <c r="Q26" s="47"/>
      <c r="R26" s="58"/>
      <c r="S26" s="166"/>
      <c r="T26" s="166"/>
      <c r="U26" s="57" t="s">
        <v>54</v>
      </c>
      <c r="V26" s="56" t="s">
        <v>55</v>
      </c>
      <c r="W26" s="47"/>
    </row>
    <row r="27" spans="1:23" ht="20.65" customHeight="1" x14ac:dyDescent="0.2">
      <c r="A27" s="174" t="s">
        <v>56</v>
      </c>
      <c r="B27" s="174"/>
      <c r="C27" s="174"/>
      <c r="D27" s="54"/>
      <c r="E27" s="50"/>
      <c r="F27" s="54"/>
      <c r="G27" s="50"/>
      <c r="H27" s="175"/>
      <c r="I27" s="175"/>
      <c r="J27" s="55"/>
      <c r="K27" s="54"/>
      <c r="L27" s="50"/>
      <c r="M27" s="175"/>
      <c r="N27" s="175"/>
      <c r="O27" s="50"/>
      <c r="P27" s="54"/>
      <c r="Q27" s="50"/>
      <c r="R27" s="54"/>
      <c r="S27" s="170"/>
      <c r="T27" s="170"/>
      <c r="U27" s="50"/>
      <c r="V27" s="50"/>
      <c r="W27" s="50"/>
    </row>
    <row r="28" spans="1:23" ht="63" customHeight="1" x14ac:dyDescent="0.2">
      <c r="A28" s="150" t="s">
        <v>57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</row>
    <row r="29" spans="1:23" ht="9" customHeight="1" x14ac:dyDescent="0.2">
      <c r="A29" s="176" t="s">
        <v>58</v>
      </c>
      <c r="B29" s="176"/>
      <c r="C29" s="177" t="s">
        <v>59</v>
      </c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47"/>
      <c r="P29" s="47"/>
      <c r="Q29" s="47"/>
      <c r="R29" s="47"/>
      <c r="S29" s="178" t="s">
        <v>59</v>
      </c>
      <c r="T29" s="178"/>
      <c r="U29" s="178"/>
      <c r="V29" s="178"/>
      <c r="W29" s="47"/>
    </row>
    <row r="30" spans="1:23" ht="9" customHeight="1" x14ac:dyDescent="0.2">
      <c r="A30" s="176" t="s">
        <v>60</v>
      </c>
      <c r="B30" s="176"/>
      <c r="C30" s="177" t="s">
        <v>59</v>
      </c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47"/>
      <c r="P30" s="47"/>
      <c r="Q30" s="47"/>
      <c r="R30" s="47"/>
      <c r="S30" s="178" t="s">
        <v>59</v>
      </c>
      <c r="T30" s="178"/>
      <c r="U30" s="178"/>
      <c r="V30" s="178"/>
      <c r="W30" s="47"/>
    </row>
    <row r="31" spans="1:23" ht="9" customHeight="1" x14ac:dyDescent="0.2">
      <c r="A31" s="176" t="s">
        <v>61</v>
      </c>
      <c r="B31" s="176"/>
      <c r="C31" s="177" t="s">
        <v>59</v>
      </c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47"/>
      <c r="P31" s="47"/>
      <c r="Q31" s="47"/>
      <c r="R31" s="47"/>
      <c r="S31" s="178" t="s">
        <v>59</v>
      </c>
      <c r="T31" s="178"/>
      <c r="U31" s="178"/>
      <c r="V31" s="178"/>
      <c r="W31" s="47"/>
    </row>
    <row r="32" spans="1:23" ht="9" customHeight="1" x14ac:dyDescent="0.2">
      <c r="A32" s="176" t="s">
        <v>62</v>
      </c>
      <c r="B32" s="176"/>
      <c r="C32" s="177" t="s">
        <v>59</v>
      </c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47"/>
      <c r="P32" s="47"/>
      <c r="Q32" s="47"/>
      <c r="R32" s="47"/>
      <c r="S32" s="178" t="s">
        <v>59</v>
      </c>
      <c r="T32" s="178"/>
      <c r="U32" s="178"/>
      <c r="V32" s="178"/>
      <c r="W32" s="47"/>
    </row>
    <row r="33" spans="1:23" ht="9" customHeight="1" x14ac:dyDescent="0.2">
      <c r="A33" s="176" t="s">
        <v>63</v>
      </c>
      <c r="B33" s="176"/>
      <c r="C33" s="177" t="s">
        <v>59</v>
      </c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47"/>
      <c r="P33" s="47"/>
      <c r="Q33" s="47"/>
      <c r="R33" s="47"/>
      <c r="S33" s="178" t="s">
        <v>59</v>
      </c>
      <c r="T33" s="178"/>
      <c r="U33" s="178"/>
      <c r="V33" s="178"/>
      <c r="W33" s="47"/>
    </row>
    <row r="34" spans="1:23" ht="9" customHeight="1" x14ac:dyDescent="0.2">
      <c r="A34" s="176" t="s">
        <v>64</v>
      </c>
      <c r="B34" s="176"/>
      <c r="C34" s="177" t="s">
        <v>59</v>
      </c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47"/>
      <c r="P34" s="47"/>
      <c r="Q34" s="47"/>
      <c r="R34" s="47"/>
      <c r="S34" s="178" t="s">
        <v>59</v>
      </c>
      <c r="T34" s="178"/>
      <c r="U34" s="178"/>
      <c r="V34" s="178"/>
      <c r="W34" s="47"/>
    </row>
    <row r="35" spans="1:23" ht="9" customHeight="1" x14ac:dyDescent="0.2">
      <c r="A35" s="176" t="s">
        <v>65</v>
      </c>
      <c r="B35" s="176"/>
      <c r="C35" s="177" t="s">
        <v>59</v>
      </c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47"/>
      <c r="P35" s="47"/>
      <c r="Q35" s="47"/>
      <c r="R35" s="47"/>
      <c r="S35" s="178" t="s">
        <v>59</v>
      </c>
      <c r="T35" s="178"/>
      <c r="U35" s="178"/>
      <c r="V35" s="178"/>
      <c r="W35" s="47"/>
    </row>
    <row r="36" spans="1:23" ht="9" customHeight="1" x14ac:dyDescent="0.2">
      <c r="A36" s="176" t="s">
        <v>66</v>
      </c>
      <c r="B36" s="176"/>
      <c r="C36" s="177" t="s">
        <v>59</v>
      </c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47"/>
      <c r="P36" s="47"/>
      <c r="Q36" s="47"/>
      <c r="R36" s="47"/>
      <c r="S36" s="178" t="s">
        <v>59</v>
      </c>
      <c r="T36" s="178"/>
      <c r="U36" s="178"/>
      <c r="V36" s="178"/>
      <c r="W36" s="47"/>
    </row>
    <row r="37" spans="1:23" ht="9" customHeight="1" x14ac:dyDescent="0.2">
      <c r="A37" s="176" t="s">
        <v>67</v>
      </c>
      <c r="B37" s="176"/>
      <c r="C37" s="177" t="s">
        <v>59</v>
      </c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47"/>
      <c r="P37" s="47"/>
      <c r="Q37" s="47"/>
      <c r="R37" s="47"/>
      <c r="S37" s="178" t="s">
        <v>59</v>
      </c>
      <c r="T37" s="178"/>
      <c r="U37" s="178"/>
      <c r="V37" s="178"/>
      <c r="W37" s="47"/>
    </row>
    <row r="38" spans="1:23" ht="18" customHeight="1" x14ac:dyDescent="0.2">
      <c r="A38" s="171" t="s">
        <v>68</v>
      </c>
      <c r="B38" s="171"/>
      <c r="C38" s="180" t="s">
        <v>69</v>
      </c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50"/>
      <c r="P38" s="51"/>
      <c r="Q38" s="50"/>
      <c r="R38" s="51"/>
      <c r="S38" s="150" t="s">
        <v>70</v>
      </c>
      <c r="T38" s="150"/>
      <c r="U38" s="150"/>
      <c r="V38" s="150"/>
      <c r="W38" s="50"/>
    </row>
    <row r="39" spans="1:23" ht="9.4" customHeight="1" x14ac:dyDescent="0.2">
      <c r="A39" s="179" t="s">
        <v>71</v>
      </c>
      <c r="B39" s="179"/>
      <c r="C39" s="180" t="s">
        <v>72</v>
      </c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47"/>
      <c r="P39" s="48" t="s">
        <v>73</v>
      </c>
      <c r="Q39" s="47"/>
      <c r="R39" s="48" t="s">
        <v>73</v>
      </c>
      <c r="S39" s="150" t="s">
        <v>74</v>
      </c>
      <c r="T39" s="150"/>
      <c r="U39" s="150"/>
      <c r="V39" s="150"/>
      <c r="W39" s="47"/>
    </row>
    <row r="40" spans="1:23" ht="81" customHeight="1" x14ac:dyDescent="0.2">
      <c r="A40" s="150" t="s">
        <v>75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</row>
  </sheetData>
  <mergeCells count="100">
    <mergeCell ref="A39:B39"/>
    <mergeCell ref="C39:N39"/>
    <mergeCell ref="S39:V39"/>
    <mergeCell ref="A40:W40"/>
    <mergeCell ref="A37:B37"/>
    <mergeCell ref="C37:N37"/>
    <mergeCell ref="S37:V37"/>
    <mergeCell ref="A38:B38"/>
    <mergeCell ref="C38:N38"/>
    <mergeCell ref="S38:V38"/>
    <mergeCell ref="A35:B35"/>
    <mergeCell ref="C35:N35"/>
    <mergeCell ref="S35:V35"/>
    <mergeCell ref="A36:B36"/>
    <mergeCell ref="C36:N36"/>
    <mergeCell ref="S36:V36"/>
    <mergeCell ref="A33:B33"/>
    <mergeCell ref="C33:N33"/>
    <mergeCell ref="S33:V33"/>
    <mergeCell ref="A34:B34"/>
    <mergeCell ref="C34:N34"/>
    <mergeCell ref="S34:V34"/>
    <mergeCell ref="A31:B31"/>
    <mergeCell ref="C31:N31"/>
    <mergeCell ref="S31:V31"/>
    <mergeCell ref="A32:B32"/>
    <mergeCell ref="C32:N32"/>
    <mergeCell ref="S32:V32"/>
    <mergeCell ref="A29:B29"/>
    <mergeCell ref="C29:N29"/>
    <mergeCell ref="S29:V29"/>
    <mergeCell ref="A30:B30"/>
    <mergeCell ref="C30:N30"/>
    <mergeCell ref="S30:V30"/>
    <mergeCell ref="A27:C27"/>
    <mergeCell ref="H27:I27"/>
    <mergeCell ref="M27:N27"/>
    <mergeCell ref="S27:T27"/>
    <mergeCell ref="A28:W28"/>
    <mergeCell ref="A25:C25"/>
    <mergeCell ref="H25:I25"/>
    <mergeCell ref="M25:N25"/>
    <mergeCell ref="S25:T25"/>
    <mergeCell ref="A26:C26"/>
    <mergeCell ref="H26:I26"/>
    <mergeCell ref="M26:N26"/>
    <mergeCell ref="S26:T26"/>
    <mergeCell ref="A23:C23"/>
    <mergeCell ref="H23:I23"/>
    <mergeCell ref="M23:N23"/>
    <mergeCell ref="S23:T23"/>
    <mergeCell ref="A24:C24"/>
    <mergeCell ref="H24:I24"/>
    <mergeCell ref="M24:N24"/>
    <mergeCell ref="S24:T24"/>
    <mergeCell ref="A21:C21"/>
    <mergeCell ref="H21:I21"/>
    <mergeCell ref="M21:N21"/>
    <mergeCell ref="S21:T21"/>
    <mergeCell ref="A22:C22"/>
    <mergeCell ref="H22:I22"/>
    <mergeCell ref="M22:N22"/>
    <mergeCell ref="S22:T22"/>
    <mergeCell ref="A15:W15"/>
    <mergeCell ref="A16:W16"/>
    <mergeCell ref="A17:W17"/>
    <mergeCell ref="A18:C20"/>
    <mergeCell ref="H18:I18"/>
    <mergeCell ref="M18:N18"/>
    <mergeCell ref="S18:T18"/>
    <mergeCell ref="H19:I19"/>
    <mergeCell ref="M19:N19"/>
    <mergeCell ref="S19:T19"/>
    <mergeCell ref="H20:I20"/>
    <mergeCell ref="M20:N20"/>
    <mergeCell ref="S20:T20"/>
    <mergeCell ref="A14:H14"/>
    <mergeCell ref="I14:M14"/>
    <mergeCell ref="N14:Q14"/>
    <mergeCell ref="R14:T14"/>
    <mergeCell ref="U14:V14"/>
    <mergeCell ref="A13:H13"/>
    <mergeCell ref="I13:M13"/>
    <mergeCell ref="N13:Q13"/>
    <mergeCell ref="R13:T13"/>
    <mergeCell ref="U13:V13"/>
    <mergeCell ref="A1:W1"/>
    <mergeCell ref="B2:S2"/>
    <mergeCell ref="T2:W2"/>
    <mergeCell ref="A3:W3"/>
    <mergeCell ref="A4:H4"/>
    <mergeCell ref="I4:V12"/>
    <mergeCell ref="A5:H5"/>
    <mergeCell ref="A6:H6"/>
    <mergeCell ref="A7:H7"/>
    <mergeCell ref="A8:H8"/>
    <mergeCell ref="A9:H9"/>
    <mergeCell ref="A10:H10"/>
    <mergeCell ref="A11:H11"/>
    <mergeCell ref="A12:H1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6556-5EA0-4A78-A33C-F7EF74B069FD}">
  <dimension ref="A1:K32"/>
  <sheetViews>
    <sheetView zoomScaleNormal="100" workbookViewId="0">
      <selection activeCell="A4" sqref="A4"/>
    </sheetView>
  </sheetViews>
  <sheetFormatPr defaultRowHeight="15" x14ac:dyDescent="0.25"/>
  <cols>
    <col min="1" max="1" width="3.1640625" style="225" customWidth="1"/>
    <col min="2" max="2" width="59.33203125" style="225" customWidth="1"/>
    <col min="3" max="3" width="3.1640625" style="225" customWidth="1"/>
    <col min="4" max="4" width="18.33203125" style="226" customWidth="1"/>
    <col min="5" max="5" width="3.1640625" style="226" customWidth="1"/>
    <col min="6" max="6" width="18.33203125" style="226" customWidth="1"/>
    <col min="7" max="7" width="3.1640625" style="226" customWidth="1"/>
    <col min="8" max="8" width="18.33203125" style="226" customWidth="1"/>
    <col min="9" max="9" width="3.1640625" style="226" customWidth="1"/>
    <col min="10" max="10" width="18.33203125" style="226" customWidth="1"/>
    <col min="11" max="16384" width="9.33203125" style="225"/>
  </cols>
  <sheetData>
    <row r="1" spans="1:11" x14ac:dyDescent="0.25">
      <c r="A1" s="249" t="s">
        <v>185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1" x14ac:dyDescent="0.25">
      <c r="A2" s="249" t="s">
        <v>145</v>
      </c>
      <c r="B2" s="249"/>
      <c r="C2" s="249"/>
      <c r="D2" s="249"/>
      <c r="E2" s="249"/>
      <c r="F2" s="249"/>
      <c r="G2" s="249"/>
      <c r="H2" s="249"/>
      <c r="I2" s="249"/>
      <c r="J2" s="249"/>
    </row>
    <row r="3" spans="1:11" x14ac:dyDescent="0.25">
      <c r="A3" s="249" t="s">
        <v>198</v>
      </c>
      <c r="B3" s="249"/>
      <c r="C3" s="249"/>
      <c r="D3" s="249"/>
      <c r="E3" s="249"/>
      <c r="F3" s="249"/>
      <c r="G3" s="249"/>
      <c r="H3" s="249"/>
      <c r="I3" s="249"/>
      <c r="J3" s="249"/>
    </row>
    <row r="4" spans="1:11" x14ac:dyDescent="0.25">
      <c r="A4" s="249" t="s">
        <v>142</v>
      </c>
      <c r="B4" s="249"/>
      <c r="C4" s="249"/>
      <c r="D4" s="249"/>
      <c r="E4" s="249"/>
      <c r="F4" s="249"/>
      <c r="G4" s="249"/>
      <c r="H4" s="249"/>
      <c r="I4" s="249"/>
      <c r="J4" s="249"/>
    </row>
    <row r="5" spans="1:11" x14ac:dyDescent="0.25">
      <c r="A5" s="227"/>
      <c r="B5" s="227"/>
      <c r="C5" s="227"/>
      <c r="D5" s="228"/>
      <c r="E5" s="228"/>
      <c r="F5" s="228"/>
      <c r="G5" s="228"/>
      <c r="H5" s="228"/>
      <c r="I5" s="228"/>
      <c r="J5" s="228"/>
    </row>
    <row r="6" spans="1:11" ht="32.25" x14ac:dyDescent="0.25">
      <c r="A6" s="238" t="s">
        <v>183</v>
      </c>
      <c r="B6" s="227"/>
      <c r="C6" s="227"/>
      <c r="D6" s="278" t="s">
        <v>182</v>
      </c>
      <c r="E6" s="279"/>
      <c r="F6" s="280" t="s">
        <v>86</v>
      </c>
      <c r="G6" s="279"/>
      <c r="H6" s="280" t="s">
        <v>85</v>
      </c>
      <c r="I6" s="279"/>
      <c r="J6" s="278" t="s">
        <v>181</v>
      </c>
      <c r="K6" s="277"/>
    </row>
    <row r="7" spans="1:11" x14ac:dyDescent="0.25">
      <c r="A7" s="227"/>
      <c r="B7" s="227"/>
      <c r="C7" s="227"/>
      <c r="D7" s="228"/>
      <c r="E7" s="228"/>
      <c r="F7" s="228"/>
      <c r="G7" s="228"/>
      <c r="H7" s="228"/>
      <c r="I7" s="228"/>
      <c r="J7" s="228"/>
    </row>
    <row r="8" spans="1:11" x14ac:dyDescent="0.25">
      <c r="A8" s="238" t="s">
        <v>83</v>
      </c>
      <c r="B8" s="227"/>
      <c r="C8" s="227"/>
      <c r="D8" s="228"/>
      <c r="E8" s="228"/>
      <c r="F8" s="228"/>
      <c r="G8" s="228"/>
      <c r="H8" s="228"/>
      <c r="I8" s="228"/>
      <c r="J8" s="228"/>
    </row>
    <row r="9" spans="1:11" x14ac:dyDescent="0.25">
      <c r="A9" s="227"/>
      <c r="B9" s="227" t="s">
        <v>120</v>
      </c>
      <c r="C9" s="227"/>
      <c r="D9" s="276"/>
      <c r="E9" s="276"/>
      <c r="F9" s="276"/>
      <c r="G9" s="276"/>
      <c r="H9" s="276"/>
      <c r="I9" s="276"/>
      <c r="J9" s="274">
        <f>D9+F9-H9</f>
        <v>0</v>
      </c>
    </row>
    <row r="10" spans="1:11" x14ac:dyDescent="0.25">
      <c r="A10" s="227"/>
      <c r="B10" s="227" t="s">
        <v>119</v>
      </c>
      <c r="C10" s="227"/>
      <c r="D10" s="228"/>
      <c r="E10" s="228"/>
      <c r="F10" s="228"/>
      <c r="G10" s="228"/>
      <c r="H10" s="228"/>
      <c r="I10" s="228"/>
      <c r="J10" s="226">
        <f>D10+F10-H10</f>
        <v>0</v>
      </c>
    </row>
    <row r="11" spans="1:11" x14ac:dyDescent="0.25">
      <c r="A11" s="227"/>
      <c r="B11" s="227" t="s">
        <v>118</v>
      </c>
      <c r="C11" s="227"/>
      <c r="D11" s="228"/>
      <c r="E11" s="228"/>
      <c r="F11" s="228"/>
      <c r="G11" s="228"/>
      <c r="H11" s="228"/>
      <c r="I11" s="228"/>
      <c r="J11" s="226">
        <f>D11+F11-H11</f>
        <v>0</v>
      </c>
    </row>
    <row r="12" spans="1:11" x14ac:dyDescent="0.25">
      <c r="A12" s="227"/>
      <c r="B12" s="227" t="s">
        <v>117</v>
      </c>
      <c r="C12" s="227"/>
      <c r="D12" s="228"/>
      <c r="E12" s="228"/>
      <c r="F12" s="228"/>
      <c r="G12" s="228"/>
      <c r="H12" s="228"/>
      <c r="I12" s="228"/>
      <c r="J12" s="226">
        <f>D12+F12-H12</f>
        <v>0</v>
      </c>
    </row>
    <row r="13" spans="1:11" x14ac:dyDescent="0.25">
      <c r="A13" s="227"/>
      <c r="B13" s="227" t="s">
        <v>116</v>
      </c>
      <c r="C13" s="227"/>
      <c r="D13" s="228"/>
      <c r="E13" s="228"/>
      <c r="F13" s="228"/>
      <c r="G13" s="228"/>
      <c r="H13" s="228"/>
      <c r="I13" s="228"/>
      <c r="J13" s="226">
        <f>D13+F13-H13</f>
        <v>0</v>
      </c>
    </row>
    <row r="14" spans="1:11" x14ac:dyDescent="0.25">
      <c r="A14" s="227"/>
      <c r="B14" s="227" t="s">
        <v>115</v>
      </c>
      <c r="C14" s="227"/>
      <c r="D14" s="228"/>
      <c r="E14" s="228"/>
      <c r="F14" s="228"/>
      <c r="G14" s="228"/>
      <c r="H14" s="228"/>
      <c r="I14" s="228"/>
      <c r="J14" s="226">
        <f>D14+F14-H14</f>
        <v>0</v>
      </c>
    </row>
    <row r="15" spans="1:11" x14ac:dyDescent="0.25">
      <c r="A15" s="238" t="s">
        <v>81</v>
      </c>
      <c r="B15" s="227"/>
      <c r="C15" s="227"/>
      <c r="D15" s="228"/>
      <c r="E15" s="228"/>
      <c r="F15" s="228"/>
      <c r="G15" s="228"/>
      <c r="H15" s="228"/>
      <c r="I15" s="228"/>
      <c r="J15" s="226">
        <f>D15+F15-H15</f>
        <v>0</v>
      </c>
    </row>
    <row r="16" spans="1:11" x14ac:dyDescent="0.25">
      <c r="A16" s="227"/>
      <c r="B16" s="227" t="s">
        <v>114</v>
      </c>
      <c r="C16" s="227"/>
      <c r="D16" s="228"/>
      <c r="E16" s="228"/>
      <c r="F16" s="228"/>
      <c r="G16" s="228"/>
      <c r="H16" s="228"/>
      <c r="I16" s="228"/>
      <c r="J16" s="226">
        <f>D16+F16-H16</f>
        <v>0</v>
      </c>
    </row>
    <row r="17" spans="1:10" x14ac:dyDescent="0.25">
      <c r="A17" s="227"/>
      <c r="B17" s="227" t="s">
        <v>113</v>
      </c>
      <c r="C17" s="227"/>
      <c r="D17" s="228"/>
      <c r="E17" s="228"/>
      <c r="F17" s="228"/>
      <c r="G17" s="228"/>
      <c r="H17" s="228"/>
      <c r="I17" s="228"/>
      <c r="J17" s="226">
        <f>D17+F17-H17</f>
        <v>0</v>
      </c>
    </row>
    <row r="18" spans="1:10" x14ac:dyDescent="0.25">
      <c r="A18" s="227"/>
      <c r="B18" s="227" t="s">
        <v>112</v>
      </c>
      <c r="C18" s="227"/>
      <c r="D18" s="228"/>
      <c r="E18" s="228"/>
      <c r="F18" s="228"/>
      <c r="G18" s="228"/>
      <c r="H18" s="228"/>
      <c r="I18" s="228"/>
      <c r="J18" s="226">
        <f>D18+F18-H18</f>
        <v>0</v>
      </c>
    </row>
    <row r="19" spans="1:10" x14ac:dyDescent="0.25">
      <c r="A19" s="227"/>
      <c r="B19" s="227" t="s">
        <v>111</v>
      </c>
      <c r="C19" s="227"/>
      <c r="D19" s="228"/>
      <c r="E19" s="228"/>
      <c r="F19" s="228"/>
      <c r="G19" s="228"/>
      <c r="H19" s="228"/>
      <c r="I19" s="228"/>
      <c r="J19" s="226">
        <f>D19+F19-H19</f>
        <v>0</v>
      </c>
    </row>
    <row r="20" spans="1:10" x14ac:dyDescent="0.25">
      <c r="A20" s="227"/>
      <c r="B20" s="227" t="s">
        <v>107</v>
      </c>
      <c r="C20" s="227"/>
      <c r="D20" s="228"/>
      <c r="E20" s="228"/>
      <c r="F20" s="228"/>
      <c r="G20" s="228"/>
      <c r="H20" s="228"/>
      <c r="I20" s="228"/>
      <c r="J20" s="226">
        <f>D20+F20-H20</f>
        <v>0</v>
      </c>
    </row>
    <row r="21" spans="1:10" x14ac:dyDescent="0.25">
      <c r="A21" s="227"/>
      <c r="B21" s="227" t="s">
        <v>106</v>
      </c>
      <c r="C21" s="227"/>
      <c r="D21" s="228"/>
      <c r="E21" s="228"/>
      <c r="F21" s="228"/>
      <c r="G21" s="228"/>
      <c r="H21" s="228"/>
      <c r="I21" s="228"/>
      <c r="J21" s="226">
        <f>D21+F21-H21</f>
        <v>0</v>
      </c>
    </row>
    <row r="22" spans="1:10" x14ac:dyDescent="0.25">
      <c r="A22" s="227"/>
      <c r="B22" s="227" t="s">
        <v>105</v>
      </c>
      <c r="C22" s="227"/>
      <c r="D22" s="228"/>
      <c r="E22" s="228"/>
      <c r="F22" s="228"/>
      <c r="G22" s="228"/>
      <c r="H22" s="228"/>
      <c r="I22" s="228"/>
      <c r="J22" s="226">
        <f>D22+F22-H22</f>
        <v>0</v>
      </c>
    </row>
    <row r="23" spans="1:10" x14ac:dyDescent="0.25">
      <c r="A23" s="227"/>
      <c r="B23" s="227" t="s">
        <v>104</v>
      </c>
      <c r="C23" s="227"/>
      <c r="D23" s="275"/>
      <c r="E23" s="228"/>
      <c r="F23" s="275"/>
      <c r="G23" s="228"/>
      <c r="H23" s="275"/>
      <c r="I23" s="228"/>
      <c r="J23" s="226">
        <f>D23+F23-H23</f>
        <v>0</v>
      </c>
    </row>
    <row r="24" spans="1:10" ht="15.75" thickBot="1" x14ac:dyDescent="0.3">
      <c r="A24" s="238" t="s">
        <v>180</v>
      </c>
      <c r="B24" s="227"/>
      <c r="C24" s="227"/>
      <c r="D24" s="273">
        <f>SUM(D9:D23)</f>
        <v>0</v>
      </c>
      <c r="E24" s="274"/>
      <c r="F24" s="273">
        <f>SUM(F9:F23)</f>
        <v>0</v>
      </c>
      <c r="G24" s="274"/>
      <c r="H24" s="273">
        <f>SUM(H9:H23)</f>
        <v>0</v>
      </c>
      <c r="I24" s="274"/>
      <c r="J24" s="273">
        <f>SUM(J9:J23)</f>
        <v>0</v>
      </c>
    </row>
    <row r="25" spans="1:10" ht="15.75" thickTop="1" x14ac:dyDescent="0.25">
      <c r="A25" s="227"/>
      <c r="B25" s="227"/>
      <c r="C25" s="227"/>
      <c r="D25" s="228"/>
      <c r="E25" s="228"/>
      <c r="F25" s="228"/>
      <c r="G25" s="228"/>
      <c r="H25" s="228"/>
      <c r="I25" s="228"/>
      <c r="J25" s="228"/>
    </row>
    <row r="26" spans="1:10" x14ac:dyDescent="0.25">
      <c r="A26" s="227"/>
      <c r="B26" s="227"/>
      <c r="C26" s="227"/>
      <c r="D26" s="228"/>
      <c r="E26" s="228"/>
      <c r="F26" s="228"/>
      <c r="G26" s="228"/>
      <c r="H26" s="228"/>
      <c r="I26" s="228"/>
      <c r="J26" s="228"/>
    </row>
    <row r="27" spans="1:10" ht="17.25" x14ac:dyDescent="0.25">
      <c r="A27" s="272">
        <v>1</v>
      </c>
      <c r="B27" s="227" t="s">
        <v>179</v>
      </c>
      <c r="C27" s="227"/>
      <c r="D27" s="228"/>
      <c r="E27" s="228"/>
      <c r="F27" s="228"/>
      <c r="G27" s="228"/>
      <c r="H27" s="228"/>
      <c r="I27" s="228"/>
      <c r="J27" s="228"/>
    </row>
    <row r="28" spans="1:10" x14ac:dyDescent="0.25">
      <c r="A28" s="227"/>
      <c r="B28" s="227" t="s">
        <v>178</v>
      </c>
      <c r="C28" s="227"/>
      <c r="D28" s="228"/>
      <c r="E28" s="228"/>
      <c r="F28" s="228"/>
      <c r="G28" s="228"/>
      <c r="H28" s="228"/>
      <c r="I28" s="228"/>
      <c r="J28" s="228"/>
    </row>
    <row r="29" spans="1:10" ht="17.25" x14ac:dyDescent="0.25">
      <c r="A29" s="272">
        <v>2</v>
      </c>
      <c r="B29" s="227" t="s">
        <v>177</v>
      </c>
      <c r="C29" s="227"/>
      <c r="D29" s="228"/>
      <c r="E29" s="228"/>
      <c r="F29" s="228"/>
      <c r="G29" s="228"/>
      <c r="H29" s="228"/>
      <c r="I29" s="228"/>
      <c r="J29" s="228"/>
    </row>
    <row r="30" spans="1:10" x14ac:dyDescent="0.25">
      <c r="A30" s="227"/>
      <c r="B30" s="227"/>
      <c r="C30" s="227"/>
      <c r="D30" s="228"/>
      <c r="E30" s="228"/>
      <c r="F30" s="228"/>
      <c r="G30" s="228"/>
      <c r="H30" s="228"/>
      <c r="I30" s="228"/>
      <c r="J30" s="228"/>
    </row>
    <row r="31" spans="1:10" x14ac:dyDescent="0.25">
      <c r="A31" s="227"/>
      <c r="B31" s="227"/>
      <c r="C31" s="227"/>
      <c r="D31" s="228"/>
      <c r="E31" s="228"/>
      <c r="F31" s="228"/>
      <c r="G31" s="228"/>
      <c r="H31" s="228"/>
      <c r="I31" s="228"/>
      <c r="J31" s="228"/>
    </row>
    <row r="32" spans="1:10" x14ac:dyDescent="0.25">
      <c r="A32" s="227"/>
      <c r="B32" s="227"/>
      <c r="C32" s="227"/>
      <c r="D32" s="228"/>
      <c r="E32" s="228"/>
      <c r="F32" s="228"/>
      <c r="G32" s="228"/>
      <c r="H32" s="228"/>
      <c r="I32" s="228"/>
      <c r="J32" s="228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BDBC-7E5B-4BD0-B25A-CCF63C780918}">
  <dimension ref="A1:K32"/>
  <sheetViews>
    <sheetView workbookViewId="0">
      <selection activeCell="M25" sqref="M25"/>
    </sheetView>
  </sheetViews>
  <sheetFormatPr defaultRowHeight="15" x14ac:dyDescent="0.25"/>
  <cols>
    <col min="1" max="1" width="3.1640625" style="210" customWidth="1"/>
    <col min="2" max="2" width="59.33203125" style="210" customWidth="1"/>
    <col min="3" max="3" width="3.1640625" style="210" customWidth="1"/>
    <col min="4" max="4" width="18.33203125" style="211" customWidth="1"/>
    <col min="5" max="5" width="3.1640625" style="211" customWidth="1"/>
    <col min="6" max="6" width="18.33203125" style="211" customWidth="1"/>
    <col min="7" max="7" width="3.1640625" style="211" customWidth="1"/>
    <col min="8" max="8" width="18.33203125" style="211" customWidth="1"/>
    <col min="9" max="9" width="3.1640625" style="211" customWidth="1"/>
    <col min="10" max="10" width="18.33203125" style="211" customWidth="1"/>
    <col min="11" max="16384" width="9.33203125" style="210"/>
  </cols>
  <sheetData>
    <row r="1" spans="1:11" x14ac:dyDescent="0.25">
      <c r="A1" s="224" t="s">
        <v>185</v>
      </c>
      <c r="B1" s="224"/>
      <c r="C1" s="224"/>
      <c r="D1" s="224"/>
      <c r="E1" s="224"/>
      <c r="F1" s="224"/>
      <c r="G1" s="224"/>
      <c r="H1" s="224"/>
      <c r="I1" s="224"/>
      <c r="J1" s="224"/>
    </row>
    <row r="2" spans="1:11" x14ac:dyDescent="0.25">
      <c r="A2" s="224" t="s">
        <v>145</v>
      </c>
      <c r="B2" s="224"/>
      <c r="C2" s="224"/>
      <c r="D2" s="224"/>
      <c r="E2" s="224"/>
      <c r="F2" s="224"/>
      <c r="G2" s="224"/>
      <c r="H2" s="224"/>
      <c r="I2" s="224"/>
      <c r="J2" s="224"/>
    </row>
    <row r="3" spans="1:11" x14ac:dyDescent="0.25">
      <c r="A3" s="224" t="s">
        <v>184</v>
      </c>
      <c r="B3" s="224"/>
      <c r="C3" s="224"/>
      <c r="D3" s="224"/>
      <c r="E3" s="224"/>
      <c r="F3" s="224"/>
      <c r="G3" s="224"/>
      <c r="H3" s="224"/>
      <c r="I3" s="224"/>
      <c r="J3" s="224"/>
    </row>
    <row r="4" spans="1:11" x14ac:dyDescent="0.25">
      <c r="A4" s="224" t="s">
        <v>142</v>
      </c>
      <c r="B4" s="224"/>
      <c r="C4" s="224"/>
      <c r="D4" s="224"/>
      <c r="E4" s="224"/>
      <c r="F4" s="224"/>
      <c r="G4" s="224"/>
      <c r="H4" s="224"/>
      <c r="I4" s="224"/>
      <c r="J4" s="224"/>
    </row>
    <row r="5" spans="1:11" x14ac:dyDescent="0.25">
      <c r="A5" s="213"/>
      <c r="B5" s="213"/>
      <c r="C5" s="213"/>
      <c r="D5" s="212"/>
      <c r="E5" s="212"/>
      <c r="F5" s="212"/>
      <c r="G5" s="212"/>
      <c r="H5" s="212"/>
      <c r="I5" s="212"/>
      <c r="J5" s="212"/>
    </row>
    <row r="6" spans="1:11" ht="32.25" x14ac:dyDescent="0.25">
      <c r="A6" s="217" t="s">
        <v>183</v>
      </c>
      <c r="B6" s="213"/>
      <c r="C6" s="213"/>
      <c r="D6" s="221" t="s">
        <v>182</v>
      </c>
      <c r="E6" s="222"/>
      <c r="F6" s="223" t="s">
        <v>86</v>
      </c>
      <c r="G6" s="222"/>
      <c r="H6" s="223" t="s">
        <v>85</v>
      </c>
      <c r="I6" s="222"/>
      <c r="J6" s="221" t="s">
        <v>181</v>
      </c>
      <c r="K6" s="220"/>
    </row>
    <row r="7" spans="1:11" x14ac:dyDescent="0.25">
      <c r="A7" s="213"/>
      <c r="B7" s="213"/>
      <c r="C7" s="213"/>
      <c r="D7" s="212"/>
      <c r="E7" s="212"/>
      <c r="F7" s="212"/>
      <c r="G7" s="212"/>
      <c r="H7" s="212"/>
      <c r="I7" s="212"/>
      <c r="J7" s="212"/>
    </row>
    <row r="8" spans="1:11" x14ac:dyDescent="0.25">
      <c r="A8" s="217" t="s">
        <v>83</v>
      </c>
      <c r="B8" s="213"/>
      <c r="C8" s="213"/>
      <c r="D8" s="212"/>
      <c r="E8" s="212"/>
      <c r="F8" s="212"/>
      <c r="G8" s="212"/>
      <c r="H8" s="212"/>
      <c r="I8" s="212"/>
      <c r="J8" s="212"/>
    </row>
    <row r="9" spans="1:11" x14ac:dyDescent="0.25">
      <c r="A9" s="213"/>
      <c r="B9" s="213" t="s">
        <v>120</v>
      </c>
      <c r="C9" s="213"/>
      <c r="D9" s="219"/>
      <c r="E9" s="219"/>
      <c r="F9" s="219"/>
      <c r="G9" s="219"/>
      <c r="H9" s="219"/>
      <c r="I9" s="219"/>
      <c r="J9" s="216">
        <f>D9+F9-H9</f>
        <v>0</v>
      </c>
    </row>
    <row r="10" spans="1:11" x14ac:dyDescent="0.25">
      <c r="A10" s="213"/>
      <c r="B10" s="213" t="s">
        <v>119</v>
      </c>
      <c r="C10" s="213"/>
      <c r="D10" s="212"/>
      <c r="E10" s="212"/>
      <c r="F10" s="212"/>
      <c r="G10" s="212"/>
      <c r="H10" s="212"/>
      <c r="I10" s="212"/>
      <c r="J10" s="211">
        <f>D10+F10-H10</f>
        <v>0</v>
      </c>
    </row>
    <row r="11" spans="1:11" x14ac:dyDescent="0.25">
      <c r="A11" s="213"/>
      <c r="B11" s="213" t="s">
        <v>118</v>
      </c>
      <c r="C11" s="213"/>
      <c r="D11" s="212"/>
      <c r="E11" s="212"/>
      <c r="F11" s="212"/>
      <c r="G11" s="212"/>
      <c r="H11" s="212"/>
      <c r="I11" s="212"/>
      <c r="J11" s="211">
        <f>D11+F11-H11</f>
        <v>0</v>
      </c>
    </row>
    <row r="12" spans="1:11" x14ac:dyDescent="0.25">
      <c r="A12" s="213"/>
      <c r="B12" s="213" t="s">
        <v>117</v>
      </c>
      <c r="C12" s="213"/>
      <c r="D12" s="212"/>
      <c r="E12" s="212"/>
      <c r="F12" s="212"/>
      <c r="G12" s="212"/>
      <c r="H12" s="212"/>
      <c r="I12" s="212"/>
      <c r="J12" s="211">
        <f>D12+F12-H12</f>
        <v>0</v>
      </c>
    </row>
    <row r="13" spans="1:11" x14ac:dyDescent="0.25">
      <c r="A13" s="213"/>
      <c r="B13" s="213" t="s">
        <v>116</v>
      </c>
      <c r="C13" s="213"/>
      <c r="D13" s="212"/>
      <c r="E13" s="212"/>
      <c r="F13" s="212"/>
      <c r="G13" s="212"/>
      <c r="H13" s="212"/>
      <c r="I13" s="212"/>
      <c r="J13" s="211">
        <f>D13+F13-H13</f>
        <v>0</v>
      </c>
    </row>
    <row r="14" spans="1:11" x14ac:dyDescent="0.25">
      <c r="A14" s="213"/>
      <c r="B14" s="213" t="s">
        <v>115</v>
      </c>
      <c r="C14" s="213"/>
      <c r="D14" s="212"/>
      <c r="E14" s="212"/>
      <c r="F14" s="212"/>
      <c r="G14" s="212"/>
      <c r="H14" s="212"/>
      <c r="I14" s="212"/>
      <c r="J14" s="211">
        <f>D14+F14-H14</f>
        <v>0</v>
      </c>
    </row>
    <row r="15" spans="1:11" x14ac:dyDescent="0.25">
      <c r="A15" s="217" t="s">
        <v>81</v>
      </c>
      <c r="B15" s="213"/>
      <c r="C15" s="213"/>
      <c r="D15" s="212"/>
      <c r="E15" s="212"/>
      <c r="F15" s="212"/>
      <c r="G15" s="212"/>
      <c r="H15" s="212"/>
      <c r="I15" s="212"/>
      <c r="J15" s="211">
        <f>D15+F15-H15</f>
        <v>0</v>
      </c>
    </row>
    <row r="16" spans="1:11" x14ac:dyDescent="0.25">
      <c r="A16" s="213"/>
      <c r="B16" s="213" t="s">
        <v>114</v>
      </c>
      <c r="C16" s="213"/>
      <c r="D16" s="212"/>
      <c r="E16" s="212"/>
      <c r="F16" s="212"/>
      <c r="G16" s="212"/>
      <c r="H16" s="212"/>
      <c r="I16" s="212"/>
      <c r="J16" s="211">
        <f>D16+F16-H16</f>
        <v>0</v>
      </c>
    </row>
    <row r="17" spans="1:10" x14ac:dyDescent="0.25">
      <c r="A17" s="213"/>
      <c r="B17" s="213" t="s">
        <v>113</v>
      </c>
      <c r="C17" s="213"/>
      <c r="D17" s="212"/>
      <c r="E17" s="212"/>
      <c r="F17" s="212"/>
      <c r="G17" s="212"/>
      <c r="H17" s="212"/>
      <c r="I17" s="212"/>
      <c r="J17" s="211">
        <f>D17+F17-H17</f>
        <v>0</v>
      </c>
    </row>
    <row r="18" spans="1:10" x14ac:dyDescent="0.25">
      <c r="A18" s="213"/>
      <c r="B18" s="213" t="s">
        <v>112</v>
      </c>
      <c r="C18" s="213"/>
      <c r="D18" s="212"/>
      <c r="E18" s="212"/>
      <c r="F18" s="212"/>
      <c r="G18" s="212"/>
      <c r="H18" s="212"/>
      <c r="I18" s="212"/>
      <c r="J18" s="211">
        <f>D18+F18-H18</f>
        <v>0</v>
      </c>
    </row>
    <row r="19" spans="1:10" x14ac:dyDescent="0.25">
      <c r="A19" s="213"/>
      <c r="B19" s="213" t="s">
        <v>111</v>
      </c>
      <c r="C19" s="213"/>
      <c r="D19" s="212"/>
      <c r="E19" s="212"/>
      <c r="F19" s="212"/>
      <c r="G19" s="212"/>
      <c r="H19" s="212"/>
      <c r="I19" s="212"/>
      <c r="J19" s="211">
        <f>D19+F19-H19</f>
        <v>0</v>
      </c>
    </row>
    <row r="20" spans="1:10" x14ac:dyDescent="0.25">
      <c r="A20" s="213"/>
      <c r="B20" s="213" t="s">
        <v>107</v>
      </c>
      <c r="C20" s="213"/>
      <c r="D20" s="212"/>
      <c r="E20" s="212"/>
      <c r="F20" s="212"/>
      <c r="G20" s="212"/>
      <c r="H20" s="212"/>
      <c r="I20" s="212"/>
      <c r="J20" s="211">
        <f>D20+F20-H20</f>
        <v>0</v>
      </c>
    </row>
    <row r="21" spans="1:10" x14ac:dyDescent="0.25">
      <c r="A21" s="213"/>
      <c r="B21" s="213" t="s">
        <v>106</v>
      </c>
      <c r="C21" s="213"/>
      <c r="D21" s="212"/>
      <c r="E21" s="212"/>
      <c r="F21" s="212"/>
      <c r="G21" s="212"/>
      <c r="H21" s="212"/>
      <c r="I21" s="212"/>
      <c r="J21" s="211">
        <f>D21+F21-H21</f>
        <v>0</v>
      </c>
    </row>
    <row r="22" spans="1:10" x14ac:dyDescent="0.25">
      <c r="A22" s="213"/>
      <c r="B22" s="213" t="s">
        <v>105</v>
      </c>
      <c r="C22" s="213"/>
      <c r="D22" s="212"/>
      <c r="E22" s="212"/>
      <c r="F22" s="212"/>
      <c r="G22" s="212"/>
      <c r="H22" s="212"/>
      <c r="I22" s="212"/>
      <c r="J22" s="211">
        <f>D22+F22-H22</f>
        <v>0</v>
      </c>
    </row>
    <row r="23" spans="1:10" x14ac:dyDescent="0.25">
      <c r="A23" s="213"/>
      <c r="B23" s="213" t="s">
        <v>104</v>
      </c>
      <c r="C23" s="213"/>
      <c r="D23" s="218"/>
      <c r="E23" s="212"/>
      <c r="F23" s="218"/>
      <c r="G23" s="212"/>
      <c r="H23" s="218"/>
      <c r="I23" s="212"/>
      <c r="J23" s="211">
        <f>D23+F23-H23</f>
        <v>0</v>
      </c>
    </row>
    <row r="24" spans="1:10" ht="15.75" thickBot="1" x14ac:dyDescent="0.3">
      <c r="A24" s="217" t="s">
        <v>180</v>
      </c>
      <c r="B24" s="213"/>
      <c r="C24" s="213"/>
      <c r="D24" s="215">
        <f>SUM(D9:D23)</f>
        <v>0</v>
      </c>
      <c r="E24" s="216"/>
      <c r="F24" s="215">
        <f>SUM(F9:F23)</f>
        <v>0</v>
      </c>
      <c r="G24" s="216"/>
      <c r="H24" s="215">
        <f>SUM(H9:H23)</f>
        <v>0</v>
      </c>
      <c r="I24" s="216"/>
      <c r="J24" s="215">
        <f>SUM(J9:J23)</f>
        <v>0</v>
      </c>
    </row>
    <row r="25" spans="1:10" ht="15.75" thickTop="1" x14ac:dyDescent="0.25">
      <c r="A25" s="213"/>
      <c r="B25" s="213"/>
      <c r="C25" s="213"/>
      <c r="D25" s="212"/>
      <c r="E25" s="212"/>
      <c r="F25" s="212"/>
      <c r="G25" s="212"/>
      <c r="H25" s="212"/>
      <c r="I25" s="212"/>
      <c r="J25" s="212"/>
    </row>
    <row r="26" spans="1:10" x14ac:dyDescent="0.25">
      <c r="A26" s="213"/>
      <c r="B26" s="213"/>
      <c r="C26" s="213"/>
      <c r="D26" s="212"/>
      <c r="E26" s="212"/>
      <c r="F26" s="212"/>
      <c r="G26" s="212"/>
      <c r="H26" s="212"/>
      <c r="I26" s="212"/>
      <c r="J26" s="212"/>
    </row>
    <row r="27" spans="1:10" ht="17.25" x14ac:dyDescent="0.25">
      <c r="A27" s="214">
        <v>1</v>
      </c>
      <c r="B27" s="213" t="s">
        <v>179</v>
      </c>
      <c r="C27" s="213"/>
      <c r="D27" s="212"/>
      <c r="E27" s="212"/>
      <c r="F27" s="212"/>
      <c r="G27" s="212"/>
      <c r="H27" s="212"/>
      <c r="I27" s="212"/>
      <c r="J27" s="212"/>
    </row>
    <row r="28" spans="1:10" x14ac:dyDescent="0.25">
      <c r="A28" s="213"/>
      <c r="B28" s="213" t="s">
        <v>178</v>
      </c>
      <c r="C28" s="213"/>
      <c r="D28" s="212"/>
      <c r="E28" s="212"/>
      <c r="F28" s="212"/>
      <c r="G28" s="212"/>
      <c r="H28" s="212"/>
      <c r="I28" s="212"/>
      <c r="J28" s="212"/>
    </row>
    <row r="29" spans="1:10" ht="17.25" x14ac:dyDescent="0.25">
      <c r="A29" s="214">
        <v>2</v>
      </c>
      <c r="B29" s="213" t="s">
        <v>177</v>
      </c>
      <c r="C29" s="213"/>
      <c r="D29" s="212"/>
      <c r="E29" s="212"/>
      <c r="F29" s="212"/>
      <c r="G29" s="212"/>
      <c r="H29" s="212"/>
      <c r="I29" s="212"/>
      <c r="J29" s="212"/>
    </row>
    <row r="30" spans="1:10" x14ac:dyDescent="0.25">
      <c r="A30" s="213"/>
      <c r="B30" s="213"/>
      <c r="C30" s="213"/>
      <c r="D30" s="212"/>
      <c r="E30" s="212"/>
      <c r="F30" s="212"/>
      <c r="G30" s="212"/>
      <c r="H30" s="212"/>
      <c r="I30" s="212"/>
      <c r="J30" s="212"/>
    </row>
    <row r="31" spans="1:10" x14ac:dyDescent="0.25">
      <c r="A31" s="213"/>
      <c r="B31" s="213"/>
      <c r="C31" s="213"/>
      <c r="D31" s="212"/>
      <c r="E31" s="212"/>
      <c r="F31" s="212"/>
      <c r="G31" s="212"/>
      <c r="H31" s="212"/>
      <c r="I31" s="212"/>
      <c r="J31" s="212"/>
    </row>
    <row r="32" spans="1:10" x14ac:dyDescent="0.25">
      <c r="A32" s="213"/>
      <c r="B32" s="213"/>
      <c r="C32" s="213"/>
      <c r="D32" s="212"/>
      <c r="E32" s="212"/>
      <c r="F32" s="212"/>
      <c r="G32" s="212"/>
      <c r="H32" s="212"/>
      <c r="I32" s="212"/>
      <c r="J32" s="212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74EA-7199-47D7-A39F-C8D12D5C3F3C}">
  <sheetPr>
    <pageSetUpPr fitToPage="1"/>
  </sheetPr>
  <dimension ref="A1:J23"/>
  <sheetViews>
    <sheetView showGridLines="0" workbookViewId="0">
      <selection activeCell="A20" sqref="A20:J20"/>
    </sheetView>
  </sheetViews>
  <sheetFormatPr defaultRowHeight="15" x14ac:dyDescent="0.25"/>
  <cols>
    <col min="1" max="1" width="14.6640625" style="21" customWidth="1"/>
    <col min="2" max="2" width="6" style="21" customWidth="1"/>
    <col min="3" max="3" width="8.6640625" style="21" customWidth="1"/>
    <col min="4" max="4" width="5.33203125" style="21" customWidth="1"/>
    <col min="5" max="5" width="22" style="21" customWidth="1"/>
    <col min="6" max="6" width="24" style="21" customWidth="1"/>
    <col min="7" max="7" width="20" style="21" customWidth="1"/>
    <col min="8" max="8" width="16.6640625" style="21" customWidth="1"/>
    <col min="9" max="9" width="3.33203125" style="21" customWidth="1"/>
    <col min="10" max="10" width="26" style="21" customWidth="1"/>
    <col min="11" max="16384" width="9.33203125" style="21"/>
  </cols>
  <sheetData>
    <row r="1" spans="1:10" x14ac:dyDescent="0.25">
      <c r="A1" s="131"/>
      <c r="B1" s="131"/>
      <c r="C1" s="131"/>
      <c r="D1" s="131"/>
      <c r="E1" s="131"/>
      <c r="F1" s="131"/>
      <c r="G1" s="131"/>
      <c r="H1" s="131"/>
      <c r="I1" s="131" t="s">
        <v>102</v>
      </c>
      <c r="J1" s="131"/>
    </row>
    <row r="2" spans="1:10" x14ac:dyDescent="0.25">
      <c r="A2" s="132" t="s">
        <v>101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x14ac:dyDescent="0.25">
      <c r="A3" s="132" t="s">
        <v>100</v>
      </c>
      <c r="B3" s="132"/>
      <c r="C3" s="132"/>
      <c r="D3" s="132"/>
      <c r="E3" s="132"/>
      <c r="F3" s="132"/>
      <c r="G3" s="132"/>
      <c r="H3" s="132"/>
      <c r="I3" s="132"/>
      <c r="J3" s="132"/>
    </row>
    <row r="4" spans="1:10" x14ac:dyDescent="0.25">
      <c r="A4" s="132" t="s">
        <v>151</v>
      </c>
      <c r="B4" s="132"/>
      <c r="C4" s="132"/>
      <c r="D4" s="132"/>
      <c r="E4" s="132"/>
      <c r="F4" s="132"/>
      <c r="G4" s="132"/>
      <c r="H4" s="132"/>
      <c r="I4" s="132"/>
      <c r="J4" s="132"/>
    </row>
    <row r="5" spans="1:10" x14ac:dyDescent="0.25">
      <c r="A5" s="132" t="s">
        <v>98</v>
      </c>
      <c r="B5" s="132"/>
      <c r="C5" s="132"/>
      <c r="D5" s="132"/>
      <c r="E5" s="132"/>
      <c r="F5" s="132"/>
      <c r="G5" s="132"/>
      <c r="H5" s="132"/>
      <c r="I5" s="132"/>
      <c r="J5" s="132"/>
    </row>
    <row r="6" spans="1:10" x14ac:dyDescent="0.25">
      <c r="A6" s="132" t="s">
        <v>97</v>
      </c>
      <c r="B6" s="132"/>
      <c r="C6" s="132"/>
      <c r="D6" s="132"/>
      <c r="E6" s="132"/>
      <c r="F6" s="132"/>
      <c r="G6" s="132"/>
      <c r="H6" s="132"/>
      <c r="I6" s="132"/>
      <c r="J6" s="132"/>
    </row>
    <row r="7" spans="1:10" x14ac:dyDescent="0.25">
      <c r="A7" s="129" t="s">
        <v>96</v>
      </c>
      <c r="B7" s="129"/>
      <c r="C7" s="130" t="s">
        <v>95</v>
      </c>
      <c r="D7" s="130"/>
      <c r="E7" s="130"/>
      <c r="F7" s="130"/>
      <c r="G7" s="130"/>
      <c r="H7" s="130"/>
      <c r="I7" s="131" t="s">
        <v>94</v>
      </c>
      <c r="J7" s="131"/>
    </row>
    <row r="8" spans="1:10" x14ac:dyDescent="0.25">
      <c r="A8" s="129" t="s">
        <v>78</v>
      </c>
      <c r="B8" s="129"/>
      <c r="C8" s="130" t="s">
        <v>150</v>
      </c>
      <c r="D8" s="130"/>
      <c r="E8" s="130"/>
      <c r="F8" s="130"/>
      <c r="G8" s="130"/>
      <c r="H8" s="130"/>
      <c r="I8" s="131" t="s">
        <v>92</v>
      </c>
      <c r="J8" s="131"/>
    </row>
    <row r="9" spans="1:10" x14ac:dyDescent="0.25">
      <c r="A9" s="129" t="s">
        <v>91</v>
      </c>
      <c r="B9" s="129"/>
      <c r="C9" s="134"/>
      <c r="D9" s="134"/>
      <c r="E9" s="134"/>
      <c r="F9" s="134"/>
      <c r="G9" s="134"/>
      <c r="H9" s="134"/>
      <c r="I9" s="131" t="s">
        <v>90</v>
      </c>
      <c r="J9" s="131"/>
    </row>
    <row r="10" spans="1:10" x14ac:dyDescent="0.25">
      <c r="A10" s="131"/>
      <c r="B10" s="131"/>
      <c r="C10" s="131"/>
      <c r="D10" s="131"/>
      <c r="E10" s="131"/>
      <c r="F10" s="131"/>
      <c r="G10" s="131"/>
      <c r="H10" s="131"/>
      <c r="I10" s="131"/>
      <c r="J10" s="131"/>
    </row>
    <row r="11" spans="1:10" x14ac:dyDescent="0.25">
      <c r="A11" s="135"/>
      <c r="B11" s="135"/>
      <c r="C11" s="135"/>
      <c r="D11" s="135"/>
      <c r="E11" s="135"/>
      <c r="F11" s="135"/>
      <c r="G11" s="135"/>
      <c r="H11" s="135"/>
      <c r="I11" s="135"/>
      <c r="J11" s="135"/>
    </row>
    <row r="12" spans="1:10" x14ac:dyDescent="0.25">
      <c r="A12" s="136" t="s">
        <v>89</v>
      </c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10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0" x14ac:dyDescent="0.25">
      <c r="A14" s="137" t="s">
        <v>88</v>
      </c>
      <c r="B14" s="137"/>
      <c r="C14" s="137"/>
      <c r="D14" s="137"/>
      <c r="E14" s="137"/>
      <c r="F14" s="24" t="s">
        <v>87</v>
      </c>
      <c r="G14" s="24" t="s">
        <v>86</v>
      </c>
      <c r="H14" s="138" t="s">
        <v>85</v>
      </c>
      <c r="I14" s="138"/>
      <c r="J14" s="24" t="s">
        <v>84</v>
      </c>
    </row>
    <row r="15" spans="1:10" x14ac:dyDescent="0.25">
      <c r="A15" s="133" t="s">
        <v>83</v>
      </c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0" x14ac:dyDescent="0.25">
      <c r="A16" s="139" t="s">
        <v>82</v>
      </c>
      <c r="B16" s="139"/>
      <c r="C16" s="139"/>
      <c r="D16" s="139"/>
      <c r="E16" s="139"/>
      <c r="F16" s="23">
        <v>9764.4500000000007</v>
      </c>
      <c r="G16" s="23">
        <v>0</v>
      </c>
      <c r="H16" s="140">
        <v>157.09</v>
      </c>
      <c r="I16" s="140"/>
      <c r="J16" s="23">
        <v>9607.36</v>
      </c>
    </row>
    <row r="17" spans="1:10" x14ac:dyDescent="0.25">
      <c r="A17" s="135"/>
      <c r="B17" s="135"/>
      <c r="C17" s="135"/>
      <c r="D17" s="135"/>
      <c r="E17" s="135"/>
      <c r="F17" s="135"/>
      <c r="G17" s="135"/>
      <c r="H17" s="135"/>
      <c r="I17" s="135"/>
      <c r="J17" s="135"/>
    </row>
    <row r="18" spans="1:10" x14ac:dyDescent="0.25">
      <c r="A18" s="22" t="s">
        <v>78</v>
      </c>
      <c r="B18" s="142" t="s">
        <v>149</v>
      </c>
      <c r="C18" s="142"/>
      <c r="D18" s="142"/>
      <c r="E18" s="143">
        <v>9764.4500000000007</v>
      </c>
      <c r="F18" s="143"/>
      <c r="G18" s="143">
        <v>0</v>
      </c>
      <c r="H18" s="143">
        <v>157.09</v>
      </c>
      <c r="I18" s="143"/>
      <c r="J18" s="143">
        <v>9607.36</v>
      </c>
    </row>
    <row r="19" spans="1:10" x14ac:dyDescent="0.25">
      <c r="A19" s="22" t="s">
        <v>76</v>
      </c>
      <c r="B19" s="144"/>
      <c r="C19" s="144"/>
      <c r="D19" s="144"/>
      <c r="E19" s="143"/>
      <c r="F19" s="143"/>
      <c r="G19" s="143"/>
      <c r="H19" s="143"/>
      <c r="I19" s="143"/>
      <c r="J19" s="143"/>
    </row>
    <row r="20" spans="1:10" x14ac:dyDescent="0.25">
      <c r="A20" s="135"/>
      <c r="B20" s="135"/>
      <c r="C20" s="135"/>
      <c r="D20" s="135"/>
      <c r="E20" s="135"/>
      <c r="F20" s="135"/>
      <c r="G20" s="135"/>
      <c r="H20" s="135"/>
      <c r="I20" s="135"/>
      <c r="J20" s="135"/>
    </row>
    <row r="21" spans="1:10" x14ac:dyDescent="0.25">
      <c r="A21" s="135"/>
      <c r="B21" s="135"/>
      <c r="C21" s="135"/>
      <c r="D21" s="135"/>
      <c r="E21" s="135"/>
      <c r="F21" s="135"/>
      <c r="G21" s="135"/>
      <c r="H21" s="135"/>
      <c r="I21" s="135"/>
      <c r="J21" s="135"/>
    </row>
    <row r="22" spans="1:10" x14ac:dyDescent="0.25">
      <c r="A22" s="135"/>
      <c r="B22" s="135"/>
      <c r="C22" s="135"/>
      <c r="D22" s="135"/>
      <c r="E22" s="135"/>
      <c r="F22" s="135"/>
      <c r="G22" s="135"/>
      <c r="H22" s="135"/>
      <c r="I22" s="135"/>
      <c r="J22" s="135"/>
    </row>
    <row r="23" spans="1:10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</row>
  </sheetData>
  <mergeCells count="39"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20:J20"/>
    <mergeCell ref="A13:J13"/>
    <mergeCell ref="A14:E14"/>
    <mergeCell ref="H14:I14"/>
    <mergeCell ref="A15:J15"/>
    <mergeCell ref="A21:J21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  <pageSetup scale="9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6874-89D5-4EF6-9AB7-09A4517F538C}">
  <sheetPr>
    <pageSetUpPr fitToPage="1"/>
  </sheetPr>
  <dimension ref="A1:V40"/>
  <sheetViews>
    <sheetView topLeftCell="A4" workbookViewId="0">
      <selection activeCell="F20" sqref="F20"/>
    </sheetView>
  </sheetViews>
  <sheetFormatPr defaultRowHeight="15" x14ac:dyDescent="0.25"/>
  <cols>
    <col min="1" max="1" width="2" style="21" customWidth="1"/>
    <col min="2" max="2" width="10.5" style="21" customWidth="1"/>
    <col min="3" max="3" width="37.1640625" style="21" customWidth="1"/>
    <col min="4" max="4" width="2" style="21" customWidth="1"/>
    <col min="5" max="5" width="12" style="67" customWidth="1"/>
    <col min="6" max="6" width="2" style="67" customWidth="1"/>
    <col min="7" max="7" width="14.1640625" style="67" bestFit="1" customWidth="1"/>
    <col min="8" max="8" width="2" style="67" customWidth="1"/>
    <col min="9" max="9" width="12.1640625" style="67" bestFit="1" customWidth="1"/>
    <col min="10" max="10" width="2" style="67" customWidth="1"/>
    <col min="11" max="11" width="12.6640625" style="67" customWidth="1"/>
    <col min="12" max="12" width="2" style="21" customWidth="1"/>
    <col min="13" max="13" width="14.5" style="21" customWidth="1"/>
    <col min="14" max="14" width="2" style="21" customWidth="1"/>
    <col min="15" max="15" width="14.33203125" style="21" customWidth="1"/>
    <col min="16" max="16" width="2" style="21" customWidth="1"/>
    <col min="17" max="17" width="18.33203125" style="21" customWidth="1"/>
    <col min="18" max="18" width="2" style="21" customWidth="1"/>
    <col min="19" max="20" width="18.33203125" style="21" customWidth="1"/>
    <col min="21" max="21" width="2" style="21" customWidth="1"/>
    <col min="22" max="22" width="18.1640625" style="21" bestFit="1" customWidth="1"/>
    <col min="23" max="16384" width="9.33203125" style="21"/>
  </cols>
  <sheetData>
    <row r="1" spans="1:22" x14ac:dyDescent="0.25">
      <c r="A1" s="85" t="s">
        <v>146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2" x14ac:dyDescent="0.25">
      <c r="A2" s="85" t="s">
        <v>145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2" x14ac:dyDescent="0.25">
      <c r="A3" s="85" t="s">
        <v>144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</row>
    <row r="4" spans="1:22" x14ac:dyDescent="0.25">
      <c r="A4" s="85" t="s">
        <v>153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</row>
    <row r="5" spans="1:22" x14ac:dyDescent="0.25">
      <c r="A5" s="85" t="s">
        <v>142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</row>
    <row r="6" spans="1:22" x14ac:dyDescent="0.25">
      <c r="A6" s="68"/>
      <c r="B6" s="68"/>
      <c r="C6" s="68"/>
      <c r="D6" s="68"/>
      <c r="E6" s="69"/>
      <c r="F6" s="69"/>
      <c r="G6" s="69"/>
      <c r="H6" s="69"/>
      <c r="I6" s="69"/>
      <c r="J6" s="69"/>
      <c r="K6" s="69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</row>
    <row r="7" spans="1:22" ht="15.75" thickBot="1" x14ac:dyDescent="0.3">
      <c r="A7" s="68"/>
      <c r="B7" s="68"/>
      <c r="C7" s="68"/>
      <c r="D7" s="68"/>
      <c r="E7" s="69"/>
      <c r="F7" s="69"/>
      <c r="G7" s="69"/>
      <c r="H7" s="69"/>
      <c r="I7" s="69"/>
      <c r="J7" s="78"/>
      <c r="K7" s="84" t="s">
        <v>141</v>
      </c>
      <c r="L7" s="84"/>
      <c r="M7" s="84"/>
      <c r="N7" s="84"/>
      <c r="O7" s="84"/>
      <c r="P7" s="84"/>
      <c r="Q7" s="84"/>
      <c r="R7" s="84"/>
      <c r="S7" s="84"/>
      <c r="T7" s="84"/>
      <c r="U7" s="68"/>
      <c r="V7" s="68"/>
    </row>
    <row r="8" spans="1:22" x14ac:dyDescent="0.25">
      <c r="A8" s="68"/>
      <c r="B8" s="68"/>
      <c r="C8" s="68"/>
      <c r="D8" s="68"/>
      <c r="E8" s="83" t="s">
        <v>140</v>
      </c>
      <c r="F8" s="80"/>
      <c r="G8" s="83" t="s">
        <v>139</v>
      </c>
      <c r="H8" s="80"/>
      <c r="I8" s="83" t="s">
        <v>138</v>
      </c>
      <c r="J8" s="81"/>
      <c r="K8" s="83" t="s">
        <v>137</v>
      </c>
      <c r="L8" s="68"/>
      <c r="M8" s="83" t="s">
        <v>136</v>
      </c>
      <c r="N8" s="80"/>
      <c r="O8" s="83" t="s">
        <v>135</v>
      </c>
      <c r="P8" s="80"/>
      <c r="Q8" s="83" t="s">
        <v>134</v>
      </c>
      <c r="R8" s="80"/>
      <c r="S8" s="83" t="s">
        <v>133</v>
      </c>
      <c r="T8" s="83" t="s">
        <v>132</v>
      </c>
      <c r="U8" s="80"/>
      <c r="V8" s="83" t="s">
        <v>131</v>
      </c>
    </row>
    <row r="9" spans="1:22" ht="115.5" x14ac:dyDescent="0.25">
      <c r="A9" s="77"/>
      <c r="B9" s="68"/>
      <c r="C9" s="68"/>
      <c r="D9" s="68"/>
      <c r="E9" s="79" t="s">
        <v>130</v>
      </c>
      <c r="F9" s="80"/>
      <c r="G9" s="79" t="s">
        <v>129</v>
      </c>
      <c r="H9" s="80"/>
      <c r="I9" s="82" t="s">
        <v>128</v>
      </c>
      <c r="J9" s="81"/>
      <c r="K9" s="79" t="s">
        <v>127</v>
      </c>
      <c r="L9" s="80"/>
      <c r="M9" s="79" t="s">
        <v>126</v>
      </c>
      <c r="N9" s="68"/>
      <c r="O9" s="79" t="s">
        <v>125</v>
      </c>
      <c r="P9" s="68"/>
      <c r="Q9" s="79" t="s">
        <v>124</v>
      </c>
      <c r="R9" s="68"/>
      <c r="S9" s="79" t="s">
        <v>123</v>
      </c>
      <c r="T9" s="79" t="s">
        <v>122</v>
      </c>
      <c r="U9" s="68"/>
      <c r="V9" s="79" t="s">
        <v>121</v>
      </c>
    </row>
    <row r="10" spans="1:22" x14ac:dyDescent="0.25">
      <c r="A10" s="68"/>
      <c r="B10" s="68"/>
      <c r="C10" s="68"/>
      <c r="D10" s="68"/>
      <c r="E10" s="69"/>
      <c r="F10" s="69"/>
      <c r="G10" s="69"/>
      <c r="H10" s="69"/>
      <c r="I10" s="69"/>
      <c r="J10" s="78"/>
      <c r="K10" s="69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</row>
    <row r="11" spans="1:22" x14ac:dyDescent="0.25">
      <c r="A11" s="77" t="s">
        <v>83</v>
      </c>
      <c r="B11" s="68"/>
      <c r="C11" s="68"/>
      <c r="D11" s="68"/>
      <c r="E11" s="69"/>
      <c r="F11" s="69"/>
      <c r="G11" s="69"/>
      <c r="H11" s="69"/>
      <c r="I11" s="69"/>
      <c r="J11" s="78"/>
      <c r="K11" s="69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</row>
    <row r="12" spans="1:22" x14ac:dyDescent="0.25">
      <c r="A12" s="68"/>
      <c r="B12" s="68" t="s">
        <v>120</v>
      </c>
      <c r="C12" s="68"/>
      <c r="D12" s="68"/>
      <c r="E12" s="74"/>
      <c r="F12" s="74"/>
      <c r="G12" s="74"/>
      <c r="H12" s="74"/>
      <c r="I12" s="71">
        <f t="shared" ref="I12:I17" si="0">G12-E12</f>
        <v>0</v>
      </c>
      <c r="J12" s="76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1">
        <f t="shared" ref="V12:V17" si="1">SUM(K12:T12)</f>
        <v>0</v>
      </c>
    </row>
    <row r="13" spans="1:22" x14ac:dyDescent="0.25">
      <c r="A13" s="68"/>
      <c r="B13" s="68" t="s">
        <v>119</v>
      </c>
      <c r="C13" s="68"/>
      <c r="D13" s="68"/>
      <c r="E13" s="74"/>
      <c r="F13" s="74"/>
      <c r="G13" s="74"/>
      <c r="H13" s="74"/>
      <c r="I13" s="71">
        <f t="shared" si="0"/>
        <v>0</v>
      </c>
      <c r="J13" s="76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1">
        <f t="shared" si="1"/>
        <v>0</v>
      </c>
    </row>
    <row r="14" spans="1:22" x14ac:dyDescent="0.25">
      <c r="A14" s="68"/>
      <c r="B14" s="68" t="s">
        <v>118</v>
      </c>
      <c r="C14" s="68"/>
      <c r="D14" s="68"/>
      <c r="E14" s="74"/>
      <c r="F14" s="74"/>
      <c r="G14" s="74"/>
      <c r="H14" s="74"/>
      <c r="I14" s="71">
        <f t="shared" si="0"/>
        <v>0</v>
      </c>
      <c r="J14" s="76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1">
        <f t="shared" si="1"/>
        <v>0</v>
      </c>
    </row>
    <row r="15" spans="1:22" x14ac:dyDescent="0.25">
      <c r="A15" s="68"/>
      <c r="B15" s="68" t="s">
        <v>117</v>
      </c>
      <c r="C15" s="68"/>
      <c r="D15" s="68"/>
      <c r="E15" s="74">
        <v>0</v>
      </c>
      <c r="F15" s="74"/>
      <c r="G15" s="74">
        <v>9764.4500000000007</v>
      </c>
      <c r="H15" s="74"/>
      <c r="I15" s="71">
        <f t="shared" si="0"/>
        <v>9764.4500000000007</v>
      </c>
      <c r="J15" s="76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1">
        <f t="shared" si="1"/>
        <v>0</v>
      </c>
    </row>
    <row r="16" spans="1:22" x14ac:dyDescent="0.25">
      <c r="A16" s="68"/>
      <c r="B16" s="68" t="s">
        <v>116</v>
      </c>
      <c r="C16" s="68"/>
      <c r="D16" s="68"/>
      <c r="E16" s="74"/>
      <c r="F16" s="74"/>
      <c r="G16" s="74"/>
      <c r="H16" s="74"/>
      <c r="I16" s="71">
        <f t="shared" si="0"/>
        <v>0</v>
      </c>
      <c r="J16" s="76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1">
        <f t="shared" si="1"/>
        <v>0</v>
      </c>
    </row>
    <row r="17" spans="1:22" x14ac:dyDescent="0.25">
      <c r="A17" s="68"/>
      <c r="B17" s="68" t="s">
        <v>115</v>
      </c>
      <c r="C17" s="68"/>
      <c r="D17" s="68"/>
      <c r="E17" s="74"/>
      <c r="F17" s="74"/>
      <c r="G17" s="74"/>
      <c r="H17" s="74"/>
      <c r="I17" s="71">
        <f t="shared" si="0"/>
        <v>0</v>
      </c>
      <c r="J17" s="76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1">
        <f t="shared" si="1"/>
        <v>0</v>
      </c>
    </row>
    <row r="18" spans="1:22" x14ac:dyDescent="0.25">
      <c r="A18" s="77" t="s">
        <v>81</v>
      </c>
      <c r="B18" s="68"/>
      <c r="C18" s="68"/>
      <c r="D18" s="68"/>
      <c r="E18" s="74"/>
      <c r="F18" s="74"/>
      <c r="G18" s="74"/>
      <c r="H18" s="74"/>
      <c r="I18" s="71"/>
      <c r="J18" s="76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1"/>
    </row>
    <row r="19" spans="1:22" x14ac:dyDescent="0.25">
      <c r="A19" s="68"/>
      <c r="B19" s="68" t="s">
        <v>114</v>
      </c>
      <c r="C19" s="68"/>
      <c r="D19" s="68"/>
      <c r="E19" s="74"/>
      <c r="F19" s="74"/>
      <c r="G19" s="74"/>
      <c r="H19" s="74"/>
      <c r="I19" s="71">
        <f t="shared" ref="I19:I29" si="2">G19-E19</f>
        <v>0</v>
      </c>
      <c r="J19" s="76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1">
        <f t="shared" ref="V19:V29" si="3">SUM(K19:T19)</f>
        <v>0</v>
      </c>
    </row>
    <row r="20" spans="1:22" x14ac:dyDescent="0.25">
      <c r="A20" s="68"/>
      <c r="B20" s="68" t="s">
        <v>113</v>
      </c>
      <c r="C20" s="68"/>
      <c r="D20" s="68"/>
      <c r="E20" s="74"/>
      <c r="F20" s="74"/>
      <c r="G20" s="74"/>
      <c r="H20" s="74"/>
      <c r="I20" s="71">
        <f t="shared" si="2"/>
        <v>0</v>
      </c>
      <c r="J20" s="76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1">
        <f t="shared" si="3"/>
        <v>0</v>
      </c>
    </row>
    <row r="21" spans="1:22" x14ac:dyDescent="0.25">
      <c r="A21" s="68"/>
      <c r="B21" s="68" t="s">
        <v>112</v>
      </c>
      <c r="C21" s="68"/>
      <c r="D21" s="68"/>
      <c r="E21" s="74"/>
      <c r="F21" s="74"/>
      <c r="G21" s="74"/>
      <c r="H21" s="74"/>
      <c r="I21" s="71">
        <f t="shared" si="2"/>
        <v>0</v>
      </c>
      <c r="J21" s="76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1">
        <f t="shared" si="3"/>
        <v>0</v>
      </c>
    </row>
    <row r="22" spans="1:22" x14ac:dyDescent="0.25">
      <c r="A22" s="68"/>
      <c r="B22" s="68" t="s">
        <v>111</v>
      </c>
      <c r="C22" s="68"/>
      <c r="D22" s="68"/>
      <c r="E22" s="74"/>
      <c r="F22" s="74"/>
      <c r="G22" s="74"/>
      <c r="H22" s="74"/>
      <c r="I22" s="71">
        <f t="shared" si="2"/>
        <v>0</v>
      </c>
      <c r="J22" s="76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1">
        <f t="shared" si="3"/>
        <v>0</v>
      </c>
    </row>
    <row r="23" spans="1:22" x14ac:dyDescent="0.25">
      <c r="A23" s="68"/>
      <c r="B23" s="68" t="s">
        <v>110</v>
      </c>
      <c r="C23" s="68"/>
      <c r="D23" s="68"/>
      <c r="E23" s="74"/>
      <c r="F23" s="74"/>
      <c r="G23" s="74"/>
      <c r="H23" s="74"/>
      <c r="I23" s="71">
        <f t="shared" si="2"/>
        <v>0</v>
      </c>
      <c r="J23" s="76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1">
        <f t="shared" si="3"/>
        <v>0</v>
      </c>
    </row>
    <row r="24" spans="1:22" x14ac:dyDescent="0.25">
      <c r="A24" s="68"/>
      <c r="B24" s="68" t="s">
        <v>109</v>
      </c>
      <c r="C24" s="68"/>
      <c r="D24" s="68"/>
      <c r="E24" s="74">
        <v>0</v>
      </c>
      <c r="F24" s="74"/>
      <c r="G24" s="74"/>
      <c r="H24" s="74"/>
      <c r="I24" s="71">
        <f t="shared" si="2"/>
        <v>0</v>
      </c>
      <c r="J24" s="76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1">
        <f t="shared" si="3"/>
        <v>0</v>
      </c>
    </row>
    <row r="25" spans="1:22" x14ac:dyDescent="0.25">
      <c r="A25" s="68"/>
      <c r="B25" s="68" t="s">
        <v>108</v>
      </c>
      <c r="C25" s="68"/>
      <c r="D25" s="68"/>
      <c r="E25" s="74"/>
      <c r="F25" s="74"/>
      <c r="G25" s="74"/>
      <c r="H25" s="74"/>
      <c r="I25" s="71">
        <f t="shared" si="2"/>
        <v>0</v>
      </c>
      <c r="J25" s="76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1">
        <f t="shared" si="3"/>
        <v>0</v>
      </c>
    </row>
    <row r="26" spans="1:22" x14ac:dyDescent="0.25">
      <c r="A26" s="68"/>
      <c r="B26" s="68" t="s">
        <v>107</v>
      </c>
      <c r="C26" s="68"/>
      <c r="D26" s="68"/>
      <c r="E26" s="74"/>
      <c r="F26" s="74"/>
      <c r="G26" s="74"/>
      <c r="H26" s="74"/>
      <c r="I26" s="71">
        <f t="shared" si="2"/>
        <v>0</v>
      </c>
      <c r="J26" s="76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1">
        <f t="shared" si="3"/>
        <v>0</v>
      </c>
    </row>
    <row r="27" spans="1:22" x14ac:dyDescent="0.25">
      <c r="A27" s="68"/>
      <c r="B27" s="68" t="s">
        <v>106</v>
      </c>
      <c r="C27" s="68"/>
      <c r="D27" s="68"/>
      <c r="E27" s="74"/>
      <c r="F27" s="74"/>
      <c r="G27" s="74"/>
      <c r="H27" s="74"/>
      <c r="I27" s="71">
        <f t="shared" si="2"/>
        <v>0</v>
      </c>
      <c r="J27" s="76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1">
        <f t="shared" si="3"/>
        <v>0</v>
      </c>
    </row>
    <row r="28" spans="1:22" x14ac:dyDescent="0.25">
      <c r="A28" s="68"/>
      <c r="B28" s="68" t="s">
        <v>105</v>
      </c>
      <c r="C28" s="68"/>
      <c r="D28" s="68"/>
      <c r="E28" s="74"/>
      <c r="F28" s="74"/>
      <c r="G28" s="74"/>
      <c r="H28" s="74"/>
      <c r="I28" s="71">
        <f t="shared" si="2"/>
        <v>0</v>
      </c>
      <c r="J28" s="76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1">
        <f t="shared" si="3"/>
        <v>0</v>
      </c>
    </row>
    <row r="29" spans="1:22" x14ac:dyDescent="0.25">
      <c r="A29" s="68"/>
      <c r="B29" s="68" t="s">
        <v>104</v>
      </c>
      <c r="C29" s="68"/>
      <c r="D29" s="68"/>
      <c r="E29" s="75"/>
      <c r="F29" s="74"/>
      <c r="G29" s="75"/>
      <c r="H29" s="74"/>
      <c r="I29" s="71">
        <f t="shared" si="2"/>
        <v>0</v>
      </c>
      <c r="J29" s="76"/>
      <c r="K29" s="75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1">
        <f t="shared" si="3"/>
        <v>0</v>
      </c>
    </row>
    <row r="30" spans="1:22" ht="15.75" thickBot="1" x14ac:dyDescent="0.3">
      <c r="A30" s="73" t="s">
        <v>103</v>
      </c>
      <c r="E30" s="70">
        <f>SUM(E12:E29)</f>
        <v>0</v>
      </c>
      <c r="F30" s="71"/>
      <c r="G30" s="70">
        <f>SUM(G12:G29)</f>
        <v>9764.4500000000007</v>
      </c>
      <c r="H30" s="71"/>
      <c r="I30" s="70">
        <f>SUM(I12:I29)</f>
        <v>9764.4500000000007</v>
      </c>
      <c r="J30" s="72"/>
      <c r="K30" s="70">
        <f>SUM(K12:K29)</f>
        <v>0</v>
      </c>
      <c r="L30" s="71"/>
      <c r="M30" s="70">
        <f>SUM(M12:M29)</f>
        <v>0</v>
      </c>
      <c r="N30" s="71"/>
      <c r="O30" s="70">
        <f>SUM(O12:O29)</f>
        <v>0</v>
      </c>
      <c r="P30" s="71"/>
      <c r="Q30" s="70">
        <f>SUM(Q12:Q29)</f>
        <v>0</v>
      </c>
      <c r="R30" s="71"/>
      <c r="S30" s="70">
        <f>SUM(S12:S29)</f>
        <v>0</v>
      </c>
      <c r="T30" s="70">
        <f>SUM(T12:T29)</f>
        <v>0</v>
      </c>
      <c r="U30" s="71"/>
      <c r="V30" s="70">
        <f>SUM(V12:V29)</f>
        <v>0</v>
      </c>
    </row>
    <row r="31" spans="1:22" ht="15.75" thickTop="1" x14ac:dyDescent="0.25">
      <c r="A31" s="68"/>
      <c r="B31" s="68"/>
      <c r="C31" s="68"/>
      <c r="D31" s="68"/>
      <c r="E31" s="69"/>
      <c r="F31" s="69"/>
      <c r="G31" s="69"/>
      <c r="H31" s="69"/>
      <c r="I31" s="69"/>
      <c r="J31" s="69"/>
      <c r="K31" s="69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</row>
    <row r="32" spans="1:22" x14ac:dyDescent="0.25">
      <c r="A32" s="68"/>
      <c r="B32" s="68" t="s">
        <v>152</v>
      </c>
      <c r="C32" s="68"/>
      <c r="D32" s="68"/>
      <c r="E32" s="69"/>
      <c r="F32" s="69"/>
      <c r="G32" s="69"/>
      <c r="H32" s="69"/>
      <c r="I32" s="69"/>
      <c r="J32" s="69"/>
      <c r="K32" s="69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</row>
    <row r="33" spans="1:22" x14ac:dyDescent="0.25">
      <c r="A33" s="68"/>
      <c r="B33" s="68"/>
      <c r="C33" s="68"/>
      <c r="D33" s="68"/>
      <c r="E33" s="69"/>
      <c r="F33" s="69"/>
      <c r="G33" s="69"/>
      <c r="H33" s="69"/>
      <c r="I33" s="69"/>
      <c r="J33" s="69"/>
      <c r="K33" s="69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</row>
    <row r="34" spans="1:22" x14ac:dyDescent="0.25">
      <c r="A34" s="68"/>
      <c r="B34" s="68"/>
      <c r="C34" s="68"/>
      <c r="D34" s="68"/>
      <c r="E34" s="69"/>
      <c r="F34" s="69"/>
      <c r="G34" s="69"/>
      <c r="H34" s="69"/>
      <c r="I34" s="69"/>
      <c r="J34" s="69"/>
      <c r="K34" s="69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</row>
    <row r="35" spans="1:22" x14ac:dyDescent="0.25">
      <c r="A35" s="68"/>
      <c r="B35" s="68"/>
      <c r="C35" s="68"/>
      <c r="D35" s="68"/>
      <c r="E35" s="69"/>
      <c r="F35" s="69"/>
      <c r="G35" s="69"/>
      <c r="H35" s="69"/>
      <c r="I35" s="69"/>
      <c r="J35" s="69"/>
      <c r="K35" s="69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spans="1:22" x14ac:dyDescent="0.25">
      <c r="A36" s="68"/>
      <c r="B36" s="68"/>
      <c r="C36" s="68"/>
      <c r="D36" s="68"/>
      <c r="E36" s="69"/>
      <c r="F36" s="69"/>
      <c r="G36" s="69"/>
      <c r="H36" s="69"/>
      <c r="I36" s="69"/>
      <c r="J36" s="69"/>
      <c r="K36" s="69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</row>
    <row r="37" spans="1:22" x14ac:dyDescent="0.25">
      <c r="A37" s="68"/>
      <c r="B37" s="68"/>
      <c r="C37" s="68"/>
      <c r="D37" s="68"/>
      <c r="E37" s="69"/>
      <c r="F37" s="69"/>
      <c r="G37" s="69"/>
      <c r="H37" s="69"/>
      <c r="I37" s="69"/>
      <c r="J37" s="69"/>
      <c r="K37" s="69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</row>
    <row r="38" spans="1:22" x14ac:dyDescent="0.25">
      <c r="A38" s="68"/>
      <c r="B38" s="68"/>
      <c r="C38" s="68"/>
      <c r="D38" s="68"/>
      <c r="E38" s="69"/>
      <c r="F38" s="69"/>
      <c r="G38" s="69"/>
      <c r="H38" s="69"/>
      <c r="I38" s="69"/>
      <c r="J38" s="69"/>
      <c r="K38" s="69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</row>
    <row r="39" spans="1:22" x14ac:dyDescent="0.25">
      <c r="A39" s="68"/>
      <c r="B39" s="68"/>
      <c r="C39" s="68"/>
      <c r="D39" s="68"/>
      <c r="E39" s="69"/>
      <c r="F39" s="69"/>
      <c r="G39" s="69"/>
      <c r="H39" s="69"/>
      <c r="I39" s="69"/>
      <c r="J39" s="69"/>
      <c r="K39" s="69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</row>
    <row r="40" spans="1:22" x14ac:dyDescent="0.25">
      <c r="A40" s="68"/>
      <c r="B40" s="68"/>
      <c r="C40" s="68"/>
      <c r="D40" s="68"/>
      <c r="E40" s="69"/>
      <c r="F40" s="69"/>
      <c r="G40" s="69"/>
      <c r="H40" s="69"/>
      <c r="I40" s="69"/>
      <c r="J40" s="69"/>
      <c r="K40" s="69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</row>
  </sheetData>
  <pageMargins left="0.25" right="0.25" top="0.25" bottom="0.25" header="0.3" footer="0.3"/>
  <pageSetup paperSize="5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E185-0245-4837-923D-F35B36CDA9EE}">
  <dimension ref="A1:J23"/>
  <sheetViews>
    <sheetView showGridLines="0" workbookViewId="0">
      <selection sqref="A1:C1"/>
    </sheetView>
  </sheetViews>
  <sheetFormatPr defaultColWidth="10.6640625" defaultRowHeight="15" x14ac:dyDescent="0.25"/>
  <cols>
    <col min="1" max="1" width="14.6640625" style="252" customWidth="1"/>
    <col min="2" max="2" width="6" style="252" customWidth="1"/>
    <col min="3" max="3" width="8.6640625" style="252" customWidth="1"/>
    <col min="4" max="4" width="5.33203125" style="252" customWidth="1"/>
    <col min="5" max="5" width="22" style="252" customWidth="1"/>
    <col min="6" max="6" width="24" style="252" customWidth="1"/>
    <col min="7" max="7" width="20" style="252" customWidth="1"/>
    <col min="8" max="8" width="16.6640625" style="252" customWidth="1"/>
    <col min="9" max="9" width="3.33203125" style="252" customWidth="1"/>
    <col min="10" max="10" width="26" style="252" customWidth="1"/>
    <col min="11" max="16384" width="10.6640625" style="252"/>
  </cols>
  <sheetData>
    <row r="1" spans="1:10" x14ac:dyDescent="0.25">
      <c r="A1" s="267"/>
      <c r="B1" s="267"/>
      <c r="C1" s="267"/>
      <c r="D1" s="267"/>
      <c r="E1" s="267"/>
      <c r="F1" s="267"/>
      <c r="G1" s="267"/>
      <c r="H1" s="267"/>
      <c r="I1" s="267" t="s">
        <v>102</v>
      </c>
      <c r="J1" s="267"/>
    </row>
    <row r="2" spans="1:10" x14ac:dyDescent="0.25">
      <c r="A2" s="271" t="s">
        <v>101</v>
      </c>
      <c r="B2" s="271"/>
      <c r="C2" s="271"/>
      <c r="D2" s="271"/>
      <c r="E2" s="271"/>
      <c r="F2" s="271"/>
      <c r="G2" s="271"/>
      <c r="H2" s="271"/>
      <c r="I2" s="271"/>
      <c r="J2" s="271"/>
    </row>
    <row r="3" spans="1:10" x14ac:dyDescent="0.25">
      <c r="A3" s="271" t="s">
        <v>100</v>
      </c>
      <c r="B3" s="271"/>
      <c r="C3" s="271"/>
      <c r="D3" s="271"/>
      <c r="E3" s="271"/>
      <c r="F3" s="271"/>
      <c r="G3" s="271"/>
      <c r="H3" s="271"/>
      <c r="I3" s="271"/>
      <c r="J3" s="271"/>
    </row>
    <row r="4" spans="1:10" x14ac:dyDescent="0.25">
      <c r="A4" s="271" t="s">
        <v>201</v>
      </c>
      <c r="B4" s="271"/>
      <c r="C4" s="271"/>
      <c r="D4" s="271"/>
      <c r="E4" s="271"/>
      <c r="F4" s="271"/>
      <c r="G4" s="271"/>
      <c r="H4" s="271"/>
      <c r="I4" s="271"/>
      <c r="J4" s="271"/>
    </row>
    <row r="5" spans="1:10" x14ac:dyDescent="0.25">
      <c r="A5" s="271" t="s">
        <v>98</v>
      </c>
      <c r="B5" s="271"/>
      <c r="C5" s="271"/>
      <c r="D5" s="271"/>
      <c r="E5" s="271"/>
      <c r="F5" s="271"/>
      <c r="G5" s="271"/>
      <c r="H5" s="271"/>
      <c r="I5" s="271"/>
      <c r="J5" s="271"/>
    </row>
    <row r="6" spans="1:10" x14ac:dyDescent="0.25">
      <c r="A6" s="271" t="s">
        <v>97</v>
      </c>
      <c r="B6" s="271"/>
      <c r="C6" s="271"/>
      <c r="D6" s="271"/>
      <c r="E6" s="271"/>
      <c r="F6" s="271"/>
      <c r="G6" s="271"/>
      <c r="H6" s="271"/>
      <c r="I6" s="271"/>
      <c r="J6" s="271"/>
    </row>
    <row r="7" spans="1:10" x14ac:dyDescent="0.25">
      <c r="A7" s="269" t="s">
        <v>96</v>
      </c>
      <c r="B7" s="269"/>
      <c r="C7" s="270" t="s">
        <v>95</v>
      </c>
      <c r="D7" s="270"/>
      <c r="E7" s="270"/>
      <c r="F7" s="270"/>
      <c r="G7" s="270"/>
      <c r="H7" s="270"/>
      <c r="I7" s="267" t="s">
        <v>94</v>
      </c>
      <c r="J7" s="267"/>
    </row>
    <row r="8" spans="1:10" x14ac:dyDescent="0.25">
      <c r="A8" s="269" t="s">
        <v>78</v>
      </c>
      <c r="B8" s="269"/>
      <c r="C8" s="270" t="s">
        <v>200</v>
      </c>
      <c r="D8" s="270"/>
      <c r="E8" s="270"/>
      <c r="F8" s="270"/>
      <c r="G8" s="270"/>
      <c r="H8" s="270"/>
      <c r="I8" s="267" t="s">
        <v>92</v>
      </c>
      <c r="J8" s="267"/>
    </row>
    <row r="9" spans="1:10" x14ac:dyDescent="0.25">
      <c r="A9" s="269" t="s">
        <v>91</v>
      </c>
      <c r="B9" s="269"/>
      <c r="C9" s="268"/>
      <c r="D9" s="268"/>
      <c r="E9" s="268"/>
      <c r="F9" s="268"/>
      <c r="G9" s="268"/>
      <c r="H9" s="268"/>
      <c r="I9" s="267" t="s">
        <v>90</v>
      </c>
      <c r="J9" s="267"/>
    </row>
    <row r="10" spans="1:10" x14ac:dyDescent="0.25">
      <c r="A10" s="267"/>
      <c r="B10" s="267"/>
      <c r="C10" s="267"/>
      <c r="D10" s="267"/>
      <c r="E10" s="267"/>
      <c r="F10" s="267"/>
      <c r="G10" s="267"/>
      <c r="H10" s="267"/>
      <c r="I10" s="267"/>
      <c r="J10" s="267"/>
    </row>
    <row r="11" spans="1:10" x14ac:dyDescent="0.25">
      <c r="A11" s="254"/>
      <c r="B11" s="254"/>
      <c r="C11" s="254"/>
      <c r="D11" s="254"/>
      <c r="E11" s="254"/>
      <c r="F11" s="254"/>
      <c r="G11" s="254"/>
      <c r="H11" s="254"/>
      <c r="I11" s="254"/>
      <c r="J11" s="254"/>
    </row>
    <row r="12" spans="1:10" x14ac:dyDescent="0.25">
      <c r="A12" s="266" t="s">
        <v>89</v>
      </c>
      <c r="B12" s="266"/>
      <c r="C12" s="266"/>
      <c r="D12" s="266"/>
      <c r="E12" s="266"/>
      <c r="F12" s="266"/>
      <c r="G12" s="266"/>
      <c r="H12" s="266"/>
      <c r="I12" s="266"/>
      <c r="J12" s="266"/>
    </row>
    <row r="13" spans="1:10" x14ac:dyDescent="0.25">
      <c r="A13" s="254"/>
      <c r="B13" s="254"/>
      <c r="C13" s="254"/>
      <c r="D13" s="254"/>
      <c r="E13" s="254"/>
      <c r="F13" s="254"/>
      <c r="G13" s="254"/>
      <c r="H13" s="254"/>
      <c r="I13" s="254"/>
      <c r="J13" s="254"/>
    </row>
    <row r="14" spans="1:10" x14ac:dyDescent="0.25">
      <c r="A14" s="265" t="s">
        <v>88</v>
      </c>
      <c r="B14" s="265"/>
      <c r="C14" s="265"/>
      <c r="D14" s="265"/>
      <c r="E14" s="265"/>
      <c r="F14" s="263" t="s">
        <v>87</v>
      </c>
      <c r="G14" s="263" t="s">
        <v>86</v>
      </c>
      <c r="H14" s="264" t="s">
        <v>85</v>
      </c>
      <c r="I14" s="264"/>
      <c r="J14" s="263" t="s">
        <v>84</v>
      </c>
    </row>
    <row r="15" spans="1:10" x14ac:dyDescent="0.25">
      <c r="A15" s="262" t="s">
        <v>83</v>
      </c>
      <c r="B15" s="262"/>
      <c r="C15" s="262"/>
      <c r="D15" s="262"/>
      <c r="E15" s="262"/>
      <c r="F15" s="262"/>
      <c r="G15" s="262"/>
      <c r="H15" s="262"/>
      <c r="I15" s="262"/>
      <c r="J15" s="262"/>
    </row>
    <row r="16" spans="1:10" x14ac:dyDescent="0.25">
      <c r="A16" s="261" t="s">
        <v>82</v>
      </c>
      <c r="B16" s="261"/>
      <c r="C16" s="261"/>
      <c r="D16" s="261"/>
      <c r="E16" s="261"/>
      <c r="F16" s="259">
        <v>7130.33</v>
      </c>
      <c r="G16" s="259">
        <v>0</v>
      </c>
      <c r="H16" s="260">
        <v>195.56</v>
      </c>
      <c r="I16" s="260"/>
      <c r="J16" s="259">
        <v>6934.77</v>
      </c>
    </row>
    <row r="17" spans="1:10" x14ac:dyDescent="0.25">
      <c r="A17" s="254"/>
      <c r="B17" s="254"/>
      <c r="C17" s="254"/>
      <c r="D17" s="254"/>
      <c r="E17" s="254"/>
      <c r="F17" s="254"/>
      <c r="G17" s="254"/>
      <c r="H17" s="254"/>
      <c r="I17" s="254"/>
      <c r="J17" s="254"/>
    </row>
    <row r="18" spans="1:10" x14ac:dyDescent="0.25">
      <c r="A18" s="257" t="s">
        <v>78</v>
      </c>
      <c r="B18" s="258" t="s">
        <v>199</v>
      </c>
      <c r="C18" s="258"/>
      <c r="D18" s="258"/>
      <c r="E18" s="255">
        <v>7130.33</v>
      </c>
      <c r="F18" s="255"/>
      <c r="G18" s="255">
        <v>0</v>
      </c>
      <c r="H18" s="255">
        <v>195.56</v>
      </c>
      <c r="I18" s="255"/>
      <c r="J18" s="255">
        <v>6934.77</v>
      </c>
    </row>
    <row r="19" spans="1:10" x14ac:dyDescent="0.25">
      <c r="A19" s="257" t="s">
        <v>76</v>
      </c>
      <c r="B19" s="256"/>
      <c r="C19" s="256"/>
      <c r="D19" s="256"/>
      <c r="E19" s="255"/>
      <c r="F19" s="255"/>
      <c r="G19" s="255"/>
      <c r="H19" s="255"/>
      <c r="I19" s="255"/>
      <c r="J19" s="255"/>
    </row>
    <row r="20" spans="1:10" x14ac:dyDescent="0.25">
      <c r="A20" s="254"/>
      <c r="B20" s="254"/>
      <c r="C20" s="254"/>
      <c r="D20" s="254"/>
      <c r="E20" s="254"/>
      <c r="F20" s="254"/>
      <c r="G20" s="254"/>
      <c r="H20" s="254"/>
      <c r="I20" s="254"/>
      <c r="J20" s="254"/>
    </row>
    <row r="21" spans="1:10" x14ac:dyDescent="0.25">
      <c r="A21" s="254"/>
      <c r="B21" s="254"/>
      <c r="C21" s="254"/>
      <c r="D21" s="254"/>
      <c r="E21" s="254"/>
      <c r="F21" s="254"/>
      <c r="G21" s="254"/>
      <c r="H21" s="254"/>
      <c r="I21" s="254"/>
      <c r="J21" s="254"/>
    </row>
    <row r="22" spans="1:10" x14ac:dyDescent="0.25">
      <c r="A22" s="254"/>
      <c r="B22" s="254"/>
      <c r="C22" s="254"/>
      <c r="D22" s="254"/>
      <c r="E22" s="254"/>
      <c r="F22" s="254"/>
      <c r="G22" s="254"/>
      <c r="H22" s="254"/>
      <c r="I22" s="254"/>
      <c r="J22" s="254"/>
    </row>
    <row r="23" spans="1:10" x14ac:dyDescent="0.25">
      <c r="A23" s="253"/>
      <c r="B23" s="253"/>
      <c r="C23" s="253"/>
      <c r="D23" s="253"/>
      <c r="E23" s="253"/>
      <c r="F23" s="253"/>
      <c r="G23" s="253"/>
      <c r="H23" s="253"/>
      <c r="I23" s="253"/>
      <c r="J23" s="253"/>
    </row>
  </sheetData>
  <mergeCells count="39"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  <mergeCell ref="A4:J4"/>
    <mergeCell ref="A11:J11"/>
    <mergeCell ref="A12:J12"/>
    <mergeCell ref="A13:J13"/>
    <mergeCell ref="A14:E14"/>
    <mergeCell ref="H14:I14"/>
    <mergeCell ref="A8:B8"/>
    <mergeCell ref="C8:H8"/>
    <mergeCell ref="I8:J8"/>
    <mergeCell ref="H18:I19"/>
    <mergeCell ref="J18:J19"/>
    <mergeCell ref="B19:D19"/>
    <mergeCell ref="A15:J15"/>
    <mergeCell ref="A9:B9"/>
    <mergeCell ref="C9:H9"/>
    <mergeCell ref="I9:J9"/>
    <mergeCell ref="A10:B10"/>
    <mergeCell ref="C10:H10"/>
    <mergeCell ref="I10:J10"/>
    <mergeCell ref="A20:J20"/>
    <mergeCell ref="A21:J21"/>
    <mergeCell ref="A22:J22"/>
    <mergeCell ref="A23:J23"/>
    <mergeCell ref="A16:E16"/>
    <mergeCell ref="H16:I16"/>
    <mergeCell ref="A17:J17"/>
    <mergeCell ref="B18:D18"/>
    <mergeCell ref="E18:F19"/>
    <mergeCell ref="G18:G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D1F7-154B-42FE-8BDA-040244C18C2E}">
  <dimension ref="A1:V40"/>
  <sheetViews>
    <sheetView tabSelected="1" workbookViewId="0">
      <selection activeCell="E21" sqref="E21"/>
    </sheetView>
  </sheetViews>
  <sheetFormatPr defaultRowHeight="15" x14ac:dyDescent="0.25"/>
  <cols>
    <col min="1" max="1" width="2" style="225" customWidth="1"/>
    <col min="2" max="2" width="10.5" style="225" customWidth="1"/>
    <col min="3" max="3" width="51.6640625" style="225" customWidth="1"/>
    <col min="4" max="4" width="2" style="225" customWidth="1"/>
    <col min="5" max="5" width="18.33203125" style="226" customWidth="1"/>
    <col min="6" max="6" width="2" style="226" customWidth="1"/>
    <col min="7" max="7" width="18.33203125" style="226" customWidth="1"/>
    <col min="8" max="8" width="2" style="226" customWidth="1"/>
    <col min="9" max="9" width="18.33203125" style="226" customWidth="1"/>
    <col min="10" max="10" width="2" style="226" customWidth="1"/>
    <col min="11" max="11" width="18.33203125" style="226" customWidth="1"/>
    <col min="12" max="12" width="2" style="225" customWidth="1"/>
    <col min="13" max="13" width="18.33203125" style="225" customWidth="1"/>
    <col min="14" max="14" width="2" style="225" customWidth="1"/>
    <col min="15" max="15" width="18.33203125" style="225" customWidth="1"/>
    <col min="16" max="16" width="2" style="225" customWidth="1"/>
    <col min="17" max="17" width="18.33203125" style="225" customWidth="1"/>
    <col min="18" max="18" width="2" style="225" customWidth="1"/>
    <col min="19" max="20" width="18.33203125" style="225" customWidth="1"/>
    <col min="21" max="21" width="2" style="225" customWidth="1"/>
    <col min="22" max="22" width="18.33203125" style="225" customWidth="1"/>
    <col min="23" max="16384" width="9.33203125" style="225"/>
  </cols>
  <sheetData>
    <row r="1" spans="1:22" x14ac:dyDescent="0.25">
      <c r="A1" s="249" t="s">
        <v>146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</row>
    <row r="2" spans="1:22" x14ac:dyDescent="0.25">
      <c r="A2" s="249" t="s">
        <v>145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</row>
    <row r="3" spans="1:22" x14ac:dyDescent="0.25">
      <c r="A3" s="249" t="s">
        <v>144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</row>
    <row r="4" spans="1:22" x14ac:dyDescent="0.25">
      <c r="A4" s="249" t="s">
        <v>202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</row>
    <row r="5" spans="1:22" x14ac:dyDescent="0.25">
      <c r="A5" s="249" t="s">
        <v>142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</row>
    <row r="6" spans="1:22" x14ac:dyDescent="0.25">
      <c r="A6" s="227"/>
      <c r="B6" s="227"/>
      <c r="C6" s="227"/>
      <c r="D6" s="227"/>
      <c r="E6" s="228"/>
      <c r="F6" s="228"/>
      <c r="G6" s="228"/>
      <c r="H6" s="228"/>
      <c r="I6" s="228"/>
      <c r="J6" s="228"/>
      <c r="K6" s="228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</row>
    <row r="7" spans="1:22" ht="15.75" thickBot="1" x14ac:dyDescent="0.3">
      <c r="A7" s="227"/>
      <c r="B7" s="227"/>
      <c r="C7" s="227"/>
      <c r="D7" s="227"/>
      <c r="E7" s="228"/>
      <c r="F7" s="228"/>
      <c r="G7" s="228"/>
      <c r="H7" s="228"/>
      <c r="I7" s="228"/>
      <c r="J7" s="242"/>
      <c r="K7" s="248" t="s">
        <v>141</v>
      </c>
      <c r="L7" s="248"/>
      <c r="M7" s="248"/>
      <c r="N7" s="248"/>
      <c r="O7" s="248"/>
      <c r="P7" s="248"/>
      <c r="Q7" s="248"/>
      <c r="R7" s="248"/>
      <c r="S7" s="248"/>
      <c r="T7" s="248"/>
      <c r="U7" s="227"/>
      <c r="V7" s="227"/>
    </row>
    <row r="8" spans="1:22" x14ac:dyDescent="0.25">
      <c r="A8" s="227"/>
      <c r="B8" s="227"/>
      <c r="C8" s="227"/>
      <c r="D8" s="227"/>
      <c r="E8" s="247" t="s">
        <v>140</v>
      </c>
      <c r="F8" s="244"/>
      <c r="G8" s="247" t="s">
        <v>139</v>
      </c>
      <c r="H8" s="244"/>
      <c r="I8" s="247" t="s">
        <v>138</v>
      </c>
      <c r="J8" s="245"/>
      <c r="K8" s="247" t="s">
        <v>137</v>
      </c>
      <c r="L8" s="227"/>
      <c r="M8" s="247" t="s">
        <v>136</v>
      </c>
      <c r="N8" s="244"/>
      <c r="O8" s="247" t="s">
        <v>135</v>
      </c>
      <c r="P8" s="244"/>
      <c r="Q8" s="247" t="s">
        <v>134</v>
      </c>
      <c r="R8" s="244"/>
      <c r="S8" s="247" t="s">
        <v>133</v>
      </c>
      <c r="T8" s="247" t="s">
        <v>132</v>
      </c>
      <c r="U8" s="244"/>
      <c r="V8" s="247" t="s">
        <v>131</v>
      </c>
    </row>
    <row r="9" spans="1:22" ht="115.5" x14ac:dyDescent="0.25">
      <c r="A9" s="238"/>
      <c r="B9" s="227"/>
      <c r="C9" s="227"/>
      <c r="D9" s="227"/>
      <c r="E9" s="243" t="s">
        <v>130</v>
      </c>
      <c r="F9" s="244"/>
      <c r="G9" s="243" t="s">
        <v>129</v>
      </c>
      <c r="H9" s="244"/>
      <c r="I9" s="246" t="s">
        <v>128</v>
      </c>
      <c r="J9" s="245"/>
      <c r="K9" s="243" t="s">
        <v>127</v>
      </c>
      <c r="L9" s="244"/>
      <c r="M9" s="243" t="s">
        <v>126</v>
      </c>
      <c r="N9" s="227"/>
      <c r="O9" s="243" t="s">
        <v>125</v>
      </c>
      <c r="P9" s="227"/>
      <c r="Q9" s="243" t="s">
        <v>124</v>
      </c>
      <c r="R9" s="227"/>
      <c r="S9" s="243" t="s">
        <v>123</v>
      </c>
      <c r="T9" s="243" t="s">
        <v>122</v>
      </c>
      <c r="U9" s="227"/>
      <c r="V9" s="243" t="s">
        <v>121</v>
      </c>
    </row>
    <row r="10" spans="1:22" x14ac:dyDescent="0.25">
      <c r="A10" s="227"/>
      <c r="B10" s="227"/>
      <c r="C10" s="227"/>
      <c r="D10" s="227"/>
      <c r="E10" s="228"/>
      <c r="F10" s="228"/>
      <c r="G10" s="228"/>
      <c r="H10" s="228"/>
      <c r="I10" s="228"/>
      <c r="J10" s="242"/>
      <c r="K10" s="228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</row>
    <row r="11" spans="1:22" x14ac:dyDescent="0.25">
      <c r="A11" s="238" t="s">
        <v>83</v>
      </c>
      <c r="B11" s="227"/>
      <c r="C11" s="227"/>
      <c r="D11" s="227"/>
      <c r="E11" s="228"/>
      <c r="F11" s="228"/>
      <c r="G11" s="228"/>
      <c r="H11" s="228"/>
      <c r="I11" s="228"/>
      <c r="J11" s="242"/>
      <c r="K11" s="228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</row>
    <row r="12" spans="1:22" x14ac:dyDescent="0.25">
      <c r="A12" s="227"/>
      <c r="B12" s="227" t="s">
        <v>120</v>
      </c>
      <c r="C12" s="227"/>
      <c r="D12" s="227"/>
      <c r="E12" s="235"/>
      <c r="F12" s="235"/>
      <c r="G12" s="235"/>
      <c r="H12" s="235"/>
      <c r="I12" s="234">
        <f>G12-E12</f>
        <v>0</v>
      </c>
      <c r="J12" s="237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4">
        <f>SUM(K12:T12)</f>
        <v>0</v>
      </c>
    </row>
    <row r="13" spans="1:22" x14ac:dyDescent="0.25">
      <c r="A13" s="227"/>
      <c r="B13" s="227" t="s">
        <v>119</v>
      </c>
      <c r="C13" s="227"/>
      <c r="D13" s="227"/>
      <c r="E13" s="235"/>
      <c r="F13" s="235"/>
      <c r="G13" s="235"/>
      <c r="H13" s="235"/>
      <c r="I13" s="234">
        <f>G13-E13</f>
        <v>0</v>
      </c>
      <c r="J13" s="237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4">
        <f>SUM(K13:T13)</f>
        <v>0</v>
      </c>
    </row>
    <row r="14" spans="1:22" x14ac:dyDescent="0.25">
      <c r="A14" s="227"/>
      <c r="B14" s="227" t="s">
        <v>118</v>
      </c>
      <c r="C14" s="227"/>
      <c r="D14" s="227"/>
      <c r="E14" s="235"/>
      <c r="F14" s="235"/>
      <c r="G14" s="235"/>
      <c r="H14" s="235"/>
      <c r="I14" s="234">
        <f>G14-E14</f>
        <v>0</v>
      </c>
      <c r="J14" s="237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4">
        <f>SUM(K14:T14)</f>
        <v>0</v>
      </c>
    </row>
    <row r="15" spans="1:22" x14ac:dyDescent="0.25">
      <c r="A15" s="227"/>
      <c r="B15" s="227" t="s">
        <v>117</v>
      </c>
      <c r="C15" s="227"/>
      <c r="D15" s="227"/>
      <c r="E15" s="235">
        <v>0</v>
      </c>
      <c r="F15" s="235"/>
      <c r="G15" s="235">
        <v>7130.33</v>
      </c>
      <c r="H15" s="235"/>
      <c r="I15" s="234">
        <f>G15-E15</f>
        <v>7130.33</v>
      </c>
      <c r="J15" s="237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4"/>
    </row>
    <row r="16" spans="1:22" x14ac:dyDescent="0.25">
      <c r="A16" s="227"/>
      <c r="B16" s="227" t="s">
        <v>116</v>
      </c>
      <c r="C16" s="227"/>
      <c r="D16" s="227"/>
      <c r="E16" s="235"/>
      <c r="F16" s="235"/>
      <c r="G16" s="235"/>
      <c r="H16" s="235"/>
      <c r="I16" s="234">
        <f>G16-E16</f>
        <v>0</v>
      </c>
      <c r="J16" s="237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4"/>
    </row>
    <row r="17" spans="1:22" x14ac:dyDescent="0.25">
      <c r="A17" s="227"/>
      <c r="B17" s="227" t="s">
        <v>115</v>
      </c>
      <c r="C17" s="227"/>
      <c r="D17" s="227"/>
      <c r="E17" s="235"/>
      <c r="F17" s="235"/>
      <c r="G17" s="235"/>
      <c r="H17" s="235"/>
      <c r="I17" s="234">
        <f>G17-E17</f>
        <v>0</v>
      </c>
      <c r="J17" s="237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4"/>
    </row>
    <row r="18" spans="1:22" x14ac:dyDescent="0.25">
      <c r="A18" s="238" t="s">
        <v>81</v>
      </c>
      <c r="B18" s="227"/>
      <c r="C18" s="227"/>
      <c r="D18" s="227"/>
      <c r="E18" s="235"/>
      <c r="F18" s="235"/>
      <c r="G18" s="235"/>
      <c r="H18" s="235"/>
      <c r="I18" s="234"/>
      <c r="J18" s="237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4"/>
    </row>
    <row r="19" spans="1:22" x14ac:dyDescent="0.25">
      <c r="A19" s="227"/>
      <c r="B19" s="227" t="s">
        <v>114</v>
      </c>
      <c r="C19" s="227"/>
      <c r="D19" s="227"/>
      <c r="E19" s="235"/>
      <c r="F19" s="235"/>
      <c r="G19" s="235"/>
      <c r="H19" s="235"/>
      <c r="I19" s="234">
        <f>G19-E19</f>
        <v>0</v>
      </c>
      <c r="J19" s="237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4">
        <f>SUM(K19:T19)</f>
        <v>0</v>
      </c>
    </row>
    <row r="20" spans="1:22" x14ac:dyDescent="0.25">
      <c r="A20" s="227"/>
      <c r="B20" s="227" t="s">
        <v>113</v>
      </c>
      <c r="C20" s="227"/>
      <c r="D20" s="227"/>
      <c r="E20" s="235"/>
      <c r="F20" s="235"/>
      <c r="G20" s="235"/>
      <c r="H20" s="235"/>
      <c r="I20" s="234">
        <f>G20-E20</f>
        <v>0</v>
      </c>
      <c r="J20" s="237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4">
        <f>SUM(K20:T20)</f>
        <v>0</v>
      </c>
    </row>
    <row r="21" spans="1:22" x14ac:dyDescent="0.25">
      <c r="A21" s="227"/>
      <c r="B21" s="227" t="s">
        <v>112</v>
      </c>
      <c r="C21" s="227"/>
      <c r="D21" s="227"/>
      <c r="E21" s="235"/>
      <c r="F21" s="235"/>
      <c r="G21" s="235"/>
      <c r="H21" s="235"/>
      <c r="I21" s="234">
        <f>G21-E21</f>
        <v>0</v>
      </c>
      <c r="J21" s="237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4">
        <f>SUM(K21:T21)</f>
        <v>0</v>
      </c>
    </row>
    <row r="22" spans="1:22" x14ac:dyDescent="0.25">
      <c r="A22" s="227"/>
      <c r="B22" s="227" t="s">
        <v>111</v>
      </c>
      <c r="C22" s="227"/>
      <c r="D22" s="227"/>
      <c r="E22" s="235"/>
      <c r="F22" s="235"/>
      <c r="G22" s="235"/>
      <c r="H22" s="235"/>
      <c r="I22" s="234">
        <f>G22-E22</f>
        <v>0</v>
      </c>
      <c r="J22" s="237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4">
        <f>SUM(K22:T22)</f>
        <v>0</v>
      </c>
    </row>
    <row r="23" spans="1:22" x14ac:dyDescent="0.25">
      <c r="A23" s="227"/>
      <c r="B23" s="227" t="s">
        <v>110</v>
      </c>
      <c r="C23" s="227"/>
      <c r="D23" s="227"/>
      <c r="E23" s="235"/>
      <c r="F23" s="235"/>
      <c r="G23" s="235"/>
      <c r="H23" s="235"/>
      <c r="I23" s="234">
        <f>G23-E23</f>
        <v>0</v>
      </c>
      <c r="J23" s="237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4">
        <f>SUM(K23:T23)</f>
        <v>0</v>
      </c>
    </row>
    <row r="24" spans="1:22" x14ac:dyDescent="0.25">
      <c r="A24" s="227"/>
      <c r="B24" s="227" t="s">
        <v>109</v>
      </c>
      <c r="C24" s="227"/>
      <c r="D24" s="227"/>
      <c r="E24" s="235">
        <v>0</v>
      </c>
      <c r="F24" s="235"/>
      <c r="G24" s="235"/>
      <c r="H24" s="235"/>
      <c r="I24" s="234">
        <f>G24-E24</f>
        <v>0</v>
      </c>
      <c r="J24" s="237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4">
        <f>SUM(K24:T24)</f>
        <v>0</v>
      </c>
    </row>
    <row r="25" spans="1:22" x14ac:dyDescent="0.25">
      <c r="A25" s="227"/>
      <c r="B25" s="227" t="s">
        <v>108</v>
      </c>
      <c r="C25" s="227"/>
      <c r="D25" s="227"/>
      <c r="E25" s="235"/>
      <c r="F25" s="235"/>
      <c r="G25" s="235"/>
      <c r="H25" s="235"/>
      <c r="I25" s="234">
        <f>G25-E25</f>
        <v>0</v>
      </c>
      <c r="J25" s="237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4">
        <f>SUM(K25:T25)</f>
        <v>0</v>
      </c>
    </row>
    <row r="26" spans="1:22" x14ac:dyDescent="0.25">
      <c r="A26" s="227"/>
      <c r="B26" s="227" t="s">
        <v>107</v>
      </c>
      <c r="C26" s="227"/>
      <c r="D26" s="227"/>
      <c r="E26" s="235"/>
      <c r="F26" s="235"/>
      <c r="G26" s="235"/>
      <c r="H26" s="235"/>
      <c r="I26" s="234">
        <f>G26-E26</f>
        <v>0</v>
      </c>
      <c r="J26" s="237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4">
        <f>SUM(K26:T26)</f>
        <v>0</v>
      </c>
    </row>
    <row r="27" spans="1:22" x14ac:dyDescent="0.25">
      <c r="A27" s="227"/>
      <c r="B27" s="227" t="s">
        <v>106</v>
      </c>
      <c r="C27" s="227"/>
      <c r="D27" s="227"/>
      <c r="E27" s="235"/>
      <c r="F27" s="235"/>
      <c r="G27" s="235"/>
      <c r="H27" s="235"/>
      <c r="I27" s="234">
        <f>G27-E27</f>
        <v>0</v>
      </c>
      <c r="J27" s="237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4">
        <f>SUM(K27:T27)</f>
        <v>0</v>
      </c>
    </row>
    <row r="28" spans="1:22" x14ac:dyDescent="0.25">
      <c r="A28" s="227"/>
      <c r="B28" s="227" t="s">
        <v>105</v>
      </c>
      <c r="C28" s="227"/>
      <c r="D28" s="227"/>
      <c r="E28" s="235"/>
      <c r="F28" s="235"/>
      <c r="G28" s="235"/>
      <c r="H28" s="235"/>
      <c r="I28" s="234">
        <f>G28-E28</f>
        <v>0</v>
      </c>
      <c r="J28" s="237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4">
        <f>SUM(K28:T28)</f>
        <v>0</v>
      </c>
    </row>
    <row r="29" spans="1:22" x14ac:dyDescent="0.25">
      <c r="A29" s="227"/>
      <c r="B29" s="227" t="s">
        <v>104</v>
      </c>
      <c r="C29" s="227"/>
      <c r="D29" s="227"/>
      <c r="E29" s="236"/>
      <c r="F29" s="235"/>
      <c r="G29" s="236"/>
      <c r="H29" s="235"/>
      <c r="I29" s="234">
        <f>G29-E29</f>
        <v>0</v>
      </c>
      <c r="J29" s="237"/>
      <c r="K29" s="236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4">
        <f>SUM(K29:T29)</f>
        <v>0</v>
      </c>
    </row>
    <row r="30" spans="1:22" ht="15.75" thickBot="1" x14ac:dyDescent="0.3">
      <c r="A30" s="233" t="s">
        <v>103</v>
      </c>
      <c r="E30" s="250">
        <f>SUM(E12:E29)</f>
        <v>0</v>
      </c>
      <c r="F30" s="234"/>
      <c r="G30" s="250">
        <f>SUM(G12:G29)</f>
        <v>7130.33</v>
      </c>
      <c r="H30" s="234"/>
      <c r="I30" s="250">
        <f>SUM(I12:I29)</f>
        <v>7130.33</v>
      </c>
      <c r="J30" s="251"/>
      <c r="K30" s="250">
        <f>SUM(K12:K29)</f>
        <v>0</v>
      </c>
      <c r="L30" s="234"/>
      <c r="M30" s="250">
        <f>SUM(M12:M29)</f>
        <v>0</v>
      </c>
      <c r="N30" s="234"/>
      <c r="O30" s="250">
        <f>SUM(O12:O29)</f>
        <v>0</v>
      </c>
      <c r="P30" s="234"/>
      <c r="Q30" s="250">
        <f>SUM(Q12:Q29)</f>
        <v>0</v>
      </c>
      <c r="R30" s="234"/>
      <c r="S30" s="250">
        <f>SUM(S12:S29)</f>
        <v>0</v>
      </c>
      <c r="T30" s="250">
        <f>SUM(T12:T29)</f>
        <v>0</v>
      </c>
      <c r="U30" s="234"/>
      <c r="V30" s="250">
        <f>SUM(V12:V29)</f>
        <v>0</v>
      </c>
    </row>
    <row r="31" spans="1:22" ht="15.75" thickTop="1" x14ac:dyDescent="0.25">
      <c r="A31" s="227"/>
      <c r="B31" s="227"/>
      <c r="C31" s="227"/>
      <c r="D31" s="227"/>
      <c r="E31" s="228"/>
      <c r="F31" s="228"/>
      <c r="G31" s="228"/>
      <c r="H31" s="228"/>
      <c r="I31" s="228"/>
      <c r="J31" s="228"/>
      <c r="K31" s="228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</row>
    <row r="32" spans="1:22" x14ac:dyDescent="0.25">
      <c r="A32" s="227"/>
      <c r="B32" s="227" t="s">
        <v>152</v>
      </c>
      <c r="C32" s="227"/>
      <c r="D32" s="227"/>
      <c r="E32" s="228"/>
      <c r="F32" s="228"/>
      <c r="G32" s="228"/>
      <c r="H32" s="228"/>
      <c r="I32" s="228"/>
      <c r="J32" s="228"/>
      <c r="K32" s="228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</row>
    <row r="33" spans="1:22" x14ac:dyDescent="0.25">
      <c r="A33" s="227"/>
      <c r="B33" s="227"/>
      <c r="C33" s="227"/>
      <c r="D33" s="227"/>
      <c r="E33" s="228"/>
      <c r="F33" s="228"/>
      <c r="G33" s="228"/>
      <c r="H33" s="228"/>
      <c r="I33" s="228"/>
      <c r="J33" s="228"/>
      <c r="K33" s="228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</row>
    <row r="34" spans="1:22" x14ac:dyDescent="0.25">
      <c r="A34" s="227"/>
      <c r="B34" s="227"/>
      <c r="C34" s="227"/>
      <c r="D34" s="227"/>
      <c r="E34" s="228"/>
      <c r="F34" s="228"/>
      <c r="G34" s="228"/>
      <c r="H34" s="228"/>
      <c r="I34" s="228"/>
      <c r="J34" s="228"/>
      <c r="K34" s="228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</row>
    <row r="35" spans="1:22" x14ac:dyDescent="0.25">
      <c r="A35" s="227"/>
      <c r="B35" s="227"/>
      <c r="C35" s="227"/>
      <c r="D35" s="227"/>
      <c r="E35" s="228"/>
      <c r="F35" s="228"/>
      <c r="G35" s="228"/>
      <c r="H35" s="228"/>
      <c r="I35" s="228"/>
      <c r="J35" s="228"/>
      <c r="K35" s="228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</row>
    <row r="36" spans="1:22" x14ac:dyDescent="0.25">
      <c r="A36" s="227"/>
      <c r="B36" s="227"/>
      <c r="C36" s="227"/>
      <c r="D36" s="227"/>
      <c r="E36" s="228"/>
      <c r="F36" s="228"/>
      <c r="G36" s="228"/>
      <c r="H36" s="228"/>
      <c r="I36" s="228"/>
      <c r="J36" s="228"/>
      <c r="K36" s="228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</row>
    <row r="37" spans="1:22" x14ac:dyDescent="0.25">
      <c r="A37" s="227"/>
      <c r="B37" s="227"/>
      <c r="C37" s="227"/>
      <c r="D37" s="227"/>
      <c r="E37" s="228"/>
      <c r="F37" s="228"/>
      <c r="G37" s="228"/>
      <c r="H37" s="228"/>
      <c r="I37" s="228"/>
      <c r="J37" s="228"/>
      <c r="K37" s="228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</row>
    <row r="38" spans="1:22" x14ac:dyDescent="0.25">
      <c r="A38" s="227"/>
      <c r="B38" s="227"/>
      <c r="C38" s="227"/>
      <c r="D38" s="227"/>
      <c r="E38" s="228"/>
      <c r="F38" s="228"/>
      <c r="G38" s="228"/>
      <c r="H38" s="228"/>
      <c r="I38" s="228"/>
      <c r="J38" s="228"/>
      <c r="K38" s="228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</row>
    <row r="39" spans="1:22" x14ac:dyDescent="0.25">
      <c r="A39" s="227"/>
      <c r="B39" s="227"/>
      <c r="C39" s="227"/>
      <c r="D39" s="227"/>
      <c r="E39" s="228"/>
      <c r="F39" s="228"/>
      <c r="G39" s="228"/>
      <c r="H39" s="228"/>
      <c r="I39" s="228"/>
      <c r="J39" s="228"/>
      <c r="K39" s="228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</row>
    <row r="40" spans="1:22" x14ac:dyDescent="0.25">
      <c r="A40" s="227"/>
      <c r="B40" s="227"/>
      <c r="C40" s="227"/>
      <c r="D40" s="227"/>
      <c r="E40" s="228"/>
      <c r="F40" s="228"/>
      <c r="G40" s="228"/>
      <c r="H40" s="228"/>
      <c r="I40" s="228"/>
      <c r="J40" s="228"/>
      <c r="K40" s="228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587F-D9C1-4075-8F46-5FCFA211510D}">
  <dimension ref="A1:J23"/>
  <sheetViews>
    <sheetView showGridLines="0" workbookViewId="0">
      <selection activeCell="F20" sqref="F20"/>
    </sheetView>
  </sheetViews>
  <sheetFormatPr defaultRowHeight="15" x14ac:dyDescent="0.25"/>
  <cols>
    <col min="1" max="1" width="14.6640625" style="86" customWidth="1"/>
    <col min="2" max="2" width="6" style="86" customWidth="1"/>
    <col min="3" max="3" width="8.6640625" style="86" customWidth="1"/>
    <col min="4" max="4" width="5.33203125" style="86" customWidth="1"/>
    <col min="5" max="5" width="22" style="86" customWidth="1"/>
    <col min="6" max="6" width="24" style="86" customWidth="1"/>
    <col min="7" max="7" width="20" style="86" customWidth="1"/>
    <col min="8" max="8" width="16.6640625" style="86" customWidth="1"/>
    <col min="9" max="9" width="3.33203125" style="86" customWidth="1"/>
    <col min="10" max="10" width="26" style="86" customWidth="1"/>
    <col min="11" max="16384" width="9.33203125" style="86"/>
  </cols>
  <sheetData>
    <row r="1" spans="1:10" x14ac:dyDescent="0.25">
      <c r="A1" s="183"/>
      <c r="B1" s="183"/>
      <c r="C1" s="183"/>
      <c r="D1" s="183"/>
      <c r="E1" s="183"/>
      <c r="F1" s="183"/>
      <c r="G1" s="183"/>
      <c r="H1" s="183"/>
      <c r="I1" s="183" t="s">
        <v>102</v>
      </c>
      <c r="J1" s="183"/>
    </row>
    <row r="2" spans="1:10" x14ac:dyDescent="0.25">
      <c r="A2" s="184" t="s">
        <v>101</v>
      </c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4" t="s">
        <v>100</v>
      </c>
      <c r="B3" s="184"/>
      <c r="C3" s="184"/>
      <c r="D3" s="184"/>
      <c r="E3" s="184"/>
      <c r="F3" s="184"/>
      <c r="G3" s="184"/>
      <c r="H3" s="184"/>
      <c r="I3" s="184"/>
      <c r="J3" s="184"/>
    </row>
    <row r="4" spans="1:10" x14ac:dyDescent="0.25">
      <c r="A4" s="184" t="s">
        <v>157</v>
      </c>
      <c r="B4" s="184"/>
      <c r="C4" s="184"/>
      <c r="D4" s="184"/>
      <c r="E4" s="184"/>
      <c r="F4" s="184"/>
      <c r="G4" s="184"/>
      <c r="H4" s="184"/>
      <c r="I4" s="184"/>
      <c r="J4" s="184"/>
    </row>
    <row r="5" spans="1:10" x14ac:dyDescent="0.25">
      <c r="A5" s="184" t="s">
        <v>98</v>
      </c>
      <c r="B5" s="184"/>
      <c r="C5" s="184"/>
      <c r="D5" s="184"/>
      <c r="E5" s="184"/>
      <c r="F5" s="184"/>
      <c r="G5" s="184"/>
      <c r="H5" s="184"/>
      <c r="I5" s="184"/>
      <c r="J5" s="184"/>
    </row>
    <row r="6" spans="1:10" x14ac:dyDescent="0.25">
      <c r="A6" s="184" t="s">
        <v>97</v>
      </c>
      <c r="B6" s="184"/>
      <c r="C6" s="184"/>
      <c r="D6" s="184"/>
      <c r="E6" s="184"/>
      <c r="F6" s="184"/>
      <c r="G6" s="184"/>
      <c r="H6" s="184"/>
      <c r="I6" s="184"/>
      <c r="J6" s="184"/>
    </row>
    <row r="7" spans="1:10" x14ac:dyDescent="0.25">
      <c r="A7" s="181" t="s">
        <v>96</v>
      </c>
      <c r="B7" s="181"/>
      <c r="C7" s="182" t="s">
        <v>95</v>
      </c>
      <c r="D7" s="182"/>
      <c r="E7" s="182"/>
      <c r="F7" s="182"/>
      <c r="G7" s="182"/>
      <c r="H7" s="182"/>
      <c r="I7" s="183" t="s">
        <v>94</v>
      </c>
      <c r="J7" s="183"/>
    </row>
    <row r="8" spans="1:10" x14ac:dyDescent="0.25">
      <c r="A8" s="181" t="s">
        <v>78</v>
      </c>
      <c r="B8" s="181"/>
      <c r="C8" s="182" t="s">
        <v>156</v>
      </c>
      <c r="D8" s="182"/>
      <c r="E8" s="182"/>
      <c r="F8" s="182"/>
      <c r="G8" s="182"/>
      <c r="H8" s="182"/>
      <c r="I8" s="183" t="s">
        <v>92</v>
      </c>
      <c r="J8" s="183"/>
    </row>
    <row r="9" spans="1:10" x14ac:dyDescent="0.25">
      <c r="A9" s="181" t="s">
        <v>91</v>
      </c>
      <c r="B9" s="181"/>
      <c r="C9" s="186"/>
      <c r="D9" s="186"/>
      <c r="E9" s="186"/>
      <c r="F9" s="186"/>
      <c r="G9" s="186"/>
      <c r="H9" s="186"/>
      <c r="I9" s="183" t="s">
        <v>90</v>
      </c>
      <c r="J9" s="183"/>
    </row>
    <row r="10" spans="1:10" x14ac:dyDescent="0.25">
      <c r="A10" s="183"/>
      <c r="B10" s="183"/>
      <c r="C10" s="183"/>
      <c r="D10" s="183"/>
      <c r="E10" s="183"/>
      <c r="F10" s="183"/>
      <c r="G10" s="183"/>
      <c r="H10" s="183"/>
      <c r="I10" s="183"/>
      <c r="J10" s="183"/>
    </row>
    <row r="11" spans="1:10" x14ac:dyDescent="0.25">
      <c r="A11" s="187"/>
      <c r="B11" s="187"/>
      <c r="C11" s="187"/>
      <c r="D11" s="187"/>
      <c r="E11" s="187"/>
      <c r="F11" s="187"/>
      <c r="G11" s="187"/>
      <c r="H11" s="187"/>
      <c r="I11" s="187"/>
      <c r="J11" s="187"/>
    </row>
    <row r="12" spans="1:10" x14ac:dyDescent="0.25">
      <c r="A12" s="188" t="s">
        <v>89</v>
      </c>
      <c r="B12" s="188"/>
      <c r="C12" s="188"/>
      <c r="D12" s="188"/>
      <c r="E12" s="188"/>
      <c r="F12" s="188"/>
      <c r="G12" s="188"/>
      <c r="H12" s="188"/>
      <c r="I12" s="188"/>
      <c r="J12" s="188"/>
    </row>
    <row r="13" spans="1:10" x14ac:dyDescent="0.25">
      <c r="A13" s="187"/>
      <c r="B13" s="187"/>
      <c r="C13" s="187"/>
      <c r="D13" s="187"/>
      <c r="E13" s="187"/>
      <c r="F13" s="187"/>
      <c r="G13" s="187"/>
      <c r="H13" s="187"/>
      <c r="I13" s="187"/>
      <c r="J13" s="187"/>
    </row>
    <row r="14" spans="1:10" x14ac:dyDescent="0.25">
      <c r="A14" s="189" t="s">
        <v>88</v>
      </c>
      <c r="B14" s="189"/>
      <c r="C14" s="189"/>
      <c r="D14" s="189"/>
      <c r="E14" s="189"/>
      <c r="F14" s="89" t="s">
        <v>87</v>
      </c>
      <c r="G14" s="89" t="s">
        <v>86</v>
      </c>
      <c r="H14" s="190" t="s">
        <v>85</v>
      </c>
      <c r="I14" s="190"/>
      <c r="J14" s="89" t="s">
        <v>84</v>
      </c>
    </row>
    <row r="15" spans="1:10" x14ac:dyDescent="0.25">
      <c r="A15" s="185" t="s">
        <v>83</v>
      </c>
      <c r="B15" s="185"/>
      <c r="C15" s="185"/>
      <c r="D15" s="185"/>
      <c r="E15" s="185"/>
      <c r="F15" s="185"/>
      <c r="G15" s="185"/>
      <c r="H15" s="185"/>
      <c r="I15" s="185"/>
      <c r="J15" s="185"/>
    </row>
    <row r="16" spans="1:10" x14ac:dyDescent="0.25">
      <c r="A16" s="192" t="s">
        <v>155</v>
      </c>
      <c r="B16" s="192"/>
      <c r="C16" s="192"/>
      <c r="D16" s="192"/>
      <c r="E16" s="192"/>
      <c r="F16" s="88">
        <v>953703.89</v>
      </c>
      <c r="G16" s="88">
        <v>0</v>
      </c>
      <c r="H16" s="193">
        <v>25966.02</v>
      </c>
      <c r="I16" s="193"/>
      <c r="J16" s="88">
        <v>927737.87</v>
      </c>
    </row>
    <row r="17" spans="1:10" x14ac:dyDescent="0.25">
      <c r="A17" s="187"/>
      <c r="B17" s="187"/>
      <c r="C17" s="187"/>
      <c r="D17" s="187"/>
      <c r="E17" s="187"/>
      <c r="F17" s="187"/>
      <c r="G17" s="187"/>
      <c r="H17" s="187"/>
      <c r="I17" s="187"/>
      <c r="J17" s="187"/>
    </row>
    <row r="18" spans="1:10" x14ac:dyDescent="0.25">
      <c r="A18" s="87" t="s">
        <v>78</v>
      </c>
      <c r="B18" s="194" t="s">
        <v>154</v>
      </c>
      <c r="C18" s="194"/>
      <c r="D18" s="194"/>
      <c r="E18" s="195">
        <v>953703.89</v>
      </c>
      <c r="F18" s="195"/>
      <c r="G18" s="195">
        <v>0</v>
      </c>
      <c r="H18" s="195">
        <v>25966.02</v>
      </c>
      <c r="I18" s="195"/>
      <c r="J18" s="195">
        <v>927737.87</v>
      </c>
    </row>
    <row r="19" spans="1:10" x14ac:dyDescent="0.25">
      <c r="A19" s="87" t="s">
        <v>76</v>
      </c>
      <c r="B19" s="196"/>
      <c r="C19" s="196"/>
      <c r="D19" s="196"/>
      <c r="E19" s="195"/>
      <c r="F19" s="195"/>
      <c r="G19" s="195"/>
      <c r="H19" s="195"/>
      <c r="I19" s="195"/>
      <c r="J19" s="195"/>
    </row>
    <row r="20" spans="1:10" x14ac:dyDescent="0.25">
      <c r="A20" s="187"/>
      <c r="B20" s="187"/>
      <c r="C20" s="187"/>
      <c r="D20" s="187"/>
      <c r="E20" s="187"/>
      <c r="F20" s="187"/>
      <c r="G20" s="187"/>
      <c r="H20" s="187"/>
      <c r="I20" s="187"/>
      <c r="J20" s="187"/>
    </row>
    <row r="21" spans="1:10" x14ac:dyDescent="0.25">
      <c r="A21" s="187"/>
      <c r="B21" s="187"/>
      <c r="C21" s="187"/>
      <c r="D21" s="187"/>
      <c r="E21" s="187"/>
      <c r="F21" s="187"/>
      <c r="G21" s="187"/>
      <c r="H21" s="187"/>
      <c r="I21" s="187"/>
      <c r="J21" s="187"/>
    </row>
    <row r="22" spans="1:10" x14ac:dyDescent="0.25">
      <c r="A22" s="187"/>
      <c r="B22" s="187"/>
      <c r="C22" s="187"/>
      <c r="D22" s="187"/>
      <c r="E22" s="187"/>
      <c r="F22" s="187"/>
      <c r="G22" s="187"/>
      <c r="H22" s="187"/>
      <c r="I22" s="187"/>
      <c r="J22" s="187"/>
    </row>
    <row r="23" spans="1:10" x14ac:dyDescent="0.25">
      <c r="A23" s="191"/>
      <c r="B23" s="191"/>
      <c r="C23" s="191"/>
      <c r="D23" s="191"/>
      <c r="E23" s="191"/>
      <c r="F23" s="191"/>
      <c r="G23" s="191"/>
      <c r="H23" s="191"/>
      <c r="I23" s="191"/>
      <c r="J23" s="191"/>
    </row>
  </sheetData>
  <mergeCells count="39">
    <mergeCell ref="A23:J23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9427-47BB-4F61-A3CF-212F48CE8B4E}">
  <dimension ref="A1:V40"/>
  <sheetViews>
    <sheetView topLeftCell="A4" workbookViewId="0">
      <selection activeCell="F20" sqref="F20"/>
    </sheetView>
  </sheetViews>
  <sheetFormatPr defaultColWidth="10.33203125" defaultRowHeight="15" x14ac:dyDescent="0.25"/>
  <cols>
    <col min="1" max="1" width="2" style="25" customWidth="1"/>
    <col min="2" max="2" width="10.5" style="25" customWidth="1"/>
    <col min="3" max="3" width="51.6640625" style="25" customWidth="1"/>
    <col min="4" max="4" width="2" style="25" customWidth="1"/>
    <col min="5" max="5" width="18.33203125" style="26" customWidth="1"/>
    <col min="6" max="6" width="2" style="26" customWidth="1"/>
    <col min="7" max="7" width="18.33203125" style="26" customWidth="1"/>
    <col min="8" max="8" width="2" style="26" customWidth="1"/>
    <col min="9" max="9" width="18.33203125" style="26" customWidth="1"/>
    <col min="10" max="10" width="2" style="26" customWidth="1"/>
    <col min="11" max="11" width="18.33203125" style="26" customWidth="1"/>
    <col min="12" max="12" width="2" style="25" customWidth="1"/>
    <col min="13" max="13" width="18.33203125" style="25" customWidth="1"/>
    <col min="14" max="14" width="2" style="25" customWidth="1"/>
    <col min="15" max="15" width="18.33203125" style="25" customWidth="1"/>
    <col min="16" max="16" width="2" style="25" customWidth="1"/>
    <col min="17" max="17" width="18.33203125" style="25" customWidth="1"/>
    <col min="18" max="18" width="2" style="25" customWidth="1"/>
    <col min="19" max="20" width="18.33203125" style="25" customWidth="1"/>
    <col min="21" max="21" width="2" style="25" customWidth="1"/>
    <col min="22" max="22" width="18.33203125" style="25" customWidth="1"/>
    <col min="23" max="16384" width="10.33203125" style="25"/>
  </cols>
  <sheetData>
    <row r="1" spans="1:22" x14ac:dyDescent="0.25">
      <c r="A1" s="45" t="s">
        <v>146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2" x14ac:dyDescent="0.25">
      <c r="A2" s="45" t="s">
        <v>145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x14ac:dyDescent="0.25">
      <c r="A3" s="45" t="s">
        <v>144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x14ac:dyDescent="0.25">
      <c r="A4" s="45" t="s">
        <v>158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22" x14ac:dyDescent="0.25">
      <c r="A5" s="45" t="s">
        <v>142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2" x14ac:dyDescent="0.25">
      <c r="A6" s="27"/>
      <c r="B6" s="27"/>
      <c r="C6" s="27"/>
      <c r="D6" s="27"/>
      <c r="E6" s="28"/>
      <c r="F6" s="28"/>
      <c r="G6" s="28"/>
      <c r="H6" s="28"/>
      <c r="I6" s="28"/>
      <c r="J6" s="28"/>
      <c r="K6" s="28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pans="1:22" ht="15.75" thickBot="1" x14ac:dyDescent="0.3">
      <c r="A7" s="27"/>
      <c r="B7" s="27"/>
      <c r="C7" s="27"/>
      <c r="D7" s="27"/>
      <c r="E7" s="28"/>
      <c r="F7" s="28"/>
      <c r="G7" s="28"/>
      <c r="H7" s="28"/>
      <c r="I7" s="28"/>
      <c r="J7" s="38"/>
      <c r="K7" s="44" t="s">
        <v>141</v>
      </c>
      <c r="L7" s="44"/>
      <c r="M7" s="44"/>
      <c r="N7" s="44"/>
      <c r="O7" s="44"/>
      <c r="P7" s="44"/>
      <c r="Q7" s="44"/>
      <c r="R7" s="44"/>
      <c r="S7" s="44"/>
      <c r="T7" s="44"/>
      <c r="U7" s="27"/>
      <c r="V7" s="27"/>
    </row>
    <row r="8" spans="1:22" x14ac:dyDescent="0.25">
      <c r="A8" s="27"/>
      <c r="B8" s="27"/>
      <c r="C8" s="27"/>
      <c r="D8" s="27"/>
      <c r="E8" s="43" t="s">
        <v>140</v>
      </c>
      <c r="F8" s="40"/>
      <c r="G8" s="43" t="s">
        <v>139</v>
      </c>
      <c r="H8" s="40"/>
      <c r="I8" s="43" t="s">
        <v>138</v>
      </c>
      <c r="J8" s="41"/>
      <c r="K8" s="43" t="s">
        <v>137</v>
      </c>
      <c r="L8" s="27"/>
      <c r="M8" s="43" t="s">
        <v>136</v>
      </c>
      <c r="N8" s="40"/>
      <c r="O8" s="43" t="s">
        <v>135</v>
      </c>
      <c r="P8" s="40"/>
      <c r="Q8" s="43" t="s">
        <v>134</v>
      </c>
      <c r="R8" s="40"/>
      <c r="S8" s="43" t="s">
        <v>133</v>
      </c>
      <c r="T8" s="43" t="s">
        <v>132</v>
      </c>
      <c r="U8" s="40"/>
      <c r="V8" s="43" t="s">
        <v>131</v>
      </c>
    </row>
    <row r="9" spans="1:22" ht="115.5" x14ac:dyDescent="0.25">
      <c r="A9" s="37"/>
      <c r="B9" s="27"/>
      <c r="C9" s="27"/>
      <c r="D9" s="27"/>
      <c r="E9" s="39" t="s">
        <v>130</v>
      </c>
      <c r="F9" s="40"/>
      <c r="G9" s="39" t="s">
        <v>129</v>
      </c>
      <c r="H9" s="40"/>
      <c r="I9" s="42" t="s">
        <v>128</v>
      </c>
      <c r="J9" s="41"/>
      <c r="K9" s="39" t="s">
        <v>127</v>
      </c>
      <c r="L9" s="40"/>
      <c r="M9" s="39" t="s">
        <v>126</v>
      </c>
      <c r="N9" s="27"/>
      <c r="O9" s="39" t="s">
        <v>125</v>
      </c>
      <c r="P9" s="27"/>
      <c r="Q9" s="39" t="s">
        <v>124</v>
      </c>
      <c r="R9" s="27"/>
      <c r="S9" s="39" t="s">
        <v>123</v>
      </c>
      <c r="T9" s="39" t="s">
        <v>122</v>
      </c>
      <c r="U9" s="27"/>
      <c r="V9" s="39" t="s">
        <v>121</v>
      </c>
    </row>
    <row r="10" spans="1:22" x14ac:dyDescent="0.25">
      <c r="A10" s="27"/>
      <c r="B10" s="27"/>
      <c r="C10" s="27"/>
      <c r="D10" s="27"/>
      <c r="E10" s="28"/>
      <c r="F10" s="28"/>
      <c r="G10" s="28"/>
      <c r="H10" s="28"/>
      <c r="I10" s="28"/>
      <c r="J10" s="38"/>
      <c r="K10" s="28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</row>
    <row r="11" spans="1:22" x14ac:dyDescent="0.25">
      <c r="A11" s="37" t="s">
        <v>83</v>
      </c>
      <c r="B11" s="27"/>
      <c r="C11" s="27"/>
      <c r="D11" s="27"/>
      <c r="E11" s="28"/>
      <c r="F11" s="28"/>
      <c r="G11" s="28"/>
      <c r="H11" s="28"/>
      <c r="I11" s="28"/>
      <c r="J11" s="38"/>
      <c r="K11" s="28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</row>
    <row r="12" spans="1:22" x14ac:dyDescent="0.25">
      <c r="A12" s="27"/>
      <c r="B12" s="27" t="s">
        <v>120</v>
      </c>
      <c r="C12" s="27"/>
      <c r="D12" s="27"/>
      <c r="E12" s="33"/>
      <c r="F12" s="33"/>
      <c r="G12" s="33"/>
      <c r="H12" s="33"/>
      <c r="I12" s="30">
        <f t="shared" ref="I12:I17" si="0">G12-E12</f>
        <v>0</v>
      </c>
      <c r="J12" s="35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0">
        <f t="shared" ref="V12:V17" si="1">SUM(K12:T12)</f>
        <v>0</v>
      </c>
    </row>
    <row r="13" spans="1:22" x14ac:dyDescent="0.25">
      <c r="A13" s="27"/>
      <c r="B13" s="27" t="s">
        <v>119</v>
      </c>
      <c r="C13" s="27"/>
      <c r="D13" s="27"/>
      <c r="E13" s="33"/>
      <c r="F13" s="33"/>
      <c r="G13" s="33"/>
      <c r="H13" s="33"/>
      <c r="I13" s="30">
        <f t="shared" si="0"/>
        <v>0</v>
      </c>
      <c r="J13" s="35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0">
        <f t="shared" si="1"/>
        <v>0</v>
      </c>
    </row>
    <row r="14" spans="1:22" x14ac:dyDescent="0.25">
      <c r="A14" s="27"/>
      <c r="B14" s="27" t="s">
        <v>118</v>
      </c>
      <c r="C14" s="27"/>
      <c r="D14" s="27"/>
      <c r="E14" s="33"/>
      <c r="F14" s="33"/>
      <c r="G14" s="33"/>
      <c r="H14" s="33"/>
      <c r="I14" s="30">
        <f t="shared" si="0"/>
        <v>0</v>
      </c>
      <c r="J14" s="35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0">
        <f t="shared" si="1"/>
        <v>0</v>
      </c>
    </row>
    <row r="15" spans="1:22" x14ac:dyDescent="0.25">
      <c r="A15" s="27"/>
      <c r="B15" s="27" t="s">
        <v>117</v>
      </c>
      <c r="C15" s="27"/>
      <c r="D15" s="27"/>
      <c r="E15" s="33">
        <v>0</v>
      </c>
      <c r="F15" s="33"/>
      <c r="G15" s="33">
        <v>953703.89</v>
      </c>
      <c r="H15" s="33"/>
      <c r="I15" s="30">
        <f t="shared" si="0"/>
        <v>953703.89</v>
      </c>
      <c r="J15" s="35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0">
        <f t="shared" si="1"/>
        <v>0</v>
      </c>
    </row>
    <row r="16" spans="1:22" x14ac:dyDescent="0.25">
      <c r="A16" s="27"/>
      <c r="B16" s="27" t="s">
        <v>116</v>
      </c>
      <c r="C16" s="27"/>
      <c r="D16" s="27"/>
      <c r="E16" s="33"/>
      <c r="F16" s="33"/>
      <c r="G16" s="33"/>
      <c r="H16" s="33"/>
      <c r="I16" s="30">
        <f t="shared" si="0"/>
        <v>0</v>
      </c>
      <c r="J16" s="35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0">
        <f t="shared" si="1"/>
        <v>0</v>
      </c>
    </row>
    <row r="17" spans="1:22" x14ac:dyDescent="0.25">
      <c r="A17" s="27"/>
      <c r="B17" s="27" t="s">
        <v>115</v>
      </c>
      <c r="C17" s="27"/>
      <c r="D17" s="27"/>
      <c r="E17" s="33"/>
      <c r="F17" s="33"/>
      <c r="G17" s="33"/>
      <c r="H17" s="33"/>
      <c r="I17" s="30">
        <f t="shared" si="0"/>
        <v>0</v>
      </c>
      <c r="J17" s="35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0">
        <f t="shared" si="1"/>
        <v>0</v>
      </c>
    </row>
    <row r="18" spans="1:22" x14ac:dyDescent="0.25">
      <c r="A18" s="37" t="s">
        <v>81</v>
      </c>
      <c r="B18" s="27"/>
      <c r="C18" s="27"/>
      <c r="D18" s="27"/>
      <c r="E18" s="33"/>
      <c r="F18" s="33"/>
      <c r="G18" s="33"/>
      <c r="H18" s="33"/>
      <c r="I18" s="30"/>
      <c r="J18" s="35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0"/>
    </row>
    <row r="19" spans="1:22" x14ac:dyDescent="0.25">
      <c r="A19" s="27"/>
      <c r="B19" s="27" t="s">
        <v>114</v>
      </c>
      <c r="C19" s="27"/>
      <c r="D19" s="27"/>
      <c r="E19" s="33"/>
      <c r="F19" s="33"/>
      <c r="G19" s="33"/>
      <c r="H19" s="33"/>
      <c r="I19" s="30">
        <f t="shared" ref="I19:I29" si="2">G19-E19</f>
        <v>0</v>
      </c>
      <c r="J19" s="35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0">
        <f t="shared" ref="V19:V29" si="3">SUM(K19:T19)</f>
        <v>0</v>
      </c>
    </row>
    <row r="20" spans="1:22" x14ac:dyDescent="0.25">
      <c r="A20" s="27"/>
      <c r="B20" s="27" t="s">
        <v>113</v>
      </c>
      <c r="C20" s="27"/>
      <c r="D20" s="27"/>
      <c r="E20" s="33"/>
      <c r="F20" s="33"/>
      <c r="G20" s="33"/>
      <c r="H20" s="33"/>
      <c r="I20" s="30">
        <f t="shared" si="2"/>
        <v>0</v>
      </c>
      <c r="J20" s="35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0">
        <f t="shared" si="3"/>
        <v>0</v>
      </c>
    </row>
    <row r="21" spans="1:22" x14ac:dyDescent="0.25">
      <c r="A21" s="27"/>
      <c r="B21" s="27" t="s">
        <v>112</v>
      </c>
      <c r="C21" s="27"/>
      <c r="D21" s="27"/>
      <c r="E21" s="33"/>
      <c r="F21" s="33"/>
      <c r="G21" s="33"/>
      <c r="H21" s="33"/>
      <c r="I21" s="30">
        <f t="shared" si="2"/>
        <v>0</v>
      </c>
      <c r="J21" s="35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0">
        <f t="shared" si="3"/>
        <v>0</v>
      </c>
    </row>
    <row r="22" spans="1:22" x14ac:dyDescent="0.25">
      <c r="A22" s="27"/>
      <c r="B22" s="27" t="s">
        <v>111</v>
      </c>
      <c r="C22" s="27"/>
      <c r="D22" s="27"/>
      <c r="E22" s="33"/>
      <c r="F22" s="33"/>
      <c r="G22" s="33"/>
      <c r="H22" s="33"/>
      <c r="I22" s="30">
        <f t="shared" si="2"/>
        <v>0</v>
      </c>
      <c r="J22" s="35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0">
        <f t="shared" si="3"/>
        <v>0</v>
      </c>
    </row>
    <row r="23" spans="1:22" x14ac:dyDescent="0.25">
      <c r="A23" s="27"/>
      <c r="B23" s="27" t="s">
        <v>110</v>
      </c>
      <c r="C23" s="27"/>
      <c r="D23" s="27"/>
      <c r="E23" s="33"/>
      <c r="F23" s="33"/>
      <c r="G23" s="33"/>
      <c r="H23" s="33"/>
      <c r="I23" s="30">
        <f t="shared" si="2"/>
        <v>0</v>
      </c>
      <c r="J23" s="35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0">
        <f t="shared" si="3"/>
        <v>0</v>
      </c>
    </row>
    <row r="24" spans="1:22" x14ac:dyDescent="0.25">
      <c r="A24" s="27"/>
      <c r="B24" s="27" t="s">
        <v>109</v>
      </c>
      <c r="C24" s="27"/>
      <c r="D24" s="27"/>
      <c r="E24" s="33">
        <v>0</v>
      </c>
      <c r="F24" s="33"/>
      <c r="G24" s="33"/>
      <c r="H24" s="33"/>
      <c r="I24" s="30">
        <f t="shared" si="2"/>
        <v>0</v>
      </c>
      <c r="J24" s="35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0">
        <f t="shared" si="3"/>
        <v>0</v>
      </c>
    </row>
    <row r="25" spans="1:22" x14ac:dyDescent="0.25">
      <c r="A25" s="27"/>
      <c r="B25" s="27" t="s">
        <v>108</v>
      </c>
      <c r="C25" s="27"/>
      <c r="D25" s="27"/>
      <c r="E25" s="33"/>
      <c r="F25" s="33"/>
      <c r="G25" s="33"/>
      <c r="H25" s="33"/>
      <c r="I25" s="30">
        <f t="shared" si="2"/>
        <v>0</v>
      </c>
      <c r="J25" s="35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0">
        <f t="shared" si="3"/>
        <v>0</v>
      </c>
    </row>
    <row r="26" spans="1:22" x14ac:dyDescent="0.25">
      <c r="A26" s="27"/>
      <c r="B26" s="27" t="s">
        <v>107</v>
      </c>
      <c r="C26" s="27"/>
      <c r="D26" s="27"/>
      <c r="E26" s="33"/>
      <c r="F26" s="33"/>
      <c r="G26" s="33"/>
      <c r="H26" s="33"/>
      <c r="I26" s="30">
        <f t="shared" si="2"/>
        <v>0</v>
      </c>
      <c r="J26" s="35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0">
        <f t="shared" si="3"/>
        <v>0</v>
      </c>
    </row>
    <row r="27" spans="1:22" x14ac:dyDescent="0.25">
      <c r="A27" s="27"/>
      <c r="B27" s="27" t="s">
        <v>106</v>
      </c>
      <c r="C27" s="27"/>
      <c r="D27" s="27"/>
      <c r="E27" s="33"/>
      <c r="F27" s="33"/>
      <c r="G27" s="33"/>
      <c r="H27" s="33"/>
      <c r="I27" s="30">
        <f t="shared" si="2"/>
        <v>0</v>
      </c>
      <c r="J27" s="35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0">
        <f t="shared" si="3"/>
        <v>0</v>
      </c>
    </row>
    <row r="28" spans="1:22" x14ac:dyDescent="0.25">
      <c r="A28" s="27"/>
      <c r="B28" s="27" t="s">
        <v>105</v>
      </c>
      <c r="C28" s="27"/>
      <c r="D28" s="27"/>
      <c r="E28" s="33"/>
      <c r="F28" s="33"/>
      <c r="G28" s="33"/>
      <c r="H28" s="33"/>
      <c r="I28" s="30">
        <f t="shared" si="2"/>
        <v>0</v>
      </c>
      <c r="J28" s="35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0">
        <f t="shared" si="3"/>
        <v>0</v>
      </c>
    </row>
    <row r="29" spans="1:22" x14ac:dyDescent="0.25">
      <c r="A29" s="27"/>
      <c r="B29" s="27" t="s">
        <v>104</v>
      </c>
      <c r="C29" s="27"/>
      <c r="D29" s="27"/>
      <c r="E29" s="34"/>
      <c r="F29" s="33"/>
      <c r="G29" s="34"/>
      <c r="H29" s="33"/>
      <c r="I29" s="30">
        <f t="shared" si="2"/>
        <v>0</v>
      </c>
      <c r="J29" s="35"/>
      <c r="K29" s="3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0">
        <f t="shared" si="3"/>
        <v>0</v>
      </c>
    </row>
    <row r="30" spans="1:22" ht="15.75" thickBot="1" x14ac:dyDescent="0.3">
      <c r="A30" s="32" t="s">
        <v>103</v>
      </c>
      <c r="E30" s="29">
        <f>SUM(E12:E29)</f>
        <v>0</v>
      </c>
      <c r="F30" s="30"/>
      <c r="G30" s="29">
        <f>SUM(G12:G29)</f>
        <v>953703.89</v>
      </c>
      <c r="H30" s="30"/>
      <c r="I30" s="29">
        <f>SUM(I12:I29)</f>
        <v>953703.89</v>
      </c>
      <c r="J30" s="31"/>
      <c r="K30" s="29">
        <f>SUM(K12:K29)</f>
        <v>0</v>
      </c>
      <c r="L30" s="30"/>
      <c r="M30" s="29">
        <f>SUM(M12:M29)</f>
        <v>0</v>
      </c>
      <c r="N30" s="30"/>
      <c r="O30" s="29">
        <f>SUM(O12:O29)</f>
        <v>0</v>
      </c>
      <c r="P30" s="30"/>
      <c r="Q30" s="29">
        <f>SUM(Q12:Q29)</f>
        <v>0</v>
      </c>
      <c r="R30" s="30"/>
      <c r="S30" s="29">
        <f>SUM(S12:S29)</f>
        <v>0</v>
      </c>
      <c r="T30" s="29">
        <f>SUM(T12:T29)</f>
        <v>0</v>
      </c>
      <c r="U30" s="30"/>
      <c r="V30" s="29">
        <f>SUM(V12:V29)</f>
        <v>0</v>
      </c>
    </row>
    <row r="31" spans="1:22" ht="15.75" thickTop="1" x14ac:dyDescent="0.25">
      <c r="A31" s="27"/>
      <c r="B31" s="27"/>
      <c r="C31" s="27"/>
      <c r="D31" s="27"/>
      <c r="E31" s="28"/>
      <c r="F31" s="28"/>
      <c r="G31" s="28"/>
      <c r="H31" s="28"/>
      <c r="I31" s="28"/>
      <c r="J31" s="28"/>
      <c r="K31" s="28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spans="1:22" x14ac:dyDescent="0.25">
      <c r="A32" s="27"/>
      <c r="B32" s="27" t="s">
        <v>152</v>
      </c>
      <c r="C32" s="27"/>
      <c r="D32" s="27"/>
      <c r="E32" s="28"/>
      <c r="F32" s="28"/>
      <c r="G32" s="28"/>
      <c r="H32" s="28"/>
      <c r="I32" s="28"/>
      <c r="J32" s="28"/>
      <c r="K32" s="28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spans="1:22" x14ac:dyDescent="0.25">
      <c r="A33" s="27"/>
      <c r="B33" s="27"/>
      <c r="C33" s="27"/>
      <c r="D33" s="27"/>
      <c r="E33" s="28"/>
      <c r="F33" s="28"/>
      <c r="G33" s="28"/>
      <c r="H33" s="28"/>
      <c r="I33" s="28"/>
      <c r="J33" s="28"/>
      <c r="K33" s="28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spans="1:22" x14ac:dyDescent="0.25">
      <c r="A34" s="27"/>
      <c r="B34" s="27"/>
      <c r="C34" s="27"/>
      <c r="D34" s="27"/>
      <c r="E34" s="28"/>
      <c r="F34" s="28"/>
      <c r="G34" s="28"/>
      <c r="H34" s="28"/>
      <c r="I34" s="28"/>
      <c r="J34" s="28"/>
      <c r="K34" s="28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spans="1:22" x14ac:dyDescent="0.25">
      <c r="A35" s="27"/>
      <c r="B35" s="27"/>
      <c r="C35" s="27"/>
      <c r="D35" s="27"/>
      <c r="E35" s="28"/>
      <c r="F35" s="28"/>
      <c r="G35" s="28"/>
      <c r="H35" s="28"/>
      <c r="I35" s="28"/>
      <c r="J35" s="28"/>
      <c r="K35" s="28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spans="1:22" x14ac:dyDescent="0.25">
      <c r="A36" s="27"/>
      <c r="B36" s="27"/>
      <c r="C36" s="27"/>
      <c r="D36" s="27"/>
      <c r="E36" s="28"/>
      <c r="F36" s="28"/>
      <c r="G36" s="28"/>
      <c r="H36" s="28"/>
      <c r="I36" s="28"/>
      <c r="J36" s="28"/>
      <c r="K36" s="28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spans="1:22" x14ac:dyDescent="0.25">
      <c r="A37" s="27"/>
      <c r="B37" s="27"/>
      <c r="C37" s="27"/>
      <c r="D37" s="27"/>
      <c r="E37" s="28"/>
      <c r="F37" s="28"/>
      <c r="G37" s="28"/>
      <c r="H37" s="28"/>
      <c r="I37" s="28"/>
      <c r="J37" s="28"/>
      <c r="K37" s="28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spans="1:22" x14ac:dyDescent="0.25">
      <c r="A38" s="27"/>
      <c r="B38" s="27"/>
      <c r="C38" s="27"/>
      <c r="D38" s="27"/>
      <c r="E38" s="28"/>
      <c r="F38" s="28"/>
      <c r="G38" s="28"/>
      <c r="H38" s="28"/>
      <c r="I38" s="28"/>
      <c r="J38" s="28"/>
      <c r="K38" s="28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spans="1:22" x14ac:dyDescent="0.25">
      <c r="A39" s="27"/>
      <c r="B39" s="27"/>
      <c r="C39" s="27"/>
      <c r="D39" s="27"/>
      <c r="E39" s="28"/>
      <c r="F39" s="28"/>
      <c r="G39" s="28"/>
      <c r="H39" s="28"/>
      <c r="I39" s="28"/>
      <c r="J39" s="28"/>
      <c r="K39" s="28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spans="1:22" x14ac:dyDescent="0.25">
      <c r="A40" s="27"/>
      <c r="B40" s="27"/>
      <c r="C40" s="27"/>
      <c r="D40" s="27"/>
      <c r="E40" s="28"/>
      <c r="F40" s="28"/>
      <c r="G40" s="28"/>
      <c r="H40" s="28"/>
      <c r="I40" s="28"/>
      <c r="J40" s="28"/>
      <c r="K40" s="28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42BE-3A42-40D2-9EDA-4BE3AD1C4C57}">
  <sheetPr>
    <pageSetUpPr fitToPage="1"/>
  </sheetPr>
  <dimension ref="A1:J23"/>
  <sheetViews>
    <sheetView showGridLines="0" workbookViewId="0">
      <selection activeCell="E31" sqref="E31"/>
    </sheetView>
  </sheetViews>
  <sheetFormatPr defaultRowHeight="15" x14ac:dyDescent="0.25"/>
  <cols>
    <col min="1" max="1" width="14.6640625" style="21" customWidth="1"/>
    <col min="2" max="2" width="6" style="21" customWidth="1"/>
    <col min="3" max="3" width="8.6640625" style="21" customWidth="1"/>
    <col min="4" max="4" width="5.33203125" style="21" customWidth="1"/>
    <col min="5" max="5" width="22" style="21" customWidth="1"/>
    <col min="6" max="6" width="24" style="21" customWidth="1"/>
    <col min="7" max="7" width="20" style="21" customWidth="1"/>
    <col min="8" max="8" width="16.6640625" style="21" customWidth="1"/>
    <col min="9" max="9" width="3.33203125" style="21" customWidth="1"/>
    <col min="10" max="10" width="26" style="21" customWidth="1"/>
    <col min="11" max="16384" width="9.33203125" style="21"/>
  </cols>
  <sheetData>
    <row r="1" spans="1:10" x14ac:dyDescent="0.25">
      <c r="A1" s="131"/>
      <c r="B1" s="131"/>
      <c r="C1" s="131"/>
      <c r="D1" s="131"/>
      <c r="E1" s="131"/>
      <c r="F1" s="131"/>
      <c r="G1" s="131"/>
      <c r="H1" s="131"/>
      <c r="I1" s="131" t="s">
        <v>102</v>
      </c>
      <c r="J1" s="131"/>
    </row>
    <row r="2" spans="1:10" x14ac:dyDescent="0.25">
      <c r="A2" s="132" t="s">
        <v>101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x14ac:dyDescent="0.25">
      <c r="A3" s="132" t="s">
        <v>100</v>
      </c>
      <c r="B3" s="132"/>
      <c r="C3" s="132"/>
      <c r="D3" s="132"/>
      <c r="E3" s="132"/>
      <c r="F3" s="132"/>
      <c r="G3" s="132"/>
      <c r="H3" s="132"/>
      <c r="I3" s="132"/>
      <c r="J3" s="132"/>
    </row>
    <row r="4" spans="1:10" x14ac:dyDescent="0.25">
      <c r="A4" s="132" t="s">
        <v>170</v>
      </c>
      <c r="B4" s="132"/>
      <c r="C4" s="132"/>
      <c r="D4" s="132"/>
      <c r="E4" s="132"/>
      <c r="F4" s="132"/>
      <c r="G4" s="132"/>
      <c r="H4" s="132"/>
      <c r="I4" s="132"/>
      <c r="J4" s="132"/>
    </row>
    <row r="5" spans="1:10" x14ac:dyDescent="0.25">
      <c r="A5" s="132" t="s">
        <v>98</v>
      </c>
      <c r="B5" s="132"/>
      <c r="C5" s="132"/>
      <c r="D5" s="132"/>
      <c r="E5" s="132"/>
      <c r="F5" s="132"/>
      <c r="G5" s="132"/>
      <c r="H5" s="132"/>
      <c r="I5" s="132"/>
      <c r="J5" s="132"/>
    </row>
    <row r="6" spans="1:10" x14ac:dyDescent="0.25">
      <c r="A6" s="132" t="s">
        <v>97</v>
      </c>
      <c r="B6" s="132"/>
      <c r="C6" s="132"/>
      <c r="D6" s="132"/>
      <c r="E6" s="132"/>
      <c r="F6" s="132"/>
      <c r="G6" s="132"/>
      <c r="H6" s="132"/>
      <c r="I6" s="132"/>
      <c r="J6" s="132"/>
    </row>
    <row r="7" spans="1:10" x14ac:dyDescent="0.25">
      <c r="A7" s="129" t="s">
        <v>96</v>
      </c>
      <c r="B7" s="129"/>
      <c r="C7" s="130" t="s">
        <v>95</v>
      </c>
      <c r="D7" s="130"/>
      <c r="E7" s="130"/>
      <c r="F7" s="130"/>
      <c r="G7" s="130"/>
      <c r="H7" s="130"/>
      <c r="I7" s="131" t="s">
        <v>94</v>
      </c>
      <c r="J7" s="131"/>
    </row>
    <row r="8" spans="1:10" x14ac:dyDescent="0.25">
      <c r="A8" s="129" t="s">
        <v>78</v>
      </c>
      <c r="B8" s="129"/>
      <c r="C8" s="130" t="s">
        <v>169</v>
      </c>
      <c r="D8" s="130"/>
      <c r="E8" s="130"/>
      <c r="F8" s="130"/>
      <c r="G8" s="130"/>
      <c r="H8" s="130"/>
      <c r="I8" s="131" t="s">
        <v>92</v>
      </c>
      <c r="J8" s="131"/>
    </row>
    <row r="9" spans="1:10" x14ac:dyDescent="0.25">
      <c r="A9" s="129" t="s">
        <v>91</v>
      </c>
      <c r="B9" s="129"/>
      <c r="C9" s="134"/>
      <c r="D9" s="134"/>
      <c r="E9" s="134"/>
      <c r="F9" s="134"/>
      <c r="G9" s="134"/>
      <c r="H9" s="134"/>
      <c r="I9" s="131" t="s">
        <v>90</v>
      </c>
      <c r="J9" s="131"/>
    </row>
    <row r="10" spans="1:10" x14ac:dyDescent="0.25">
      <c r="A10" s="131"/>
      <c r="B10" s="131"/>
      <c r="C10" s="131"/>
      <c r="D10" s="131"/>
      <c r="E10" s="131"/>
      <c r="F10" s="131"/>
      <c r="G10" s="131"/>
      <c r="H10" s="131"/>
      <c r="I10" s="131"/>
      <c r="J10" s="131"/>
    </row>
    <row r="11" spans="1:10" x14ac:dyDescent="0.25">
      <c r="A11" s="135"/>
      <c r="B11" s="135"/>
      <c r="C11" s="135"/>
      <c r="D11" s="135"/>
      <c r="E11" s="135"/>
      <c r="F11" s="135"/>
      <c r="G11" s="135"/>
      <c r="H11" s="135"/>
      <c r="I11" s="135"/>
      <c r="J11" s="135"/>
    </row>
    <row r="12" spans="1:10" x14ac:dyDescent="0.25">
      <c r="A12" s="136" t="s">
        <v>89</v>
      </c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10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0" x14ac:dyDescent="0.25">
      <c r="A14" s="137" t="s">
        <v>88</v>
      </c>
      <c r="B14" s="137"/>
      <c r="C14" s="137"/>
      <c r="D14" s="137"/>
      <c r="E14" s="137"/>
      <c r="F14" s="24" t="s">
        <v>87</v>
      </c>
      <c r="G14" s="24" t="s">
        <v>86</v>
      </c>
      <c r="H14" s="138" t="s">
        <v>85</v>
      </c>
      <c r="I14" s="138"/>
      <c r="J14" s="24" t="s">
        <v>84</v>
      </c>
    </row>
    <row r="15" spans="1:10" x14ac:dyDescent="0.25">
      <c r="A15" s="133" t="s">
        <v>83</v>
      </c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0" x14ac:dyDescent="0.25">
      <c r="A16" s="139" t="s">
        <v>82</v>
      </c>
      <c r="B16" s="139"/>
      <c r="C16" s="139"/>
      <c r="D16" s="139"/>
      <c r="E16" s="139"/>
      <c r="F16" s="23">
        <v>972.91</v>
      </c>
      <c r="G16" s="23">
        <v>0</v>
      </c>
      <c r="H16" s="140">
        <v>0</v>
      </c>
      <c r="I16" s="140"/>
      <c r="J16" s="23">
        <v>972.91</v>
      </c>
    </row>
    <row r="17" spans="1:10" x14ac:dyDescent="0.25">
      <c r="A17" s="135"/>
      <c r="B17" s="135"/>
      <c r="C17" s="135"/>
      <c r="D17" s="135"/>
      <c r="E17" s="135"/>
      <c r="F17" s="135"/>
      <c r="G17" s="135"/>
      <c r="H17" s="135"/>
      <c r="I17" s="135"/>
      <c r="J17" s="135"/>
    </row>
    <row r="18" spans="1:10" x14ac:dyDescent="0.25">
      <c r="A18" s="22" t="s">
        <v>78</v>
      </c>
      <c r="B18" s="142" t="s">
        <v>168</v>
      </c>
      <c r="C18" s="142"/>
      <c r="D18" s="142"/>
      <c r="E18" s="143">
        <v>972.91</v>
      </c>
      <c r="F18" s="143"/>
      <c r="G18" s="143">
        <v>0</v>
      </c>
      <c r="H18" s="143">
        <v>0</v>
      </c>
      <c r="I18" s="143"/>
      <c r="J18" s="143">
        <v>972.91</v>
      </c>
    </row>
    <row r="19" spans="1:10" x14ac:dyDescent="0.25">
      <c r="A19" s="22" t="s">
        <v>76</v>
      </c>
      <c r="B19" s="144"/>
      <c r="C19" s="144"/>
      <c r="D19" s="144"/>
      <c r="E19" s="143"/>
      <c r="F19" s="143"/>
      <c r="G19" s="143"/>
      <c r="H19" s="143"/>
      <c r="I19" s="143"/>
      <c r="J19" s="143"/>
    </row>
    <row r="20" spans="1:10" x14ac:dyDescent="0.25">
      <c r="A20" s="135"/>
      <c r="B20" s="135"/>
      <c r="C20" s="135"/>
      <c r="D20" s="135"/>
      <c r="E20" s="135"/>
      <c r="F20" s="135"/>
      <c r="G20" s="135"/>
      <c r="H20" s="135"/>
      <c r="I20" s="135"/>
      <c r="J20" s="135"/>
    </row>
    <row r="21" spans="1:10" x14ac:dyDescent="0.25">
      <c r="A21" s="135"/>
      <c r="B21" s="135"/>
      <c r="C21" s="135"/>
      <c r="D21" s="135"/>
      <c r="E21" s="135"/>
      <c r="F21" s="135"/>
      <c r="G21" s="135"/>
      <c r="H21" s="135"/>
      <c r="I21" s="135"/>
      <c r="J21" s="135"/>
    </row>
    <row r="22" spans="1:10" x14ac:dyDescent="0.25">
      <c r="A22" s="135"/>
      <c r="B22" s="135"/>
      <c r="C22" s="135"/>
      <c r="D22" s="135"/>
      <c r="E22" s="135"/>
      <c r="F22" s="135"/>
      <c r="G22" s="135"/>
      <c r="H22" s="135"/>
      <c r="I22" s="135"/>
      <c r="J22" s="135"/>
    </row>
    <row r="23" spans="1:10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</row>
  </sheetData>
  <mergeCells count="39">
    <mergeCell ref="H18:I19"/>
    <mergeCell ref="J18:J19"/>
    <mergeCell ref="B19:D19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ageMargins left="0.7" right="0.7" top="0.75" bottom="0.75" header="0.3" footer="0.3"/>
  <pageSetup scale="9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7977-5499-4696-90D7-DD347081A416}">
  <sheetPr>
    <pageSetUpPr fitToPage="1"/>
  </sheetPr>
  <dimension ref="A1:V40"/>
  <sheetViews>
    <sheetView topLeftCell="A9" workbookViewId="0">
      <selection activeCell="E9" sqref="E9"/>
    </sheetView>
  </sheetViews>
  <sheetFormatPr defaultRowHeight="15" x14ac:dyDescent="0.25"/>
  <cols>
    <col min="1" max="1" width="2" style="21" customWidth="1"/>
    <col min="2" max="2" width="10.5" style="21" customWidth="1"/>
    <col min="3" max="3" width="51.6640625" style="21" customWidth="1"/>
    <col min="4" max="4" width="2" style="21" customWidth="1"/>
    <col min="5" max="5" width="18.33203125" style="67" customWidth="1"/>
    <col min="6" max="6" width="2" style="67" customWidth="1"/>
    <col min="7" max="7" width="18.33203125" style="67" customWidth="1"/>
    <col min="8" max="8" width="2" style="67" customWidth="1"/>
    <col min="9" max="9" width="18.33203125" style="67" customWidth="1"/>
    <col min="10" max="10" width="2" style="67" customWidth="1"/>
    <col min="11" max="11" width="18.33203125" style="67" customWidth="1"/>
    <col min="12" max="12" width="2" style="21" customWidth="1"/>
    <col min="13" max="13" width="18.33203125" style="21" customWidth="1"/>
    <col min="14" max="14" width="2" style="21" customWidth="1"/>
    <col min="15" max="15" width="18.33203125" style="21" customWidth="1"/>
    <col min="16" max="16" width="2" style="21" customWidth="1"/>
    <col min="17" max="17" width="18.33203125" style="21" customWidth="1"/>
    <col min="18" max="18" width="2" style="21" customWidth="1"/>
    <col min="19" max="20" width="18.33203125" style="21" customWidth="1"/>
    <col min="21" max="21" width="2" style="21" customWidth="1"/>
    <col min="22" max="22" width="18.33203125" style="21" customWidth="1"/>
    <col min="23" max="16384" width="9.33203125" style="21"/>
  </cols>
  <sheetData>
    <row r="1" spans="1:22" x14ac:dyDescent="0.25">
      <c r="A1" s="85" t="s">
        <v>146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2" x14ac:dyDescent="0.25">
      <c r="A2" s="85" t="s">
        <v>145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2" x14ac:dyDescent="0.25">
      <c r="A3" s="85" t="s">
        <v>144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</row>
    <row r="4" spans="1:22" x14ac:dyDescent="0.25">
      <c r="A4" s="85" t="s">
        <v>176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</row>
    <row r="5" spans="1:22" x14ac:dyDescent="0.25">
      <c r="A5" s="85" t="s">
        <v>142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</row>
    <row r="6" spans="1:22" x14ac:dyDescent="0.25">
      <c r="A6" s="68"/>
      <c r="B6" s="68"/>
      <c r="C6" s="68"/>
      <c r="D6" s="68"/>
      <c r="E6" s="69"/>
      <c r="F6" s="69"/>
      <c r="G6" s="69"/>
      <c r="H6" s="69"/>
      <c r="I6" s="69"/>
      <c r="J6" s="69"/>
      <c r="K6" s="69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</row>
    <row r="7" spans="1:22" ht="15.75" thickBot="1" x14ac:dyDescent="0.3">
      <c r="A7" s="68"/>
      <c r="B7" s="68"/>
      <c r="C7" s="68"/>
      <c r="D7" s="68"/>
      <c r="E7" s="69"/>
      <c r="F7" s="69"/>
      <c r="G7" s="69"/>
      <c r="H7" s="69"/>
      <c r="I7" s="69"/>
      <c r="J7" s="78"/>
      <c r="K7" s="84" t="s">
        <v>141</v>
      </c>
      <c r="L7" s="84"/>
      <c r="M7" s="84"/>
      <c r="N7" s="84"/>
      <c r="O7" s="84"/>
      <c r="P7" s="84"/>
      <c r="Q7" s="84"/>
      <c r="R7" s="84"/>
      <c r="S7" s="84"/>
      <c r="T7" s="84"/>
      <c r="U7" s="68"/>
      <c r="V7" s="68"/>
    </row>
    <row r="8" spans="1:22" x14ac:dyDescent="0.25">
      <c r="A8" s="68"/>
      <c r="B8" s="68"/>
      <c r="C8" s="68"/>
      <c r="D8" s="68"/>
      <c r="E8" s="83" t="s">
        <v>140</v>
      </c>
      <c r="F8" s="80"/>
      <c r="G8" s="83" t="s">
        <v>139</v>
      </c>
      <c r="H8" s="80"/>
      <c r="I8" s="83" t="s">
        <v>138</v>
      </c>
      <c r="J8" s="81"/>
      <c r="K8" s="83" t="s">
        <v>137</v>
      </c>
      <c r="L8" s="68"/>
      <c r="M8" s="83" t="s">
        <v>136</v>
      </c>
      <c r="N8" s="80"/>
      <c r="O8" s="83" t="s">
        <v>135</v>
      </c>
      <c r="P8" s="80"/>
      <c r="Q8" s="83" t="s">
        <v>134</v>
      </c>
      <c r="R8" s="80"/>
      <c r="S8" s="83" t="s">
        <v>133</v>
      </c>
      <c r="T8" s="83" t="s">
        <v>132</v>
      </c>
      <c r="U8" s="80"/>
      <c r="V8" s="83" t="s">
        <v>131</v>
      </c>
    </row>
    <row r="9" spans="1:22" ht="131.25" x14ac:dyDescent="0.25">
      <c r="A9" s="77"/>
      <c r="B9" s="68"/>
      <c r="C9" s="68"/>
      <c r="D9" s="68"/>
      <c r="E9" s="79" t="s">
        <v>130</v>
      </c>
      <c r="F9" s="80"/>
      <c r="G9" s="79" t="s">
        <v>129</v>
      </c>
      <c r="H9" s="80"/>
      <c r="I9" s="82" t="s">
        <v>128</v>
      </c>
      <c r="J9" s="81"/>
      <c r="K9" s="79" t="s">
        <v>127</v>
      </c>
      <c r="L9" s="80"/>
      <c r="M9" s="79" t="s">
        <v>126</v>
      </c>
      <c r="N9" s="68"/>
      <c r="O9" s="79" t="s">
        <v>175</v>
      </c>
      <c r="P9" s="68"/>
      <c r="Q9" s="79" t="s">
        <v>174</v>
      </c>
      <c r="R9" s="68"/>
      <c r="S9" s="79" t="s">
        <v>173</v>
      </c>
      <c r="T9" s="79" t="s">
        <v>172</v>
      </c>
      <c r="U9" s="68"/>
      <c r="V9" s="79" t="s">
        <v>171</v>
      </c>
    </row>
    <row r="10" spans="1:22" x14ac:dyDescent="0.25">
      <c r="A10" s="68"/>
      <c r="B10" s="68"/>
      <c r="C10" s="68"/>
      <c r="D10" s="68"/>
      <c r="E10" s="69"/>
      <c r="F10" s="69"/>
      <c r="G10" s="69"/>
      <c r="H10" s="69"/>
      <c r="I10" s="69"/>
      <c r="J10" s="78"/>
      <c r="K10" s="69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</row>
    <row r="11" spans="1:22" x14ac:dyDescent="0.25">
      <c r="A11" s="77" t="s">
        <v>83</v>
      </c>
      <c r="B11" s="68"/>
      <c r="C11" s="68"/>
      <c r="D11" s="68"/>
      <c r="E11" s="69"/>
      <c r="F11" s="69"/>
      <c r="G11" s="69"/>
      <c r="H11" s="69"/>
      <c r="I11" s="69"/>
      <c r="J11" s="78"/>
      <c r="K11" s="69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</row>
    <row r="12" spans="1:22" x14ac:dyDescent="0.25">
      <c r="A12" s="68"/>
      <c r="B12" s="68" t="s">
        <v>120</v>
      </c>
      <c r="C12" s="68"/>
      <c r="D12" s="68"/>
      <c r="E12" s="74"/>
      <c r="F12" s="74"/>
      <c r="G12" s="74"/>
      <c r="H12" s="74"/>
      <c r="I12" s="71">
        <f>G12-E12</f>
        <v>0</v>
      </c>
      <c r="J12" s="76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1">
        <f>SUM(K12:T12)</f>
        <v>0</v>
      </c>
    </row>
    <row r="13" spans="1:22" x14ac:dyDescent="0.25">
      <c r="A13" s="68"/>
      <c r="B13" s="68" t="s">
        <v>119</v>
      </c>
      <c r="C13" s="68"/>
      <c r="D13" s="68"/>
      <c r="E13" s="74"/>
      <c r="F13" s="74"/>
      <c r="G13" s="74"/>
      <c r="H13" s="74"/>
      <c r="I13" s="71">
        <f>G13-E13</f>
        <v>0</v>
      </c>
      <c r="J13" s="76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1">
        <f>SUM(K13:T13)</f>
        <v>0</v>
      </c>
    </row>
    <row r="14" spans="1:22" x14ac:dyDescent="0.25">
      <c r="A14" s="68"/>
      <c r="B14" s="68" t="s">
        <v>118</v>
      </c>
      <c r="C14" s="68"/>
      <c r="D14" s="68"/>
      <c r="E14" s="74"/>
      <c r="F14" s="74"/>
      <c r="G14" s="74"/>
      <c r="H14" s="74"/>
      <c r="I14" s="71">
        <f>G14-E14</f>
        <v>0</v>
      </c>
      <c r="J14" s="76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1">
        <f>SUM(K14:T14)</f>
        <v>0</v>
      </c>
    </row>
    <row r="15" spans="1:22" x14ac:dyDescent="0.25">
      <c r="A15" s="68"/>
      <c r="B15" s="68" t="s">
        <v>117</v>
      </c>
      <c r="C15" s="68"/>
      <c r="D15" s="68"/>
      <c r="E15" s="74">
        <v>0</v>
      </c>
      <c r="F15" s="74"/>
      <c r="G15" s="74">
        <v>972.91</v>
      </c>
      <c r="H15" s="74"/>
      <c r="I15" s="71">
        <f>G15-E15</f>
        <v>972.91</v>
      </c>
      <c r="J15" s="76"/>
      <c r="K15" s="74"/>
      <c r="L15" s="74"/>
      <c r="M15" s="74"/>
      <c r="N15" s="74"/>
      <c r="O15" s="74"/>
      <c r="P15" s="74"/>
      <c r="Q15" s="209"/>
      <c r="R15" s="74"/>
      <c r="S15" s="74"/>
      <c r="T15" s="74"/>
      <c r="U15" s="74"/>
      <c r="V15" s="208">
        <f>SUM(K15:T15)</f>
        <v>0</v>
      </c>
    </row>
    <row r="16" spans="1:22" x14ac:dyDescent="0.25">
      <c r="A16" s="68"/>
      <c r="B16" s="68" t="s">
        <v>116</v>
      </c>
      <c r="C16" s="68"/>
      <c r="D16" s="68"/>
      <c r="E16" s="74"/>
      <c r="F16" s="74"/>
      <c r="G16" s="74"/>
      <c r="H16" s="74"/>
      <c r="I16" s="71">
        <f>G16-E16</f>
        <v>0</v>
      </c>
      <c r="J16" s="76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1">
        <f>SUM(K16:T16)</f>
        <v>0</v>
      </c>
    </row>
    <row r="17" spans="1:22" x14ac:dyDescent="0.25">
      <c r="A17" s="68"/>
      <c r="B17" s="68" t="s">
        <v>115</v>
      </c>
      <c r="C17" s="68"/>
      <c r="D17" s="68"/>
      <c r="E17" s="74"/>
      <c r="F17" s="74"/>
      <c r="G17" s="74"/>
      <c r="H17" s="74"/>
      <c r="I17" s="71">
        <f>G17-E17</f>
        <v>0</v>
      </c>
      <c r="J17" s="76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1">
        <f>SUM(K17:T17)</f>
        <v>0</v>
      </c>
    </row>
    <row r="18" spans="1:22" x14ac:dyDescent="0.25">
      <c r="A18" s="77" t="s">
        <v>81</v>
      </c>
      <c r="B18" s="68"/>
      <c r="C18" s="68"/>
      <c r="D18" s="68"/>
      <c r="E18" s="74"/>
      <c r="F18" s="74"/>
      <c r="G18" s="74"/>
      <c r="H18" s="74"/>
      <c r="I18" s="71"/>
      <c r="J18" s="76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1"/>
    </row>
    <row r="19" spans="1:22" x14ac:dyDescent="0.25">
      <c r="A19" s="68"/>
      <c r="B19" s="68" t="s">
        <v>114</v>
      </c>
      <c r="C19" s="68"/>
      <c r="D19" s="68"/>
      <c r="E19" s="74"/>
      <c r="F19" s="74"/>
      <c r="G19" s="74"/>
      <c r="H19" s="74"/>
      <c r="I19" s="71">
        <f>G19-E19</f>
        <v>0</v>
      </c>
      <c r="J19" s="76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1">
        <f>SUM(K19:T19)</f>
        <v>0</v>
      </c>
    </row>
    <row r="20" spans="1:22" x14ac:dyDescent="0.25">
      <c r="A20" s="68"/>
      <c r="B20" s="68" t="s">
        <v>113</v>
      </c>
      <c r="C20" s="68"/>
      <c r="D20" s="68"/>
      <c r="E20" s="74"/>
      <c r="F20" s="74"/>
      <c r="G20" s="74"/>
      <c r="H20" s="74"/>
      <c r="I20" s="71">
        <f>G20-E20</f>
        <v>0</v>
      </c>
      <c r="J20" s="76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1">
        <f>SUM(K20:T20)</f>
        <v>0</v>
      </c>
    </row>
    <row r="21" spans="1:22" x14ac:dyDescent="0.25">
      <c r="A21" s="68"/>
      <c r="B21" s="68" t="s">
        <v>112</v>
      </c>
      <c r="C21" s="68"/>
      <c r="D21" s="68"/>
      <c r="E21" s="74"/>
      <c r="F21" s="74"/>
      <c r="G21" s="74"/>
      <c r="H21" s="74"/>
      <c r="I21" s="71">
        <f>G21-E21</f>
        <v>0</v>
      </c>
      <c r="J21" s="76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1">
        <f>SUM(K21:T21)</f>
        <v>0</v>
      </c>
    </row>
    <row r="22" spans="1:22" x14ac:dyDescent="0.25">
      <c r="A22" s="68"/>
      <c r="B22" s="68" t="s">
        <v>111</v>
      </c>
      <c r="C22" s="68"/>
      <c r="D22" s="68"/>
      <c r="E22" s="74"/>
      <c r="F22" s="74"/>
      <c r="G22" s="74"/>
      <c r="H22" s="74"/>
      <c r="I22" s="71">
        <f>G22-E22</f>
        <v>0</v>
      </c>
      <c r="J22" s="76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1">
        <f>SUM(K22:T22)</f>
        <v>0</v>
      </c>
    </row>
    <row r="23" spans="1:22" x14ac:dyDescent="0.25">
      <c r="A23" s="68"/>
      <c r="B23" s="68" t="s">
        <v>110</v>
      </c>
      <c r="C23" s="68"/>
      <c r="D23" s="68"/>
      <c r="E23" s="74"/>
      <c r="F23" s="74"/>
      <c r="G23" s="74"/>
      <c r="H23" s="74"/>
      <c r="I23" s="71">
        <f>G23-E23</f>
        <v>0</v>
      </c>
      <c r="J23" s="76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1">
        <f>SUM(K23:T23)</f>
        <v>0</v>
      </c>
    </row>
    <row r="24" spans="1:22" x14ac:dyDescent="0.25">
      <c r="A24" s="68"/>
      <c r="B24" s="68" t="s">
        <v>109</v>
      </c>
      <c r="C24" s="68"/>
      <c r="D24" s="68"/>
      <c r="E24" s="74">
        <v>0</v>
      </c>
      <c r="F24" s="74"/>
      <c r="G24" s="74"/>
      <c r="H24" s="74"/>
      <c r="I24" s="71">
        <f>G24-E24</f>
        <v>0</v>
      </c>
      <c r="J24" s="76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1">
        <f>SUM(K24:T24)</f>
        <v>0</v>
      </c>
    </row>
    <row r="25" spans="1:22" x14ac:dyDescent="0.25">
      <c r="A25" s="68"/>
      <c r="B25" s="68" t="s">
        <v>108</v>
      </c>
      <c r="C25" s="68"/>
      <c r="D25" s="68"/>
      <c r="E25" s="74"/>
      <c r="F25" s="74"/>
      <c r="G25" s="74"/>
      <c r="H25" s="74"/>
      <c r="I25" s="71">
        <f>G25-E25</f>
        <v>0</v>
      </c>
      <c r="J25" s="76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1">
        <f>SUM(K25:T25)</f>
        <v>0</v>
      </c>
    </row>
    <row r="26" spans="1:22" x14ac:dyDescent="0.25">
      <c r="A26" s="68"/>
      <c r="B26" s="68" t="s">
        <v>107</v>
      </c>
      <c r="C26" s="68"/>
      <c r="D26" s="68"/>
      <c r="E26" s="74"/>
      <c r="F26" s="74"/>
      <c r="G26" s="74"/>
      <c r="H26" s="74"/>
      <c r="I26" s="71">
        <f>G26-E26</f>
        <v>0</v>
      </c>
      <c r="J26" s="76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1">
        <f>SUM(K26:T26)</f>
        <v>0</v>
      </c>
    </row>
    <row r="27" spans="1:22" x14ac:dyDescent="0.25">
      <c r="A27" s="68"/>
      <c r="B27" s="68" t="s">
        <v>106</v>
      </c>
      <c r="C27" s="68"/>
      <c r="D27" s="68"/>
      <c r="E27" s="74"/>
      <c r="F27" s="74"/>
      <c r="G27" s="74"/>
      <c r="H27" s="74"/>
      <c r="I27" s="71">
        <f>G27-E27</f>
        <v>0</v>
      </c>
      <c r="J27" s="76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1">
        <f>SUM(K27:T27)</f>
        <v>0</v>
      </c>
    </row>
    <row r="28" spans="1:22" x14ac:dyDescent="0.25">
      <c r="A28" s="68"/>
      <c r="B28" s="68" t="s">
        <v>105</v>
      </c>
      <c r="C28" s="68"/>
      <c r="D28" s="68"/>
      <c r="E28" s="74"/>
      <c r="F28" s="74"/>
      <c r="G28" s="74"/>
      <c r="H28" s="74"/>
      <c r="I28" s="71">
        <f>G28-E28</f>
        <v>0</v>
      </c>
      <c r="J28" s="76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1">
        <f>SUM(K28:T28)</f>
        <v>0</v>
      </c>
    </row>
    <row r="29" spans="1:22" x14ac:dyDescent="0.25">
      <c r="A29" s="68"/>
      <c r="B29" s="68" t="s">
        <v>104</v>
      </c>
      <c r="C29" s="68"/>
      <c r="D29" s="68"/>
      <c r="E29" s="75"/>
      <c r="F29" s="74"/>
      <c r="G29" s="75"/>
      <c r="H29" s="74"/>
      <c r="I29" s="71">
        <f>G29-E29</f>
        <v>0</v>
      </c>
      <c r="J29" s="76"/>
      <c r="K29" s="75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1">
        <f>SUM(K29:T29)</f>
        <v>0</v>
      </c>
    </row>
    <row r="30" spans="1:22" ht="15.75" thickBot="1" x14ac:dyDescent="0.3">
      <c r="A30" s="73" t="s">
        <v>103</v>
      </c>
      <c r="E30" s="70">
        <f>SUM(E12:E29)</f>
        <v>0</v>
      </c>
      <c r="F30" s="71"/>
      <c r="G30" s="70">
        <f>SUM(G12:G29)</f>
        <v>972.91</v>
      </c>
      <c r="H30" s="71"/>
      <c r="I30" s="70">
        <f>SUM(I12:I29)</f>
        <v>972.91</v>
      </c>
      <c r="J30" s="72"/>
      <c r="K30" s="70">
        <f>SUM(K12:K29)</f>
        <v>0</v>
      </c>
      <c r="L30" s="71"/>
      <c r="M30" s="70">
        <f>SUM(M12:M29)</f>
        <v>0</v>
      </c>
      <c r="N30" s="71"/>
      <c r="O30" s="70">
        <f>SUM(O12:O29)</f>
        <v>0</v>
      </c>
      <c r="P30" s="71"/>
      <c r="Q30" s="207">
        <f>SUM(Q12:Q29)</f>
        <v>0</v>
      </c>
      <c r="R30" s="71"/>
      <c r="S30" s="70">
        <f>SUM(S12:S29)</f>
        <v>0</v>
      </c>
      <c r="T30" s="70">
        <f>SUM(T12:T29)</f>
        <v>0</v>
      </c>
      <c r="U30" s="71"/>
      <c r="V30" s="207">
        <f>SUM(V12:V29)</f>
        <v>0</v>
      </c>
    </row>
    <row r="31" spans="1:22" ht="15.75" thickTop="1" x14ac:dyDescent="0.25">
      <c r="A31" s="68"/>
      <c r="B31" s="68"/>
      <c r="C31" s="68"/>
      <c r="D31" s="68"/>
      <c r="E31" s="69"/>
      <c r="F31" s="69"/>
      <c r="G31" s="69"/>
      <c r="H31" s="69"/>
      <c r="I31" s="69"/>
      <c r="J31" s="69"/>
      <c r="K31" s="69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</row>
    <row r="32" spans="1:22" x14ac:dyDescent="0.25">
      <c r="A32" s="68"/>
      <c r="B32" s="68" t="s">
        <v>152</v>
      </c>
      <c r="C32" s="68"/>
      <c r="D32" s="68"/>
      <c r="E32" s="69"/>
      <c r="F32" s="69"/>
      <c r="G32" s="69"/>
      <c r="H32" s="69"/>
      <c r="I32" s="69"/>
      <c r="J32" s="69"/>
      <c r="K32" s="69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</row>
    <row r="33" spans="1:22" x14ac:dyDescent="0.25">
      <c r="A33" s="68"/>
      <c r="B33" s="68"/>
      <c r="C33" s="68"/>
      <c r="D33" s="68"/>
      <c r="E33" s="69"/>
      <c r="F33" s="69"/>
      <c r="G33" s="69"/>
      <c r="H33" s="69"/>
      <c r="I33" s="69"/>
      <c r="J33" s="69"/>
      <c r="K33" s="69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</row>
    <row r="34" spans="1:22" x14ac:dyDescent="0.25">
      <c r="A34" s="68"/>
      <c r="B34" s="68"/>
      <c r="C34" s="68"/>
      <c r="D34" s="68"/>
      <c r="E34" s="69"/>
      <c r="F34" s="69"/>
      <c r="G34" s="69"/>
      <c r="H34" s="69"/>
      <c r="I34" s="69"/>
      <c r="J34" s="69"/>
      <c r="K34" s="69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</row>
    <row r="35" spans="1:22" x14ac:dyDescent="0.25">
      <c r="A35" s="68"/>
      <c r="B35" s="68"/>
      <c r="C35" s="68"/>
      <c r="D35" s="68"/>
      <c r="E35" s="69"/>
      <c r="F35" s="69"/>
      <c r="G35" s="69"/>
      <c r="H35" s="69"/>
      <c r="I35" s="69"/>
      <c r="J35" s="69"/>
      <c r="K35" s="69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spans="1:22" x14ac:dyDescent="0.25">
      <c r="A36" s="68"/>
      <c r="B36" s="68"/>
      <c r="C36" s="68"/>
      <c r="D36" s="68"/>
      <c r="E36" s="69"/>
      <c r="F36" s="69"/>
      <c r="G36" s="69"/>
      <c r="H36" s="69"/>
      <c r="I36" s="69"/>
      <c r="J36" s="69"/>
      <c r="K36" s="69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</row>
    <row r="37" spans="1:22" x14ac:dyDescent="0.25">
      <c r="A37" s="68"/>
      <c r="B37" s="68"/>
      <c r="C37" s="68"/>
      <c r="D37" s="68"/>
      <c r="E37" s="69"/>
      <c r="F37" s="69"/>
      <c r="G37" s="69"/>
      <c r="H37" s="69"/>
      <c r="I37" s="69"/>
      <c r="J37" s="69"/>
      <c r="K37" s="69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</row>
    <row r="38" spans="1:22" x14ac:dyDescent="0.25">
      <c r="A38" s="68"/>
      <c r="B38" s="68"/>
      <c r="C38" s="68"/>
      <c r="D38" s="68"/>
      <c r="E38" s="69"/>
      <c r="F38" s="69"/>
      <c r="G38" s="69"/>
      <c r="H38" s="69"/>
      <c r="I38" s="69"/>
      <c r="J38" s="69"/>
      <c r="K38" s="69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</row>
    <row r="39" spans="1:22" x14ac:dyDescent="0.25">
      <c r="A39" s="68"/>
      <c r="B39" s="68"/>
      <c r="C39" s="68"/>
      <c r="D39" s="68"/>
      <c r="E39" s="69"/>
      <c r="F39" s="69"/>
      <c r="G39" s="69"/>
      <c r="H39" s="69"/>
      <c r="I39" s="69"/>
      <c r="J39" s="69"/>
      <c r="K39" s="69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</row>
    <row r="40" spans="1:22" x14ac:dyDescent="0.25">
      <c r="A40" s="68"/>
      <c r="B40" s="68"/>
      <c r="C40" s="68"/>
      <c r="D40" s="68"/>
      <c r="E40" s="69"/>
      <c r="F40" s="69"/>
      <c r="G40" s="69"/>
      <c r="H40" s="69"/>
      <c r="I40" s="69"/>
      <c r="J40" s="69"/>
      <c r="K40" s="69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</row>
  </sheetData>
  <pageMargins left="0.7" right="0.7" top="0.75" bottom="0.75" header="0.3" footer="0.3"/>
  <pageSetup paperSize="3" scale="8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3E6A-028F-4841-90CE-30DF147C6A71}">
  <dimension ref="A1:J23"/>
  <sheetViews>
    <sheetView showGridLines="0" workbookViewId="0">
      <selection activeCell="F20" sqref="F20"/>
    </sheetView>
  </sheetViews>
  <sheetFormatPr defaultRowHeight="15" x14ac:dyDescent="0.25"/>
  <cols>
    <col min="1" max="1" width="14.6640625" style="21" customWidth="1"/>
    <col min="2" max="2" width="6" style="21" customWidth="1"/>
    <col min="3" max="3" width="8.6640625" style="21" customWidth="1"/>
    <col min="4" max="4" width="5.33203125" style="21" customWidth="1"/>
    <col min="5" max="5" width="22" style="21" customWidth="1"/>
    <col min="6" max="6" width="24" style="21" customWidth="1"/>
    <col min="7" max="7" width="20" style="21" customWidth="1"/>
    <col min="8" max="8" width="16.6640625" style="21" customWidth="1"/>
    <col min="9" max="9" width="3.33203125" style="21" customWidth="1"/>
    <col min="10" max="10" width="26" style="21" customWidth="1"/>
    <col min="11" max="16384" width="9.33203125" style="21"/>
  </cols>
  <sheetData>
    <row r="1" spans="1:10" x14ac:dyDescent="0.25">
      <c r="A1" s="131"/>
      <c r="B1" s="131"/>
      <c r="C1" s="131"/>
      <c r="D1" s="131"/>
      <c r="E1" s="131"/>
      <c r="F1" s="131"/>
      <c r="G1" s="131"/>
      <c r="H1" s="131"/>
      <c r="I1" s="131" t="s">
        <v>166</v>
      </c>
      <c r="J1" s="131"/>
    </row>
    <row r="2" spans="1:10" x14ac:dyDescent="0.25">
      <c r="A2" s="205" t="s">
        <v>101</v>
      </c>
      <c r="B2" s="205"/>
      <c r="C2" s="205"/>
      <c r="D2" s="205"/>
      <c r="E2" s="205"/>
      <c r="F2" s="205"/>
      <c r="G2" s="205"/>
      <c r="H2" s="205"/>
      <c r="I2" s="205"/>
      <c r="J2" s="205"/>
    </row>
    <row r="3" spans="1:10" x14ac:dyDescent="0.25">
      <c r="A3" s="205" t="s">
        <v>100</v>
      </c>
      <c r="B3" s="205"/>
      <c r="C3" s="205"/>
      <c r="D3" s="205"/>
      <c r="E3" s="205"/>
      <c r="F3" s="205"/>
      <c r="G3" s="205"/>
      <c r="H3" s="205"/>
      <c r="I3" s="205"/>
      <c r="J3" s="205"/>
    </row>
    <row r="4" spans="1:10" x14ac:dyDescent="0.25">
      <c r="A4" s="205" t="s">
        <v>165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x14ac:dyDescent="0.25">
      <c r="A5" s="205" t="s">
        <v>98</v>
      </c>
      <c r="B5" s="205"/>
      <c r="C5" s="205"/>
      <c r="D5" s="205"/>
      <c r="E5" s="205"/>
      <c r="F5" s="205"/>
      <c r="G5" s="205"/>
      <c r="H5" s="205"/>
      <c r="I5" s="205"/>
      <c r="J5" s="205"/>
    </row>
    <row r="6" spans="1:10" x14ac:dyDescent="0.25">
      <c r="A6" s="205" t="s">
        <v>97</v>
      </c>
      <c r="B6" s="205"/>
      <c r="C6" s="205"/>
      <c r="D6" s="205"/>
      <c r="E6" s="205"/>
      <c r="F6" s="205"/>
      <c r="G6" s="205"/>
      <c r="H6" s="205"/>
      <c r="I6" s="205"/>
      <c r="J6" s="205"/>
    </row>
    <row r="7" spans="1:10" x14ac:dyDescent="0.25">
      <c r="A7" s="202" t="s">
        <v>96</v>
      </c>
      <c r="B7" s="202"/>
      <c r="C7" s="203" t="s">
        <v>95</v>
      </c>
      <c r="D7" s="203"/>
      <c r="E7" s="203"/>
      <c r="F7" s="203"/>
      <c r="G7" s="203"/>
      <c r="H7" s="203"/>
      <c r="I7" s="131" t="s">
        <v>164</v>
      </c>
      <c r="J7" s="131"/>
    </row>
    <row r="8" spans="1:10" x14ac:dyDescent="0.25">
      <c r="A8" s="202" t="s">
        <v>78</v>
      </c>
      <c r="B8" s="202"/>
      <c r="C8" s="203" t="s">
        <v>163</v>
      </c>
      <c r="D8" s="203"/>
      <c r="E8" s="203"/>
      <c r="F8" s="203"/>
      <c r="G8" s="203"/>
      <c r="H8" s="203"/>
      <c r="I8" s="131" t="s">
        <v>162</v>
      </c>
      <c r="J8" s="131"/>
    </row>
    <row r="9" spans="1:10" x14ac:dyDescent="0.25">
      <c r="A9" s="202" t="s">
        <v>91</v>
      </c>
      <c r="B9" s="202"/>
      <c r="C9" s="134"/>
      <c r="D9" s="134"/>
      <c r="E9" s="134"/>
      <c r="F9" s="134"/>
      <c r="G9" s="134"/>
      <c r="H9" s="134"/>
      <c r="I9" s="131" t="s">
        <v>161</v>
      </c>
      <c r="J9" s="131"/>
    </row>
    <row r="10" spans="1:10" x14ac:dyDescent="0.25">
      <c r="A10" s="131"/>
      <c r="B10" s="131"/>
      <c r="C10" s="131"/>
      <c r="D10" s="131"/>
      <c r="E10" s="131"/>
      <c r="F10" s="131"/>
      <c r="G10" s="131"/>
      <c r="H10" s="131"/>
      <c r="I10" s="131"/>
      <c r="J10" s="131"/>
    </row>
    <row r="11" spans="1:10" x14ac:dyDescent="0.25">
      <c r="A11" s="135"/>
      <c r="B11" s="135"/>
      <c r="C11" s="135"/>
      <c r="D11" s="135"/>
      <c r="E11" s="135"/>
      <c r="F11" s="135"/>
      <c r="G11" s="135"/>
      <c r="H11" s="135"/>
      <c r="I11" s="135"/>
      <c r="J11" s="135"/>
    </row>
    <row r="12" spans="1:10" x14ac:dyDescent="0.25">
      <c r="A12" s="204" t="s">
        <v>89</v>
      </c>
      <c r="B12" s="204"/>
      <c r="C12" s="204"/>
      <c r="D12" s="204"/>
      <c r="E12" s="204"/>
      <c r="F12" s="204"/>
      <c r="G12" s="204"/>
      <c r="H12" s="204"/>
      <c r="I12" s="204"/>
      <c r="J12" s="204"/>
    </row>
    <row r="13" spans="1:10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0" x14ac:dyDescent="0.25">
      <c r="A14" s="198" t="s">
        <v>88</v>
      </c>
      <c r="B14" s="198"/>
      <c r="C14" s="198"/>
      <c r="D14" s="198"/>
      <c r="E14" s="198"/>
      <c r="F14" s="92" t="s">
        <v>87</v>
      </c>
      <c r="G14" s="92" t="s">
        <v>86</v>
      </c>
      <c r="H14" s="199" t="s">
        <v>85</v>
      </c>
      <c r="I14" s="199"/>
      <c r="J14" s="92" t="s">
        <v>84</v>
      </c>
    </row>
    <row r="15" spans="1:10" x14ac:dyDescent="0.25">
      <c r="A15" s="206" t="s">
        <v>83</v>
      </c>
      <c r="B15" s="206"/>
      <c r="C15" s="206"/>
      <c r="D15" s="206"/>
      <c r="E15" s="206"/>
      <c r="F15" s="206"/>
      <c r="G15" s="206"/>
      <c r="H15" s="206"/>
      <c r="I15" s="206"/>
      <c r="J15" s="206"/>
    </row>
    <row r="16" spans="1:10" x14ac:dyDescent="0.25">
      <c r="A16" s="139" t="s">
        <v>160</v>
      </c>
      <c r="B16" s="139"/>
      <c r="C16" s="139"/>
      <c r="D16" s="139"/>
      <c r="E16" s="139"/>
      <c r="F16" s="91">
        <v>8212.2000000000007</v>
      </c>
      <c r="G16" s="91">
        <v>0</v>
      </c>
      <c r="H16" s="200">
        <v>176.32</v>
      </c>
      <c r="I16" s="200"/>
      <c r="J16" s="91">
        <v>8035.88</v>
      </c>
    </row>
    <row r="17" spans="1:10" x14ac:dyDescent="0.25">
      <c r="A17" s="135"/>
      <c r="B17" s="135"/>
      <c r="C17" s="135"/>
      <c r="D17" s="135"/>
      <c r="E17" s="135"/>
      <c r="F17" s="135"/>
      <c r="G17" s="135"/>
      <c r="H17" s="135"/>
      <c r="I17" s="135"/>
      <c r="J17" s="135"/>
    </row>
    <row r="18" spans="1:10" x14ac:dyDescent="0.25">
      <c r="A18" s="90" t="s">
        <v>78</v>
      </c>
      <c r="B18" s="201" t="s">
        <v>159</v>
      </c>
      <c r="C18" s="201"/>
      <c r="D18" s="201"/>
      <c r="E18" s="197">
        <v>8212.2000000000007</v>
      </c>
      <c r="F18" s="197"/>
      <c r="G18" s="197">
        <v>0</v>
      </c>
      <c r="H18" s="197">
        <v>176.32</v>
      </c>
      <c r="I18" s="197"/>
      <c r="J18" s="197">
        <v>8035.88</v>
      </c>
    </row>
    <row r="19" spans="1:10" x14ac:dyDescent="0.25">
      <c r="A19" s="90" t="s">
        <v>76</v>
      </c>
      <c r="B19" s="144"/>
      <c r="C19" s="144"/>
      <c r="D19" s="144"/>
      <c r="E19" s="197"/>
      <c r="F19" s="197"/>
      <c r="G19" s="197"/>
      <c r="H19" s="197"/>
      <c r="I19" s="197"/>
      <c r="J19" s="197"/>
    </row>
    <row r="20" spans="1:10" x14ac:dyDescent="0.25">
      <c r="A20" s="135"/>
      <c r="B20" s="135"/>
      <c r="C20" s="135"/>
      <c r="D20" s="135"/>
      <c r="E20" s="135"/>
      <c r="F20" s="135"/>
      <c r="G20" s="135"/>
      <c r="H20" s="135"/>
      <c r="I20" s="135"/>
      <c r="J20" s="135"/>
    </row>
    <row r="21" spans="1:10" x14ac:dyDescent="0.25">
      <c r="A21" s="135"/>
      <c r="B21" s="135"/>
      <c r="C21" s="135"/>
      <c r="D21" s="135"/>
      <c r="E21" s="135"/>
      <c r="F21" s="135"/>
      <c r="G21" s="135"/>
      <c r="H21" s="135"/>
      <c r="I21" s="135"/>
      <c r="J21" s="135"/>
    </row>
    <row r="22" spans="1:10" x14ac:dyDescent="0.25">
      <c r="A22" s="135"/>
      <c r="B22" s="135"/>
      <c r="C22" s="135"/>
      <c r="D22" s="135"/>
      <c r="E22" s="135"/>
      <c r="F22" s="135"/>
      <c r="G22" s="135"/>
      <c r="H22" s="135"/>
      <c r="I22" s="135"/>
      <c r="J22" s="135"/>
    </row>
    <row r="23" spans="1:10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</row>
  </sheetData>
  <mergeCells count="39">
    <mergeCell ref="A4:J4"/>
    <mergeCell ref="A5:J5"/>
    <mergeCell ref="A1:C1"/>
    <mergeCell ref="D1:H1"/>
    <mergeCell ref="I1:J1"/>
    <mergeCell ref="A2:J2"/>
    <mergeCell ref="A3:J3"/>
    <mergeCell ref="A12:J12"/>
    <mergeCell ref="A6:J6"/>
    <mergeCell ref="A7:B7"/>
    <mergeCell ref="C7:H7"/>
    <mergeCell ref="I7:J7"/>
    <mergeCell ref="A9:B9"/>
    <mergeCell ref="C9:H9"/>
    <mergeCell ref="I9:J9"/>
    <mergeCell ref="A10:B10"/>
    <mergeCell ref="C10:H10"/>
    <mergeCell ref="A8:B8"/>
    <mergeCell ref="C8:H8"/>
    <mergeCell ref="I8:J8"/>
    <mergeCell ref="I10:J10"/>
    <mergeCell ref="A11:J11"/>
    <mergeCell ref="A23:J23"/>
    <mergeCell ref="A16:E16"/>
    <mergeCell ref="H16:I16"/>
    <mergeCell ref="A17:J17"/>
    <mergeCell ref="B18:D18"/>
    <mergeCell ref="E18:F19"/>
    <mergeCell ref="A21:J21"/>
    <mergeCell ref="A13:J13"/>
    <mergeCell ref="A14:E14"/>
    <mergeCell ref="H14:I14"/>
    <mergeCell ref="A22:J22"/>
    <mergeCell ref="A15:J15"/>
    <mergeCell ref="G18:G19"/>
    <mergeCell ref="H18:I19"/>
    <mergeCell ref="J18:J19"/>
    <mergeCell ref="B19:D19"/>
    <mergeCell ref="A20:J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854F-9E99-4BA6-B83B-334ED00665CB}">
  <dimension ref="A1:V40"/>
  <sheetViews>
    <sheetView zoomScale="90" zoomScaleNormal="90" workbookViewId="0">
      <selection activeCell="F20" sqref="F20"/>
    </sheetView>
  </sheetViews>
  <sheetFormatPr defaultColWidth="10.33203125" defaultRowHeight="15" x14ac:dyDescent="0.25"/>
  <cols>
    <col min="1" max="1" width="2" style="25" customWidth="1"/>
    <col min="2" max="2" width="10.5" style="25" customWidth="1"/>
    <col min="3" max="3" width="51.6640625" style="25" customWidth="1"/>
    <col min="4" max="4" width="2" style="25" customWidth="1"/>
    <col min="5" max="5" width="18.33203125" style="26" customWidth="1"/>
    <col min="6" max="6" width="2" style="26" customWidth="1"/>
    <col min="7" max="7" width="18.33203125" style="26" customWidth="1"/>
    <col min="8" max="8" width="2" style="26" customWidth="1"/>
    <col min="9" max="9" width="18.33203125" style="26" customWidth="1"/>
    <col min="10" max="10" width="2" style="26" customWidth="1"/>
    <col min="11" max="11" width="18.33203125" style="26" customWidth="1"/>
    <col min="12" max="12" width="2" style="25" customWidth="1"/>
    <col min="13" max="13" width="18.33203125" style="25" customWidth="1"/>
    <col min="14" max="14" width="2" style="25" customWidth="1"/>
    <col min="15" max="15" width="18.33203125" style="25" customWidth="1"/>
    <col min="16" max="16" width="2" style="25" customWidth="1"/>
    <col min="17" max="17" width="18.33203125" style="25" customWidth="1"/>
    <col min="18" max="18" width="2" style="25" customWidth="1"/>
    <col min="19" max="20" width="18.33203125" style="25" customWidth="1"/>
    <col min="21" max="21" width="2" style="25" customWidth="1"/>
    <col min="22" max="22" width="18.33203125" style="25" customWidth="1"/>
    <col min="23" max="16384" width="10.33203125" style="25"/>
  </cols>
  <sheetData>
    <row r="1" spans="1:22" x14ac:dyDescent="0.25">
      <c r="A1" s="45" t="s">
        <v>146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2" x14ac:dyDescent="0.25">
      <c r="A2" s="45" t="s">
        <v>145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x14ac:dyDescent="0.25">
      <c r="A3" s="45" t="s">
        <v>144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x14ac:dyDescent="0.25">
      <c r="A4" s="45" t="s">
        <v>167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22" x14ac:dyDescent="0.25">
      <c r="A5" s="45" t="s">
        <v>142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2" x14ac:dyDescent="0.25">
      <c r="A6" s="27"/>
      <c r="B6" s="27"/>
      <c r="C6" s="27"/>
      <c r="D6" s="27"/>
      <c r="E6" s="28"/>
      <c r="F6" s="28"/>
      <c r="G6" s="28"/>
      <c r="H6" s="28"/>
      <c r="I6" s="28"/>
      <c r="J6" s="28"/>
      <c r="K6" s="28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pans="1:22" ht="15.75" thickBot="1" x14ac:dyDescent="0.3">
      <c r="A7" s="27"/>
      <c r="B7" s="27"/>
      <c r="C7" s="27"/>
      <c r="D7" s="27"/>
      <c r="E7" s="28"/>
      <c r="F7" s="28"/>
      <c r="G7" s="28"/>
      <c r="H7" s="28"/>
      <c r="I7" s="28"/>
      <c r="J7" s="38"/>
      <c r="K7" s="44" t="s">
        <v>141</v>
      </c>
      <c r="L7" s="44"/>
      <c r="M7" s="44"/>
      <c r="N7" s="44"/>
      <c r="O7" s="44"/>
      <c r="P7" s="44"/>
      <c r="Q7" s="44"/>
      <c r="R7" s="44"/>
      <c r="S7" s="44"/>
      <c r="T7" s="44"/>
      <c r="U7" s="27"/>
      <c r="V7" s="27"/>
    </row>
    <row r="8" spans="1:22" x14ac:dyDescent="0.25">
      <c r="A8" s="27"/>
      <c r="B8" s="27"/>
      <c r="C8" s="27"/>
      <c r="D8" s="27"/>
      <c r="E8" s="43" t="s">
        <v>140</v>
      </c>
      <c r="F8" s="40"/>
      <c r="G8" s="43" t="s">
        <v>139</v>
      </c>
      <c r="H8" s="40"/>
      <c r="I8" s="43" t="s">
        <v>138</v>
      </c>
      <c r="J8" s="41"/>
      <c r="K8" s="43" t="s">
        <v>137</v>
      </c>
      <c r="L8" s="27"/>
      <c r="M8" s="43" t="s">
        <v>136</v>
      </c>
      <c r="N8" s="40"/>
      <c r="O8" s="43" t="s">
        <v>135</v>
      </c>
      <c r="P8" s="40"/>
      <c r="Q8" s="43" t="s">
        <v>134</v>
      </c>
      <c r="R8" s="40"/>
      <c r="S8" s="43" t="s">
        <v>133</v>
      </c>
      <c r="T8" s="43" t="s">
        <v>132</v>
      </c>
      <c r="U8" s="40"/>
      <c r="V8" s="43" t="s">
        <v>131</v>
      </c>
    </row>
    <row r="9" spans="1:22" ht="115.5" x14ac:dyDescent="0.25">
      <c r="A9" s="37"/>
      <c r="B9" s="27"/>
      <c r="C9" s="27"/>
      <c r="D9" s="27"/>
      <c r="E9" s="39" t="s">
        <v>130</v>
      </c>
      <c r="F9" s="40"/>
      <c r="G9" s="39" t="s">
        <v>129</v>
      </c>
      <c r="H9" s="40"/>
      <c r="I9" s="42" t="s">
        <v>128</v>
      </c>
      <c r="J9" s="41"/>
      <c r="K9" s="39" t="s">
        <v>127</v>
      </c>
      <c r="L9" s="40"/>
      <c r="M9" s="39" t="s">
        <v>126</v>
      </c>
      <c r="N9" s="27"/>
      <c r="O9" s="39" t="s">
        <v>125</v>
      </c>
      <c r="P9" s="27"/>
      <c r="Q9" s="39" t="s">
        <v>124</v>
      </c>
      <c r="R9" s="27"/>
      <c r="S9" s="39" t="s">
        <v>123</v>
      </c>
      <c r="T9" s="39" t="s">
        <v>122</v>
      </c>
      <c r="U9" s="27"/>
      <c r="V9" s="39" t="s">
        <v>121</v>
      </c>
    </row>
    <row r="10" spans="1:22" x14ac:dyDescent="0.25">
      <c r="A10" s="27"/>
      <c r="B10" s="27"/>
      <c r="C10" s="27"/>
      <c r="D10" s="27"/>
      <c r="E10" s="28"/>
      <c r="F10" s="28"/>
      <c r="G10" s="28"/>
      <c r="H10" s="28"/>
      <c r="I10" s="28"/>
      <c r="J10" s="38"/>
      <c r="K10" s="28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</row>
    <row r="11" spans="1:22" x14ac:dyDescent="0.25">
      <c r="A11" s="37" t="s">
        <v>83</v>
      </c>
      <c r="B11" s="27"/>
      <c r="C11" s="27"/>
      <c r="D11" s="27"/>
      <c r="E11" s="28"/>
      <c r="F11" s="28"/>
      <c r="G11" s="28"/>
      <c r="H11" s="28"/>
      <c r="I11" s="28"/>
      <c r="J11" s="38"/>
      <c r="K11" s="28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</row>
    <row r="12" spans="1:22" x14ac:dyDescent="0.25">
      <c r="A12" s="27"/>
      <c r="B12" s="27" t="s">
        <v>120</v>
      </c>
      <c r="C12" s="27"/>
      <c r="D12" s="27"/>
      <c r="E12" s="33"/>
      <c r="F12" s="33"/>
      <c r="G12" s="33"/>
      <c r="H12" s="33"/>
      <c r="I12" s="30">
        <f>G12-E12</f>
        <v>0</v>
      </c>
      <c r="J12" s="35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0">
        <f t="shared" ref="V12:V17" si="0">SUM(K12:T12)</f>
        <v>0</v>
      </c>
    </row>
    <row r="13" spans="1:22" x14ac:dyDescent="0.25">
      <c r="A13" s="27"/>
      <c r="B13" s="27" t="s">
        <v>119</v>
      </c>
      <c r="C13" s="27"/>
      <c r="D13" s="27"/>
      <c r="E13" s="33"/>
      <c r="F13" s="33"/>
      <c r="G13" s="33"/>
      <c r="H13" s="33"/>
      <c r="I13" s="30">
        <f>G13-E13</f>
        <v>0</v>
      </c>
      <c r="J13" s="35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0">
        <f t="shared" si="0"/>
        <v>0</v>
      </c>
    </row>
    <row r="14" spans="1:22" x14ac:dyDescent="0.25">
      <c r="A14" s="27"/>
      <c r="B14" s="27" t="s">
        <v>118</v>
      </c>
      <c r="C14" s="27"/>
      <c r="D14" s="27"/>
      <c r="E14" s="33"/>
      <c r="F14" s="33"/>
      <c r="G14" s="33"/>
      <c r="H14" s="33"/>
      <c r="I14" s="30">
        <f>G14-E14</f>
        <v>0</v>
      </c>
      <c r="J14" s="35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0">
        <f t="shared" si="0"/>
        <v>0</v>
      </c>
    </row>
    <row r="15" spans="1:22" x14ac:dyDescent="0.25">
      <c r="A15" s="27"/>
      <c r="B15" s="27" t="s">
        <v>117</v>
      </c>
      <c r="C15" s="27"/>
      <c r="D15" s="27"/>
      <c r="E15" s="33"/>
      <c r="F15" s="33"/>
      <c r="G15" s="33">
        <v>8212.2000000000007</v>
      </c>
      <c r="H15" s="33"/>
      <c r="I15" s="30">
        <f>G15-E1</f>
        <v>8212.2000000000007</v>
      </c>
      <c r="J15" s="35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0">
        <f t="shared" si="0"/>
        <v>0</v>
      </c>
    </row>
    <row r="16" spans="1:22" x14ac:dyDescent="0.25">
      <c r="A16" s="27"/>
      <c r="B16" s="27" t="s">
        <v>116</v>
      </c>
      <c r="C16" s="27"/>
      <c r="D16" s="27"/>
      <c r="E16" s="33"/>
      <c r="F16" s="33"/>
      <c r="G16" s="33"/>
      <c r="H16" s="33"/>
      <c r="I16" s="30">
        <f>G16-E16</f>
        <v>0</v>
      </c>
      <c r="J16" s="35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0">
        <f t="shared" si="0"/>
        <v>0</v>
      </c>
    </row>
    <row r="17" spans="1:22" x14ac:dyDescent="0.25">
      <c r="A17" s="27"/>
      <c r="B17" s="27" t="s">
        <v>115</v>
      </c>
      <c r="C17" s="27"/>
      <c r="D17" s="27"/>
      <c r="E17" s="33"/>
      <c r="F17" s="33"/>
      <c r="G17" s="33"/>
      <c r="H17" s="33"/>
      <c r="I17" s="30">
        <f>G17-E17</f>
        <v>0</v>
      </c>
      <c r="J17" s="35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0">
        <f t="shared" si="0"/>
        <v>0</v>
      </c>
    </row>
    <row r="18" spans="1:22" x14ac:dyDescent="0.25">
      <c r="A18" s="37" t="s">
        <v>81</v>
      </c>
      <c r="B18" s="27"/>
      <c r="C18" s="27"/>
      <c r="D18" s="27"/>
      <c r="E18" s="33"/>
      <c r="F18" s="33"/>
      <c r="G18" s="33"/>
      <c r="H18" s="33"/>
      <c r="I18" s="30"/>
      <c r="J18" s="35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0"/>
    </row>
    <row r="19" spans="1:22" x14ac:dyDescent="0.25">
      <c r="A19" s="27"/>
      <c r="B19" s="27" t="s">
        <v>114</v>
      </c>
      <c r="C19" s="27"/>
      <c r="D19" s="27"/>
      <c r="E19" s="33"/>
      <c r="F19" s="33"/>
      <c r="G19" s="33"/>
      <c r="H19" s="33"/>
      <c r="I19" s="30">
        <f t="shared" ref="I19:I29" si="1">G19-E19</f>
        <v>0</v>
      </c>
      <c r="J19" s="35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0">
        <f t="shared" ref="V19:V29" si="2">SUM(K19:T19)</f>
        <v>0</v>
      </c>
    </row>
    <row r="20" spans="1:22" x14ac:dyDescent="0.25">
      <c r="A20" s="27"/>
      <c r="B20" s="27" t="s">
        <v>113</v>
      </c>
      <c r="C20" s="27"/>
      <c r="D20" s="27"/>
      <c r="E20" s="33"/>
      <c r="F20" s="33"/>
      <c r="G20" s="33"/>
      <c r="H20" s="33"/>
      <c r="I20" s="30">
        <f t="shared" si="1"/>
        <v>0</v>
      </c>
      <c r="J20" s="35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0">
        <f t="shared" si="2"/>
        <v>0</v>
      </c>
    </row>
    <row r="21" spans="1:22" x14ac:dyDescent="0.25">
      <c r="A21" s="27"/>
      <c r="B21" s="27" t="s">
        <v>112</v>
      </c>
      <c r="C21" s="27"/>
      <c r="D21" s="27"/>
      <c r="E21" s="33"/>
      <c r="F21" s="33"/>
      <c r="G21" s="33"/>
      <c r="H21" s="33"/>
      <c r="I21" s="30">
        <f t="shared" si="1"/>
        <v>0</v>
      </c>
      <c r="J21" s="35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0">
        <f t="shared" si="2"/>
        <v>0</v>
      </c>
    </row>
    <row r="22" spans="1:22" x14ac:dyDescent="0.25">
      <c r="A22" s="27"/>
      <c r="B22" s="27" t="s">
        <v>111</v>
      </c>
      <c r="C22" s="27"/>
      <c r="D22" s="27"/>
      <c r="E22" s="33"/>
      <c r="F22" s="33"/>
      <c r="G22" s="33"/>
      <c r="H22" s="33"/>
      <c r="I22" s="30">
        <f t="shared" si="1"/>
        <v>0</v>
      </c>
      <c r="J22" s="35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0">
        <f t="shared" si="2"/>
        <v>0</v>
      </c>
    </row>
    <row r="23" spans="1:22" x14ac:dyDescent="0.25">
      <c r="A23" s="27"/>
      <c r="B23" s="27" t="s">
        <v>110</v>
      </c>
      <c r="C23" s="27"/>
      <c r="D23" s="27"/>
      <c r="E23" s="33"/>
      <c r="F23" s="33"/>
      <c r="G23" s="33"/>
      <c r="H23" s="33"/>
      <c r="I23" s="30">
        <f t="shared" si="1"/>
        <v>0</v>
      </c>
      <c r="J23" s="35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0">
        <f t="shared" si="2"/>
        <v>0</v>
      </c>
    </row>
    <row r="24" spans="1:22" x14ac:dyDescent="0.25">
      <c r="A24" s="27"/>
      <c r="B24" s="27" t="s">
        <v>109</v>
      </c>
      <c r="C24" s="27"/>
      <c r="D24" s="27"/>
      <c r="E24" s="33"/>
      <c r="F24" s="33"/>
      <c r="G24" s="33"/>
      <c r="H24" s="33"/>
      <c r="I24" s="30">
        <f t="shared" si="1"/>
        <v>0</v>
      </c>
      <c r="J24" s="35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0">
        <f t="shared" si="2"/>
        <v>0</v>
      </c>
    </row>
    <row r="25" spans="1:22" x14ac:dyDescent="0.25">
      <c r="A25" s="27"/>
      <c r="B25" s="27" t="s">
        <v>108</v>
      </c>
      <c r="C25" s="27"/>
      <c r="D25" s="27"/>
      <c r="E25" s="33"/>
      <c r="F25" s="33"/>
      <c r="G25" s="33"/>
      <c r="H25" s="33"/>
      <c r="I25" s="30">
        <f t="shared" si="1"/>
        <v>0</v>
      </c>
      <c r="J25" s="35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0">
        <f t="shared" si="2"/>
        <v>0</v>
      </c>
    </row>
    <row r="26" spans="1:22" x14ac:dyDescent="0.25">
      <c r="A26" s="27"/>
      <c r="B26" s="27" t="s">
        <v>107</v>
      </c>
      <c r="C26" s="27"/>
      <c r="D26" s="27"/>
      <c r="E26" s="33"/>
      <c r="F26" s="33"/>
      <c r="G26" s="33"/>
      <c r="H26" s="33"/>
      <c r="I26" s="30">
        <f t="shared" si="1"/>
        <v>0</v>
      </c>
      <c r="J26" s="35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0">
        <f t="shared" si="2"/>
        <v>0</v>
      </c>
    </row>
    <row r="27" spans="1:22" x14ac:dyDescent="0.25">
      <c r="A27" s="27"/>
      <c r="B27" s="27" t="s">
        <v>106</v>
      </c>
      <c r="C27" s="27"/>
      <c r="D27" s="27"/>
      <c r="E27" s="33"/>
      <c r="F27" s="33"/>
      <c r="G27" s="33"/>
      <c r="H27" s="33"/>
      <c r="I27" s="30">
        <f t="shared" si="1"/>
        <v>0</v>
      </c>
      <c r="J27" s="35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0">
        <f t="shared" si="2"/>
        <v>0</v>
      </c>
    </row>
    <row r="28" spans="1:22" x14ac:dyDescent="0.25">
      <c r="A28" s="27"/>
      <c r="B28" s="27" t="s">
        <v>105</v>
      </c>
      <c r="C28" s="27"/>
      <c r="D28" s="27"/>
      <c r="E28" s="33"/>
      <c r="F28" s="33"/>
      <c r="G28" s="33"/>
      <c r="H28" s="33"/>
      <c r="I28" s="30">
        <f t="shared" si="1"/>
        <v>0</v>
      </c>
      <c r="J28" s="35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0">
        <f t="shared" si="2"/>
        <v>0</v>
      </c>
    </row>
    <row r="29" spans="1:22" x14ac:dyDescent="0.25">
      <c r="A29" s="27"/>
      <c r="B29" s="27" t="s">
        <v>104</v>
      </c>
      <c r="C29" s="27"/>
      <c r="D29" s="27"/>
      <c r="E29" s="34"/>
      <c r="F29" s="33"/>
      <c r="G29" s="34"/>
      <c r="H29" s="33"/>
      <c r="I29" s="30">
        <f t="shared" si="1"/>
        <v>0</v>
      </c>
      <c r="J29" s="35"/>
      <c r="K29" s="3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0">
        <f t="shared" si="2"/>
        <v>0</v>
      </c>
    </row>
    <row r="30" spans="1:22" ht="15.75" thickBot="1" x14ac:dyDescent="0.3">
      <c r="A30" s="32" t="s">
        <v>103</v>
      </c>
      <c r="E30" s="29">
        <f>SUM(E12:E29)</f>
        <v>0</v>
      </c>
      <c r="F30" s="30"/>
      <c r="G30" s="29">
        <f>SUM(G12:G29)</f>
        <v>8212.2000000000007</v>
      </c>
      <c r="H30" s="30"/>
      <c r="I30" s="29">
        <f>SUM(I12:I29)</f>
        <v>8212.2000000000007</v>
      </c>
      <c r="J30" s="31"/>
      <c r="K30" s="29">
        <f>SUM(K12:K29)</f>
        <v>0</v>
      </c>
      <c r="L30" s="30"/>
      <c r="M30" s="29">
        <f>SUM(M12:M29)</f>
        <v>0</v>
      </c>
      <c r="N30" s="30"/>
      <c r="O30" s="29">
        <f>SUM(O12:O29)</f>
        <v>0</v>
      </c>
      <c r="P30" s="30"/>
      <c r="Q30" s="29">
        <f>SUM(Q12:Q29)</f>
        <v>0</v>
      </c>
      <c r="R30" s="30"/>
      <c r="S30" s="29">
        <f>SUM(S12:S29)</f>
        <v>0</v>
      </c>
      <c r="T30" s="29">
        <f>SUM(T12:T29)</f>
        <v>0</v>
      </c>
      <c r="U30" s="30"/>
      <c r="V30" s="29">
        <f>SUM(V12:V29)</f>
        <v>0</v>
      </c>
    </row>
    <row r="31" spans="1:22" ht="15.75" thickTop="1" x14ac:dyDescent="0.25">
      <c r="A31" s="27"/>
      <c r="B31" s="27"/>
      <c r="C31" s="27"/>
      <c r="D31" s="27"/>
      <c r="E31" s="28"/>
      <c r="F31" s="28"/>
      <c r="G31" s="28"/>
      <c r="H31" s="28"/>
      <c r="I31" s="28"/>
      <c r="J31" s="28"/>
      <c r="K31" s="28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spans="1:22" x14ac:dyDescent="0.25">
      <c r="A32" s="27"/>
      <c r="B32" s="27" t="s">
        <v>152</v>
      </c>
      <c r="D32" s="27"/>
      <c r="E32" s="28"/>
      <c r="F32" s="28"/>
      <c r="G32" s="28"/>
      <c r="H32" s="28"/>
      <c r="I32" s="28"/>
      <c r="J32" s="28"/>
      <c r="K32" s="28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spans="1:22" x14ac:dyDescent="0.25">
      <c r="A33" s="27"/>
      <c r="B33" s="27"/>
      <c r="C33" s="27"/>
      <c r="D33" s="27"/>
      <c r="E33" s="28"/>
      <c r="F33" s="28"/>
      <c r="G33" s="28"/>
      <c r="H33" s="28"/>
      <c r="I33" s="28"/>
      <c r="J33" s="28"/>
      <c r="K33" s="28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spans="1:22" x14ac:dyDescent="0.25">
      <c r="A34" s="27"/>
      <c r="B34" s="27"/>
      <c r="C34" s="27"/>
      <c r="D34" s="27"/>
      <c r="E34" s="28"/>
      <c r="F34" s="28"/>
      <c r="G34" s="28"/>
      <c r="H34" s="28"/>
      <c r="I34" s="28"/>
      <c r="J34" s="28"/>
      <c r="K34" s="28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spans="1:22" x14ac:dyDescent="0.25">
      <c r="A35" s="27"/>
      <c r="B35" s="27"/>
      <c r="C35" s="27"/>
      <c r="D35" s="27"/>
      <c r="E35" s="28"/>
      <c r="F35" s="28"/>
      <c r="G35" s="28"/>
      <c r="H35" s="28"/>
      <c r="I35" s="28"/>
      <c r="J35" s="28"/>
      <c r="K35" s="28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spans="1:22" x14ac:dyDescent="0.25">
      <c r="A36" s="27"/>
      <c r="B36" s="27"/>
      <c r="C36" s="27"/>
      <c r="D36" s="27"/>
      <c r="E36" s="28"/>
      <c r="F36" s="28"/>
      <c r="G36" s="28"/>
      <c r="H36" s="28"/>
      <c r="I36" s="28"/>
      <c r="J36" s="28"/>
      <c r="K36" s="28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spans="1:22" x14ac:dyDescent="0.25">
      <c r="A37" s="27"/>
      <c r="B37" s="27"/>
      <c r="C37" s="27"/>
      <c r="D37" s="27"/>
      <c r="E37" s="28"/>
      <c r="F37" s="28"/>
      <c r="G37" s="28"/>
      <c r="H37" s="28"/>
      <c r="I37" s="28"/>
      <c r="J37" s="28"/>
      <c r="K37" s="28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spans="1:22" x14ac:dyDescent="0.25">
      <c r="A38" s="27"/>
      <c r="B38" s="27"/>
      <c r="C38" s="27"/>
      <c r="D38" s="27"/>
      <c r="E38" s="28"/>
      <c r="F38" s="28"/>
      <c r="G38" s="28"/>
      <c r="H38" s="28"/>
      <c r="I38" s="28"/>
      <c r="J38" s="28"/>
      <c r="K38" s="28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spans="1:22" x14ac:dyDescent="0.25">
      <c r="A39" s="27"/>
      <c r="B39" s="27"/>
      <c r="C39" s="27"/>
      <c r="D39" s="27"/>
      <c r="E39" s="28"/>
      <c r="F39" s="28"/>
      <c r="G39" s="28"/>
      <c r="H39" s="28"/>
      <c r="I39" s="28"/>
      <c r="J39" s="28"/>
      <c r="K39" s="28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spans="1:22" x14ac:dyDescent="0.25">
      <c r="A40" s="27"/>
      <c r="B40" s="27"/>
      <c r="C40" s="27"/>
      <c r="D40" s="27"/>
      <c r="E40" s="28"/>
      <c r="F40" s="28"/>
      <c r="G40" s="28"/>
      <c r="H40" s="28"/>
      <c r="I40" s="28"/>
      <c r="J40" s="28"/>
      <c r="K40" s="28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204C9212AAC48BB8D8E9AFF3326FF" ma:contentTypeVersion="18" ma:contentTypeDescription="Create a new document." ma:contentTypeScope="" ma:versionID="372d4a4e8ebbd34ffdf96f03c0f4fa0f">
  <xsd:schema xmlns:xsd="http://www.w3.org/2001/XMLSchema" xmlns:xs="http://www.w3.org/2001/XMLSchema" xmlns:p="http://schemas.microsoft.com/office/2006/metadata/properties" xmlns:ns1="http://schemas.microsoft.com/sharepoint/v3" xmlns:ns2="33128d07-b5d3-42fe-ae84-80f55e78a86d" xmlns:ns3="19312d4b-a057-483b-8f82-7f9ac4838299" targetNamespace="http://schemas.microsoft.com/office/2006/metadata/properties" ma:root="true" ma:fieldsID="3ac4d0e2f68334e6a1a398a27bae30bf" ns1:_="" ns2:_="" ns3:_="">
    <xsd:import namespace="http://schemas.microsoft.com/sharepoint/v3"/>
    <xsd:import namespace="33128d07-b5d3-42fe-ae84-80f55e78a86d"/>
    <xsd:import namespace="19312d4b-a057-483b-8f82-7f9ac48382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x0030_0_x002d_AGREEMENT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128d07-b5d3-42fe-ae84-80f55e78a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2988760-668a-432b-a51f-91af073743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x0030_0_x002d_AGREEMENT" ma:index="23" nillable="true" ma:displayName="00 - AGREEMENT" ma:format="Dropdown" ma:internalName="_x0030_0_x002d_AGREEMENT">
      <xsd:simpleType>
        <xsd:restriction base="dms:Text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12d4b-a057-483b-8f82-7f9ac48382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184bdf2-3b29-4354-9086-e4168baf32e1}" ma:internalName="TaxCatchAll" ma:showField="CatchAllData" ma:web="19312d4b-a057-483b-8f82-7f9ac48382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E1A731-A3CA-4257-997E-218B88A047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9CAA80-0AF1-4673-8472-6BD03D3978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3128d07-b5d3-42fe-ae84-80f55e78a86d"/>
    <ds:schemaRef ds:uri="19312d4b-a057-483b-8f82-7f9ac48382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29</vt:i4>
      </vt:variant>
    </vt:vector>
  </HeadingPairs>
  <TitlesOfParts>
    <vt:vector size="51" baseType="lpstr">
      <vt:lpstr>F0001</vt:lpstr>
      <vt:lpstr>F0106</vt:lpstr>
      <vt:lpstr>F0106 Diff</vt:lpstr>
      <vt:lpstr>F0133</vt:lpstr>
      <vt:lpstr>F0133 Diff</vt:lpstr>
      <vt:lpstr>F0193</vt:lpstr>
      <vt:lpstr>F0193 Diff</vt:lpstr>
      <vt:lpstr>F0226</vt:lpstr>
      <vt:lpstr>F0226 Diff</vt:lpstr>
      <vt:lpstr>F0269</vt:lpstr>
      <vt:lpstr>F0276</vt:lpstr>
      <vt:lpstr>F0278</vt:lpstr>
      <vt:lpstr>F0281</vt:lpstr>
      <vt:lpstr>F0281 Diff</vt:lpstr>
      <vt:lpstr>F0386</vt:lpstr>
      <vt:lpstr>F0386 Diff</vt:lpstr>
      <vt:lpstr>F0387</vt:lpstr>
      <vt:lpstr>F0387 Diff</vt:lpstr>
      <vt:lpstr>F0558</vt:lpstr>
      <vt:lpstr>F0558 Diff</vt:lpstr>
      <vt:lpstr>F0679</vt:lpstr>
      <vt:lpstr>F0679 Diff</vt:lpstr>
      <vt:lpstr>page\x2dtotal\x2dmaster0_10_1</vt:lpstr>
      <vt:lpstr>'F0106'!page\x2dtotal\x2dmaster0_2_1</vt:lpstr>
      <vt:lpstr>'F0106 Diff'!page\x2dtotal\x2dmaster0_2_1</vt:lpstr>
      <vt:lpstr>page\x2dtotal\x2dmaster0_3_1</vt:lpstr>
      <vt:lpstr>'F0193'!page\x2dtotal\x2dmaster0_4_1</vt:lpstr>
      <vt:lpstr>'F0193 Diff'!page\x2dtotal\x2dmaster0_4_1</vt:lpstr>
      <vt:lpstr>'F0226'!page\x2dtotal\x2dmaster0_5_1</vt:lpstr>
      <vt:lpstr>'F0226 Diff'!page\x2dtotal\x2dmaster0_5_1</vt:lpstr>
      <vt:lpstr>page\x2dtotal\x2dmaster0_6_1</vt:lpstr>
      <vt:lpstr>'F0386'!page\x2dtotal\x2dmaster0_7_1</vt:lpstr>
      <vt:lpstr>page\x2dtotal\x2dmaster0_8_1</vt:lpstr>
      <vt:lpstr>'F0558'!page\x2dtotal\x2dmaster0_9_1</vt:lpstr>
      <vt:lpstr>'F0558 Diff'!page\x2dtotal\x2dmaster0_9_1</vt:lpstr>
      <vt:lpstr>page\x2dtotal_10_1</vt:lpstr>
      <vt:lpstr>'F0106'!page\x2dtotal_2_1</vt:lpstr>
      <vt:lpstr>'F0106 Diff'!page\x2dtotal_2_1</vt:lpstr>
      <vt:lpstr>page\x2dtotal_3_1</vt:lpstr>
      <vt:lpstr>'F0193'!page\x2dtotal_4_1</vt:lpstr>
      <vt:lpstr>'F0193 Diff'!page\x2dtotal_4_1</vt:lpstr>
      <vt:lpstr>'F0226'!page\x2dtotal_5_1</vt:lpstr>
      <vt:lpstr>'F0226 Diff'!page\x2dtotal_5_1</vt:lpstr>
      <vt:lpstr>page\x2dtotal_6_1</vt:lpstr>
      <vt:lpstr>'F0386'!page\x2dtotal_7_1</vt:lpstr>
      <vt:lpstr>page\x2dtotal_8_1</vt:lpstr>
      <vt:lpstr>'F0558'!page\x2dtotal_9_1</vt:lpstr>
      <vt:lpstr>'F0558 Diff'!page\x2dtotal_9_1</vt:lpstr>
      <vt:lpstr>'F0276'!Print_Area</vt:lpstr>
      <vt:lpstr>'F0281 Diff'!Print_Area</vt:lpstr>
      <vt:lpstr>'F0558 Diff'!Print_Area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Singleman, Ronny@CalRecycle</dc:creator>
  <cp:lastModifiedBy>Zhao, Jing</cp:lastModifiedBy>
  <dcterms:created xsi:type="dcterms:W3CDTF">2024-08-27T18:28:31Z</dcterms:created>
  <dcterms:modified xsi:type="dcterms:W3CDTF">2024-11-13T19:12:11Z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2023-09-11T00:00:00Z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2024-08-27T00:00:00Z</vt:filetime>
  </property>
  <property fmtid="{D5CDD505-2E9C-101B-9397-08002B2CF9AE}" pid="5" name="Producer">
    <vt:lpwstr>Microsoft® Excel® 2016</vt:lpwstr>
  </property>
</Properties>
</file>