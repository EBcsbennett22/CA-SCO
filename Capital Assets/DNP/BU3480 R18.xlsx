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BF805563-5FC1-4C17-8C22-D63707AB33CE}" xr6:coauthVersionLast="47" xr6:coauthVersionMax="47" xr10:uidLastSave="{00000000-0000-0000-0000-000000000000}"/>
  <bookViews>
    <workbookView xWindow="-28920" yWindow="-1200" windowWidth="29040" windowHeight="15840" tabRatio="733" activeTab="8" xr2:uid="{00000000-000D-0000-FFFF-FFFF00000000}"/>
  </bookViews>
  <sheets>
    <sheet name="F0001" sheetId="1" r:id="rId1"/>
    <sheet name="F0141" sheetId="9" r:id="rId2"/>
    <sheet name="F0336" sheetId="2" r:id="rId3"/>
    <sheet name="F0338" sheetId="3" r:id="rId4"/>
    <sheet name="F0940" sheetId="7" r:id="rId5"/>
    <sheet name="F3046" sheetId="10" r:id="rId6"/>
    <sheet name="F3046 Differential" sheetId="11" r:id="rId7"/>
    <sheet name="F3212" sheetId="12" r:id="rId8"/>
    <sheet name="F3212 Differential" sheetId="13" r:id="rId9"/>
    <sheet name="F3228" sheetId="5" r:id="rId10"/>
    <sheet name="F3237" sheetId="4" r:id="rId11"/>
  </sheets>
  <definedNames>
    <definedName name="page\x2dtotal\x2dmaster0_1_1" localSheetId="1">'F0141'!$A$22</definedName>
    <definedName name="page\x2dtotal\x2dmaster0_1_1" localSheetId="3">'F0338'!$A$27</definedName>
    <definedName name="page\x2dtotal\x2dmaster0_1_1" localSheetId="4">'F0940'!$A$22</definedName>
    <definedName name="page\x2dtotal\x2dmaster0_1_1" localSheetId="9">'F3228'!$A$22</definedName>
    <definedName name="page\x2dtotal\x2dmaster0_1_1">'F0001'!$A$27</definedName>
    <definedName name="page\x2dtotal\x2dmaster0_10_1">'F3237'!$A$22</definedName>
    <definedName name="page\x2dtotal\x2dmaster0_4_1">'F0336'!$A$25</definedName>
    <definedName name="page\x2dtotal_1_1" localSheetId="1">'F0141'!$A$22</definedName>
    <definedName name="page\x2dtotal_1_1" localSheetId="3">'F0338'!$A$27</definedName>
    <definedName name="page\x2dtotal_1_1" localSheetId="4">'F0940'!$A$22</definedName>
    <definedName name="page\x2dtotal_1_1" localSheetId="9">'F3228'!$A$22</definedName>
    <definedName name="page\x2dtotal_1_1">'F0001'!$A$27</definedName>
    <definedName name="page\x2dtotal_10_1">'F3237'!$A$22</definedName>
    <definedName name="page\x2dtotal_4_1">'F0336'!$A$25</definedName>
    <definedName name="_xlnm.Print_Area" localSheetId="5">'F3046'!$A$1:$K$37</definedName>
    <definedName name="_xlnm.Print_Area" localSheetId="7">'F3212'!$A$1:$K$37</definedName>
    <definedName name="_xlnm.Print_Area" localSheetId="9">'F3228'!$A$1:$J$22</definedName>
    <definedName name="_xlnm.Print_Area" localSheetId="10">'F3237'!$A$1:$K$23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3" l="1"/>
  <c r="U12" i="13"/>
  <c r="I13" i="13"/>
  <c r="U13" i="13"/>
  <c r="I14" i="13"/>
  <c r="U14" i="13"/>
  <c r="I15" i="13"/>
  <c r="U15" i="13"/>
  <c r="U31" i="13" s="1"/>
  <c r="I16" i="13"/>
  <c r="U16" i="13"/>
  <c r="I17" i="13"/>
  <c r="U17" i="13"/>
  <c r="I19" i="13"/>
  <c r="U19" i="13"/>
  <c r="I20" i="13"/>
  <c r="U20" i="13"/>
  <c r="I21" i="13"/>
  <c r="U21" i="13"/>
  <c r="I22" i="13"/>
  <c r="U22" i="13"/>
  <c r="I23" i="13"/>
  <c r="U23" i="13"/>
  <c r="I24" i="13"/>
  <c r="U24" i="13"/>
  <c r="I25" i="13"/>
  <c r="U25" i="13"/>
  <c r="I26" i="13"/>
  <c r="U26" i="13"/>
  <c r="I27" i="13"/>
  <c r="U27" i="13"/>
  <c r="I28" i="13"/>
  <c r="U28" i="13"/>
  <c r="I29" i="13"/>
  <c r="U29" i="13"/>
  <c r="I30" i="13"/>
  <c r="U30" i="13"/>
  <c r="E31" i="13"/>
  <c r="G31" i="13"/>
  <c r="I31" i="13"/>
  <c r="K31" i="13"/>
  <c r="M31" i="13"/>
  <c r="O31" i="13"/>
  <c r="Q31" i="13"/>
  <c r="S31" i="13"/>
  <c r="J9" i="12"/>
  <c r="J10" i="12"/>
  <c r="J28" i="12" s="1"/>
  <c r="J11" i="12"/>
  <c r="J12" i="12"/>
  <c r="J13" i="12"/>
  <c r="J14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D28" i="12"/>
  <c r="F28" i="12"/>
  <c r="H28" i="12"/>
  <c r="I12" i="11" l="1"/>
  <c r="U12" i="11"/>
  <c r="I13" i="11"/>
  <c r="I31" i="11" s="1"/>
  <c r="U13" i="11"/>
  <c r="U31" i="11" s="1"/>
  <c r="I14" i="11"/>
  <c r="U14" i="11"/>
  <c r="I15" i="11"/>
  <c r="U15" i="11"/>
  <c r="I16" i="11"/>
  <c r="U16" i="11"/>
  <c r="I17" i="11"/>
  <c r="U17" i="11"/>
  <c r="I19" i="11"/>
  <c r="U19" i="11"/>
  <c r="I20" i="11"/>
  <c r="U20" i="11"/>
  <c r="I21" i="11"/>
  <c r="U21" i="11"/>
  <c r="I22" i="11"/>
  <c r="U22" i="11"/>
  <c r="I23" i="11"/>
  <c r="U23" i="11"/>
  <c r="I24" i="11"/>
  <c r="U24" i="11"/>
  <c r="I25" i="11"/>
  <c r="U25" i="11"/>
  <c r="I26" i="11"/>
  <c r="U26" i="11"/>
  <c r="I27" i="11"/>
  <c r="U27" i="11"/>
  <c r="I28" i="11"/>
  <c r="U28" i="11"/>
  <c r="I29" i="11"/>
  <c r="U29" i="11"/>
  <c r="I30" i="11"/>
  <c r="U30" i="11"/>
  <c r="E31" i="11"/>
  <c r="G31" i="11"/>
  <c r="K31" i="11"/>
  <c r="M31" i="11"/>
  <c r="O31" i="11"/>
  <c r="Q31" i="11"/>
  <c r="S31" i="11"/>
  <c r="J9" i="10"/>
  <c r="J28" i="10" s="1"/>
  <c r="J10" i="10"/>
  <c r="J11" i="10"/>
  <c r="J12" i="10"/>
  <c r="J13" i="10"/>
  <c r="J14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D28" i="10"/>
  <c r="F28" i="10"/>
  <c r="H28" i="10"/>
</calcChain>
</file>

<file path=xl/sharedStrings.xml><?xml version="1.0" encoding="utf-8"?>
<sst xmlns="http://schemas.openxmlformats.org/spreadsheetml/2006/main" count="383" uniqueCount="131">
  <si>
    <r>
      <rPr>
        <b/>
        <sz val="11"/>
        <color theme="1"/>
        <rFont val="Arial"/>
        <family val="2"/>
      </rPr>
      <t>Page No</t>
    </r>
    <r>
      <rPr>
        <sz val="12"/>
        <color theme="1"/>
        <rFont val="Arial"/>
        <family val="2"/>
      </rPr>
      <t xml:space="preserve"> :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1</t>
    </r>
  </si>
  <si>
    <t>REPORT 18 – STATEMENT OF CHANGES IN CAPITAL ASSETS</t>
  </si>
  <si>
    <t>Department of Conservation - 3480</t>
  </si>
  <si>
    <t>Fund 0001</t>
  </si>
  <si>
    <t>Fiscal Year 2023-24</t>
  </si>
  <si>
    <t>As of 06/30/2024</t>
  </si>
  <si>
    <t>Business Unit:</t>
  </si>
  <si>
    <t>3480 - Department of Conservation</t>
  </si>
  <si>
    <r>
      <rPr>
        <b/>
        <sz val="11"/>
        <color theme="1"/>
        <rFont val="Arial"/>
        <family val="2"/>
      </rPr>
      <t>Report ID:</t>
    </r>
    <r>
      <rPr>
        <sz val="11"/>
        <color theme="1"/>
        <rFont val="Arial"/>
        <family val="2"/>
      </rPr>
      <t xml:space="preserve"> RPTGL075</t>
    </r>
  </si>
  <si>
    <t>Fund:</t>
  </si>
  <si>
    <t>0001 - General Fund</t>
  </si>
  <si>
    <r>
      <rPr>
        <b/>
        <sz val="11"/>
        <color theme="1"/>
        <rFont val="Arial"/>
        <family val="2"/>
      </rPr>
      <t>Run Date:</t>
    </r>
    <r>
      <rPr>
        <sz val="11"/>
        <color theme="1"/>
        <rFont val="Arial"/>
        <family val="2"/>
      </rPr>
      <t xml:space="preserve"> 08/15/2024</t>
    </r>
  </si>
  <si>
    <t>Subfund:</t>
  </si>
  <si>
    <t>000</t>
  </si>
  <si>
    <r>
      <rPr>
        <b/>
        <sz val="11"/>
        <color theme="1"/>
        <rFont val="Arial"/>
        <family val="2"/>
      </rPr>
      <t>Run Time:</t>
    </r>
    <r>
      <rPr>
        <sz val="11"/>
        <color theme="1"/>
        <rFont val="Arial"/>
        <family val="2"/>
      </rPr>
      <t xml:space="preserve"> 12:00:41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</si>
  <si>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</si>
  <si>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</si>
  <si>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</si>
  <si>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</si>
  <si>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</si>
  <si>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</si>
  <si>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</si>
  <si>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  <family val="2"/>
      </rPr>
      <t>2341</t>
    </r>
    <r>
      <rPr>
        <sz val="10"/>
        <color theme="1"/>
        <rFont val="Arial"/>
        <family val="2"/>
      </rPr>
      <t xml:space="preserve"> - Equipment</t>
    </r>
  </si>
  <si>
    <t>Intangible Assets</t>
  </si>
  <si>
    <r>
      <rPr>
        <sz val="11"/>
        <color theme="1"/>
        <rFont val="Calibri"/>
        <family val="2"/>
      </rPr>
      <t>2411</t>
    </r>
    <r>
      <rPr>
        <sz val="10"/>
        <color theme="1"/>
        <rFont val="Arial"/>
        <family val="2"/>
      </rPr>
      <t xml:space="preserve"> - Computer Software - Amortizabl</t>
    </r>
  </si>
  <si>
    <r>
      <rPr>
        <sz val="11"/>
        <color theme="1"/>
        <rFont val="Calibri"/>
        <family val="2"/>
      </rPr>
      <t>2416</t>
    </r>
    <r>
      <rPr>
        <sz val="10"/>
        <color theme="1"/>
        <rFont val="Arial"/>
        <family val="2"/>
      </rPr>
      <t xml:space="preserve"> - Rights Leased Buildgs-Amortiz</t>
    </r>
  </si>
  <si>
    <r>
      <rPr>
        <sz val="11"/>
        <color theme="1"/>
        <rFont val="Calibri"/>
        <family val="2"/>
      </rPr>
      <t>2418</t>
    </r>
    <r>
      <rPr>
        <sz val="10"/>
        <color theme="1"/>
        <rFont val="Arial"/>
        <family val="2"/>
      </rPr>
      <t xml:space="preserve"> - Right-to-use SBITA - Amortizab</t>
    </r>
  </si>
  <si>
    <t>0001</t>
  </si>
  <si>
    <t>Sub Fund:</t>
  </si>
  <si>
    <t>0336</t>
  </si>
  <si>
    <r>
      <rPr>
        <sz val="11"/>
        <color theme="1"/>
        <rFont val="Calibri"/>
        <family val="2"/>
      </rPr>
      <t>2416</t>
    </r>
    <r>
      <rPr>
        <sz val="10"/>
        <color theme="1"/>
        <rFont val="Arial"/>
        <family val="2"/>
      </rPr>
      <t xml:space="preserve"> - Rights Leased Buildgs-Amortiz</t>
    </r>
  </si>
  <si>
    <r>
      <rPr>
        <sz val="11"/>
        <color theme="1"/>
        <rFont val="Calibri"/>
        <family val="2"/>
      </rPr>
      <t>2341</t>
    </r>
    <r>
      <rPr>
        <sz val="10"/>
        <color theme="1"/>
        <rFont val="Arial"/>
        <family val="2"/>
      </rPr>
      <t xml:space="preserve"> - Equipment</t>
    </r>
  </si>
  <si>
    <r>
      <rPr>
        <b/>
        <sz val="11"/>
        <color theme="1"/>
        <rFont val="Arial"/>
        <family val="2"/>
      </rPr>
      <t>Run Time:</t>
    </r>
    <r>
      <rPr>
        <sz val="11"/>
        <color theme="1"/>
        <rFont val="Arial"/>
        <family val="2"/>
      </rPr>
      <t xml:space="preserve"> 10:30:13</t>
    </r>
  </si>
  <si>
    <r>
      <rPr>
        <b/>
        <sz val="11"/>
        <color theme="1"/>
        <rFont val="Arial"/>
        <family val="2"/>
      </rPr>
      <t>Run Date:</t>
    </r>
    <r>
      <rPr>
        <sz val="11"/>
        <color theme="1"/>
        <rFont val="Arial"/>
        <family val="2"/>
      </rPr>
      <t xml:space="preserve"> 08/14/2024</t>
    </r>
  </si>
  <si>
    <t>0336 - Mine Reclamation Account</t>
  </si>
  <si>
    <r>
      <rPr>
        <b/>
        <sz val="11"/>
        <color theme="1"/>
        <rFont val="Arial"/>
        <family val="2"/>
      </rPr>
      <t>Report ID:</t>
    </r>
    <r>
      <rPr>
        <sz val="11"/>
        <color theme="1"/>
        <rFont val="Arial"/>
        <family val="2"/>
      </rPr>
      <t xml:space="preserve"> RPTGL075</t>
    </r>
  </si>
  <si>
    <t>Fund 0336</t>
  </si>
  <si>
    <r>
      <rPr>
        <b/>
        <sz val="11"/>
        <color theme="1"/>
        <rFont val="Arial"/>
        <family val="2"/>
      </rPr>
      <t>Page No</t>
    </r>
    <r>
      <rPr>
        <sz val="12"/>
        <color theme="1"/>
        <rFont val="Arial"/>
        <family val="2"/>
      </rPr>
      <t xml:space="preserve"> :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1</t>
    </r>
  </si>
  <si>
    <t>0338</t>
  </si>
  <si>
    <r>
      <rPr>
        <b/>
        <sz val="11"/>
        <color theme="1"/>
        <rFont val="Arial"/>
        <family val="2"/>
      </rPr>
      <t>Run Time:</t>
    </r>
    <r>
      <rPr>
        <sz val="11"/>
        <color theme="1"/>
        <rFont val="Arial"/>
        <family val="2"/>
      </rPr>
      <t xml:space="preserve"> 11:16:53</t>
    </r>
  </si>
  <si>
    <t>0338 - Strong-Motion Instrumentation</t>
  </si>
  <si>
    <t>Fund 0338</t>
  </si>
  <si>
    <t>3237</t>
  </si>
  <si>
    <r>
      <rPr>
        <b/>
        <sz val="11"/>
        <color theme="1"/>
        <rFont val="Arial"/>
        <family val="2"/>
      </rPr>
      <t>Run Time:</t>
    </r>
    <r>
      <rPr>
        <sz val="11"/>
        <color theme="1"/>
        <rFont val="Arial"/>
        <family val="2"/>
      </rPr>
      <t xml:space="preserve"> 09:41:27</t>
    </r>
  </si>
  <si>
    <r>
      <rPr>
        <b/>
        <sz val="11"/>
        <color theme="1"/>
        <rFont val="Arial"/>
        <family val="2"/>
      </rPr>
      <t>Run Date:</t>
    </r>
    <r>
      <rPr>
        <sz val="11"/>
        <color theme="1"/>
        <rFont val="Arial"/>
        <family val="2"/>
      </rPr>
      <t xml:space="preserve"> 08/07/2024</t>
    </r>
  </si>
  <si>
    <t>3237 - Cost Of Implementation Acct, A</t>
  </si>
  <si>
    <t>Fund 3237</t>
  </si>
  <si>
    <t>3228</t>
  </si>
  <si>
    <t>2341 - Equipment</t>
  </si>
  <si>
    <r>
      <rPr>
        <b/>
        <sz val="11"/>
        <color theme="1"/>
        <rFont val="Arial"/>
        <family val="2"/>
      </rPr>
      <t>Run Time:</t>
    </r>
    <r>
      <rPr>
        <sz val="11"/>
        <color theme="1"/>
        <rFont val="Arial"/>
        <family val="2"/>
      </rPr>
      <t xml:space="preserve"> 12:10:42</t>
    </r>
  </si>
  <si>
    <r>
      <rPr>
        <b/>
        <sz val="11"/>
        <color theme="1"/>
        <rFont val="Arial"/>
        <family val="2"/>
      </rPr>
      <t>Run Date:</t>
    </r>
    <r>
      <rPr>
        <sz val="11"/>
        <color theme="1"/>
        <rFont val="Arial"/>
        <family val="2"/>
      </rPr>
      <t xml:space="preserve"> 08/07/2024</t>
    </r>
  </si>
  <si>
    <t>3228 - Greenhouse Gas Reduction Fund</t>
  </si>
  <si>
    <t>Fund 3228</t>
  </si>
  <si>
    <r>
      <rPr>
        <b/>
        <sz val="11"/>
        <color theme="1"/>
        <rFont val="Arial"/>
        <family val="2"/>
      </rPr>
      <t>Run Date:</t>
    </r>
    <r>
      <rPr>
        <sz val="11"/>
        <color theme="1"/>
        <rFont val="Arial"/>
        <family val="2"/>
      </rPr>
      <t xml:space="preserve"> 08/15/2024</t>
    </r>
  </si>
  <si>
    <t>0940</t>
  </si>
  <si>
    <r>
      <rPr>
        <b/>
        <sz val="11"/>
        <color theme="1"/>
        <rFont val="Arial"/>
        <family val="2"/>
      </rPr>
      <t>Run Time:</t>
    </r>
    <r>
      <rPr>
        <sz val="11"/>
        <color theme="1"/>
        <rFont val="Arial"/>
        <family val="2"/>
      </rPr>
      <t xml:space="preserve"> 11:11:42</t>
    </r>
  </si>
  <si>
    <t>0940 - Bosco Keene Renewable Resource</t>
  </si>
  <si>
    <t>Fund 0940</t>
  </si>
  <si>
    <t>0141</t>
  </si>
  <si>
    <r>
      <rPr>
        <b/>
        <sz val="11"/>
        <color theme="1"/>
        <rFont val="Arial"/>
        <family val="2"/>
      </rPr>
      <t>Run Time:</t>
    </r>
    <r>
      <rPr>
        <sz val="11"/>
        <color theme="1"/>
        <rFont val="Arial"/>
        <family val="2"/>
      </rPr>
      <t xml:space="preserve"> 11:58:01</t>
    </r>
  </si>
  <si>
    <t>0141 - Soil Conservation Fund</t>
  </si>
  <si>
    <t>Fund 0141</t>
  </si>
  <si>
    <t>The ending balances should equal the debit balances on Report 19 for each asset type.</t>
  </si>
  <si>
    <t>Statement of Changes in Capital Assets Beginning Balance Differential Report. See illustration next page.</t>
  </si>
  <si>
    <t>Asset beginning balances must agree with prior year ending balances. Any differences must be documented and explained in Report 18-</t>
  </si>
  <si>
    <t>TOTAL CAPITAL ASSETS</t>
  </si>
  <si>
    <t>Internally Generated Intangible Assets in Progress</t>
  </si>
  <si>
    <t>Other Intangible Assets - Non-Amortizable</t>
  </si>
  <si>
    <t>Patents, Copyrights, and Trademarks - Non-Amortizable</t>
  </si>
  <si>
    <t>Land Use Rights - Non-Amortizable</t>
  </si>
  <si>
    <t>Right-to-Use Subscription-Based Information Technology Arrangements  (SBITA) - Amortizable</t>
  </si>
  <si>
    <t>Right-to-Use Leased Equipment - Amortizable</t>
  </si>
  <si>
    <t>Right-to-Use Leased Buildings - Amortizable</t>
  </si>
  <si>
    <t>Right-to-Use Leased Land - Amortizable</t>
  </si>
  <si>
    <t>Other Intangible Assets - Amortizable</t>
  </si>
  <si>
    <t>Patents, Copyrights, and Trademarks - Amortizable</t>
  </si>
  <si>
    <t>Land Use Rights - Amortizable</t>
  </si>
  <si>
    <t>Computer Software - Amortizable</t>
  </si>
  <si>
    <t>Infrastructure - Depreciable</t>
  </si>
  <si>
    <t>Construction Work in Progress</t>
  </si>
  <si>
    <t>Equipment</t>
  </si>
  <si>
    <t>Improvements Other Than Buildings</t>
  </si>
  <si>
    <t>Buildings</t>
  </si>
  <si>
    <t>Land</t>
  </si>
  <si>
    <r>
      <t>Balance</t>
    </r>
    <r>
      <rPr>
        <b/>
        <vertAlign val="superscript"/>
        <sz val="11"/>
        <color theme="1"/>
        <rFont val="Calibri"/>
        <family val="2"/>
        <scheme val="minor"/>
      </rPr>
      <t xml:space="preserve">2 </t>
    </r>
    <r>
      <rPr>
        <b/>
        <sz val="11"/>
        <color theme="1"/>
        <rFont val="Calibri"/>
        <family val="2"/>
        <scheme val="minor"/>
      </rPr>
      <t>June 30, 2024</t>
    </r>
  </si>
  <si>
    <r>
      <t>Beginning Balance</t>
    </r>
    <r>
      <rPr>
        <b/>
        <vertAlign val="superscript"/>
        <sz val="11"/>
        <color theme="1"/>
        <rFont val="Calibri"/>
        <family val="2"/>
        <scheme val="minor"/>
      </rPr>
      <t xml:space="preserve">1  </t>
    </r>
  </si>
  <si>
    <t>CAPITAL ASSETS</t>
  </si>
  <si>
    <t>As of June 30, 2024</t>
  </si>
  <si>
    <t>3046 Oil, Gas, and Geothermal Admin Fund</t>
  </si>
  <si>
    <t>Statement of Changes in Capital Assets Group of Accounts - Report 18</t>
  </si>
  <si>
    <t>Department of Conservation (3480)</t>
  </si>
  <si>
    <r>
      <rPr>
        <vertAlign val="superscript"/>
        <sz val="11"/>
        <rFont val="Arial"/>
        <family val="2"/>
      </rPr>
      <t>1</t>
    </r>
    <r>
      <rPr>
        <sz val="11"/>
        <rFont val="Arial"/>
        <family val="2"/>
      </rPr>
      <t xml:space="preserve"> Financed Purchase contracts should be reported with its corresponding tangible capital asset account (e.g., Land, Buildings, Equipment)</t>
    </r>
  </si>
  <si>
    <t>Footnotes:</t>
  </si>
  <si>
    <t>Compute the sum of columns 4 to 8. The amount should agree with the computed difference in column 3.</t>
  </si>
  <si>
    <t>Col. 9 -</t>
  </si>
  <si>
    <t>Breakdown and categorize the differences in columns 4 to 8.</t>
  </si>
  <si>
    <t>Col. 4-8 -</t>
  </si>
  <si>
    <t>Research posting and source documents to identify and explain the difference.</t>
  </si>
  <si>
    <t>Compute difference between current year beginning balance and prior year ending balance.</t>
  </si>
  <si>
    <t>Col. 3 -</t>
  </si>
  <si>
    <t>Enter Beginning Balance from Current Year Report 18.</t>
  </si>
  <si>
    <t>Col. 2 -</t>
  </si>
  <si>
    <t>Enter Ending Balance from Prior Year Report 18.</t>
  </si>
  <si>
    <t>Col. 1 -</t>
  </si>
  <si>
    <t>Report Instructions:</t>
  </si>
  <si>
    <t>Total</t>
  </si>
  <si>
    <r>
      <t>Equipment</t>
    </r>
    <r>
      <rPr>
        <vertAlign val="superscript"/>
        <sz val="11"/>
        <color theme="1"/>
        <rFont val="Calibri"/>
        <family val="2"/>
        <scheme val="minor"/>
      </rPr>
      <t>1</t>
    </r>
  </si>
  <si>
    <r>
      <t>Buildings</t>
    </r>
    <r>
      <rPr>
        <vertAlign val="superscript"/>
        <sz val="11"/>
        <color theme="1"/>
        <rFont val="Calibri"/>
        <family val="2"/>
        <scheme val="minor"/>
      </rPr>
      <t>1</t>
    </r>
  </si>
  <si>
    <r>
      <t>Land</t>
    </r>
    <r>
      <rPr>
        <vertAlign val="superscript"/>
        <sz val="11"/>
        <color theme="1"/>
        <rFont val="Calibri"/>
        <family val="2"/>
        <scheme val="minor"/>
      </rPr>
      <t>1</t>
    </r>
  </si>
  <si>
    <r>
      <t xml:space="preserve">Restatement Amount 
</t>
    </r>
    <r>
      <rPr>
        <sz val="11"/>
        <color theme="1"/>
        <rFont val="Calibri"/>
      </rPr>
      <t>(should agree to the difference calculated)</t>
    </r>
  </si>
  <si>
    <r>
      <t xml:space="preserve">Other amounts that make up the difference </t>
    </r>
    <r>
      <rPr>
        <sz val="11"/>
        <color theme="1"/>
        <rFont val="Calibri"/>
      </rPr>
      <t xml:space="preserve">(provide description): </t>
    </r>
    <r>
      <rPr>
        <b/>
        <u/>
        <sz val="8"/>
        <color theme="1"/>
        <rFont val="Calibri"/>
        <family val="2"/>
        <scheme val="minor"/>
      </rPr>
      <t>incorrect entry was made in prior year balance</t>
    </r>
  </si>
  <si>
    <r>
      <t xml:space="preserve">Other amounts that make up the difference </t>
    </r>
    <r>
      <rPr>
        <sz val="11"/>
        <color theme="1"/>
        <rFont val="Calibri"/>
      </rPr>
      <t xml:space="preserve">(provide description): 
</t>
    </r>
    <r>
      <rPr>
        <b/>
        <u/>
        <sz val="8"/>
        <color theme="1"/>
        <rFont val="Calibri"/>
        <family val="2"/>
        <scheme val="minor"/>
      </rPr>
      <t>prior year asset classification was incorrect</t>
    </r>
  </si>
  <si>
    <r>
      <t xml:space="preserve">Transfers from other departments
</t>
    </r>
    <r>
      <rPr>
        <sz val="11"/>
        <color theme="1"/>
        <rFont val="Calibri"/>
      </rPr>
      <t>(at historical cost/book value)</t>
    </r>
  </si>
  <si>
    <t>Non-capitalizable assets reported as capital assets in the prior year</t>
  </si>
  <si>
    <t>Assets unreported in the prior year</t>
  </si>
  <si>
    <t>Difference</t>
  </si>
  <si>
    <t>Current Year Beginning Balance</t>
  </si>
  <si>
    <t>Prior Year Ending Balance</t>
  </si>
  <si>
    <t>(9)</t>
  </si>
  <si>
    <t>(8)</t>
  </si>
  <si>
    <t>(7)</t>
  </si>
  <si>
    <t>(6)</t>
  </si>
  <si>
    <t>(5)</t>
  </si>
  <si>
    <t>(4)</t>
  </si>
  <si>
    <t>(3)</t>
  </si>
  <si>
    <t>(2)</t>
  </si>
  <si>
    <t>(1)</t>
  </si>
  <si>
    <t>Breakdown of Difference:</t>
  </si>
  <si>
    <t>Beginning Balance Differential Report</t>
  </si>
  <si>
    <t xml:space="preserve">Fund 3212- Timber Regulations and Forest Restoration </t>
  </si>
  <si>
    <r>
      <t xml:space="preserve">Other amounts that make up the difference </t>
    </r>
    <r>
      <rPr>
        <sz val="11"/>
        <color theme="1"/>
        <rFont val="Calibri"/>
      </rPr>
      <t xml:space="preserve">(provide description): </t>
    </r>
    <r>
      <rPr>
        <b/>
        <u/>
        <sz val="8"/>
        <color theme="1"/>
        <rFont val="Calibri"/>
        <family val="2"/>
        <scheme val="minor"/>
      </rPr>
      <t>incorrect entry was made in current year balance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</si>
</sst>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4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80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u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rgb="FF000080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name val="Arial"/>
      <family val="2"/>
    </font>
    <font>
      <vertAlign val="superscript"/>
      <sz val="11"/>
      <name val="Arial"/>
      <family val="2"/>
    </font>
    <font>
      <b/>
      <u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9">
    <xf numFmtId="0" fontId="0" fillId="0" borderId="0" xfId="0"/>
    <xf numFmtId="0" fontId="5" fillId="2" borderId="0" xfId="0" applyFont="1" applyFill="1" applyAlignment="1">
      <alignment horizontal="right" vertical="center" wrapText="1"/>
    </xf>
    <xf numFmtId="39" fontId="7" fillId="2" borderId="0" xfId="0" applyNumberFormat="1" applyFont="1" applyFill="1" applyAlignment="1">
      <alignment horizontal="right" vertical="top" wrapText="1"/>
    </xf>
    <xf numFmtId="0" fontId="5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39" fontId="12" fillId="2" borderId="0" xfId="0" applyNumberFormat="1" applyFont="1" applyFill="1" applyAlignment="1">
      <alignment horizontal="right" vertical="top" wrapText="1"/>
    </xf>
    <xf numFmtId="0" fontId="13" fillId="2" borderId="0" xfId="0" applyFont="1" applyFill="1" applyAlignment="1">
      <alignment horizontal="right" vertical="center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4" fillId="0" borderId="0" xfId="0" applyFont="1" applyAlignment="1">
      <alignment horizontal="left" inden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right" vertical="center" wrapText="1"/>
    </xf>
    <xf numFmtId="0" fontId="6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7" fillId="2" borderId="0" xfId="0" applyNumberFormat="1" applyFont="1" applyFill="1" applyAlignment="1">
      <alignment horizontal="right" vertical="top" wrapText="1"/>
    </xf>
    <xf numFmtId="0" fontId="0" fillId="0" borderId="0" xfId="0" applyAlignment="1">
      <alignment horizontal="center" indent="1"/>
    </xf>
    <xf numFmtId="0" fontId="7" fillId="0" borderId="0" xfId="0" applyFont="1" applyAlignment="1">
      <alignment horizontal="right" vertical="center" wrapText="1"/>
    </xf>
    <xf numFmtId="39" fontId="8" fillId="0" borderId="0" xfId="0" applyNumberFormat="1" applyFont="1" applyAlignment="1">
      <alignment horizontal="right" vertical="center" wrapText="1"/>
    </xf>
    <xf numFmtId="0" fontId="16" fillId="0" borderId="0" xfId="0" applyFont="1" applyAlignment="1">
      <alignment horizontal="center" vertical="top" wrapText="1"/>
    </xf>
    <xf numFmtId="0" fontId="16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5" fillId="0" borderId="0" xfId="0" applyFont="1" applyAlignment="1">
      <alignment horizontal="left" indent="1"/>
    </xf>
    <xf numFmtId="0" fontId="13" fillId="2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right" vertical="center" wrapText="1"/>
    </xf>
    <xf numFmtId="0" fontId="14" fillId="0" borderId="0" xfId="0" applyFont="1" applyAlignment="1">
      <alignment horizontal="left" indent="1"/>
    </xf>
    <xf numFmtId="39" fontId="12" fillId="2" borderId="0" xfId="0" applyNumberFormat="1" applyFont="1" applyFill="1" applyAlignment="1">
      <alignment horizontal="right" vertical="top" wrapText="1"/>
    </xf>
    <xf numFmtId="0" fontId="12" fillId="0" borderId="0" xfId="0" applyFont="1" applyAlignment="1">
      <alignment horizontal="right" vertical="center" wrapText="1"/>
    </xf>
    <xf numFmtId="39" fontId="11" fillId="0" borderId="0" xfId="0" applyNumberFormat="1" applyFont="1" applyAlignment="1">
      <alignment horizontal="right" vertical="center" wrapText="1"/>
    </xf>
    <xf numFmtId="0" fontId="12" fillId="2" borderId="0" xfId="0" applyFont="1" applyFill="1" applyAlignment="1">
      <alignment horizontal="left" vertical="top" wrapText="1"/>
    </xf>
    <xf numFmtId="0" fontId="1" fillId="0" borderId="0" xfId="1"/>
    <xf numFmtId="43" fontId="1" fillId="0" borderId="0" xfId="1" applyNumberFormat="1"/>
    <xf numFmtId="43" fontId="1" fillId="0" borderId="0" xfId="1" applyNumberFormat="1" applyProtection="1">
      <protection locked="0"/>
    </xf>
    <xf numFmtId="0" fontId="1" fillId="0" borderId="0" xfId="1" applyProtection="1">
      <protection locked="0"/>
    </xf>
    <xf numFmtId="0" fontId="19" fillId="0" borderId="0" xfId="1" applyFont="1" applyProtection="1">
      <protection locked="0"/>
    </xf>
    <xf numFmtId="44" fontId="18" fillId="0" borderId="1" xfId="1" applyNumberFormat="1" applyFont="1" applyBorder="1"/>
    <xf numFmtId="44" fontId="1" fillId="0" borderId="0" xfId="1" applyNumberFormat="1"/>
    <xf numFmtId="0" fontId="18" fillId="0" borderId="0" xfId="1" applyFont="1" applyProtection="1">
      <protection locked="0"/>
    </xf>
    <xf numFmtId="43" fontId="1" fillId="0" borderId="2" xfId="1" applyNumberFormat="1" applyBorder="1" applyProtection="1">
      <protection locked="0"/>
    </xf>
    <xf numFmtId="0" fontId="1" fillId="0" borderId="0" xfId="1" applyAlignment="1">
      <alignment wrapText="1"/>
    </xf>
    <xf numFmtId="43" fontId="1" fillId="0" borderId="0" xfId="1" applyNumberFormat="1" applyAlignment="1" applyProtection="1">
      <alignment wrapText="1"/>
      <protection locked="0"/>
    </xf>
    <xf numFmtId="0" fontId="1" fillId="0" borderId="0" xfId="1" applyAlignment="1" applyProtection="1">
      <alignment wrapText="1"/>
      <protection locked="0"/>
    </xf>
    <xf numFmtId="44" fontId="1" fillId="0" borderId="0" xfId="1" applyNumberFormat="1" applyProtection="1">
      <protection locked="0"/>
    </xf>
    <xf numFmtId="0" fontId="1" fillId="0" borderId="0" xfId="1" applyAlignment="1">
      <alignment horizontal="center"/>
    </xf>
    <xf numFmtId="0" fontId="18" fillId="0" borderId="2" xfId="1" applyFont="1" applyBorder="1" applyAlignment="1" applyProtection="1">
      <alignment horizontal="center" wrapText="1"/>
      <protection locked="0"/>
    </xf>
    <xf numFmtId="43" fontId="1" fillId="0" borderId="0" xfId="1" applyNumberFormat="1" applyAlignment="1" applyProtection="1">
      <alignment horizontal="center"/>
      <protection locked="0"/>
    </xf>
    <xf numFmtId="43" fontId="18" fillId="0" borderId="2" xfId="1" applyNumberFormat="1" applyFont="1" applyBorder="1" applyAlignment="1" applyProtection="1">
      <alignment horizontal="center"/>
      <protection locked="0"/>
    </xf>
    <xf numFmtId="0" fontId="18" fillId="0" borderId="0" xfId="1" applyFont="1" applyAlignment="1" applyProtection="1">
      <alignment horizontal="centerContinuous"/>
      <protection locked="0"/>
    </xf>
    <xf numFmtId="0" fontId="21" fillId="0" borderId="0" xfId="2" applyFont="1"/>
    <xf numFmtId="41" fontId="18" fillId="0" borderId="1" xfId="1" applyNumberFormat="1" applyFont="1" applyBorder="1"/>
    <xf numFmtId="41" fontId="1" fillId="0" borderId="0" xfId="1" applyNumberFormat="1"/>
    <xf numFmtId="41" fontId="1" fillId="3" borderId="0" xfId="1" applyNumberFormat="1" applyFill="1"/>
    <xf numFmtId="0" fontId="18" fillId="0" borderId="0" xfId="1" applyFont="1"/>
    <xf numFmtId="41" fontId="1" fillId="0" borderId="0" xfId="1" applyNumberFormat="1" applyProtection="1">
      <protection locked="0"/>
    </xf>
    <xf numFmtId="41" fontId="1" fillId="0" borderId="2" xfId="1" applyNumberFormat="1" applyBorder="1" applyProtection="1">
      <protection locked="0"/>
    </xf>
    <xf numFmtId="41" fontId="1" fillId="3" borderId="0" xfId="1" applyNumberFormat="1" applyFill="1" applyProtection="1">
      <protection locked="0"/>
    </xf>
    <xf numFmtId="41" fontId="1" fillId="0" borderId="0" xfId="1" applyNumberFormat="1" applyAlignment="1">
      <alignment wrapText="1"/>
    </xf>
    <xf numFmtId="41" fontId="1" fillId="0" borderId="0" xfId="1" applyNumberFormat="1" applyAlignment="1" applyProtection="1">
      <alignment wrapText="1"/>
      <protection locked="0"/>
    </xf>
    <xf numFmtId="41" fontId="1" fillId="3" borderId="0" xfId="1" applyNumberFormat="1" applyFill="1" applyAlignment="1" applyProtection="1">
      <alignment wrapText="1"/>
      <protection locked="0"/>
    </xf>
    <xf numFmtId="0" fontId="1" fillId="0" borderId="0" xfId="1" applyAlignment="1" applyProtection="1">
      <alignment horizontal="left" wrapText="1"/>
      <protection locked="0"/>
    </xf>
    <xf numFmtId="43" fontId="1" fillId="3" borderId="0" xfId="1" applyNumberFormat="1" applyFill="1" applyProtection="1">
      <protection locked="0"/>
    </xf>
    <xf numFmtId="0" fontId="18" fillId="0" borderId="2" xfId="1" applyFont="1" applyBorder="1" applyAlignment="1" applyProtection="1">
      <alignment horizontal="center" vertical="top" wrapText="1"/>
      <protection locked="0"/>
    </xf>
    <xf numFmtId="0" fontId="1" fillId="0" borderId="0" xfId="1" applyAlignment="1" applyProtection="1">
      <alignment horizontal="center"/>
      <protection locked="0"/>
    </xf>
    <xf numFmtId="0" fontId="1" fillId="3" borderId="0" xfId="1" applyFill="1" applyAlignment="1" applyProtection="1">
      <alignment horizontal="center"/>
      <protection locked="0"/>
    </xf>
    <xf numFmtId="0" fontId="18" fillId="0" borderId="2" xfId="1" applyFont="1" applyBorder="1" applyAlignment="1" applyProtection="1">
      <alignment horizontal="center" vertical="top"/>
      <protection locked="0"/>
    </xf>
    <xf numFmtId="0" fontId="1" fillId="0" borderId="0" xfId="1" quotePrefix="1" applyAlignment="1" applyProtection="1">
      <alignment horizontal="center"/>
      <protection locked="0"/>
    </xf>
    <xf numFmtId="43" fontId="18" fillId="0" borderId="3" xfId="1" applyNumberFormat="1" applyFont="1" applyBorder="1" applyAlignment="1" applyProtection="1">
      <alignment horizontal="centerContinuous"/>
      <protection locked="0"/>
    </xf>
  </cellXfs>
  <cellStyles count="3">
    <cellStyle name="Normal" xfId="0" builtinId="0"/>
    <cellStyle name="Normal 2" xfId="1" xr:uid="{9575A688-869C-4185-9910-6886FB5C317E}"/>
    <cellStyle name="Normal 4 2" xfId="2" xr:uid="{35B74345-5C65-4112-A932-4FDDE2B1F83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showGridLines="0" zoomScaleNormal="100" workbookViewId="0">
      <selection sqref="A1:C1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1" spans="1:10" x14ac:dyDescent="0.25">
      <c r="A1" s="7"/>
      <c r="B1" s="7"/>
      <c r="C1" s="7"/>
      <c r="D1" s="7"/>
      <c r="E1" s="7"/>
      <c r="F1" s="7"/>
      <c r="G1" s="7"/>
      <c r="H1" s="7"/>
      <c r="I1" s="7" t="s">
        <v>0</v>
      </c>
      <c r="J1" s="7"/>
    </row>
    <row r="2" spans="1:10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 x14ac:dyDescent="0.25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</row>
    <row r="4" spans="1:10" x14ac:dyDescent="0.25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5">
      <c r="A5" s="8" t="s">
        <v>4</v>
      </c>
      <c r="B5" s="8"/>
      <c r="C5" s="8"/>
      <c r="D5" s="8"/>
      <c r="E5" s="8"/>
      <c r="F5" s="8"/>
      <c r="G5" s="8"/>
      <c r="H5" s="8"/>
      <c r="I5" s="8"/>
      <c r="J5" s="8"/>
    </row>
    <row r="6" spans="1:10" x14ac:dyDescent="0.25">
      <c r="A6" s="8" t="s">
        <v>5</v>
      </c>
      <c r="B6" s="8"/>
      <c r="C6" s="8"/>
      <c r="D6" s="8"/>
      <c r="E6" s="8"/>
      <c r="F6" s="8"/>
      <c r="G6" s="8"/>
      <c r="H6" s="8"/>
      <c r="I6" s="8"/>
      <c r="J6" s="8"/>
    </row>
    <row r="7" spans="1:10" x14ac:dyDescent="0.25">
      <c r="A7" s="9" t="s">
        <v>6</v>
      </c>
      <c r="B7" s="9"/>
      <c r="C7" s="10" t="s">
        <v>7</v>
      </c>
      <c r="D7" s="10"/>
      <c r="E7" s="10"/>
      <c r="F7" s="10"/>
      <c r="G7" s="10"/>
      <c r="H7" s="10"/>
      <c r="I7" s="7" t="s">
        <v>8</v>
      </c>
      <c r="J7" s="7"/>
    </row>
    <row r="8" spans="1:10" x14ac:dyDescent="0.25">
      <c r="A8" s="9" t="s">
        <v>9</v>
      </c>
      <c r="B8" s="9"/>
      <c r="C8" s="10" t="s">
        <v>10</v>
      </c>
      <c r="D8" s="10"/>
      <c r="E8" s="10"/>
      <c r="F8" s="10"/>
      <c r="G8" s="10"/>
      <c r="H8" s="10"/>
      <c r="I8" s="7" t="s">
        <v>11</v>
      </c>
      <c r="J8" s="7"/>
    </row>
    <row r="9" spans="1:10" x14ac:dyDescent="0.25">
      <c r="A9" s="9" t="s">
        <v>12</v>
      </c>
      <c r="B9" s="9"/>
      <c r="C9" s="10" t="s">
        <v>13</v>
      </c>
      <c r="D9" s="10"/>
      <c r="E9" s="10"/>
      <c r="F9" s="10"/>
      <c r="G9" s="10"/>
      <c r="H9" s="10"/>
      <c r="I9" s="7" t="s">
        <v>14</v>
      </c>
      <c r="J9" s="7"/>
    </row>
    <row r="10" spans="1:10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x14ac:dyDescent="0.25">
      <c r="A12" s="12" t="s">
        <v>15</v>
      </c>
      <c r="B12" s="12"/>
      <c r="C12" s="12"/>
      <c r="D12" s="12"/>
      <c r="E12" s="12"/>
      <c r="F12" s="12"/>
      <c r="G12" s="12"/>
      <c r="H12" s="12"/>
      <c r="I12" s="12"/>
      <c r="J12" s="12"/>
    </row>
    <row r="13" spans="1:1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25">
      <c r="A14" s="13" t="s">
        <v>16</v>
      </c>
      <c r="B14" s="13"/>
      <c r="C14" s="13"/>
      <c r="D14" s="13"/>
      <c r="E14" s="13"/>
      <c r="F14" s="1" t="s">
        <v>17</v>
      </c>
      <c r="G14" s="1" t="s">
        <v>18</v>
      </c>
      <c r="H14" s="14" t="s">
        <v>19</v>
      </c>
      <c r="I14" s="14"/>
      <c r="J14" s="1" t="s">
        <v>20</v>
      </c>
    </row>
    <row r="15" spans="1:10" x14ac:dyDescent="0.25">
      <c r="A15" s="15" t="s">
        <v>21</v>
      </c>
      <c r="B15" s="15"/>
      <c r="C15" s="15"/>
      <c r="D15" s="15"/>
      <c r="E15" s="15"/>
      <c r="F15" s="15"/>
      <c r="G15" s="15"/>
      <c r="H15" s="15"/>
      <c r="I15" s="15"/>
      <c r="J15" s="15"/>
    </row>
    <row r="16" spans="1:10" x14ac:dyDescent="0.25">
      <c r="A16" s="16" t="s">
        <v>22</v>
      </c>
      <c r="B16" s="16"/>
      <c r="C16" s="16"/>
      <c r="D16" s="16"/>
      <c r="E16" s="16"/>
      <c r="F16" s="2">
        <v>318522.40000000002</v>
      </c>
      <c r="G16" s="2">
        <v>12389075.9</v>
      </c>
      <c r="H16" s="17">
        <v>0</v>
      </c>
      <c r="I16" s="17"/>
      <c r="J16" s="2">
        <v>12707598.300000001</v>
      </c>
    </row>
    <row r="17" spans="1:10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25">
      <c r="A18" s="15" t="s">
        <v>23</v>
      </c>
      <c r="B18" s="15"/>
      <c r="C18" s="15"/>
      <c r="D18" s="15"/>
      <c r="E18" s="15"/>
      <c r="F18" s="15"/>
      <c r="G18" s="15"/>
      <c r="H18" s="15"/>
      <c r="I18" s="15"/>
      <c r="J18" s="15"/>
    </row>
    <row r="19" spans="1:10" x14ac:dyDescent="0.25">
      <c r="A19" s="16" t="s">
        <v>24</v>
      </c>
      <c r="B19" s="16"/>
      <c r="C19" s="16"/>
      <c r="D19" s="16"/>
      <c r="E19" s="16"/>
      <c r="F19" s="2">
        <v>0</v>
      </c>
      <c r="G19" s="2">
        <v>12000</v>
      </c>
      <c r="H19" s="17">
        <v>0</v>
      </c>
      <c r="I19" s="17"/>
      <c r="J19" s="2">
        <v>12000</v>
      </c>
    </row>
    <row r="20" spans="1:10" x14ac:dyDescent="0.25">
      <c r="A20" s="16" t="s">
        <v>25</v>
      </c>
      <c r="B20" s="16"/>
      <c r="C20" s="16"/>
      <c r="D20" s="16"/>
      <c r="E20" s="16"/>
      <c r="F20" s="2">
        <v>380616.42</v>
      </c>
      <c r="G20" s="2">
        <v>0</v>
      </c>
      <c r="H20" s="17">
        <v>0</v>
      </c>
      <c r="I20" s="17"/>
      <c r="J20" s="2">
        <v>380616.42</v>
      </c>
    </row>
    <row r="21" spans="1:10" x14ac:dyDescent="0.25">
      <c r="A21" s="16" t="s">
        <v>26</v>
      </c>
      <c r="B21" s="16"/>
      <c r="C21" s="16"/>
      <c r="D21" s="16"/>
      <c r="E21" s="16"/>
      <c r="F21" s="2">
        <v>0</v>
      </c>
      <c r="G21" s="2">
        <v>38186.699999999997</v>
      </c>
      <c r="H21" s="17">
        <v>0</v>
      </c>
      <c r="I21" s="17"/>
      <c r="J21" s="2">
        <v>38186.699999999997</v>
      </c>
    </row>
    <row r="22" spans="1:10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x14ac:dyDescent="0.25">
      <c r="A23" s="3" t="s">
        <v>9</v>
      </c>
      <c r="B23" s="19" t="s">
        <v>27</v>
      </c>
      <c r="C23" s="19"/>
      <c r="D23" s="19"/>
      <c r="E23" s="20">
        <v>699138.82000000007</v>
      </c>
      <c r="F23" s="20"/>
      <c r="G23" s="20">
        <v>12439262.6</v>
      </c>
      <c r="H23" s="20">
        <v>0</v>
      </c>
      <c r="I23" s="20"/>
      <c r="J23" s="20">
        <v>13138401.42</v>
      </c>
    </row>
    <row r="24" spans="1:10" x14ac:dyDescent="0.25">
      <c r="A24" s="3" t="s">
        <v>28</v>
      </c>
      <c r="B24" s="19" t="s">
        <v>13</v>
      </c>
      <c r="C24" s="19"/>
      <c r="D24" s="19"/>
      <c r="E24" s="20"/>
      <c r="F24" s="20"/>
      <c r="G24" s="20"/>
      <c r="H24" s="20"/>
      <c r="I24" s="20"/>
      <c r="J24" s="20"/>
    </row>
    <row r="25" spans="1:10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spans="1:10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spans="1:10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spans="1:10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</row>
  </sheetData>
  <mergeCells count="47">
    <mergeCell ref="A25:J25"/>
    <mergeCell ref="A26:J26"/>
    <mergeCell ref="A27:J27"/>
    <mergeCell ref="A28:J28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17:J17"/>
    <mergeCell ref="A18:J18"/>
    <mergeCell ref="A19:E19"/>
    <mergeCell ref="H19:I19"/>
    <mergeCell ref="A20:E20"/>
    <mergeCell ref="H20:I20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  <pageSetup scale="72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B11A-FD06-4877-8B9A-F45B28138BA6}">
  <dimension ref="A1:J23"/>
  <sheetViews>
    <sheetView showGridLines="0" zoomScaleNormal="100" workbookViewId="0">
      <selection activeCell="K25" sqref="K25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1" spans="1:10" x14ac:dyDescent="0.25">
      <c r="A1" s="7"/>
      <c r="B1" s="7"/>
      <c r="C1" s="7"/>
      <c r="D1" s="7"/>
      <c r="E1" s="7"/>
      <c r="F1" s="7"/>
      <c r="G1" s="7"/>
      <c r="H1" s="7"/>
      <c r="I1" s="7" t="s">
        <v>37</v>
      </c>
      <c r="J1" s="7"/>
    </row>
    <row r="2" spans="1:10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x14ac:dyDescent="0.25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</row>
    <row r="4" spans="1:10" x14ac:dyDescent="0.25">
      <c r="A4" s="21" t="s">
        <v>61</v>
      </c>
      <c r="B4" s="21"/>
      <c r="C4" s="21"/>
      <c r="D4" s="21"/>
      <c r="E4" s="21"/>
      <c r="F4" s="21"/>
      <c r="G4" s="21"/>
      <c r="H4" s="21"/>
      <c r="I4" s="21"/>
      <c r="J4" s="21"/>
    </row>
    <row r="5" spans="1:10" x14ac:dyDescent="0.2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</row>
    <row r="6" spans="1:10" x14ac:dyDescent="0.25">
      <c r="A6" s="21" t="s">
        <v>5</v>
      </c>
      <c r="B6" s="21"/>
      <c r="C6" s="21"/>
      <c r="D6" s="21"/>
      <c r="E6" s="21"/>
      <c r="F6" s="21"/>
      <c r="G6" s="21"/>
      <c r="H6" s="21"/>
      <c r="I6" s="21"/>
      <c r="J6" s="21"/>
    </row>
    <row r="7" spans="1:10" x14ac:dyDescent="0.25">
      <c r="A7" s="22" t="s">
        <v>6</v>
      </c>
      <c r="B7" s="22"/>
      <c r="C7" s="23" t="s">
        <v>7</v>
      </c>
      <c r="D7" s="23"/>
      <c r="E7" s="23"/>
      <c r="F7" s="23"/>
      <c r="G7" s="23"/>
      <c r="H7" s="23"/>
      <c r="I7" s="7" t="s">
        <v>35</v>
      </c>
      <c r="J7" s="7"/>
    </row>
    <row r="8" spans="1:10" x14ac:dyDescent="0.25">
      <c r="A8" s="22" t="s">
        <v>9</v>
      </c>
      <c r="B8" s="22"/>
      <c r="C8" s="23" t="s">
        <v>60</v>
      </c>
      <c r="D8" s="23"/>
      <c r="E8" s="23"/>
      <c r="F8" s="23"/>
      <c r="G8" s="23"/>
      <c r="H8" s="23"/>
      <c r="I8" s="7" t="s">
        <v>53</v>
      </c>
      <c r="J8" s="7"/>
    </row>
    <row r="9" spans="1:10" x14ac:dyDescent="0.25">
      <c r="A9" s="22" t="s">
        <v>12</v>
      </c>
      <c r="B9" s="22"/>
      <c r="C9" s="23" t="s">
        <v>13</v>
      </c>
      <c r="D9" s="23"/>
      <c r="E9" s="23"/>
      <c r="F9" s="23"/>
      <c r="G9" s="23"/>
      <c r="H9" s="23"/>
      <c r="I9" s="7" t="s">
        <v>59</v>
      </c>
      <c r="J9" s="7"/>
    </row>
    <row r="10" spans="1:10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x14ac:dyDescent="0.25">
      <c r="A12" s="24" t="s">
        <v>15</v>
      </c>
      <c r="B12" s="24"/>
      <c r="C12" s="24"/>
      <c r="D12" s="24"/>
      <c r="E12" s="24"/>
      <c r="F12" s="24"/>
      <c r="G12" s="24"/>
      <c r="H12" s="24"/>
      <c r="I12" s="24"/>
      <c r="J12" s="24"/>
    </row>
    <row r="13" spans="1:1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25">
      <c r="A14" s="25" t="s">
        <v>16</v>
      </c>
      <c r="B14" s="25"/>
      <c r="C14" s="25"/>
      <c r="D14" s="25"/>
      <c r="E14" s="25"/>
      <c r="F14" s="6" t="s">
        <v>17</v>
      </c>
      <c r="G14" s="6" t="s">
        <v>18</v>
      </c>
      <c r="H14" s="26" t="s">
        <v>19</v>
      </c>
      <c r="I14" s="26"/>
      <c r="J14" s="6" t="s">
        <v>20</v>
      </c>
    </row>
    <row r="15" spans="1:10" x14ac:dyDescent="0.25">
      <c r="A15" s="27" t="s">
        <v>21</v>
      </c>
      <c r="B15" s="27"/>
      <c r="C15" s="27"/>
      <c r="D15" s="27"/>
      <c r="E15" s="27"/>
      <c r="F15" s="27"/>
      <c r="G15" s="27"/>
      <c r="H15" s="27"/>
      <c r="I15" s="27"/>
      <c r="J15" s="27"/>
    </row>
    <row r="16" spans="1:10" x14ac:dyDescent="0.25">
      <c r="A16" s="16" t="s">
        <v>31</v>
      </c>
      <c r="B16" s="16"/>
      <c r="C16" s="16"/>
      <c r="D16" s="16"/>
      <c r="E16" s="16"/>
      <c r="F16" s="5">
        <v>93247.5</v>
      </c>
      <c r="G16" s="5">
        <v>0</v>
      </c>
      <c r="H16" s="28">
        <v>0</v>
      </c>
      <c r="I16" s="28"/>
      <c r="J16" s="5">
        <v>93247.5</v>
      </c>
    </row>
    <row r="17" spans="1:10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25">
      <c r="A18" s="4" t="s">
        <v>9</v>
      </c>
      <c r="B18" s="29" t="s">
        <v>58</v>
      </c>
      <c r="C18" s="29"/>
      <c r="D18" s="29"/>
      <c r="E18" s="30">
        <v>93247.5</v>
      </c>
      <c r="F18" s="30"/>
      <c r="G18" s="30">
        <v>0</v>
      </c>
      <c r="H18" s="30">
        <v>0</v>
      </c>
      <c r="I18" s="30"/>
      <c r="J18" s="30">
        <v>93247.5</v>
      </c>
    </row>
    <row r="19" spans="1:10" x14ac:dyDescent="0.25">
      <c r="A19" s="4" t="s">
        <v>28</v>
      </c>
      <c r="B19" s="29" t="s">
        <v>13</v>
      </c>
      <c r="C19" s="29"/>
      <c r="D19" s="29"/>
      <c r="E19" s="30"/>
      <c r="F19" s="30"/>
      <c r="G19" s="30"/>
      <c r="H19" s="30"/>
      <c r="I19" s="30"/>
      <c r="J19" s="30"/>
    </row>
    <row r="20" spans="1:10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I9:J9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A1:C1"/>
    <mergeCell ref="D1:H1"/>
    <mergeCell ref="I1:J1"/>
    <mergeCell ref="A2:J2"/>
    <mergeCell ref="A3:J3"/>
  </mergeCells>
  <pageMargins left="0.7" right="0.7" top="0.75" bottom="0.75" header="0.3" footer="0.3"/>
  <pageSetup scale="72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FF4D7-9A7D-4D77-B247-49D22B8C694A}">
  <sheetPr>
    <pageSetUpPr fitToPage="1"/>
  </sheetPr>
  <dimension ref="A1:J26"/>
  <sheetViews>
    <sheetView showGridLines="0" workbookViewId="0">
      <selection sqref="A1:C1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1" spans="1:10" x14ac:dyDescent="0.25">
      <c r="A1" s="7"/>
      <c r="B1" s="7"/>
      <c r="C1" s="7"/>
      <c r="D1" s="7"/>
      <c r="E1" s="7"/>
      <c r="F1" s="7"/>
      <c r="G1" s="7"/>
      <c r="H1" s="7"/>
      <c r="I1" s="7" t="s">
        <v>37</v>
      </c>
      <c r="J1" s="7"/>
    </row>
    <row r="2" spans="1:10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x14ac:dyDescent="0.25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</row>
    <row r="4" spans="1:10" x14ac:dyDescent="0.25">
      <c r="A4" s="21" t="s">
        <v>36</v>
      </c>
      <c r="B4" s="21"/>
      <c r="C4" s="21"/>
      <c r="D4" s="21"/>
      <c r="E4" s="21"/>
      <c r="F4" s="21"/>
      <c r="G4" s="21"/>
      <c r="H4" s="21"/>
      <c r="I4" s="21"/>
      <c r="J4" s="21"/>
    </row>
    <row r="5" spans="1:10" x14ac:dyDescent="0.2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</row>
    <row r="6" spans="1:10" x14ac:dyDescent="0.25">
      <c r="A6" s="21" t="s">
        <v>5</v>
      </c>
      <c r="B6" s="21"/>
      <c r="C6" s="21"/>
      <c r="D6" s="21"/>
      <c r="E6" s="21"/>
      <c r="F6" s="21"/>
      <c r="G6" s="21"/>
      <c r="H6" s="21"/>
      <c r="I6" s="21"/>
      <c r="J6" s="21"/>
    </row>
    <row r="7" spans="1:10" x14ac:dyDescent="0.25">
      <c r="A7" s="22" t="s">
        <v>6</v>
      </c>
      <c r="B7" s="22"/>
      <c r="C7" s="23" t="s">
        <v>7</v>
      </c>
      <c r="D7" s="23"/>
      <c r="E7" s="23"/>
      <c r="F7" s="23"/>
      <c r="G7" s="23"/>
      <c r="H7" s="23"/>
      <c r="I7" s="7" t="s">
        <v>35</v>
      </c>
      <c r="J7" s="7"/>
    </row>
    <row r="8" spans="1:10" x14ac:dyDescent="0.25">
      <c r="A8" s="22" t="s">
        <v>9</v>
      </c>
      <c r="B8" s="22"/>
      <c r="C8" s="23" t="s">
        <v>34</v>
      </c>
      <c r="D8" s="23"/>
      <c r="E8" s="23"/>
      <c r="F8" s="23"/>
      <c r="G8" s="23"/>
      <c r="H8" s="23"/>
      <c r="I8" s="7" t="s">
        <v>33</v>
      </c>
      <c r="J8" s="7"/>
    </row>
    <row r="9" spans="1:10" x14ac:dyDescent="0.25">
      <c r="A9" s="22" t="s">
        <v>12</v>
      </c>
      <c r="B9" s="22"/>
      <c r="C9" s="23" t="s">
        <v>13</v>
      </c>
      <c r="D9" s="23"/>
      <c r="E9" s="23"/>
      <c r="F9" s="23"/>
      <c r="G9" s="23"/>
      <c r="H9" s="23"/>
      <c r="I9" s="7" t="s">
        <v>32</v>
      </c>
      <c r="J9" s="7"/>
    </row>
    <row r="10" spans="1:10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x14ac:dyDescent="0.25">
      <c r="A12" s="24" t="s">
        <v>15</v>
      </c>
      <c r="B12" s="24"/>
      <c r="C12" s="24"/>
      <c r="D12" s="24"/>
      <c r="E12" s="24"/>
      <c r="F12" s="24"/>
      <c r="G12" s="24"/>
      <c r="H12" s="24"/>
      <c r="I12" s="24"/>
      <c r="J12" s="24"/>
    </row>
    <row r="13" spans="1:1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25">
      <c r="A14" s="25" t="s">
        <v>16</v>
      </c>
      <c r="B14" s="25"/>
      <c r="C14" s="25"/>
      <c r="D14" s="25"/>
      <c r="E14" s="25"/>
      <c r="F14" s="6" t="s">
        <v>17</v>
      </c>
      <c r="G14" s="6" t="s">
        <v>18</v>
      </c>
      <c r="H14" s="26" t="s">
        <v>19</v>
      </c>
      <c r="I14" s="26"/>
      <c r="J14" s="6" t="s">
        <v>20</v>
      </c>
    </row>
    <row r="15" spans="1:10" x14ac:dyDescent="0.25">
      <c r="A15" s="27" t="s">
        <v>21</v>
      </c>
      <c r="B15" s="27"/>
      <c r="C15" s="27"/>
      <c r="D15" s="27"/>
      <c r="E15" s="27"/>
      <c r="F15" s="27"/>
      <c r="G15" s="27"/>
      <c r="H15" s="27"/>
      <c r="I15" s="27"/>
      <c r="J15" s="27"/>
    </row>
    <row r="16" spans="1:10" x14ac:dyDescent="0.25">
      <c r="A16" s="16" t="s">
        <v>31</v>
      </c>
      <c r="B16" s="16"/>
      <c r="C16" s="16"/>
      <c r="D16" s="16"/>
      <c r="E16" s="16"/>
      <c r="F16" s="5">
        <v>109971.11</v>
      </c>
      <c r="G16" s="5">
        <v>0</v>
      </c>
      <c r="H16" s="28">
        <v>0</v>
      </c>
      <c r="I16" s="28"/>
      <c r="J16" s="5">
        <v>109971.11</v>
      </c>
    </row>
    <row r="17" spans="1:10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25">
      <c r="A18" s="27" t="s">
        <v>23</v>
      </c>
      <c r="B18" s="27"/>
      <c r="C18" s="27"/>
      <c r="D18" s="27"/>
      <c r="E18" s="27"/>
      <c r="F18" s="27"/>
      <c r="G18" s="27"/>
      <c r="H18" s="27"/>
      <c r="I18" s="27"/>
      <c r="J18" s="27"/>
    </row>
    <row r="19" spans="1:10" x14ac:dyDescent="0.25">
      <c r="A19" s="16" t="s">
        <v>30</v>
      </c>
      <c r="B19" s="16"/>
      <c r="C19" s="16"/>
      <c r="D19" s="16"/>
      <c r="E19" s="16"/>
      <c r="F19" s="5">
        <v>204947.3</v>
      </c>
      <c r="G19" s="5">
        <v>0</v>
      </c>
      <c r="H19" s="28">
        <v>0</v>
      </c>
      <c r="I19" s="28"/>
      <c r="J19" s="5">
        <v>204947.3</v>
      </c>
    </row>
    <row r="20" spans="1:10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x14ac:dyDescent="0.25">
      <c r="A21" s="4" t="s">
        <v>9</v>
      </c>
      <c r="B21" s="29" t="s">
        <v>29</v>
      </c>
      <c r="C21" s="29"/>
      <c r="D21" s="29"/>
      <c r="E21" s="30">
        <v>314918.40999999997</v>
      </c>
      <c r="F21" s="30"/>
      <c r="G21" s="30">
        <v>0</v>
      </c>
      <c r="H21" s="30">
        <v>0</v>
      </c>
      <c r="I21" s="30"/>
      <c r="J21" s="30">
        <v>314918.40999999997</v>
      </c>
    </row>
    <row r="22" spans="1:10" x14ac:dyDescent="0.25">
      <c r="A22" s="4" t="s">
        <v>28</v>
      </c>
      <c r="B22" s="29" t="s">
        <v>13</v>
      </c>
      <c r="C22" s="29"/>
      <c r="D22" s="29"/>
      <c r="E22" s="30"/>
      <c r="F22" s="30"/>
      <c r="G22" s="30"/>
      <c r="H22" s="30"/>
      <c r="I22" s="30"/>
      <c r="J22" s="30"/>
    </row>
    <row r="23" spans="1:10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0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0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spans="1:10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</row>
  </sheetData>
  <mergeCells count="43">
    <mergeCell ref="A23:J23"/>
    <mergeCell ref="A24:J24"/>
    <mergeCell ref="A25:J25"/>
    <mergeCell ref="A26:J26"/>
    <mergeCell ref="A20:J20"/>
    <mergeCell ref="B21:D21"/>
    <mergeCell ref="E21:F22"/>
    <mergeCell ref="G21:G22"/>
    <mergeCell ref="H21:I22"/>
    <mergeCell ref="J21:J22"/>
    <mergeCell ref="B22:D22"/>
    <mergeCell ref="A16:E16"/>
    <mergeCell ref="H16:I16"/>
    <mergeCell ref="A17:J17"/>
    <mergeCell ref="A18:J18"/>
    <mergeCell ref="A19:E19"/>
    <mergeCell ref="H19:I19"/>
    <mergeCell ref="A15:J15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:C1"/>
    <mergeCell ref="D1:H1"/>
    <mergeCell ref="I1:J1"/>
    <mergeCell ref="A2:J2"/>
    <mergeCell ref="A3:J3"/>
    <mergeCell ref="A8:B8"/>
    <mergeCell ref="C8:H8"/>
    <mergeCell ref="I8:J8"/>
    <mergeCell ref="A4:J4"/>
    <mergeCell ref="A5:J5"/>
    <mergeCell ref="A6:J6"/>
    <mergeCell ref="A7:B7"/>
    <mergeCell ref="C7:H7"/>
    <mergeCell ref="I7:J7"/>
  </mergeCells>
  <pageMargins left="0.7" right="0.7" top="0.75" bottom="0.75" header="0.3" footer="0.3"/>
  <pageSetup scale="9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DC1FB-3E4D-4EA1-AD28-2A5083BC953F}">
  <sheetPr>
    <pageSetUpPr fitToPage="1"/>
  </sheetPr>
  <dimension ref="A1:J28"/>
  <sheetViews>
    <sheetView showGridLines="0" workbookViewId="0">
      <selection activeCell="C8" sqref="C8:H8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1" spans="1:10" x14ac:dyDescent="0.25">
      <c r="A1" s="7"/>
      <c r="B1" s="7"/>
      <c r="C1" s="7"/>
      <c r="D1" s="7"/>
      <c r="E1" s="7"/>
      <c r="F1" s="7"/>
      <c r="G1" s="7"/>
      <c r="H1" s="7"/>
      <c r="I1" s="7" t="s">
        <v>0</v>
      </c>
      <c r="J1" s="7"/>
    </row>
    <row r="2" spans="1:10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 x14ac:dyDescent="0.25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</row>
    <row r="4" spans="1:10" x14ac:dyDescent="0.25">
      <c r="A4" s="8" t="s">
        <v>41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5">
      <c r="A5" s="8" t="s">
        <v>4</v>
      </c>
      <c r="B5" s="8"/>
      <c r="C5" s="8"/>
      <c r="D5" s="8"/>
      <c r="E5" s="8"/>
      <c r="F5" s="8"/>
      <c r="G5" s="8"/>
      <c r="H5" s="8"/>
      <c r="I5" s="8"/>
      <c r="J5" s="8"/>
    </row>
    <row r="6" spans="1:10" x14ac:dyDescent="0.25">
      <c r="A6" s="8" t="s">
        <v>5</v>
      </c>
      <c r="B6" s="8"/>
      <c r="C6" s="8"/>
      <c r="D6" s="8"/>
      <c r="E6" s="8"/>
      <c r="F6" s="8"/>
      <c r="G6" s="8"/>
      <c r="H6" s="8"/>
      <c r="I6" s="8"/>
      <c r="J6" s="8"/>
    </row>
    <row r="7" spans="1:10" x14ac:dyDescent="0.25">
      <c r="A7" s="9" t="s">
        <v>6</v>
      </c>
      <c r="B7" s="9"/>
      <c r="C7" s="10" t="s">
        <v>7</v>
      </c>
      <c r="D7" s="10"/>
      <c r="E7" s="10"/>
      <c r="F7" s="10"/>
      <c r="G7" s="10"/>
      <c r="H7" s="10"/>
      <c r="I7" s="7" t="s">
        <v>8</v>
      </c>
      <c r="J7" s="7"/>
    </row>
    <row r="8" spans="1:10" x14ac:dyDescent="0.25">
      <c r="A8" s="9" t="s">
        <v>9</v>
      </c>
      <c r="B8" s="9"/>
      <c r="C8" s="10" t="s">
        <v>40</v>
      </c>
      <c r="D8" s="10"/>
      <c r="E8" s="10"/>
      <c r="F8" s="10"/>
      <c r="G8" s="10"/>
      <c r="H8" s="10"/>
      <c r="I8" s="7" t="s">
        <v>11</v>
      </c>
      <c r="J8" s="7"/>
    </row>
    <row r="9" spans="1:10" x14ac:dyDescent="0.25">
      <c r="A9" s="9" t="s">
        <v>12</v>
      </c>
      <c r="B9" s="9"/>
      <c r="C9" s="10" t="s">
        <v>13</v>
      </c>
      <c r="D9" s="10"/>
      <c r="E9" s="10"/>
      <c r="F9" s="10"/>
      <c r="G9" s="10"/>
      <c r="H9" s="10"/>
      <c r="I9" s="7" t="s">
        <v>39</v>
      </c>
      <c r="J9" s="7"/>
    </row>
    <row r="10" spans="1:10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x14ac:dyDescent="0.25">
      <c r="A12" s="12" t="s">
        <v>15</v>
      </c>
      <c r="B12" s="12"/>
      <c r="C12" s="12"/>
      <c r="D12" s="12"/>
      <c r="E12" s="12"/>
      <c r="F12" s="12"/>
      <c r="G12" s="12"/>
      <c r="H12" s="12"/>
      <c r="I12" s="12"/>
      <c r="J12" s="12"/>
    </row>
    <row r="13" spans="1:1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25">
      <c r="A14" s="13" t="s">
        <v>16</v>
      </c>
      <c r="B14" s="13"/>
      <c r="C14" s="13"/>
      <c r="D14" s="13"/>
      <c r="E14" s="13"/>
      <c r="F14" s="1" t="s">
        <v>17</v>
      </c>
      <c r="G14" s="1" t="s">
        <v>18</v>
      </c>
      <c r="H14" s="14" t="s">
        <v>19</v>
      </c>
      <c r="I14" s="14"/>
      <c r="J14" s="1" t="s">
        <v>20</v>
      </c>
    </row>
    <row r="15" spans="1:10" x14ac:dyDescent="0.25">
      <c r="A15" s="15" t="s">
        <v>21</v>
      </c>
      <c r="B15" s="15"/>
      <c r="C15" s="15"/>
      <c r="D15" s="15"/>
      <c r="E15" s="15"/>
      <c r="F15" s="15"/>
      <c r="G15" s="15"/>
      <c r="H15" s="15"/>
      <c r="I15" s="15"/>
      <c r="J15" s="15"/>
    </row>
    <row r="16" spans="1:10" x14ac:dyDescent="0.25">
      <c r="A16" s="16" t="s">
        <v>22</v>
      </c>
      <c r="B16" s="16"/>
      <c r="C16" s="16"/>
      <c r="D16" s="16"/>
      <c r="E16" s="16"/>
      <c r="F16" s="2">
        <v>26580592.109999999</v>
      </c>
      <c r="G16" s="2">
        <v>445761.16</v>
      </c>
      <c r="H16" s="17">
        <v>0</v>
      </c>
      <c r="I16" s="17"/>
      <c r="J16" s="2">
        <v>27026353.27</v>
      </c>
    </row>
    <row r="17" spans="1:10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25">
      <c r="A18" s="15" t="s">
        <v>23</v>
      </c>
      <c r="B18" s="15"/>
      <c r="C18" s="15"/>
      <c r="D18" s="15"/>
      <c r="E18" s="15"/>
      <c r="F18" s="15"/>
      <c r="G18" s="15"/>
      <c r="H18" s="15"/>
      <c r="I18" s="15"/>
      <c r="J18" s="15"/>
    </row>
    <row r="19" spans="1:10" x14ac:dyDescent="0.25">
      <c r="A19" s="16" t="s">
        <v>24</v>
      </c>
      <c r="B19" s="16"/>
      <c r="C19" s="16"/>
      <c r="D19" s="16"/>
      <c r="E19" s="16"/>
      <c r="F19" s="2">
        <v>91597.48</v>
      </c>
      <c r="G19" s="2">
        <v>10010.89</v>
      </c>
      <c r="H19" s="17">
        <v>0</v>
      </c>
      <c r="I19" s="17"/>
      <c r="J19" s="2">
        <v>101608.37</v>
      </c>
    </row>
    <row r="20" spans="1:10" x14ac:dyDescent="0.25">
      <c r="A20" s="16" t="s">
        <v>25</v>
      </c>
      <c r="B20" s="16"/>
      <c r="C20" s="16"/>
      <c r="D20" s="16"/>
      <c r="E20" s="16"/>
      <c r="F20" s="2">
        <v>1785969.33</v>
      </c>
      <c r="G20" s="2">
        <v>0</v>
      </c>
      <c r="H20" s="17">
        <v>0</v>
      </c>
      <c r="I20" s="17"/>
      <c r="J20" s="2">
        <v>1785969.33</v>
      </c>
    </row>
    <row r="21" spans="1:10" x14ac:dyDescent="0.25">
      <c r="A21" s="16" t="s">
        <v>26</v>
      </c>
      <c r="B21" s="16"/>
      <c r="C21" s="16"/>
      <c r="D21" s="16"/>
      <c r="E21" s="16"/>
      <c r="F21" s="2">
        <v>140707.79999999999</v>
      </c>
      <c r="G21" s="2">
        <v>8241</v>
      </c>
      <c r="H21" s="17">
        <v>0</v>
      </c>
      <c r="I21" s="17"/>
      <c r="J21" s="2">
        <v>148948.79999999999</v>
      </c>
    </row>
    <row r="22" spans="1:10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x14ac:dyDescent="0.25">
      <c r="A23" s="3" t="s">
        <v>9</v>
      </c>
      <c r="B23" s="19" t="s">
        <v>38</v>
      </c>
      <c r="C23" s="19"/>
      <c r="D23" s="19"/>
      <c r="E23" s="20">
        <v>28598866.720000003</v>
      </c>
      <c r="F23" s="20"/>
      <c r="G23" s="20">
        <v>464013.05</v>
      </c>
      <c r="H23" s="20">
        <v>0</v>
      </c>
      <c r="I23" s="20"/>
      <c r="J23" s="20">
        <v>29062879.77</v>
      </c>
    </row>
    <row r="24" spans="1:10" x14ac:dyDescent="0.25">
      <c r="A24" s="3" t="s">
        <v>28</v>
      </c>
      <c r="B24" s="19" t="s">
        <v>13</v>
      </c>
      <c r="C24" s="19"/>
      <c r="D24" s="19"/>
      <c r="E24" s="20"/>
      <c r="F24" s="20"/>
      <c r="G24" s="20"/>
      <c r="H24" s="20"/>
      <c r="I24" s="20"/>
      <c r="J24" s="20"/>
    </row>
    <row r="25" spans="1:10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spans="1:10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spans="1:10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spans="1:10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</row>
  </sheetData>
  <mergeCells count="47">
    <mergeCell ref="A8:B8"/>
    <mergeCell ref="C8:H8"/>
    <mergeCell ref="I8:J8"/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15:J15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6:E16"/>
    <mergeCell ref="H16:I16"/>
    <mergeCell ref="A17:J17"/>
    <mergeCell ref="A18:J18"/>
    <mergeCell ref="A19:E19"/>
    <mergeCell ref="H19:I19"/>
    <mergeCell ref="A28:J28"/>
    <mergeCell ref="A21:E21"/>
    <mergeCell ref="H21:I21"/>
    <mergeCell ref="A22:J22"/>
    <mergeCell ref="B23:D23"/>
    <mergeCell ref="A20:E20"/>
    <mergeCell ref="H20:I20"/>
    <mergeCell ref="A25:J25"/>
    <mergeCell ref="A26:J26"/>
    <mergeCell ref="A27:J27"/>
    <mergeCell ref="E23:F24"/>
    <mergeCell ref="G23:G24"/>
    <mergeCell ref="H23:I24"/>
    <mergeCell ref="J23:J24"/>
    <mergeCell ref="B24:D24"/>
  </mergeCells>
  <pageMargins left="0.7" right="0.7" top="0.75" bottom="0.75" header="0.3" footer="0.3"/>
  <pageSetup scale="9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95868-7410-4450-BA85-7713B4385E8B}">
  <sheetPr>
    <pageSetUpPr fitToPage="1"/>
  </sheetPr>
  <dimension ref="A1:J23"/>
  <sheetViews>
    <sheetView showGridLines="0" workbookViewId="0">
      <selection sqref="A1:C1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1" spans="1:10" x14ac:dyDescent="0.25">
      <c r="A1" s="7"/>
      <c r="B1" s="7"/>
      <c r="C1" s="7"/>
      <c r="D1" s="7"/>
      <c r="E1" s="7"/>
      <c r="F1" s="7"/>
      <c r="G1" s="7"/>
      <c r="H1" s="7"/>
      <c r="I1" s="7" t="s">
        <v>0</v>
      </c>
      <c r="J1" s="7"/>
    </row>
    <row r="2" spans="1:10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 x14ac:dyDescent="0.25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</row>
    <row r="4" spans="1:10" x14ac:dyDescent="0.25">
      <c r="A4" s="8" t="s">
        <v>57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5">
      <c r="A5" s="8" t="s">
        <v>4</v>
      </c>
      <c r="B5" s="8"/>
      <c r="C5" s="8"/>
      <c r="D5" s="8"/>
      <c r="E5" s="8"/>
      <c r="F5" s="8"/>
      <c r="G5" s="8"/>
      <c r="H5" s="8"/>
      <c r="I5" s="8"/>
      <c r="J5" s="8"/>
    </row>
    <row r="6" spans="1:10" x14ac:dyDescent="0.25">
      <c r="A6" s="8" t="s">
        <v>5</v>
      </c>
      <c r="B6" s="8"/>
      <c r="C6" s="8"/>
      <c r="D6" s="8"/>
      <c r="E6" s="8"/>
      <c r="F6" s="8"/>
      <c r="G6" s="8"/>
      <c r="H6" s="8"/>
      <c r="I6" s="8"/>
      <c r="J6" s="8"/>
    </row>
    <row r="7" spans="1:10" x14ac:dyDescent="0.25">
      <c r="A7" s="9" t="s">
        <v>6</v>
      </c>
      <c r="B7" s="9"/>
      <c r="C7" s="10" t="s">
        <v>7</v>
      </c>
      <c r="D7" s="10"/>
      <c r="E7" s="10"/>
      <c r="F7" s="10"/>
      <c r="G7" s="10"/>
      <c r="H7" s="10"/>
      <c r="I7" s="7" t="s">
        <v>8</v>
      </c>
      <c r="J7" s="7"/>
    </row>
    <row r="8" spans="1:10" x14ac:dyDescent="0.25">
      <c r="A8" s="9" t="s">
        <v>9</v>
      </c>
      <c r="B8" s="9"/>
      <c r="C8" s="10" t="s">
        <v>56</v>
      </c>
      <c r="D8" s="10"/>
      <c r="E8" s="10"/>
      <c r="F8" s="10"/>
      <c r="G8" s="10"/>
      <c r="H8" s="10"/>
      <c r="I8" s="7" t="s">
        <v>11</v>
      </c>
      <c r="J8" s="7"/>
    </row>
    <row r="9" spans="1:10" x14ac:dyDescent="0.25">
      <c r="A9" s="9" t="s">
        <v>12</v>
      </c>
      <c r="B9" s="9"/>
      <c r="C9" s="10" t="s">
        <v>13</v>
      </c>
      <c r="D9" s="10"/>
      <c r="E9" s="10"/>
      <c r="F9" s="10"/>
      <c r="G9" s="10"/>
      <c r="H9" s="10"/>
      <c r="I9" s="7" t="s">
        <v>55</v>
      </c>
      <c r="J9" s="7"/>
    </row>
    <row r="10" spans="1:10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x14ac:dyDescent="0.25">
      <c r="A12" s="12" t="s">
        <v>15</v>
      </c>
      <c r="B12" s="12"/>
      <c r="C12" s="12"/>
      <c r="D12" s="12"/>
      <c r="E12" s="12"/>
      <c r="F12" s="12"/>
      <c r="G12" s="12"/>
      <c r="H12" s="12"/>
      <c r="I12" s="12"/>
      <c r="J12" s="12"/>
    </row>
    <row r="13" spans="1:1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25">
      <c r="A14" s="13" t="s">
        <v>16</v>
      </c>
      <c r="B14" s="13"/>
      <c r="C14" s="13"/>
      <c r="D14" s="13"/>
      <c r="E14" s="13"/>
      <c r="F14" s="1" t="s">
        <v>17</v>
      </c>
      <c r="G14" s="1" t="s">
        <v>18</v>
      </c>
      <c r="H14" s="14" t="s">
        <v>19</v>
      </c>
      <c r="I14" s="14"/>
      <c r="J14" s="1" t="s">
        <v>20</v>
      </c>
    </row>
    <row r="15" spans="1:10" x14ac:dyDescent="0.25">
      <c r="A15" s="15" t="s">
        <v>21</v>
      </c>
      <c r="B15" s="15"/>
      <c r="C15" s="15"/>
      <c r="D15" s="15"/>
      <c r="E15" s="15"/>
      <c r="F15" s="15"/>
      <c r="G15" s="15"/>
      <c r="H15" s="15"/>
      <c r="I15" s="15"/>
      <c r="J15" s="15"/>
    </row>
    <row r="16" spans="1:10" x14ac:dyDescent="0.25">
      <c r="A16" s="16" t="s">
        <v>22</v>
      </c>
      <c r="B16" s="16"/>
      <c r="C16" s="16"/>
      <c r="D16" s="16"/>
      <c r="E16" s="16"/>
      <c r="F16" s="2">
        <v>45578.67</v>
      </c>
      <c r="G16" s="2">
        <v>0</v>
      </c>
      <c r="H16" s="17">
        <v>0</v>
      </c>
      <c r="I16" s="17"/>
      <c r="J16" s="2">
        <v>45578.67</v>
      </c>
    </row>
    <row r="17" spans="1:10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25">
      <c r="A18" s="3" t="s">
        <v>9</v>
      </c>
      <c r="B18" s="19" t="s">
        <v>54</v>
      </c>
      <c r="C18" s="19"/>
      <c r="D18" s="19"/>
      <c r="E18" s="20">
        <v>45578.67</v>
      </c>
      <c r="F18" s="20"/>
      <c r="G18" s="20">
        <v>0</v>
      </c>
      <c r="H18" s="20">
        <v>0</v>
      </c>
      <c r="I18" s="20"/>
      <c r="J18" s="20">
        <v>45578.67</v>
      </c>
    </row>
    <row r="19" spans="1:10" x14ac:dyDescent="0.25">
      <c r="A19" s="3" t="s">
        <v>28</v>
      </c>
      <c r="B19" s="19" t="s">
        <v>13</v>
      </c>
      <c r="C19" s="19"/>
      <c r="D19" s="19"/>
      <c r="E19" s="20"/>
      <c r="F19" s="20"/>
      <c r="G19" s="20"/>
      <c r="H19" s="20"/>
      <c r="I19" s="20"/>
      <c r="J19" s="20"/>
    </row>
    <row r="20" spans="1:10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I9:J9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A1:C1"/>
    <mergeCell ref="D1:H1"/>
    <mergeCell ref="I1:J1"/>
    <mergeCell ref="A2:J2"/>
    <mergeCell ref="A3:J3"/>
  </mergeCells>
  <pageMargins left="0.7" right="0.7" top="0.75" bottom="0.75" header="0.3" footer="0.3"/>
  <pageSetup scale="9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8777-4367-421A-8401-4872A2D04492}">
  <dimension ref="A1:K36"/>
  <sheetViews>
    <sheetView zoomScaleNormal="100" workbookViewId="0">
      <selection activeCell="M12" sqref="M12"/>
    </sheetView>
  </sheetViews>
  <sheetFormatPr defaultRowHeight="15" x14ac:dyDescent="0.25"/>
  <cols>
    <col min="1" max="1" width="2.7109375" style="32" customWidth="1"/>
    <col min="2" max="2" width="56.140625" style="32" customWidth="1"/>
    <col min="3" max="3" width="2.7109375" style="32" customWidth="1"/>
    <col min="4" max="4" width="15.7109375" style="33" customWidth="1"/>
    <col min="5" max="5" width="2.7109375" style="33" customWidth="1"/>
    <col min="6" max="6" width="15.7109375" style="33" customWidth="1"/>
    <col min="7" max="7" width="2.7109375" style="33" customWidth="1"/>
    <col min="8" max="8" width="15.7109375" style="33" customWidth="1"/>
    <col min="9" max="9" width="2.7109375" style="33" customWidth="1"/>
    <col min="10" max="10" width="15.7109375" style="33" customWidth="1"/>
    <col min="11" max="16384" width="9.140625" style="32"/>
  </cols>
  <sheetData>
    <row r="1" spans="1:11" x14ac:dyDescent="0.25">
      <c r="A1" s="49" t="s">
        <v>90</v>
      </c>
      <c r="B1" s="49"/>
      <c r="C1" s="49"/>
      <c r="D1" s="49"/>
      <c r="E1" s="49"/>
      <c r="F1" s="49"/>
      <c r="G1" s="49"/>
      <c r="H1" s="49"/>
      <c r="I1" s="49"/>
      <c r="J1" s="49"/>
    </row>
    <row r="2" spans="1:11" x14ac:dyDescent="0.25">
      <c r="A2" s="49" t="s">
        <v>89</v>
      </c>
      <c r="B2" s="49"/>
      <c r="C2" s="49"/>
      <c r="D2" s="49"/>
      <c r="E2" s="49"/>
      <c r="F2" s="49"/>
      <c r="G2" s="49"/>
      <c r="H2" s="49"/>
      <c r="I2" s="49"/>
      <c r="J2" s="49"/>
    </row>
    <row r="3" spans="1:11" x14ac:dyDescent="0.25">
      <c r="A3" s="49" t="s">
        <v>88</v>
      </c>
      <c r="B3" s="49"/>
      <c r="C3" s="49"/>
      <c r="D3" s="49"/>
      <c r="E3" s="49"/>
      <c r="F3" s="49"/>
      <c r="G3" s="49"/>
      <c r="H3" s="49"/>
      <c r="I3" s="49"/>
      <c r="J3" s="49"/>
    </row>
    <row r="4" spans="1:11" x14ac:dyDescent="0.25">
      <c r="A4" s="49" t="s">
        <v>87</v>
      </c>
      <c r="B4" s="49"/>
      <c r="C4" s="49"/>
      <c r="D4" s="49"/>
      <c r="E4" s="49"/>
      <c r="F4" s="49"/>
      <c r="G4" s="49"/>
      <c r="H4" s="49"/>
      <c r="I4" s="49"/>
      <c r="J4" s="49"/>
    </row>
    <row r="5" spans="1:11" x14ac:dyDescent="0.25">
      <c r="A5" s="35"/>
      <c r="B5" s="35"/>
      <c r="C5" s="35"/>
      <c r="D5" s="34"/>
      <c r="E5" s="34"/>
      <c r="F5" s="34"/>
      <c r="G5" s="34"/>
      <c r="H5" s="34"/>
      <c r="I5" s="34"/>
      <c r="J5" s="34"/>
    </row>
    <row r="6" spans="1:11" ht="32.25" x14ac:dyDescent="0.25">
      <c r="A6" s="39" t="s">
        <v>86</v>
      </c>
      <c r="B6" s="35"/>
      <c r="C6" s="35"/>
      <c r="D6" s="46" t="s">
        <v>85</v>
      </c>
      <c r="E6" s="47"/>
      <c r="F6" s="48" t="s">
        <v>18</v>
      </c>
      <c r="G6" s="47"/>
      <c r="H6" s="48" t="s">
        <v>19</v>
      </c>
      <c r="I6" s="47"/>
      <c r="J6" s="46" t="s">
        <v>84</v>
      </c>
      <c r="K6" s="45"/>
    </row>
    <row r="7" spans="1:11" x14ac:dyDescent="0.25">
      <c r="A7" s="35"/>
      <c r="B7" s="35"/>
      <c r="C7" s="35"/>
      <c r="D7" s="34"/>
      <c r="E7" s="34"/>
      <c r="F7" s="34"/>
      <c r="G7" s="34"/>
      <c r="H7" s="34"/>
      <c r="I7" s="34"/>
      <c r="J7" s="34"/>
    </row>
    <row r="8" spans="1:11" x14ac:dyDescent="0.25">
      <c r="A8" s="39" t="s">
        <v>21</v>
      </c>
      <c r="B8" s="35"/>
      <c r="C8" s="35"/>
      <c r="D8" s="34"/>
      <c r="E8" s="34"/>
      <c r="F8" s="34"/>
      <c r="G8" s="34"/>
      <c r="H8" s="34"/>
      <c r="I8" s="34"/>
      <c r="J8" s="34"/>
    </row>
    <row r="9" spans="1:11" x14ac:dyDescent="0.25">
      <c r="A9" s="35"/>
      <c r="B9" s="35" t="s">
        <v>83</v>
      </c>
      <c r="C9" s="35"/>
      <c r="D9" s="44"/>
      <c r="E9" s="44"/>
      <c r="F9" s="44"/>
      <c r="G9" s="44"/>
      <c r="H9" s="44"/>
      <c r="I9" s="44"/>
      <c r="J9" s="38">
        <f>D9+F9-H9</f>
        <v>0</v>
      </c>
    </row>
    <row r="10" spans="1:11" x14ac:dyDescent="0.25">
      <c r="A10" s="35"/>
      <c r="B10" s="35" t="s">
        <v>82</v>
      </c>
      <c r="C10" s="35"/>
      <c r="D10" s="34"/>
      <c r="E10" s="34"/>
      <c r="F10" s="34"/>
      <c r="G10" s="34"/>
      <c r="H10" s="34"/>
      <c r="I10" s="34"/>
      <c r="J10" s="33">
        <f>D10+F10-H10</f>
        <v>0</v>
      </c>
    </row>
    <row r="11" spans="1:11" x14ac:dyDescent="0.25">
      <c r="A11" s="35"/>
      <c r="B11" s="35" t="s">
        <v>81</v>
      </c>
      <c r="C11" s="35"/>
      <c r="D11" s="34"/>
      <c r="E11" s="34"/>
      <c r="F11" s="34"/>
      <c r="G11" s="34"/>
      <c r="H11" s="34"/>
      <c r="I11" s="34"/>
      <c r="J11" s="33">
        <f>D11+F11-H11</f>
        <v>0</v>
      </c>
    </row>
    <row r="12" spans="1:11" x14ac:dyDescent="0.25">
      <c r="A12" s="35"/>
      <c r="B12" s="35" t="s">
        <v>80</v>
      </c>
      <c r="C12" s="35"/>
      <c r="D12" s="34">
        <v>4689376.87</v>
      </c>
      <c r="E12" s="34"/>
      <c r="F12" s="34">
        <v>427721.86</v>
      </c>
      <c r="G12" s="34"/>
      <c r="H12" s="34">
        <v>0</v>
      </c>
      <c r="I12" s="34"/>
      <c r="J12" s="33">
        <f>D12+F12-H12</f>
        <v>5117098.7300000004</v>
      </c>
    </row>
    <row r="13" spans="1:11" x14ac:dyDescent="0.25">
      <c r="A13" s="35"/>
      <c r="B13" s="35" t="s">
        <v>79</v>
      </c>
      <c r="C13" s="35"/>
      <c r="D13" s="34"/>
      <c r="E13" s="34"/>
      <c r="F13" s="34"/>
      <c r="G13" s="34"/>
      <c r="H13" s="34"/>
      <c r="I13" s="34"/>
      <c r="J13" s="33">
        <f>D13+F13-H13</f>
        <v>0</v>
      </c>
    </row>
    <row r="14" spans="1:11" x14ac:dyDescent="0.25">
      <c r="A14" s="35"/>
      <c r="B14" s="35" t="s">
        <v>78</v>
      </c>
      <c r="C14" s="35"/>
      <c r="D14" s="34">
        <v>77976.210000000006</v>
      </c>
      <c r="E14" s="34"/>
      <c r="F14" s="34">
        <v>0</v>
      </c>
      <c r="G14" s="34"/>
      <c r="H14" s="34">
        <v>0</v>
      </c>
      <c r="I14" s="34"/>
      <c r="J14" s="33">
        <f>D14+F14-H14</f>
        <v>77976.210000000006</v>
      </c>
    </row>
    <row r="15" spans="1:11" x14ac:dyDescent="0.25">
      <c r="A15" s="39" t="s">
        <v>23</v>
      </c>
      <c r="B15" s="35"/>
      <c r="C15" s="35"/>
      <c r="D15" s="34"/>
      <c r="E15" s="34"/>
      <c r="F15" s="34"/>
      <c r="G15" s="34"/>
      <c r="H15" s="34"/>
      <c r="I15" s="34"/>
    </row>
    <row r="16" spans="1:11" x14ac:dyDescent="0.25">
      <c r="A16" s="35"/>
      <c r="B16" s="35" t="s">
        <v>77</v>
      </c>
      <c r="C16" s="35"/>
      <c r="D16" s="34">
        <v>2823905.1</v>
      </c>
      <c r="E16" s="34"/>
      <c r="F16" s="34">
        <v>1063231.5900000001</v>
      </c>
      <c r="G16" s="34"/>
      <c r="H16" s="34">
        <v>0</v>
      </c>
      <c r="I16" s="34"/>
      <c r="J16" s="33">
        <f>D16+F16-H16</f>
        <v>3887136.6900000004</v>
      </c>
    </row>
    <row r="17" spans="1:10" x14ac:dyDescent="0.25">
      <c r="A17" s="35"/>
      <c r="B17" s="35" t="s">
        <v>76</v>
      </c>
      <c r="C17" s="35"/>
      <c r="D17" s="34"/>
      <c r="E17" s="34"/>
      <c r="F17" s="34"/>
      <c r="G17" s="34"/>
      <c r="H17" s="34"/>
      <c r="I17" s="34"/>
      <c r="J17" s="33">
        <f>D17+F17-H17</f>
        <v>0</v>
      </c>
    </row>
    <row r="18" spans="1:10" x14ac:dyDescent="0.25">
      <c r="A18" s="35"/>
      <c r="B18" s="35" t="s">
        <v>75</v>
      </c>
      <c r="C18" s="35"/>
      <c r="D18" s="34"/>
      <c r="E18" s="34"/>
      <c r="F18" s="34"/>
      <c r="G18" s="34"/>
      <c r="H18" s="34"/>
      <c r="I18" s="34"/>
      <c r="J18" s="33">
        <f>D18+F18-H18</f>
        <v>0</v>
      </c>
    </row>
    <row r="19" spans="1:10" x14ac:dyDescent="0.25">
      <c r="A19" s="35"/>
      <c r="B19" s="35" t="s">
        <v>74</v>
      </c>
      <c r="C19" s="35"/>
      <c r="D19" s="34"/>
      <c r="E19" s="34"/>
      <c r="F19" s="34"/>
      <c r="G19" s="34"/>
      <c r="H19" s="34"/>
      <c r="I19" s="34"/>
      <c r="J19" s="33">
        <f>D19+F19-H19</f>
        <v>0</v>
      </c>
    </row>
    <row r="20" spans="1:10" x14ac:dyDescent="0.25">
      <c r="A20" s="35"/>
      <c r="B20" s="35" t="s">
        <v>73</v>
      </c>
      <c r="C20" s="35"/>
      <c r="D20" s="34"/>
      <c r="E20" s="34"/>
      <c r="F20" s="34"/>
      <c r="G20" s="34"/>
      <c r="H20" s="34"/>
      <c r="I20" s="34"/>
      <c r="J20" s="33">
        <f>D20+F20-H20</f>
        <v>0</v>
      </c>
    </row>
    <row r="21" spans="1:10" x14ac:dyDescent="0.25">
      <c r="A21" s="35"/>
      <c r="B21" s="35" t="s">
        <v>72</v>
      </c>
      <c r="C21" s="35"/>
      <c r="D21" s="34">
        <v>6547726.0800000001</v>
      </c>
      <c r="E21" s="34"/>
      <c r="F21" s="34">
        <v>0</v>
      </c>
      <c r="G21" s="34"/>
      <c r="H21" s="34">
        <v>0</v>
      </c>
      <c r="I21" s="34"/>
      <c r="J21" s="33">
        <f>D21+F21-H21</f>
        <v>6547726.0800000001</v>
      </c>
    </row>
    <row r="22" spans="1:10" x14ac:dyDescent="0.25">
      <c r="A22" s="35"/>
      <c r="B22" s="35" t="s">
        <v>71</v>
      </c>
      <c r="C22" s="35"/>
      <c r="D22" s="34"/>
      <c r="E22" s="34"/>
      <c r="F22" s="34"/>
      <c r="G22" s="34"/>
      <c r="H22" s="34"/>
      <c r="I22" s="34"/>
      <c r="J22" s="33">
        <f>D22+F22-H22</f>
        <v>0</v>
      </c>
    </row>
    <row r="23" spans="1:10" s="41" customFormat="1" ht="30" x14ac:dyDescent="0.25">
      <c r="A23" s="43"/>
      <c r="B23" s="43" t="s">
        <v>70</v>
      </c>
      <c r="C23" s="43"/>
      <c r="D23" s="42">
        <v>2149105</v>
      </c>
      <c r="E23" s="42"/>
      <c r="F23" s="42">
        <v>1492564</v>
      </c>
      <c r="G23" s="42"/>
      <c r="H23" s="42">
        <v>64642</v>
      </c>
      <c r="I23" s="42"/>
      <c r="J23" s="33">
        <f>D23+F23-H23</f>
        <v>3577027</v>
      </c>
    </row>
    <row r="24" spans="1:10" x14ac:dyDescent="0.25">
      <c r="A24" s="35"/>
      <c r="B24" s="35" t="s">
        <v>69</v>
      </c>
      <c r="C24" s="35"/>
      <c r="D24" s="34"/>
      <c r="E24" s="34"/>
      <c r="F24" s="34"/>
      <c r="G24" s="34"/>
      <c r="H24" s="34"/>
      <c r="I24" s="34"/>
      <c r="J24" s="33">
        <f>D24+F24-H24</f>
        <v>0</v>
      </c>
    </row>
    <row r="25" spans="1:10" x14ac:dyDescent="0.25">
      <c r="A25" s="35"/>
      <c r="B25" s="35" t="s">
        <v>68</v>
      </c>
      <c r="C25" s="35"/>
      <c r="D25" s="34"/>
      <c r="E25" s="34"/>
      <c r="F25" s="34"/>
      <c r="G25" s="34"/>
      <c r="H25" s="34"/>
      <c r="I25" s="34"/>
      <c r="J25" s="33">
        <f>D25+F25-H25</f>
        <v>0</v>
      </c>
    </row>
    <row r="26" spans="1:10" x14ac:dyDescent="0.25">
      <c r="A26" s="35"/>
      <c r="B26" s="35" t="s">
        <v>67</v>
      </c>
      <c r="C26" s="35"/>
      <c r="D26" s="34"/>
      <c r="E26" s="34"/>
      <c r="F26" s="34"/>
      <c r="G26" s="34"/>
      <c r="H26" s="34"/>
      <c r="I26" s="34"/>
      <c r="J26" s="33">
        <f>D26+F26-H26</f>
        <v>0</v>
      </c>
    </row>
    <row r="27" spans="1:10" x14ac:dyDescent="0.25">
      <c r="A27" s="35"/>
      <c r="B27" s="35" t="s">
        <v>66</v>
      </c>
      <c r="C27" s="35"/>
      <c r="D27" s="40"/>
      <c r="E27" s="34"/>
      <c r="F27" s="40"/>
      <c r="G27" s="34"/>
      <c r="H27" s="40"/>
      <c r="I27" s="34"/>
      <c r="J27" s="33">
        <f>D27+F27-H27</f>
        <v>0</v>
      </c>
    </row>
    <row r="28" spans="1:10" ht="15.75" thickBot="1" x14ac:dyDescent="0.3">
      <c r="A28" s="39" t="s">
        <v>65</v>
      </c>
      <c r="B28" s="35"/>
      <c r="C28" s="35"/>
      <c r="D28" s="37">
        <f>SUM(D9:D27)</f>
        <v>16288089.26</v>
      </c>
      <c r="E28" s="38"/>
      <c r="F28" s="37">
        <f>SUM(F9:F27)</f>
        <v>2983517.45</v>
      </c>
      <c r="G28" s="38"/>
      <c r="H28" s="37">
        <f>SUM(H9:H27)</f>
        <v>64642</v>
      </c>
      <c r="I28" s="38"/>
      <c r="J28" s="37">
        <f>SUM(J9:J27)</f>
        <v>19206964.710000001</v>
      </c>
    </row>
    <row r="29" spans="1:10" ht="15.75" thickTop="1" x14ac:dyDescent="0.25">
      <c r="A29" s="35"/>
      <c r="B29" s="35"/>
      <c r="C29" s="35"/>
      <c r="D29" s="34"/>
      <c r="E29" s="34"/>
      <c r="F29" s="34"/>
      <c r="G29" s="34"/>
      <c r="H29" s="34"/>
      <c r="I29" s="34"/>
      <c r="J29" s="34"/>
    </row>
    <row r="30" spans="1:10" x14ac:dyDescent="0.25">
      <c r="A30" s="35"/>
      <c r="B30" s="35"/>
      <c r="C30" s="35"/>
      <c r="D30" s="34"/>
      <c r="E30" s="34"/>
      <c r="F30" s="34"/>
      <c r="G30" s="34"/>
      <c r="H30" s="34"/>
      <c r="I30" s="34"/>
      <c r="J30" s="34"/>
    </row>
    <row r="31" spans="1:10" ht="17.25" x14ac:dyDescent="0.25">
      <c r="A31" s="36">
        <v>1</v>
      </c>
      <c r="B31" s="35" t="s">
        <v>64</v>
      </c>
      <c r="C31" s="35"/>
      <c r="D31" s="34"/>
      <c r="E31" s="34"/>
      <c r="F31" s="34"/>
      <c r="G31" s="34"/>
      <c r="H31" s="34"/>
      <c r="I31" s="34"/>
      <c r="J31" s="34"/>
    </row>
    <row r="32" spans="1:10" x14ac:dyDescent="0.25">
      <c r="A32" s="35"/>
      <c r="B32" s="35" t="s">
        <v>63</v>
      </c>
      <c r="C32" s="35"/>
      <c r="D32" s="34"/>
      <c r="E32" s="34"/>
      <c r="F32" s="34"/>
      <c r="G32" s="34"/>
      <c r="H32" s="34"/>
      <c r="I32" s="34"/>
      <c r="J32" s="34"/>
    </row>
    <row r="33" spans="1:10" ht="17.25" x14ac:dyDescent="0.25">
      <c r="A33" s="36">
        <v>2</v>
      </c>
      <c r="B33" s="35" t="s">
        <v>62</v>
      </c>
      <c r="C33" s="35"/>
      <c r="D33" s="34"/>
      <c r="E33" s="34"/>
      <c r="F33" s="34"/>
      <c r="G33" s="34"/>
      <c r="H33" s="34"/>
      <c r="I33" s="34"/>
      <c r="J33" s="34"/>
    </row>
    <row r="34" spans="1:10" ht="17.25" x14ac:dyDescent="0.25">
      <c r="A34" s="36"/>
      <c r="B34" s="35"/>
      <c r="C34" s="35"/>
      <c r="D34" s="34"/>
      <c r="E34" s="34"/>
      <c r="F34" s="34"/>
      <c r="G34" s="34"/>
      <c r="H34" s="34"/>
      <c r="I34" s="34"/>
      <c r="J34" s="34"/>
    </row>
    <row r="35" spans="1:10" x14ac:dyDescent="0.25">
      <c r="A35" s="35"/>
      <c r="B35" s="35"/>
      <c r="C35" s="35"/>
      <c r="D35" s="34"/>
      <c r="E35" s="34"/>
      <c r="F35" s="34"/>
      <c r="G35" s="34"/>
      <c r="H35" s="34"/>
      <c r="I35" s="34"/>
      <c r="J35" s="34"/>
    </row>
    <row r="36" spans="1:10" x14ac:dyDescent="0.25">
      <c r="A36" s="35"/>
      <c r="C36" s="35"/>
      <c r="D36" s="34"/>
      <c r="E36" s="34"/>
      <c r="F36" s="34"/>
      <c r="G36" s="34"/>
      <c r="H36" s="34"/>
      <c r="I36" s="34"/>
      <c r="J36" s="34"/>
    </row>
  </sheetData>
  <printOptions horizontalCentered="1"/>
  <pageMargins left="0" right="0" top="0.75" bottom="0.75" header="0.3" footer="0.3"/>
  <pageSetup scale="86" orientation="landscape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8665-1F9A-4B90-ADDB-06CCD44620F1}">
  <dimension ref="A1:U45"/>
  <sheetViews>
    <sheetView zoomScaleNormal="100" workbookViewId="0">
      <selection activeCell="M12" sqref="M12"/>
    </sheetView>
  </sheetViews>
  <sheetFormatPr defaultRowHeight="15" x14ac:dyDescent="0.25"/>
  <cols>
    <col min="1" max="1" width="1.7109375" style="32" customWidth="1"/>
    <col min="2" max="2" width="9" style="32" customWidth="1"/>
    <col min="3" max="3" width="44.28515625" style="32" customWidth="1"/>
    <col min="4" max="4" width="1.7109375" style="32" customWidth="1"/>
    <col min="5" max="5" width="15.7109375" style="33" customWidth="1"/>
    <col min="6" max="6" width="1.7109375" style="33" customWidth="1"/>
    <col min="7" max="7" width="15.7109375" style="33" customWidth="1"/>
    <col min="8" max="8" width="1.7109375" style="33" customWidth="1"/>
    <col min="9" max="9" width="15.7109375" style="33" customWidth="1"/>
    <col min="10" max="10" width="1.7109375" style="33" customWidth="1"/>
    <col min="11" max="11" width="15.7109375" style="33" customWidth="1"/>
    <col min="12" max="12" width="1.7109375" style="32" customWidth="1"/>
    <col min="13" max="13" width="15.7109375" style="32" customWidth="1"/>
    <col min="14" max="14" width="1.7109375" style="32" customWidth="1"/>
    <col min="15" max="15" width="15.7109375" style="32" customWidth="1"/>
    <col min="16" max="16" width="1.7109375" style="32" customWidth="1"/>
    <col min="17" max="17" width="15.7109375" style="32" customWidth="1"/>
    <col min="18" max="18" width="1.7109375" style="32" customWidth="1"/>
    <col min="19" max="19" width="15.7109375" style="32" customWidth="1"/>
    <col min="20" max="20" width="1.7109375" style="32" customWidth="1"/>
    <col min="21" max="21" width="15.7109375" style="32" customWidth="1"/>
    <col min="22" max="16384" width="9.140625" style="32"/>
  </cols>
  <sheetData>
    <row r="1" spans="1:21" x14ac:dyDescent="0.25">
      <c r="A1" s="49" t="s">
        <v>90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</row>
    <row r="2" spans="1:21" x14ac:dyDescent="0.25">
      <c r="A2" s="49" t="s">
        <v>89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</row>
    <row r="3" spans="1:21" x14ac:dyDescent="0.25">
      <c r="A3" s="49" t="s">
        <v>128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</row>
    <row r="4" spans="1:21" x14ac:dyDescent="0.25">
      <c r="A4" s="49" t="s">
        <v>88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</row>
    <row r="5" spans="1:21" x14ac:dyDescent="0.25">
      <c r="A5" s="49" t="s">
        <v>87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</row>
    <row r="6" spans="1:21" x14ac:dyDescent="0.25">
      <c r="A6" s="35"/>
      <c r="B6" s="35"/>
      <c r="C6" s="35"/>
      <c r="D6" s="35"/>
      <c r="E6" s="34"/>
      <c r="F6" s="34"/>
      <c r="G6" s="34"/>
      <c r="H6" s="34"/>
      <c r="I6" s="34"/>
      <c r="J6" s="34"/>
      <c r="K6" s="34"/>
      <c r="L6" s="35"/>
      <c r="M6" s="35"/>
      <c r="N6" s="35"/>
      <c r="O6" s="35"/>
      <c r="P6" s="35"/>
      <c r="Q6" s="35"/>
      <c r="R6" s="35"/>
      <c r="S6" s="35"/>
      <c r="T6" s="35"/>
      <c r="U6" s="35"/>
    </row>
    <row r="7" spans="1:21" ht="15.75" thickBot="1" x14ac:dyDescent="0.3">
      <c r="A7" s="35"/>
      <c r="B7" s="35"/>
      <c r="C7" s="35"/>
      <c r="D7" s="35"/>
      <c r="E7" s="34"/>
      <c r="F7" s="34"/>
      <c r="G7" s="34"/>
      <c r="H7" s="34"/>
      <c r="I7" s="34"/>
      <c r="J7" s="62"/>
      <c r="K7" s="68" t="s">
        <v>127</v>
      </c>
      <c r="L7" s="68"/>
      <c r="M7" s="68"/>
      <c r="N7" s="68"/>
      <c r="O7" s="68"/>
      <c r="P7" s="68"/>
      <c r="Q7" s="68"/>
      <c r="R7" s="68"/>
      <c r="S7" s="68"/>
      <c r="T7" s="35"/>
      <c r="U7" s="35"/>
    </row>
    <row r="8" spans="1:21" x14ac:dyDescent="0.25">
      <c r="A8" s="35"/>
      <c r="B8" s="35"/>
      <c r="C8" s="35"/>
      <c r="D8" s="35"/>
      <c r="E8" s="67" t="s">
        <v>126</v>
      </c>
      <c r="F8" s="64"/>
      <c r="G8" s="67" t="s">
        <v>125</v>
      </c>
      <c r="H8" s="64"/>
      <c r="I8" s="67" t="s">
        <v>124</v>
      </c>
      <c r="J8" s="65"/>
      <c r="K8" s="67" t="s">
        <v>123</v>
      </c>
      <c r="L8" s="35"/>
      <c r="M8" s="67" t="s">
        <v>122</v>
      </c>
      <c r="N8" s="64"/>
      <c r="O8" s="67" t="s">
        <v>121</v>
      </c>
      <c r="P8" s="64"/>
      <c r="Q8" s="67" t="s">
        <v>120</v>
      </c>
      <c r="R8" s="64"/>
      <c r="S8" s="67" t="s">
        <v>119</v>
      </c>
      <c r="T8" s="64"/>
      <c r="U8" s="67" t="s">
        <v>118</v>
      </c>
    </row>
    <row r="9" spans="1:21" ht="108.75" x14ac:dyDescent="0.25">
      <c r="A9" s="39"/>
      <c r="B9" s="35"/>
      <c r="C9" s="35"/>
      <c r="D9" s="35"/>
      <c r="E9" s="63" t="s">
        <v>117</v>
      </c>
      <c r="F9" s="64"/>
      <c r="G9" s="63" t="s">
        <v>116</v>
      </c>
      <c r="H9" s="64"/>
      <c r="I9" s="66" t="s">
        <v>115</v>
      </c>
      <c r="J9" s="65"/>
      <c r="K9" s="63" t="s">
        <v>114</v>
      </c>
      <c r="L9" s="64"/>
      <c r="M9" s="63" t="s">
        <v>113</v>
      </c>
      <c r="N9" s="35"/>
      <c r="O9" s="63" t="s">
        <v>112</v>
      </c>
      <c r="P9" s="35"/>
      <c r="Q9" s="63" t="s">
        <v>111</v>
      </c>
      <c r="R9" s="35"/>
      <c r="S9" s="63" t="s">
        <v>110</v>
      </c>
      <c r="T9" s="35"/>
      <c r="U9" s="63" t="s">
        <v>109</v>
      </c>
    </row>
    <row r="10" spans="1:21" x14ac:dyDescent="0.25">
      <c r="A10" s="35"/>
      <c r="B10" s="35"/>
      <c r="C10" s="35"/>
      <c r="D10" s="35"/>
      <c r="E10" s="34"/>
      <c r="F10" s="34"/>
      <c r="G10" s="34"/>
      <c r="H10" s="34"/>
      <c r="I10" s="34"/>
      <c r="J10" s="62"/>
      <c r="K10" s="34"/>
      <c r="L10" s="35"/>
      <c r="M10" s="35"/>
      <c r="N10" s="35"/>
      <c r="O10" s="35"/>
      <c r="P10" s="35"/>
      <c r="Q10" s="35"/>
      <c r="R10" s="35"/>
      <c r="S10" s="35"/>
      <c r="T10" s="35"/>
      <c r="U10" s="35"/>
    </row>
    <row r="11" spans="1:21" x14ac:dyDescent="0.25">
      <c r="A11" s="39" t="s">
        <v>21</v>
      </c>
      <c r="B11" s="35"/>
      <c r="C11" s="35"/>
      <c r="D11" s="35"/>
      <c r="E11" s="34"/>
      <c r="F11" s="34"/>
      <c r="G11" s="34"/>
      <c r="H11" s="34"/>
      <c r="I11" s="34"/>
      <c r="J11" s="62"/>
      <c r="K11" s="34"/>
      <c r="L11" s="35"/>
      <c r="M11" s="35"/>
      <c r="N11" s="35"/>
      <c r="O11" s="35"/>
      <c r="P11" s="35"/>
      <c r="Q11" s="35"/>
      <c r="R11" s="35"/>
      <c r="S11" s="35"/>
      <c r="T11" s="35"/>
      <c r="U11" s="35"/>
    </row>
    <row r="12" spans="1:21" ht="17.25" x14ac:dyDescent="0.25">
      <c r="A12" s="35"/>
      <c r="B12" s="35" t="s">
        <v>108</v>
      </c>
      <c r="C12" s="35"/>
      <c r="D12" s="35"/>
      <c r="E12" s="55"/>
      <c r="F12" s="55"/>
      <c r="G12" s="55"/>
      <c r="H12" s="55"/>
      <c r="I12" s="52">
        <f>G12-E12</f>
        <v>0</v>
      </c>
      <c r="J12" s="57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2">
        <f>SUM(K12:S12)</f>
        <v>0</v>
      </c>
    </row>
    <row r="13" spans="1:21" ht="17.25" x14ac:dyDescent="0.25">
      <c r="A13" s="35"/>
      <c r="B13" s="35" t="s">
        <v>107</v>
      </c>
      <c r="C13" s="35"/>
      <c r="D13" s="35"/>
      <c r="E13" s="55"/>
      <c r="F13" s="55"/>
      <c r="G13" s="55"/>
      <c r="H13" s="55"/>
      <c r="I13" s="52">
        <f>G13-E13</f>
        <v>0</v>
      </c>
      <c r="J13" s="57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2">
        <f>SUM(K13:S13)</f>
        <v>0</v>
      </c>
    </row>
    <row r="14" spans="1:21" x14ac:dyDescent="0.25">
      <c r="A14" s="35"/>
      <c r="B14" s="35" t="s">
        <v>81</v>
      </c>
      <c r="C14" s="35"/>
      <c r="D14" s="35"/>
      <c r="E14" s="55"/>
      <c r="F14" s="55"/>
      <c r="G14" s="55"/>
      <c r="H14" s="55"/>
      <c r="I14" s="52">
        <f>G14-E14</f>
        <v>0</v>
      </c>
      <c r="J14" s="57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2">
        <f>SUM(K14:S14)</f>
        <v>0</v>
      </c>
    </row>
    <row r="15" spans="1:21" ht="17.25" x14ac:dyDescent="0.25">
      <c r="A15" s="35"/>
      <c r="B15" s="35" t="s">
        <v>106</v>
      </c>
      <c r="C15" s="35"/>
      <c r="D15" s="35"/>
      <c r="E15" s="55"/>
      <c r="F15" s="55"/>
      <c r="G15" s="55"/>
      <c r="H15" s="55"/>
      <c r="I15" s="52">
        <f>G15-E15</f>
        <v>0</v>
      </c>
      <c r="J15" s="57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2">
        <f>SUM(K15:S15)</f>
        <v>0</v>
      </c>
    </row>
    <row r="16" spans="1:21" x14ac:dyDescent="0.25">
      <c r="A16" s="35"/>
      <c r="B16" s="35" t="s">
        <v>79</v>
      </c>
      <c r="C16" s="35"/>
      <c r="D16" s="35"/>
      <c r="E16" s="55"/>
      <c r="F16" s="55"/>
      <c r="G16" s="55"/>
      <c r="H16" s="55"/>
      <c r="I16" s="52">
        <f>G16-E16</f>
        <v>0</v>
      </c>
      <c r="J16" s="57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2">
        <f>SUM(K16:S16)</f>
        <v>0</v>
      </c>
    </row>
    <row r="17" spans="1:21" x14ac:dyDescent="0.25">
      <c r="A17" s="35"/>
      <c r="B17" s="35" t="s">
        <v>78</v>
      </c>
      <c r="C17" s="35"/>
      <c r="D17" s="35"/>
      <c r="E17" s="55"/>
      <c r="F17" s="55"/>
      <c r="G17" s="55"/>
      <c r="H17" s="55"/>
      <c r="I17" s="52">
        <f>G17-E17</f>
        <v>0</v>
      </c>
      <c r="J17" s="57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2">
        <f>SUM(K17:S17)</f>
        <v>0</v>
      </c>
    </row>
    <row r="18" spans="1:21" x14ac:dyDescent="0.25">
      <c r="A18" s="39" t="s">
        <v>23</v>
      </c>
      <c r="B18" s="35"/>
      <c r="C18" s="35"/>
      <c r="D18" s="35"/>
      <c r="E18" s="55"/>
      <c r="F18" s="55"/>
      <c r="G18" s="55"/>
      <c r="H18" s="55"/>
      <c r="I18" s="52"/>
      <c r="J18" s="57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2"/>
    </row>
    <row r="19" spans="1:21" x14ac:dyDescent="0.25">
      <c r="A19" s="35"/>
      <c r="B19" s="35" t="s">
        <v>77</v>
      </c>
      <c r="C19" s="35"/>
      <c r="D19" s="35"/>
      <c r="E19" s="55"/>
      <c r="F19" s="55"/>
      <c r="G19" s="55"/>
      <c r="H19" s="55"/>
      <c r="I19" s="52">
        <f>G19-E19</f>
        <v>0</v>
      </c>
      <c r="J19" s="57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2">
        <f>SUM(K19:S19)</f>
        <v>0</v>
      </c>
    </row>
    <row r="20" spans="1:21" x14ac:dyDescent="0.25">
      <c r="A20" s="35"/>
      <c r="B20" s="35" t="s">
        <v>76</v>
      </c>
      <c r="C20" s="35"/>
      <c r="D20" s="35"/>
      <c r="E20" s="55"/>
      <c r="F20" s="55"/>
      <c r="G20" s="55"/>
      <c r="H20" s="55"/>
      <c r="I20" s="52">
        <f>G20-E20</f>
        <v>0</v>
      </c>
      <c r="J20" s="57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2">
        <f>SUM(K20:S20)</f>
        <v>0</v>
      </c>
    </row>
    <row r="21" spans="1:21" x14ac:dyDescent="0.25">
      <c r="A21" s="35"/>
      <c r="B21" s="35" t="s">
        <v>75</v>
      </c>
      <c r="C21" s="35"/>
      <c r="D21" s="35"/>
      <c r="E21" s="55"/>
      <c r="F21" s="55"/>
      <c r="G21" s="55"/>
      <c r="H21" s="55"/>
      <c r="I21" s="52">
        <f>G21-E21</f>
        <v>0</v>
      </c>
      <c r="J21" s="57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2">
        <f>SUM(K21:S21)</f>
        <v>0</v>
      </c>
    </row>
    <row r="22" spans="1:21" x14ac:dyDescent="0.25">
      <c r="A22" s="35"/>
      <c r="B22" s="35" t="s">
        <v>74</v>
      </c>
      <c r="C22" s="35"/>
      <c r="D22" s="35"/>
      <c r="E22" s="55"/>
      <c r="F22" s="55"/>
      <c r="G22" s="55"/>
      <c r="H22" s="55"/>
      <c r="I22" s="52">
        <f>G22-E22</f>
        <v>0</v>
      </c>
      <c r="J22" s="57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2">
        <f>SUM(K22:S22)</f>
        <v>0</v>
      </c>
    </row>
    <row r="23" spans="1:21" x14ac:dyDescent="0.25">
      <c r="A23" s="35"/>
      <c r="B23" s="35" t="s">
        <v>73</v>
      </c>
      <c r="C23" s="35"/>
      <c r="D23" s="35"/>
      <c r="E23" s="55"/>
      <c r="F23" s="55"/>
      <c r="G23" s="55"/>
      <c r="H23" s="55"/>
      <c r="I23" s="52">
        <f>G23-E23</f>
        <v>0</v>
      </c>
      <c r="J23" s="57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2">
        <f>SUM(K23:S23)</f>
        <v>0</v>
      </c>
    </row>
    <row r="24" spans="1:21" x14ac:dyDescent="0.25">
      <c r="A24" s="35"/>
      <c r="B24" s="35" t="s">
        <v>72</v>
      </c>
      <c r="C24" s="35"/>
      <c r="D24" s="35"/>
      <c r="E24" s="55"/>
      <c r="F24" s="55"/>
      <c r="G24" s="55"/>
      <c r="H24" s="55"/>
      <c r="I24" s="52">
        <f>G24-E24</f>
        <v>0</v>
      </c>
      <c r="J24" s="57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2">
        <f>SUM(K24:S24)</f>
        <v>0</v>
      </c>
    </row>
    <row r="25" spans="1:21" x14ac:dyDescent="0.25">
      <c r="A25" s="35"/>
      <c r="B25" s="35" t="s">
        <v>71</v>
      </c>
      <c r="C25" s="35"/>
      <c r="D25" s="35"/>
      <c r="E25" s="55"/>
      <c r="F25" s="55"/>
      <c r="G25" s="55"/>
      <c r="H25" s="55"/>
      <c r="I25" s="52">
        <f>G25-E25</f>
        <v>0</v>
      </c>
      <c r="J25" s="57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2">
        <f>SUM(K25:S25)</f>
        <v>0</v>
      </c>
    </row>
    <row r="26" spans="1:21" s="41" customFormat="1" ht="31.5" customHeight="1" x14ac:dyDescent="0.25">
      <c r="A26" s="43"/>
      <c r="B26" s="61" t="s">
        <v>70</v>
      </c>
      <c r="C26" s="61"/>
      <c r="D26" s="43"/>
      <c r="E26" s="59">
        <v>2084463</v>
      </c>
      <c r="F26" s="59"/>
      <c r="G26" s="59">
        <v>2149105</v>
      </c>
      <c r="H26" s="59"/>
      <c r="I26" s="58">
        <f>G26-E26</f>
        <v>64642</v>
      </c>
      <c r="J26" s="60"/>
      <c r="K26" s="59">
        <v>64642</v>
      </c>
      <c r="L26" s="59"/>
      <c r="M26" s="59"/>
      <c r="N26" s="59"/>
      <c r="O26" s="59"/>
      <c r="P26" s="59"/>
      <c r="Q26" s="59"/>
      <c r="R26" s="59"/>
      <c r="S26" s="59"/>
      <c r="T26" s="59"/>
      <c r="U26" s="58">
        <f>SUM(K26:S26)</f>
        <v>64642</v>
      </c>
    </row>
    <row r="27" spans="1:21" x14ac:dyDescent="0.25">
      <c r="A27" s="35"/>
      <c r="B27" s="35" t="s">
        <v>69</v>
      </c>
      <c r="C27" s="35"/>
      <c r="D27" s="35"/>
      <c r="E27" s="55"/>
      <c r="F27" s="55"/>
      <c r="G27" s="55"/>
      <c r="H27" s="55"/>
      <c r="I27" s="52">
        <f>G27-E27</f>
        <v>0</v>
      </c>
      <c r="J27" s="57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2">
        <f>SUM(K27:S27)</f>
        <v>0</v>
      </c>
    </row>
    <row r="28" spans="1:21" x14ac:dyDescent="0.25">
      <c r="A28" s="35"/>
      <c r="B28" s="35" t="s">
        <v>68</v>
      </c>
      <c r="C28" s="35"/>
      <c r="D28" s="35"/>
      <c r="E28" s="55"/>
      <c r="F28" s="55"/>
      <c r="G28" s="55"/>
      <c r="H28" s="55"/>
      <c r="I28" s="52">
        <f>G28-E28</f>
        <v>0</v>
      </c>
      <c r="J28" s="57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2">
        <f>SUM(K28:S28)</f>
        <v>0</v>
      </c>
    </row>
    <row r="29" spans="1:21" x14ac:dyDescent="0.25">
      <c r="A29" s="35"/>
      <c r="B29" s="35" t="s">
        <v>67</v>
      </c>
      <c r="C29" s="35"/>
      <c r="D29" s="35"/>
      <c r="E29" s="55"/>
      <c r="F29" s="55"/>
      <c r="G29" s="55"/>
      <c r="H29" s="55"/>
      <c r="I29" s="52">
        <f>G29-E29</f>
        <v>0</v>
      </c>
      <c r="J29" s="57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2">
        <f>SUM(K29:S29)</f>
        <v>0</v>
      </c>
    </row>
    <row r="30" spans="1:21" x14ac:dyDescent="0.25">
      <c r="A30" s="35"/>
      <c r="B30" s="35" t="s">
        <v>66</v>
      </c>
      <c r="C30" s="35"/>
      <c r="D30" s="35"/>
      <c r="E30" s="56"/>
      <c r="F30" s="55"/>
      <c r="G30" s="56"/>
      <c r="H30" s="55"/>
      <c r="I30" s="52">
        <f>G30-E30</f>
        <v>0</v>
      </c>
      <c r="J30" s="57"/>
      <c r="K30" s="56"/>
      <c r="L30" s="55"/>
      <c r="M30" s="55"/>
      <c r="N30" s="55"/>
      <c r="O30" s="55"/>
      <c r="P30" s="55"/>
      <c r="Q30" s="55"/>
      <c r="R30" s="55"/>
      <c r="S30" s="55"/>
      <c r="T30" s="55"/>
      <c r="U30" s="52">
        <f>SUM(K30:S30)</f>
        <v>0</v>
      </c>
    </row>
    <row r="31" spans="1:21" ht="15.75" thickBot="1" x14ac:dyDescent="0.3">
      <c r="A31" s="54" t="s">
        <v>105</v>
      </c>
      <c r="E31" s="51">
        <f>SUM(E12:E30)</f>
        <v>2084463</v>
      </c>
      <c r="F31" s="52"/>
      <c r="G31" s="51">
        <f>SUM(G12:G30)</f>
        <v>2149105</v>
      </c>
      <c r="H31" s="52"/>
      <c r="I31" s="51">
        <f>SUM(I12:I30)</f>
        <v>64642</v>
      </c>
      <c r="J31" s="53"/>
      <c r="K31" s="51">
        <f>SUM(K12:K30)</f>
        <v>64642</v>
      </c>
      <c r="L31" s="52"/>
      <c r="M31" s="51">
        <f>SUM(M12:M30)</f>
        <v>0</v>
      </c>
      <c r="N31" s="52"/>
      <c r="O31" s="51">
        <f>SUM(O12:O30)</f>
        <v>0</v>
      </c>
      <c r="P31" s="52"/>
      <c r="Q31" s="51">
        <f>SUM(Q12:Q30)</f>
        <v>0</v>
      </c>
      <c r="R31" s="52"/>
      <c r="S31" s="51">
        <f>SUM(S12:S30)</f>
        <v>0</v>
      </c>
      <c r="T31" s="52"/>
      <c r="U31" s="51">
        <f>SUM(U12:U30)</f>
        <v>64642</v>
      </c>
    </row>
    <row r="32" spans="1:21" ht="15.75" thickTop="1" x14ac:dyDescent="0.25">
      <c r="A32" s="35"/>
      <c r="B32" s="35"/>
      <c r="C32" s="35"/>
      <c r="D32" s="35"/>
      <c r="E32" s="34"/>
      <c r="F32" s="34"/>
      <c r="G32" s="34"/>
      <c r="H32" s="34"/>
      <c r="I32" s="34"/>
      <c r="J32" s="34"/>
      <c r="K32" s="34"/>
      <c r="L32" s="35"/>
      <c r="M32" s="35"/>
      <c r="N32" s="35"/>
      <c r="O32" s="35"/>
      <c r="P32" s="35"/>
      <c r="Q32" s="35"/>
      <c r="R32" s="35"/>
      <c r="S32" s="35"/>
      <c r="T32" s="35"/>
      <c r="U32" s="35"/>
    </row>
    <row r="33" spans="1:21" x14ac:dyDescent="0.25">
      <c r="A33" s="35"/>
      <c r="B33" s="35"/>
      <c r="C33" s="35"/>
      <c r="D33" s="35"/>
      <c r="E33" s="34"/>
      <c r="F33" s="34"/>
      <c r="G33" s="34"/>
      <c r="H33" s="34"/>
      <c r="I33" s="34"/>
      <c r="J33" s="34"/>
      <c r="K33" s="34"/>
      <c r="L33" s="35"/>
      <c r="M33" s="35"/>
      <c r="N33" s="35"/>
      <c r="O33" s="35"/>
      <c r="P33" s="35"/>
      <c r="Q33" s="35"/>
      <c r="R33" s="35"/>
      <c r="S33" s="35"/>
      <c r="T33" s="35"/>
      <c r="U33" s="35"/>
    </row>
    <row r="34" spans="1:21" x14ac:dyDescent="0.25">
      <c r="A34" s="35" t="s">
        <v>104</v>
      </c>
      <c r="B34" s="35"/>
      <c r="C34" s="35"/>
      <c r="D34" s="35"/>
      <c r="E34" s="34"/>
      <c r="F34" s="34"/>
      <c r="G34" s="34"/>
      <c r="H34" s="34"/>
      <c r="I34" s="34"/>
      <c r="J34" s="34"/>
      <c r="K34" s="34"/>
      <c r="L34" s="35"/>
      <c r="M34" s="35"/>
      <c r="N34" s="35"/>
      <c r="O34" s="35"/>
      <c r="P34" s="35"/>
      <c r="Q34" s="35"/>
      <c r="R34" s="35"/>
      <c r="S34" s="35"/>
      <c r="T34" s="35"/>
      <c r="U34" s="35"/>
    </row>
    <row r="35" spans="1:21" x14ac:dyDescent="0.25">
      <c r="A35" s="35" t="s">
        <v>103</v>
      </c>
      <c r="B35" s="35"/>
      <c r="C35" s="35" t="s">
        <v>102</v>
      </c>
      <c r="D35" s="35"/>
      <c r="E35" s="34"/>
      <c r="F35" s="34"/>
      <c r="G35" s="34"/>
      <c r="H35" s="34"/>
      <c r="I35" s="34"/>
      <c r="J35" s="34"/>
      <c r="K35" s="34"/>
      <c r="L35" s="35"/>
      <c r="M35" s="35"/>
      <c r="N35" s="35"/>
      <c r="O35" s="35"/>
      <c r="P35" s="35"/>
      <c r="Q35" s="35"/>
      <c r="R35" s="35"/>
      <c r="S35" s="35"/>
      <c r="T35" s="35"/>
      <c r="U35" s="35"/>
    </row>
    <row r="36" spans="1:21" x14ac:dyDescent="0.25">
      <c r="A36" s="35" t="s">
        <v>101</v>
      </c>
      <c r="B36" s="35"/>
      <c r="C36" s="35" t="s">
        <v>100</v>
      </c>
      <c r="D36" s="35"/>
      <c r="E36" s="34"/>
      <c r="F36" s="34"/>
      <c r="G36" s="34"/>
      <c r="H36" s="34"/>
      <c r="I36" s="34"/>
      <c r="J36" s="34"/>
      <c r="K36" s="34"/>
      <c r="L36" s="35"/>
      <c r="M36" s="35"/>
      <c r="N36" s="35"/>
      <c r="O36" s="35"/>
      <c r="P36" s="35"/>
      <c r="Q36" s="35"/>
      <c r="R36" s="35"/>
      <c r="S36" s="35"/>
      <c r="T36" s="35"/>
      <c r="U36" s="35"/>
    </row>
    <row r="37" spans="1:21" x14ac:dyDescent="0.25">
      <c r="A37" s="35" t="s">
        <v>99</v>
      </c>
      <c r="B37" s="35"/>
      <c r="C37" s="35" t="s">
        <v>98</v>
      </c>
      <c r="D37" s="35"/>
      <c r="E37" s="34"/>
      <c r="F37" s="34"/>
      <c r="G37" s="34"/>
      <c r="H37" s="34"/>
      <c r="I37" s="34"/>
      <c r="J37" s="34"/>
      <c r="K37" s="34"/>
      <c r="L37" s="35"/>
      <c r="M37" s="35"/>
      <c r="N37" s="35"/>
      <c r="O37" s="35"/>
      <c r="P37" s="35"/>
      <c r="Q37" s="35"/>
      <c r="R37" s="35"/>
      <c r="S37" s="35"/>
      <c r="T37" s="35"/>
      <c r="U37" s="35"/>
    </row>
    <row r="38" spans="1:21" x14ac:dyDescent="0.25">
      <c r="A38" s="35"/>
      <c r="B38" s="35"/>
      <c r="C38" s="35" t="s">
        <v>97</v>
      </c>
      <c r="D38" s="35"/>
      <c r="E38" s="34"/>
      <c r="F38" s="34"/>
      <c r="G38" s="34"/>
      <c r="H38" s="34"/>
      <c r="I38" s="34"/>
      <c r="J38" s="34"/>
      <c r="K38" s="34"/>
      <c r="L38" s="35"/>
      <c r="M38" s="35"/>
      <c r="N38" s="35"/>
      <c r="O38" s="35"/>
      <c r="P38" s="35"/>
      <c r="Q38" s="35"/>
      <c r="R38" s="35"/>
      <c r="S38" s="35"/>
      <c r="T38" s="35"/>
      <c r="U38" s="35"/>
    </row>
    <row r="39" spans="1:21" x14ac:dyDescent="0.25">
      <c r="A39" s="35" t="s">
        <v>96</v>
      </c>
      <c r="B39" s="35"/>
      <c r="C39" s="35" t="s">
        <v>95</v>
      </c>
      <c r="D39" s="35"/>
      <c r="E39" s="34"/>
      <c r="F39" s="34"/>
      <c r="G39" s="34"/>
      <c r="H39" s="34"/>
      <c r="I39" s="34"/>
      <c r="J39" s="34"/>
      <c r="K39" s="34"/>
      <c r="L39" s="35"/>
      <c r="M39" s="35"/>
      <c r="N39" s="35"/>
      <c r="O39" s="35"/>
      <c r="P39" s="35"/>
      <c r="Q39" s="35"/>
      <c r="R39" s="35"/>
      <c r="S39" s="35"/>
      <c r="T39" s="35"/>
      <c r="U39" s="35"/>
    </row>
    <row r="40" spans="1:21" x14ac:dyDescent="0.25">
      <c r="A40" s="35" t="s">
        <v>94</v>
      </c>
      <c r="B40" s="35"/>
      <c r="C40" s="35" t="s">
        <v>93</v>
      </c>
      <c r="D40" s="35"/>
      <c r="E40" s="34"/>
      <c r="F40" s="34"/>
      <c r="G40" s="34"/>
      <c r="H40" s="34"/>
      <c r="I40" s="34"/>
      <c r="J40" s="34"/>
      <c r="K40" s="34"/>
      <c r="L40" s="35"/>
      <c r="M40" s="35"/>
      <c r="N40" s="35"/>
      <c r="O40" s="35"/>
      <c r="P40" s="35"/>
      <c r="Q40" s="35"/>
      <c r="R40" s="35"/>
      <c r="S40" s="35"/>
      <c r="T40" s="35"/>
      <c r="U40" s="35"/>
    </row>
    <row r="41" spans="1:21" x14ac:dyDescent="0.25">
      <c r="A41" s="35"/>
      <c r="B41" s="35"/>
      <c r="C41" s="35"/>
      <c r="D41" s="35"/>
      <c r="E41" s="34"/>
      <c r="F41" s="34"/>
      <c r="G41" s="34"/>
      <c r="H41" s="34"/>
      <c r="I41" s="34"/>
      <c r="J41" s="34"/>
      <c r="K41" s="34"/>
      <c r="L41" s="35"/>
      <c r="M41" s="35"/>
      <c r="N41" s="35"/>
      <c r="O41" s="35"/>
      <c r="P41" s="35"/>
      <c r="Q41" s="35"/>
      <c r="R41" s="35"/>
      <c r="S41" s="35"/>
      <c r="T41" s="35"/>
      <c r="U41" s="35"/>
    </row>
    <row r="42" spans="1:21" x14ac:dyDescent="0.25">
      <c r="A42" s="50" t="s">
        <v>92</v>
      </c>
    </row>
    <row r="43" spans="1:21" x14ac:dyDescent="0.25">
      <c r="A43" s="50"/>
    </row>
    <row r="44" spans="1:21" ht="17.25" x14ac:dyDescent="0.25">
      <c r="A44" s="50" t="s">
        <v>91</v>
      </c>
    </row>
    <row r="45" spans="1:21" x14ac:dyDescent="0.25">
      <c r="A45" s="50"/>
    </row>
  </sheetData>
  <mergeCells count="1">
    <mergeCell ref="B26:C26"/>
  </mergeCells>
  <printOptions horizontalCentered="1"/>
  <pageMargins left="0" right="0" top="0.75" bottom="0.75" header="0.3" footer="0.3"/>
  <pageSetup scale="52" orientation="landscape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9EBC3-23F0-41F9-939A-D3885D31C443}">
  <dimension ref="A1:K36"/>
  <sheetViews>
    <sheetView zoomScaleNormal="100" workbookViewId="0">
      <selection activeCell="N34" sqref="N34"/>
    </sheetView>
  </sheetViews>
  <sheetFormatPr defaultRowHeight="15" x14ac:dyDescent="0.25"/>
  <cols>
    <col min="1" max="1" width="2.7109375" style="32" customWidth="1"/>
    <col min="2" max="2" width="56.140625" style="32" customWidth="1"/>
    <col min="3" max="3" width="2.7109375" style="32" customWidth="1"/>
    <col min="4" max="4" width="15.7109375" style="33" customWidth="1"/>
    <col min="5" max="5" width="2.7109375" style="33" customWidth="1"/>
    <col min="6" max="6" width="15.7109375" style="33" customWidth="1"/>
    <col min="7" max="7" width="2.7109375" style="33" customWidth="1"/>
    <col min="8" max="8" width="15.7109375" style="33" customWidth="1"/>
    <col min="9" max="9" width="2.7109375" style="33" customWidth="1"/>
    <col min="10" max="10" width="15.7109375" style="33" customWidth="1"/>
    <col min="11" max="16384" width="9.140625" style="32"/>
  </cols>
  <sheetData>
    <row r="1" spans="1:11" x14ac:dyDescent="0.25">
      <c r="A1" s="49" t="s">
        <v>90</v>
      </c>
      <c r="B1" s="49"/>
      <c r="C1" s="49"/>
      <c r="D1" s="49"/>
      <c r="E1" s="49"/>
      <c r="F1" s="49"/>
      <c r="G1" s="49"/>
      <c r="H1" s="49"/>
      <c r="I1" s="49"/>
      <c r="J1" s="49"/>
    </row>
    <row r="2" spans="1:11" x14ac:dyDescent="0.25">
      <c r="A2" s="49" t="s">
        <v>89</v>
      </c>
      <c r="B2" s="49"/>
      <c r="C2" s="49"/>
      <c r="D2" s="49"/>
      <c r="E2" s="49"/>
      <c r="F2" s="49"/>
      <c r="G2" s="49"/>
      <c r="H2" s="49"/>
      <c r="I2" s="49"/>
      <c r="J2" s="49"/>
    </row>
    <row r="3" spans="1:11" x14ac:dyDescent="0.25">
      <c r="A3" s="49" t="s">
        <v>129</v>
      </c>
      <c r="B3" s="49"/>
      <c r="C3" s="49"/>
      <c r="D3" s="49"/>
      <c r="E3" s="49"/>
      <c r="F3" s="49"/>
      <c r="G3" s="49"/>
      <c r="H3" s="49"/>
      <c r="I3" s="49"/>
      <c r="J3" s="49"/>
    </row>
    <row r="4" spans="1:11" x14ac:dyDescent="0.25">
      <c r="A4" s="49" t="s">
        <v>87</v>
      </c>
      <c r="B4" s="49"/>
      <c r="C4" s="49"/>
      <c r="D4" s="49"/>
      <c r="E4" s="49"/>
      <c r="F4" s="49"/>
      <c r="G4" s="49"/>
      <c r="H4" s="49"/>
      <c r="I4" s="49"/>
      <c r="J4" s="49"/>
    </row>
    <row r="5" spans="1:11" x14ac:dyDescent="0.25">
      <c r="A5" s="35"/>
      <c r="B5" s="35"/>
      <c r="C5" s="35"/>
      <c r="D5" s="34"/>
      <c r="E5" s="34"/>
      <c r="F5" s="34"/>
      <c r="G5" s="34"/>
      <c r="H5" s="34"/>
      <c r="I5" s="34"/>
      <c r="J5" s="34"/>
    </row>
    <row r="6" spans="1:11" ht="32.25" x14ac:dyDescent="0.25">
      <c r="A6" s="39" t="s">
        <v>86</v>
      </c>
      <c r="B6" s="35"/>
      <c r="C6" s="35"/>
      <c r="D6" s="46" t="s">
        <v>85</v>
      </c>
      <c r="E6" s="47"/>
      <c r="F6" s="48" t="s">
        <v>18</v>
      </c>
      <c r="G6" s="47"/>
      <c r="H6" s="48" t="s">
        <v>19</v>
      </c>
      <c r="I6" s="47"/>
      <c r="J6" s="46" t="s">
        <v>84</v>
      </c>
      <c r="K6" s="45"/>
    </row>
    <row r="7" spans="1:11" x14ac:dyDescent="0.25">
      <c r="A7" s="35"/>
      <c r="B7" s="35"/>
      <c r="C7" s="35"/>
      <c r="D7" s="34"/>
      <c r="E7" s="34"/>
      <c r="F7" s="34"/>
      <c r="G7" s="34"/>
      <c r="H7" s="34"/>
      <c r="I7" s="34"/>
      <c r="J7" s="34"/>
    </row>
    <row r="8" spans="1:11" x14ac:dyDescent="0.25">
      <c r="A8" s="39" t="s">
        <v>21</v>
      </c>
      <c r="B8" s="35"/>
      <c r="C8" s="35"/>
      <c r="D8" s="34"/>
      <c r="E8" s="34"/>
      <c r="F8" s="34"/>
      <c r="G8" s="34"/>
      <c r="H8" s="34"/>
      <c r="I8" s="34"/>
      <c r="J8" s="34"/>
    </row>
    <row r="9" spans="1:11" x14ac:dyDescent="0.25">
      <c r="A9" s="35"/>
      <c r="B9" s="35" t="s">
        <v>83</v>
      </c>
      <c r="C9" s="35"/>
      <c r="D9" s="44"/>
      <c r="E9" s="44"/>
      <c r="F9" s="44"/>
      <c r="G9" s="44"/>
      <c r="H9" s="44"/>
      <c r="I9" s="44"/>
      <c r="J9" s="38">
        <f>D9+F9-H9</f>
        <v>0</v>
      </c>
    </row>
    <row r="10" spans="1:11" x14ac:dyDescent="0.25">
      <c r="A10" s="35"/>
      <c r="B10" s="35" t="s">
        <v>82</v>
      </c>
      <c r="C10" s="35"/>
      <c r="D10" s="34"/>
      <c r="E10" s="34"/>
      <c r="F10" s="34"/>
      <c r="G10" s="34"/>
      <c r="H10" s="34"/>
      <c r="I10" s="34"/>
      <c r="J10" s="33">
        <f>D10+F10-H10</f>
        <v>0</v>
      </c>
    </row>
    <row r="11" spans="1:11" x14ac:dyDescent="0.25">
      <c r="A11" s="35"/>
      <c r="B11" s="35" t="s">
        <v>81</v>
      </c>
      <c r="C11" s="35"/>
      <c r="D11" s="34"/>
      <c r="E11" s="34"/>
      <c r="F11" s="34"/>
      <c r="G11" s="34"/>
      <c r="H11" s="34"/>
      <c r="I11" s="34"/>
      <c r="J11" s="33">
        <f>D11+F11-H11</f>
        <v>0</v>
      </c>
    </row>
    <row r="12" spans="1:11" x14ac:dyDescent="0.25">
      <c r="A12" s="35"/>
      <c r="B12" s="35" t="s">
        <v>80</v>
      </c>
      <c r="C12" s="35"/>
      <c r="D12" s="34">
        <v>339875.58</v>
      </c>
      <c r="E12" s="34"/>
      <c r="F12" s="34">
        <v>0</v>
      </c>
      <c r="G12" s="34"/>
      <c r="H12" s="34">
        <v>0</v>
      </c>
      <c r="I12" s="34"/>
      <c r="J12" s="33">
        <f>D12+F12-H12</f>
        <v>339875.58</v>
      </c>
    </row>
    <row r="13" spans="1:11" x14ac:dyDescent="0.25">
      <c r="A13" s="35"/>
      <c r="B13" s="35" t="s">
        <v>79</v>
      </c>
      <c r="C13" s="35"/>
      <c r="D13" s="34"/>
      <c r="E13" s="34"/>
      <c r="F13" s="34"/>
      <c r="G13" s="34"/>
      <c r="H13" s="34"/>
      <c r="I13" s="34"/>
      <c r="J13" s="33">
        <f>D13+F13-H13</f>
        <v>0</v>
      </c>
    </row>
    <row r="14" spans="1:11" x14ac:dyDescent="0.25">
      <c r="A14" s="35"/>
      <c r="B14" s="35" t="s">
        <v>78</v>
      </c>
      <c r="C14" s="35"/>
      <c r="D14" s="34"/>
      <c r="E14" s="34"/>
      <c r="F14" s="34"/>
      <c r="G14" s="34"/>
      <c r="H14" s="34"/>
      <c r="I14" s="34"/>
      <c r="J14" s="33">
        <f>D14+F14-H14</f>
        <v>0</v>
      </c>
    </row>
    <row r="15" spans="1:11" x14ac:dyDescent="0.25">
      <c r="A15" s="39" t="s">
        <v>23</v>
      </c>
      <c r="B15" s="35"/>
      <c r="C15" s="35"/>
      <c r="D15" s="34"/>
      <c r="E15" s="34"/>
      <c r="F15" s="34"/>
      <c r="G15" s="34"/>
      <c r="H15" s="34"/>
      <c r="I15" s="34"/>
    </row>
    <row r="16" spans="1:11" x14ac:dyDescent="0.25">
      <c r="A16" s="35"/>
      <c r="B16" s="35" t="s">
        <v>77</v>
      </c>
      <c r="C16" s="35"/>
      <c r="D16" s="34"/>
      <c r="E16" s="34"/>
      <c r="F16" s="34"/>
      <c r="G16" s="34"/>
      <c r="H16" s="34"/>
      <c r="I16" s="34"/>
      <c r="J16" s="33">
        <f>D16+F16-H16</f>
        <v>0</v>
      </c>
    </row>
    <row r="17" spans="1:10" x14ac:dyDescent="0.25">
      <c r="A17" s="35"/>
      <c r="B17" s="35" t="s">
        <v>76</v>
      </c>
      <c r="C17" s="35"/>
      <c r="D17" s="34"/>
      <c r="E17" s="34"/>
      <c r="F17" s="34"/>
      <c r="G17" s="34"/>
      <c r="H17" s="34"/>
      <c r="I17" s="34"/>
      <c r="J17" s="33">
        <f>D17+F17-H17</f>
        <v>0</v>
      </c>
    </row>
    <row r="18" spans="1:10" x14ac:dyDescent="0.25">
      <c r="A18" s="35"/>
      <c r="B18" s="35" t="s">
        <v>75</v>
      </c>
      <c r="C18" s="35"/>
      <c r="D18" s="34"/>
      <c r="E18" s="34"/>
      <c r="F18" s="34"/>
      <c r="G18" s="34"/>
      <c r="H18" s="34"/>
      <c r="I18" s="34"/>
      <c r="J18" s="33">
        <f>D18+F18-H18</f>
        <v>0</v>
      </c>
    </row>
    <row r="19" spans="1:10" x14ac:dyDescent="0.25">
      <c r="A19" s="35"/>
      <c r="B19" s="35" t="s">
        <v>74</v>
      </c>
      <c r="C19" s="35"/>
      <c r="D19" s="34"/>
      <c r="E19" s="34"/>
      <c r="F19" s="34"/>
      <c r="G19" s="34"/>
      <c r="H19" s="34"/>
      <c r="I19" s="34"/>
      <c r="J19" s="33">
        <f>D19+F19-H19</f>
        <v>0</v>
      </c>
    </row>
    <row r="20" spans="1:10" x14ac:dyDescent="0.25">
      <c r="A20" s="35"/>
      <c r="B20" s="35" t="s">
        <v>73</v>
      </c>
      <c r="C20" s="35"/>
      <c r="D20" s="34"/>
      <c r="E20" s="34"/>
      <c r="F20" s="34"/>
      <c r="G20" s="34"/>
      <c r="H20" s="34"/>
      <c r="I20" s="34"/>
      <c r="J20" s="33">
        <f>D20+F20-H20</f>
        <v>0</v>
      </c>
    </row>
    <row r="21" spans="1:10" x14ac:dyDescent="0.25">
      <c r="A21" s="35"/>
      <c r="B21" s="35" t="s">
        <v>72</v>
      </c>
      <c r="C21" s="35"/>
      <c r="D21" s="34">
        <v>204947</v>
      </c>
      <c r="E21" s="34"/>
      <c r="F21" s="34">
        <v>0</v>
      </c>
      <c r="G21" s="34"/>
      <c r="H21" s="34">
        <v>0</v>
      </c>
      <c r="I21" s="34"/>
      <c r="J21" s="33">
        <f>D21+F21-H21</f>
        <v>204947</v>
      </c>
    </row>
    <row r="22" spans="1:10" x14ac:dyDescent="0.25">
      <c r="A22" s="35"/>
      <c r="B22" s="35" t="s">
        <v>71</v>
      </c>
      <c r="C22" s="35"/>
      <c r="D22" s="34"/>
      <c r="E22" s="34"/>
      <c r="F22" s="34"/>
      <c r="G22" s="34"/>
      <c r="H22" s="34"/>
      <c r="I22" s="34"/>
      <c r="J22" s="33">
        <f>D22+F22-H22</f>
        <v>0</v>
      </c>
    </row>
    <row r="23" spans="1:10" s="41" customFormat="1" ht="30" x14ac:dyDescent="0.25">
      <c r="A23" s="43"/>
      <c r="B23" s="43" t="s">
        <v>70</v>
      </c>
      <c r="C23" s="43"/>
      <c r="D23" s="42">
        <v>0</v>
      </c>
      <c r="E23" s="42"/>
      <c r="F23" s="42">
        <v>17397.669999999998</v>
      </c>
      <c r="G23" s="42"/>
      <c r="H23" s="42">
        <v>0</v>
      </c>
      <c r="I23" s="42"/>
      <c r="J23" s="33">
        <f>D23+F23-H23</f>
        <v>17397.669999999998</v>
      </c>
    </row>
    <row r="24" spans="1:10" x14ac:dyDescent="0.25">
      <c r="A24" s="35"/>
      <c r="B24" s="35" t="s">
        <v>69</v>
      </c>
      <c r="C24" s="35"/>
      <c r="D24" s="34"/>
      <c r="E24" s="34"/>
      <c r="F24" s="34"/>
      <c r="G24" s="34"/>
      <c r="H24" s="34"/>
      <c r="I24" s="34"/>
      <c r="J24" s="33">
        <f>D24+F24-H24</f>
        <v>0</v>
      </c>
    </row>
    <row r="25" spans="1:10" x14ac:dyDescent="0.25">
      <c r="A25" s="35"/>
      <c r="B25" s="35" t="s">
        <v>68</v>
      </c>
      <c r="C25" s="35"/>
      <c r="D25" s="34"/>
      <c r="E25" s="34"/>
      <c r="F25" s="34"/>
      <c r="G25" s="34"/>
      <c r="H25" s="34"/>
      <c r="I25" s="34"/>
      <c r="J25" s="33">
        <f>D25+F25-H25</f>
        <v>0</v>
      </c>
    </row>
    <row r="26" spans="1:10" x14ac:dyDescent="0.25">
      <c r="A26" s="35"/>
      <c r="B26" s="35" t="s">
        <v>67</v>
      </c>
      <c r="C26" s="35"/>
      <c r="D26" s="34"/>
      <c r="E26" s="34"/>
      <c r="F26" s="34"/>
      <c r="G26" s="34"/>
      <c r="H26" s="34"/>
      <c r="I26" s="34"/>
      <c r="J26" s="33">
        <f>D26+F26-H26</f>
        <v>0</v>
      </c>
    </row>
    <row r="27" spans="1:10" x14ac:dyDescent="0.25">
      <c r="A27" s="35"/>
      <c r="B27" s="35" t="s">
        <v>66</v>
      </c>
      <c r="C27" s="35"/>
      <c r="D27" s="40"/>
      <c r="E27" s="34"/>
      <c r="F27" s="40"/>
      <c r="G27" s="34"/>
      <c r="H27" s="40"/>
      <c r="I27" s="34"/>
      <c r="J27" s="33">
        <f>D27+F27-H27</f>
        <v>0</v>
      </c>
    </row>
    <row r="28" spans="1:10" ht="15.75" thickBot="1" x14ac:dyDescent="0.3">
      <c r="A28" s="39" t="s">
        <v>65</v>
      </c>
      <c r="B28" s="35"/>
      <c r="C28" s="35"/>
      <c r="D28" s="37">
        <f>SUM(D9:D27)</f>
        <v>544822.58000000007</v>
      </c>
      <c r="E28" s="38"/>
      <c r="F28" s="37">
        <f>SUM(F9:F27)</f>
        <v>17397.669999999998</v>
      </c>
      <c r="G28" s="38"/>
      <c r="H28" s="37">
        <f>SUM(H9:H27)</f>
        <v>0</v>
      </c>
      <c r="I28" s="38"/>
      <c r="J28" s="37">
        <f>SUM(J9:J27)</f>
        <v>562220.25000000012</v>
      </c>
    </row>
    <row r="29" spans="1:10" ht="15.75" thickTop="1" x14ac:dyDescent="0.25">
      <c r="A29" s="35"/>
      <c r="B29" s="35"/>
      <c r="C29" s="35"/>
      <c r="D29" s="34"/>
      <c r="E29" s="34"/>
      <c r="F29" s="34"/>
      <c r="G29" s="34"/>
      <c r="H29" s="34"/>
      <c r="I29" s="34"/>
      <c r="J29" s="34"/>
    </row>
    <row r="30" spans="1:10" x14ac:dyDescent="0.25">
      <c r="A30" s="35"/>
      <c r="B30" s="35"/>
      <c r="C30" s="35"/>
      <c r="D30" s="34"/>
      <c r="E30" s="34"/>
      <c r="F30" s="34"/>
      <c r="G30" s="34"/>
      <c r="H30" s="34"/>
      <c r="I30" s="34"/>
      <c r="J30" s="34"/>
    </row>
    <row r="31" spans="1:10" ht="17.25" x14ac:dyDescent="0.25">
      <c r="A31" s="36">
        <v>1</v>
      </c>
      <c r="B31" s="35" t="s">
        <v>64</v>
      </c>
      <c r="C31" s="35"/>
      <c r="D31" s="34"/>
      <c r="E31" s="34"/>
      <c r="F31" s="34"/>
      <c r="G31" s="34"/>
      <c r="H31" s="34"/>
      <c r="I31" s="34"/>
      <c r="J31" s="34"/>
    </row>
    <row r="32" spans="1:10" x14ac:dyDescent="0.25">
      <c r="A32" s="35"/>
      <c r="B32" s="35" t="s">
        <v>63</v>
      </c>
      <c r="C32" s="35"/>
      <c r="D32" s="34"/>
      <c r="E32" s="34"/>
      <c r="F32" s="34"/>
      <c r="G32" s="34"/>
      <c r="H32" s="34"/>
      <c r="I32" s="34"/>
      <c r="J32" s="34"/>
    </row>
    <row r="33" spans="1:10" ht="17.25" x14ac:dyDescent="0.25">
      <c r="A33" s="36">
        <v>2</v>
      </c>
      <c r="B33" s="35" t="s">
        <v>62</v>
      </c>
      <c r="C33" s="35"/>
      <c r="D33" s="34"/>
      <c r="E33" s="34"/>
      <c r="F33" s="34"/>
      <c r="G33" s="34"/>
      <c r="H33" s="34"/>
      <c r="I33" s="34"/>
      <c r="J33" s="34"/>
    </row>
    <row r="34" spans="1:10" ht="17.25" x14ac:dyDescent="0.25">
      <c r="A34" s="36"/>
      <c r="B34" s="35"/>
      <c r="C34" s="35"/>
      <c r="D34" s="34"/>
      <c r="E34" s="34"/>
      <c r="F34" s="34"/>
      <c r="G34" s="34"/>
      <c r="H34" s="34"/>
      <c r="I34" s="34"/>
      <c r="J34" s="34"/>
    </row>
    <row r="35" spans="1:10" x14ac:dyDescent="0.25">
      <c r="A35" s="35"/>
      <c r="B35" s="35"/>
      <c r="C35" s="35"/>
      <c r="D35" s="34"/>
      <c r="E35" s="34"/>
      <c r="F35" s="34"/>
      <c r="G35" s="34"/>
      <c r="H35" s="34"/>
      <c r="I35" s="34"/>
      <c r="J35" s="34"/>
    </row>
    <row r="36" spans="1:10" x14ac:dyDescent="0.25">
      <c r="A36" s="35"/>
      <c r="C36" s="35"/>
      <c r="D36" s="34"/>
      <c r="E36" s="34"/>
      <c r="F36" s="34"/>
      <c r="G36" s="34"/>
      <c r="H36" s="34"/>
      <c r="I36" s="34"/>
      <c r="J36" s="34"/>
    </row>
  </sheetData>
  <printOptions horizontalCentered="1"/>
  <pageMargins left="0" right="0" top="0.75" bottom="0.75" header="0.3" footer="0.3"/>
  <pageSetup scale="86" orientation="landscape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841F-EA25-4F07-82D9-6F8BA510121A}">
  <dimension ref="A1:U45"/>
  <sheetViews>
    <sheetView tabSelected="1" topLeftCell="A9" zoomScaleNormal="100" workbookViewId="0">
      <selection activeCell="N34" sqref="N34"/>
    </sheetView>
  </sheetViews>
  <sheetFormatPr defaultRowHeight="15" x14ac:dyDescent="0.25"/>
  <cols>
    <col min="1" max="1" width="1.7109375" style="32" customWidth="1"/>
    <col min="2" max="2" width="9" style="32" customWidth="1"/>
    <col min="3" max="3" width="44.28515625" style="32" customWidth="1"/>
    <col min="4" max="4" width="1.7109375" style="32" customWidth="1"/>
    <col min="5" max="5" width="15.7109375" style="33" customWidth="1"/>
    <col min="6" max="6" width="1.7109375" style="33" customWidth="1"/>
    <col min="7" max="7" width="15.7109375" style="33" customWidth="1"/>
    <col min="8" max="8" width="1.7109375" style="33" customWidth="1"/>
    <col min="9" max="9" width="15.7109375" style="33" customWidth="1"/>
    <col min="10" max="10" width="1.7109375" style="33" customWidth="1"/>
    <col min="11" max="11" width="15.7109375" style="33" customWidth="1"/>
    <col min="12" max="12" width="1.7109375" style="32" customWidth="1"/>
    <col min="13" max="13" width="15.7109375" style="32" customWidth="1"/>
    <col min="14" max="14" width="1.7109375" style="32" customWidth="1"/>
    <col min="15" max="15" width="15.7109375" style="32" customWidth="1"/>
    <col min="16" max="16" width="1.7109375" style="32" customWidth="1"/>
    <col min="17" max="17" width="15.7109375" style="32" customWidth="1"/>
    <col min="18" max="18" width="1.7109375" style="32" customWidth="1"/>
    <col min="19" max="19" width="15.7109375" style="32" customWidth="1"/>
    <col min="20" max="20" width="1.7109375" style="32" customWidth="1"/>
    <col min="21" max="21" width="15.7109375" style="32" customWidth="1"/>
    <col min="22" max="16384" width="9.140625" style="32"/>
  </cols>
  <sheetData>
    <row r="1" spans="1:21" x14ac:dyDescent="0.25">
      <c r="A1" s="49" t="s">
        <v>90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</row>
    <row r="2" spans="1:21" x14ac:dyDescent="0.25">
      <c r="A2" s="49" t="s">
        <v>89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</row>
    <row r="3" spans="1:21" x14ac:dyDescent="0.25">
      <c r="A3" s="49" t="s">
        <v>128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</row>
    <row r="4" spans="1:21" x14ac:dyDescent="0.25">
      <c r="A4" s="49" t="s">
        <v>129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</row>
    <row r="5" spans="1:21" x14ac:dyDescent="0.25">
      <c r="A5" s="49" t="s">
        <v>87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</row>
    <row r="6" spans="1:21" x14ac:dyDescent="0.25">
      <c r="A6" s="35"/>
      <c r="B6" s="35"/>
      <c r="C6" s="35"/>
      <c r="D6" s="35"/>
      <c r="E6" s="34"/>
      <c r="F6" s="34"/>
      <c r="G6" s="34"/>
      <c r="H6" s="34"/>
      <c r="I6" s="34"/>
      <c r="J6" s="34"/>
      <c r="K6" s="34"/>
      <c r="L6" s="35"/>
      <c r="M6" s="35"/>
      <c r="N6" s="35"/>
      <c r="O6" s="35"/>
      <c r="P6" s="35"/>
      <c r="Q6" s="35"/>
      <c r="R6" s="35"/>
      <c r="S6" s="35"/>
      <c r="T6" s="35"/>
      <c r="U6" s="35"/>
    </row>
    <row r="7" spans="1:21" ht="15.75" thickBot="1" x14ac:dyDescent="0.3">
      <c r="A7" s="35"/>
      <c r="B7" s="35"/>
      <c r="C7" s="35"/>
      <c r="D7" s="35"/>
      <c r="E7" s="34"/>
      <c r="F7" s="34"/>
      <c r="G7" s="34"/>
      <c r="H7" s="34"/>
      <c r="I7" s="34"/>
      <c r="J7" s="62"/>
      <c r="K7" s="68" t="s">
        <v>127</v>
      </c>
      <c r="L7" s="68"/>
      <c r="M7" s="68"/>
      <c r="N7" s="68"/>
      <c r="O7" s="68"/>
      <c r="P7" s="68"/>
      <c r="Q7" s="68"/>
      <c r="R7" s="68"/>
      <c r="S7" s="68"/>
      <c r="T7" s="35"/>
      <c r="U7" s="35"/>
    </row>
    <row r="8" spans="1:21" x14ac:dyDescent="0.25">
      <c r="A8" s="35"/>
      <c r="B8" s="35"/>
      <c r="C8" s="35"/>
      <c r="D8" s="35"/>
      <c r="E8" s="67" t="s">
        <v>126</v>
      </c>
      <c r="F8" s="64"/>
      <c r="G8" s="67" t="s">
        <v>125</v>
      </c>
      <c r="H8" s="64"/>
      <c r="I8" s="67" t="s">
        <v>124</v>
      </c>
      <c r="J8" s="65"/>
      <c r="K8" s="67" t="s">
        <v>123</v>
      </c>
      <c r="L8" s="35"/>
      <c r="M8" s="67" t="s">
        <v>122</v>
      </c>
      <c r="N8" s="64"/>
      <c r="O8" s="67" t="s">
        <v>121</v>
      </c>
      <c r="P8" s="64"/>
      <c r="Q8" s="67" t="s">
        <v>120</v>
      </c>
      <c r="R8" s="64"/>
      <c r="S8" s="67" t="s">
        <v>119</v>
      </c>
      <c r="T8" s="64"/>
      <c r="U8" s="67" t="s">
        <v>118</v>
      </c>
    </row>
    <row r="9" spans="1:21" ht="108.75" x14ac:dyDescent="0.25">
      <c r="A9" s="39"/>
      <c r="B9" s="35"/>
      <c r="C9" s="35"/>
      <c r="D9" s="35"/>
      <c r="E9" s="63" t="s">
        <v>117</v>
      </c>
      <c r="F9" s="64"/>
      <c r="G9" s="63" t="s">
        <v>116</v>
      </c>
      <c r="H9" s="64"/>
      <c r="I9" s="66" t="s">
        <v>115</v>
      </c>
      <c r="J9" s="65"/>
      <c r="K9" s="63" t="s">
        <v>114</v>
      </c>
      <c r="L9" s="64"/>
      <c r="M9" s="63" t="s">
        <v>113</v>
      </c>
      <c r="N9" s="35"/>
      <c r="O9" s="63" t="s">
        <v>112</v>
      </c>
      <c r="P9" s="35"/>
      <c r="Q9" s="63" t="s">
        <v>111</v>
      </c>
      <c r="R9" s="35"/>
      <c r="S9" s="63" t="s">
        <v>130</v>
      </c>
      <c r="T9" s="35"/>
      <c r="U9" s="63" t="s">
        <v>109</v>
      </c>
    </row>
    <row r="10" spans="1:21" x14ac:dyDescent="0.25">
      <c r="A10" s="35"/>
      <c r="B10" s="35"/>
      <c r="C10" s="35"/>
      <c r="D10" s="35"/>
      <c r="E10" s="34"/>
      <c r="F10" s="34"/>
      <c r="G10" s="34"/>
      <c r="H10" s="34"/>
      <c r="I10" s="34"/>
      <c r="J10" s="62"/>
      <c r="K10" s="34"/>
      <c r="L10" s="35"/>
      <c r="M10" s="35"/>
      <c r="N10" s="35"/>
      <c r="O10" s="35"/>
      <c r="P10" s="35"/>
      <c r="Q10" s="35"/>
      <c r="R10" s="35"/>
      <c r="S10" s="35"/>
      <c r="T10" s="35"/>
      <c r="U10" s="35"/>
    </row>
    <row r="11" spans="1:21" x14ac:dyDescent="0.25">
      <c r="A11" s="39" t="s">
        <v>21</v>
      </c>
      <c r="B11" s="35"/>
      <c r="C11" s="35"/>
      <c r="D11" s="35"/>
      <c r="E11" s="34"/>
      <c r="F11" s="34"/>
      <c r="G11" s="34"/>
      <c r="H11" s="34"/>
      <c r="I11" s="34"/>
      <c r="J11" s="62"/>
      <c r="K11" s="34"/>
      <c r="L11" s="35"/>
      <c r="M11" s="35"/>
      <c r="N11" s="35"/>
      <c r="O11" s="35"/>
      <c r="P11" s="35"/>
      <c r="Q11" s="35"/>
      <c r="R11" s="35"/>
      <c r="S11" s="35"/>
      <c r="T11" s="35"/>
      <c r="U11" s="35"/>
    </row>
    <row r="12" spans="1:21" ht="17.25" x14ac:dyDescent="0.25">
      <c r="A12" s="35"/>
      <c r="B12" s="35" t="s">
        <v>108</v>
      </c>
      <c r="C12" s="35"/>
      <c r="D12" s="35"/>
      <c r="E12" s="55"/>
      <c r="F12" s="55"/>
      <c r="G12" s="55"/>
      <c r="H12" s="55"/>
      <c r="I12" s="52">
        <f>G12-E12</f>
        <v>0</v>
      </c>
      <c r="J12" s="57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2">
        <f>SUM(K12:S12)</f>
        <v>0</v>
      </c>
    </row>
    <row r="13" spans="1:21" ht="17.25" x14ac:dyDescent="0.25">
      <c r="A13" s="35"/>
      <c r="B13" s="35" t="s">
        <v>107</v>
      </c>
      <c r="C13" s="35"/>
      <c r="D13" s="35"/>
      <c r="E13" s="55"/>
      <c r="F13" s="55"/>
      <c r="G13" s="55"/>
      <c r="H13" s="55"/>
      <c r="I13" s="52">
        <f>G13-E13</f>
        <v>0</v>
      </c>
      <c r="J13" s="57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2">
        <f>SUM(K13:S13)</f>
        <v>0</v>
      </c>
    </row>
    <row r="14" spans="1:21" x14ac:dyDescent="0.25">
      <c r="A14" s="35"/>
      <c r="B14" s="35" t="s">
        <v>81</v>
      </c>
      <c r="C14" s="35"/>
      <c r="D14" s="35"/>
      <c r="E14" s="55"/>
      <c r="F14" s="55"/>
      <c r="G14" s="55"/>
      <c r="H14" s="55"/>
      <c r="I14" s="52">
        <f>G14-E14</f>
        <v>0</v>
      </c>
      <c r="J14" s="57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2">
        <f>SUM(K14:S14)</f>
        <v>0</v>
      </c>
    </row>
    <row r="15" spans="1:21" ht="17.25" x14ac:dyDescent="0.25">
      <c r="A15" s="35"/>
      <c r="B15" s="35" t="s">
        <v>106</v>
      </c>
      <c r="C15" s="35"/>
      <c r="D15" s="35"/>
      <c r="E15" s="55"/>
      <c r="F15" s="55"/>
      <c r="G15" s="55"/>
      <c r="H15" s="55"/>
      <c r="I15" s="52">
        <f>G15-E15</f>
        <v>0</v>
      </c>
      <c r="J15" s="57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2">
        <f>SUM(K15:S15)</f>
        <v>0</v>
      </c>
    </row>
    <row r="16" spans="1:21" x14ac:dyDescent="0.25">
      <c r="A16" s="35"/>
      <c r="B16" s="35" t="s">
        <v>79</v>
      </c>
      <c r="C16" s="35"/>
      <c r="D16" s="35"/>
      <c r="E16" s="55"/>
      <c r="F16" s="55"/>
      <c r="G16" s="55"/>
      <c r="H16" s="55"/>
      <c r="I16" s="52">
        <f>G16-E16</f>
        <v>0</v>
      </c>
      <c r="J16" s="57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2">
        <f>SUM(K16:S16)</f>
        <v>0</v>
      </c>
    </row>
    <row r="17" spans="1:21" x14ac:dyDescent="0.25">
      <c r="A17" s="35"/>
      <c r="B17" s="35" t="s">
        <v>78</v>
      </c>
      <c r="C17" s="35"/>
      <c r="D17" s="35"/>
      <c r="E17" s="55"/>
      <c r="F17" s="55"/>
      <c r="G17" s="55"/>
      <c r="H17" s="55"/>
      <c r="I17" s="52">
        <f>G17-E17</f>
        <v>0</v>
      </c>
      <c r="J17" s="57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2">
        <f>SUM(K17:S17)</f>
        <v>0</v>
      </c>
    </row>
    <row r="18" spans="1:21" x14ac:dyDescent="0.25">
      <c r="A18" s="39" t="s">
        <v>23</v>
      </c>
      <c r="B18" s="35"/>
      <c r="C18" s="35"/>
      <c r="D18" s="35"/>
      <c r="E18" s="55"/>
      <c r="F18" s="55"/>
      <c r="G18" s="55"/>
      <c r="H18" s="55"/>
      <c r="I18" s="52"/>
      <c r="J18" s="57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2"/>
    </row>
    <row r="19" spans="1:21" x14ac:dyDescent="0.25">
      <c r="A19" s="35"/>
      <c r="B19" s="35" t="s">
        <v>77</v>
      </c>
      <c r="C19" s="35"/>
      <c r="D19" s="35"/>
      <c r="E19" s="55"/>
      <c r="F19" s="55"/>
      <c r="G19" s="55"/>
      <c r="H19" s="55"/>
      <c r="I19" s="52">
        <f>G19-E19</f>
        <v>0</v>
      </c>
      <c r="J19" s="57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2">
        <f>SUM(K19:S19)</f>
        <v>0</v>
      </c>
    </row>
    <row r="20" spans="1:21" x14ac:dyDescent="0.25">
      <c r="A20" s="35"/>
      <c r="B20" s="35" t="s">
        <v>76</v>
      </c>
      <c r="C20" s="35"/>
      <c r="D20" s="35"/>
      <c r="E20" s="55"/>
      <c r="F20" s="55"/>
      <c r="G20" s="55"/>
      <c r="H20" s="55"/>
      <c r="I20" s="52">
        <f>G20-E20</f>
        <v>0</v>
      </c>
      <c r="J20" s="57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2">
        <f>SUM(K20:S20)</f>
        <v>0</v>
      </c>
    </row>
    <row r="21" spans="1:21" x14ac:dyDescent="0.25">
      <c r="A21" s="35"/>
      <c r="B21" s="35" t="s">
        <v>75</v>
      </c>
      <c r="C21" s="35"/>
      <c r="D21" s="35"/>
      <c r="E21" s="55"/>
      <c r="F21" s="55"/>
      <c r="G21" s="55"/>
      <c r="H21" s="55"/>
      <c r="I21" s="52">
        <f>G21-E21</f>
        <v>0</v>
      </c>
      <c r="J21" s="57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2">
        <f>SUM(K21:S21)</f>
        <v>0</v>
      </c>
    </row>
    <row r="22" spans="1:21" x14ac:dyDescent="0.25">
      <c r="A22" s="35"/>
      <c r="B22" s="35" t="s">
        <v>74</v>
      </c>
      <c r="C22" s="35"/>
      <c r="D22" s="35"/>
      <c r="E22" s="55"/>
      <c r="F22" s="55"/>
      <c r="G22" s="55"/>
      <c r="H22" s="55"/>
      <c r="I22" s="52">
        <f>G22-E22</f>
        <v>0</v>
      </c>
      <c r="J22" s="57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2">
        <f>SUM(K22:S22)</f>
        <v>0</v>
      </c>
    </row>
    <row r="23" spans="1:21" x14ac:dyDescent="0.25">
      <c r="A23" s="35"/>
      <c r="B23" s="35" t="s">
        <v>73</v>
      </c>
      <c r="C23" s="35"/>
      <c r="D23" s="35"/>
      <c r="E23" s="55"/>
      <c r="F23" s="55"/>
      <c r="G23" s="55"/>
      <c r="H23" s="55"/>
      <c r="I23" s="52">
        <f>G23-E23</f>
        <v>0</v>
      </c>
      <c r="J23" s="57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2">
        <f>SUM(K23:S23)</f>
        <v>0</v>
      </c>
    </row>
    <row r="24" spans="1:21" x14ac:dyDescent="0.25">
      <c r="A24" s="35"/>
      <c r="B24" s="35" t="s">
        <v>72</v>
      </c>
      <c r="C24" s="35"/>
      <c r="D24" s="35"/>
      <c r="E24" s="55">
        <v>0</v>
      </c>
      <c r="F24" s="55"/>
      <c r="G24" s="55">
        <v>204947</v>
      </c>
      <c r="H24" s="55"/>
      <c r="I24" s="52">
        <f>G24-E24</f>
        <v>204947</v>
      </c>
      <c r="J24" s="57"/>
      <c r="K24" s="55">
        <v>204947</v>
      </c>
      <c r="L24" s="55"/>
      <c r="M24" s="55"/>
      <c r="N24" s="55"/>
      <c r="O24" s="55"/>
      <c r="P24" s="55"/>
      <c r="Q24" s="55"/>
      <c r="R24" s="55"/>
      <c r="S24" s="55"/>
      <c r="T24" s="55"/>
      <c r="U24" s="52">
        <f>SUM(K24:S24)</f>
        <v>204947</v>
      </c>
    </row>
    <row r="25" spans="1:21" x14ac:dyDescent="0.25">
      <c r="A25" s="35"/>
      <c r="B25" s="35" t="s">
        <v>71</v>
      </c>
      <c r="C25" s="35"/>
      <c r="D25" s="35"/>
      <c r="E25" s="55"/>
      <c r="F25" s="55"/>
      <c r="G25" s="55"/>
      <c r="H25" s="55"/>
      <c r="I25" s="52">
        <f>G25-E25</f>
        <v>0</v>
      </c>
      <c r="J25" s="57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2">
        <f>SUM(K25:S25)</f>
        <v>0</v>
      </c>
    </row>
    <row r="26" spans="1:21" s="41" customFormat="1" ht="31.5" customHeight="1" x14ac:dyDescent="0.25">
      <c r="A26" s="43"/>
      <c r="B26" s="61" t="s">
        <v>70</v>
      </c>
      <c r="C26" s="61"/>
      <c r="D26" s="43"/>
      <c r="E26" s="59"/>
      <c r="F26" s="59"/>
      <c r="G26" s="59"/>
      <c r="H26" s="59"/>
      <c r="I26" s="58">
        <f>G26-E26</f>
        <v>0</v>
      </c>
      <c r="J26" s="60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8">
        <f>SUM(K26:S26)</f>
        <v>0</v>
      </c>
    </row>
    <row r="27" spans="1:21" x14ac:dyDescent="0.25">
      <c r="A27" s="35"/>
      <c r="B27" s="35" t="s">
        <v>69</v>
      </c>
      <c r="C27" s="35"/>
      <c r="D27" s="35"/>
      <c r="E27" s="55"/>
      <c r="F27" s="55"/>
      <c r="G27" s="55"/>
      <c r="H27" s="55"/>
      <c r="I27" s="52">
        <f>G27-E27</f>
        <v>0</v>
      </c>
      <c r="J27" s="57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2">
        <f>SUM(K27:S27)</f>
        <v>0</v>
      </c>
    </row>
    <row r="28" spans="1:21" x14ac:dyDescent="0.25">
      <c r="A28" s="35"/>
      <c r="B28" s="35" t="s">
        <v>68</v>
      </c>
      <c r="C28" s="35"/>
      <c r="D28" s="35"/>
      <c r="E28" s="55"/>
      <c r="F28" s="55"/>
      <c r="G28" s="55"/>
      <c r="H28" s="55"/>
      <c r="I28" s="52">
        <f>G28-E28</f>
        <v>0</v>
      </c>
      <c r="J28" s="57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2">
        <f>SUM(K28:S28)</f>
        <v>0</v>
      </c>
    </row>
    <row r="29" spans="1:21" x14ac:dyDescent="0.25">
      <c r="A29" s="35"/>
      <c r="B29" s="35" t="s">
        <v>67</v>
      </c>
      <c r="C29" s="35"/>
      <c r="D29" s="35"/>
      <c r="E29" s="55"/>
      <c r="F29" s="55"/>
      <c r="G29" s="55"/>
      <c r="H29" s="55"/>
      <c r="I29" s="52">
        <f>G29-E29</f>
        <v>0</v>
      </c>
      <c r="J29" s="57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2">
        <f>SUM(K29:S29)</f>
        <v>0</v>
      </c>
    </row>
    <row r="30" spans="1:21" x14ac:dyDescent="0.25">
      <c r="A30" s="35"/>
      <c r="B30" s="35" t="s">
        <v>66</v>
      </c>
      <c r="C30" s="35"/>
      <c r="D30" s="35"/>
      <c r="E30" s="56"/>
      <c r="F30" s="55"/>
      <c r="G30" s="56"/>
      <c r="H30" s="55"/>
      <c r="I30" s="52">
        <f>G30-E30</f>
        <v>0</v>
      </c>
      <c r="J30" s="57"/>
      <c r="K30" s="56"/>
      <c r="L30" s="55"/>
      <c r="M30" s="55"/>
      <c r="N30" s="55"/>
      <c r="O30" s="55"/>
      <c r="P30" s="55"/>
      <c r="Q30" s="55"/>
      <c r="R30" s="55"/>
      <c r="S30" s="55"/>
      <c r="T30" s="55"/>
      <c r="U30" s="52">
        <f>SUM(K30:S30)</f>
        <v>0</v>
      </c>
    </row>
    <row r="31" spans="1:21" ht="15.75" thickBot="1" x14ac:dyDescent="0.3">
      <c r="A31" s="54" t="s">
        <v>105</v>
      </c>
      <c r="E31" s="51">
        <f>SUM(E12:E30)</f>
        <v>0</v>
      </c>
      <c r="F31" s="52"/>
      <c r="G31" s="51">
        <f>SUM(G12:G30)</f>
        <v>204947</v>
      </c>
      <c r="H31" s="52"/>
      <c r="I31" s="51">
        <f>SUM(I12:I30)</f>
        <v>204947</v>
      </c>
      <c r="J31" s="53"/>
      <c r="K31" s="51">
        <f>SUM(K12:K30)</f>
        <v>204947</v>
      </c>
      <c r="L31" s="52"/>
      <c r="M31" s="51">
        <f>SUM(M12:M30)</f>
        <v>0</v>
      </c>
      <c r="N31" s="52"/>
      <c r="O31" s="51">
        <f>SUM(O12:O30)</f>
        <v>0</v>
      </c>
      <c r="P31" s="52"/>
      <c r="Q31" s="51">
        <f>SUM(Q12:Q30)</f>
        <v>0</v>
      </c>
      <c r="R31" s="52"/>
      <c r="S31" s="51">
        <f>SUM(S12:S30)</f>
        <v>0</v>
      </c>
      <c r="T31" s="52"/>
      <c r="U31" s="51">
        <f>SUM(U12:U30)</f>
        <v>204947</v>
      </c>
    </row>
    <row r="32" spans="1:21" ht="15.75" thickTop="1" x14ac:dyDescent="0.25">
      <c r="A32" s="35"/>
      <c r="B32" s="35"/>
      <c r="C32" s="35"/>
      <c r="D32" s="35"/>
      <c r="E32" s="34"/>
      <c r="F32" s="34"/>
      <c r="G32" s="34"/>
      <c r="H32" s="34"/>
      <c r="I32" s="34"/>
      <c r="J32" s="34"/>
      <c r="K32" s="34"/>
      <c r="L32" s="35"/>
      <c r="M32" s="35"/>
      <c r="N32" s="35"/>
      <c r="O32" s="35"/>
      <c r="P32" s="35"/>
      <c r="Q32" s="35"/>
      <c r="R32" s="35"/>
      <c r="S32" s="35"/>
      <c r="T32" s="35"/>
      <c r="U32" s="35"/>
    </row>
    <row r="33" spans="1:21" x14ac:dyDescent="0.25">
      <c r="A33" s="35"/>
      <c r="B33" s="35"/>
      <c r="C33" s="35"/>
      <c r="D33" s="35"/>
      <c r="E33" s="34"/>
      <c r="F33" s="34"/>
      <c r="G33" s="34"/>
      <c r="H33" s="34"/>
      <c r="I33" s="34"/>
      <c r="J33" s="34"/>
      <c r="K33" s="34"/>
      <c r="L33" s="35"/>
      <c r="M33" s="35"/>
      <c r="N33" s="35"/>
      <c r="O33" s="35"/>
      <c r="P33" s="35"/>
      <c r="Q33" s="35"/>
      <c r="R33" s="35"/>
      <c r="S33" s="35"/>
      <c r="T33" s="35"/>
      <c r="U33" s="35"/>
    </row>
    <row r="34" spans="1:21" x14ac:dyDescent="0.25">
      <c r="A34" s="35" t="s">
        <v>104</v>
      </c>
      <c r="B34" s="35"/>
      <c r="C34" s="35"/>
      <c r="D34" s="35"/>
      <c r="E34" s="34"/>
      <c r="F34" s="34"/>
      <c r="G34" s="34"/>
      <c r="H34" s="34"/>
      <c r="I34" s="34"/>
      <c r="J34" s="34"/>
      <c r="K34" s="34"/>
      <c r="L34" s="35"/>
      <c r="M34" s="35"/>
      <c r="N34" s="35"/>
      <c r="O34" s="35"/>
      <c r="P34" s="35"/>
      <c r="Q34" s="35"/>
      <c r="R34" s="35"/>
      <c r="S34" s="35"/>
      <c r="T34" s="35"/>
      <c r="U34" s="35"/>
    </row>
    <row r="35" spans="1:21" x14ac:dyDescent="0.25">
      <c r="A35" s="35" t="s">
        <v>103</v>
      </c>
      <c r="B35" s="35"/>
      <c r="C35" s="35" t="s">
        <v>102</v>
      </c>
      <c r="D35" s="35"/>
      <c r="E35" s="34"/>
      <c r="F35" s="34"/>
      <c r="G35" s="34"/>
      <c r="H35" s="34"/>
      <c r="I35" s="34"/>
      <c r="J35" s="34"/>
      <c r="K35" s="34"/>
      <c r="L35" s="35"/>
      <c r="M35" s="35"/>
      <c r="N35" s="35"/>
      <c r="O35" s="35"/>
      <c r="P35" s="35"/>
      <c r="Q35" s="35"/>
      <c r="R35" s="35"/>
      <c r="S35" s="35"/>
      <c r="T35" s="35"/>
      <c r="U35" s="35"/>
    </row>
    <row r="36" spans="1:21" x14ac:dyDescent="0.25">
      <c r="A36" s="35" t="s">
        <v>101</v>
      </c>
      <c r="B36" s="35"/>
      <c r="C36" s="35" t="s">
        <v>100</v>
      </c>
      <c r="D36" s="35"/>
      <c r="E36" s="34"/>
      <c r="F36" s="34"/>
      <c r="G36" s="34"/>
      <c r="H36" s="34"/>
      <c r="I36" s="34"/>
      <c r="J36" s="34"/>
      <c r="K36" s="34"/>
      <c r="L36" s="35"/>
      <c r="M36" s="35"/>
      <c r="N36" s="35"/>
      <c r="O36" s="35"/>
      <c r="P36" s="35"/>
      <c r="Q36" s="35"/>
      <c r="R36" s="35"/>
      <c r="S36" s="35"/>
      <c r="T36" s="35"/>
      <c r="U36" s="35"/>
    </row>
    <row r="37" spans="1:21" x14ac:dyDescent="0.25">
      <c r="A37" s="35" t="s">
        <v>99</v>
      </c>
      <c r="B37" s="35"/>
      <c r="C37" s="35" t="s">
        <v>98</v>
      </c>
      <c r="D37" s="35"/>
      <c r="E37" s="34"/>
      <c r="F37" s="34"/>
      <c r="G37" s="34"/>
      <c r="H37" s="34"/>
      <c r="I37" s="34"/>
      <c r="J37" s="34"/>
      <c r="K37" s="34"/>
      <c r="L37" s="35"/>
      <c r="M37" s="35"/>
      <c r="N37" s="35"/>
      <c r="O37" s="35"/>
      <c r="P37" s="35"/>
      <c r="Q37" s="35"/>
      <c r="R37" s="35"/>
      <c r="S37" s="35"/>
      <c r="T37" s="35"/>
      <c r="U37" s="35"/>
    </row>
    <row r="38" spans="1:21" x14ac:dyDescent="0.25">
      <c r="A38" s="35"/>
      <c r="B38" s="35"/>
      <c r="C38" s="35" t="s">
        <v>97</v>
      </c>
      <c r="D38" s="35"/>
      <c r="E38" s="34"/>
      <c r="F38" s="34"/>
      <c r="G38" s="34"/>
      <c r="H38" s="34"/>
      <c r="I38" s="34"/>
      <c r="J38" s="34"/>
      <c r="K38" s="34"/>
      <c r="L38" s="35"/>
      <c r="M38" s="35"/>
      <c r="N38" s="35"/>
      <c r="O38" s="35"/>
      <c r="P38" s="35"/>
      <c r="Q38" s="35"/>
      <c r="R38" s="35"/>
      <c r="S38" s="35"/>
      <c r="T38" s="35"/>
      <c r="U38" s="35"/>
    </row>
    <row r="39" spans="1:21" x14ac:dyDescent="0.25">
      <c r="A39" s="35" t="s">
        <v>96</v>
      </c>
      <c r="B39" s="35"/>
      <c r="C39" s="35" t="s">
        <v>95</v>
      </c>
      <c r="D39" s="35"/>
      <c r="E39" s="34"/>
      <c r="F39" s="34"/>
      <c r="G39" s="34"/>
      <c r="H39" s="34"/>
      <c r="I39" s="34"/>
      <c r="J39" s="34"/>
      <c r="K39" s="34"/>
      <c r="L39" s="35"/>
      <c r="M39" s="35"/>
      <c r="N39" s="35"/>
      <c r="O39" s="35"/>
      <c r="P39" s="35"/>
      <c r="Q39" s="35"/>
      <c r="R39" s="35"/>
      <c r="S39" s="35"/>
      <c r="T39" s="35"/>
      <c r="U39" s="35"/>
    </row>
    <row r="40" spans="1:21" x14ac:dyDescent="0.25">
      <c r="A40" s="35" t="s">
        <v>94</v>
      </c>
      <c r="B40" s="35"/>
      <c r="C40" s="35" t="s">
        <v>93</v>
      </c>
      <c r="D40" s="35"/>
      <c r="E40" s="34"/>
      <c r="F40" s="34"/>
      <c r="G40" s="34"/>
      <c r="H40" s="34"/>
      <c r="I40" s="34"/>
      <c r="J40" s="34"/>
      <c r="K40" s="34"/>
      <c r="L40" s="35"/>
      <c r="M40" s="35"/>
      <c r="N40" s="35"/>
      <c r="O40" s="35"/>
      <c r="P40" s="35"/>
      <c r="Q40" s="35"/>
      <c r="R40" s="35"/>
      <c r="S40" s="35"/>
      <c r="T40" s="35"/>
      <c r="U40" s="35"/>
    </row>
    <row r="41" spans="1:21" x14ac:dyDescent="0.25">
      <c r="A41" s="35"/>
      <c r="B41" s="35"/>
      <c r="C41" s="35"/>
      <c r="D41" s="35"/>
      <c r="E41" s="34"/>
      <c r="F41" s="34"/>
      <c r="G41" s="34"/>
      <c r="H41" s="34"/>
      <c r="I41" s="34"/>
      <c r="J41" s="34"/>
      <c r="K41" s="34"/>
      <c r="L41" s="35"/>
      <c r="M41" s="35"/>
      <c r="N41" s="35"/>
      <c r="O41" s="35"/>
      <c r="P41" s="35"/>
      <c r="Q41" s="35"/>
      <c r="R41" s="35"/>
      <c r="S41" s="35"/>
      <c r="T41" s="35"/>
      <c r="U41" s="35"/>
    </row>
    <row r="42" spans="1:21" x14ac:dyDescent="0.25">
      <c r="A42" s="50" t="s">
        <v>92</v>
      </c>
    </row>
    <row r="43" spans="1:21" x14ac:dyDescent="0.25">
      <c r="A43" s="50"/>
    </row>
    <row r="44" spans="1:21" ht="17.25" x14ac:dyDescent="0.25">
      <c r="A44" s="50" t="s">
        <v>91</v>
      </c>
    </row>
    <row r="45" spans="1:21" x14ac:dyDescent="0.25">
      <c r="A45" s="50"/>
    </row>
  </sheetData>
  <mergeCells count="1">
    <mergeCell ref="B26:C26"/>
  </mergeCells>
  <printOptions horizontalCentered="1"/>
  <pageMargins left="0" right="0" top="0.75" bottom="0.75" header="0.3" footer="0.3"/>
  <pageSetup scale="52" orientation="landscape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FA26-6C2B-4786-BBFA-0F4B1427A554}">
  <sheetPr>
    <pageSetUpPr fitToPage="1"/>
  </sheetPr>
  <dimension ref="A1:J23"/>
  <sheetViews>
    <sheetView showGridLines="0" zoomScaleNormal="100" workbookViewId="0">
      <selection activeCell="L8" sqref="L8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1" spans="1:10" x14ac:dyDescent="0.25">
      <c r="A1" s="7"/>
      <c r="B1" s="7"/>
      <c r="C1" s="7"/>
      <c r="D1" s="7"/>
      <c r="E1" s="7"/>
      <c r="F1" s="7"/>
      <c r="G1" s="7"/>
      <c r="H1" s="7"/>
      <c r="I1" s="7" t="s">
        <v>37</v>
      </c>
      <c r="J1" s="7"/>
    </row>
    <row r="2" spans="1:10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x14ac:dyDescent="0.25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</row>
    <row r="4" spans="1:10" x14ac:dyDescent="0.25">
      <c r="A4" s="21" t="s">
        <v>52</v>
      </c>
      <c r="B4" s="21"/>
      <c r="C4" s="21"/>
      <c r="D4" s="21"/>
      <c r="E4" s="21"/>
      <c r="F4" s="21"/>
      <c r="G4" s="21"/>
      <c r="H4" s="21"/>
      <c r="I4" s="21"/>
      <c r="J4" s="21"/>
    </row>
    <row r="5" spans="1:10" x14ac:dyDescent="0.25">
      <c r="A5" s="21" t="s">
        <v>4</v>
      </c>
      <c r="B5" s="21"/>
      <c r="C5" s="21"/>
      <c r="D5" s="21"/>
      <c r="E5" s="21"/>
      <c r="F5" s="21"/>
      <c r="G5" s="21"/>
      <c r="H5" s="21"/>
      <c r="I5" s="21"/>
      <c r="J5" s="21"/>
    </row>
    <row r="6" spans="1:10" x14ac:dyDescent="0.25">
      <c r="A6" s="21" t="s">
        <v>5</v>
      </c>
      <c r="B6" s="21"/>
      <c r="C6" s="21"/>
      <c r="D6" s="21"/>
      <c r="E6" s="21"/>
      <c r="F6" s="21"/>
      <c r="G6" s="21"/>
      <c r="H6" s="21"/>
      <c r="I6" s="21"/>
      <c r="J6" s="21"/>
    </row>
    <row r="7" spans="1:10" x14ac:dyDescent="0.25">
      <c r="A7" s="22" t="s">
        <v>6</v>
      </c>
      <c r="B7" s="22"/>
      <c r="C7" s="23" t="s">
        <v>7</v>
      </c>
      <c r="D7" s="23"/>
      <c r="E7" s="23"/>
      <c r="F7" s="23"/>
      <c r="G7" s="23"/>
      <c r="H7" s="23"/>
      <c r="I7" s="7" t="s">
        <v>35</v>
      </c>
      <c r="J7" s="7"/>
    </row>
    <row r="8" spans="1:10" x14ac:dyDescent="0.25">
      <c r="A8" s="22" t="s">
        <v>9</v>
      </c>
      <c r="B8" s="22"/>
      <c r="C8" s="23" t="s">
        <v>51</v>
      </c>
      <c r="D8" s="23"/>
      <c r="E8" s="23"/>
      <c r="F8" s="23"/>
      <c r="G8" s="23"/>
      <c r="H8" s="23"/>
      <c r="I8" s="7" t="s">
        <v>50</v>
      </c>
      <c r="J8" s="7"/>
    </row>
    <row r="9" spans="1:10" x14ac:dyDescent="0.25">
      <c r="A9" s="22" t="s">
        <v>12</v>
      </c>
      <c r="B9" s="22"/>
      <c r="C9" s="23" t="s">
        <v>13</v>
      </c>
      <c r="D9" s="23"/>
      <c r="E9" s="23"/>
      <c r="F9" s="23"/>
      <c r="G9" s="23"/>
      <c r="H9" s="23"/>
      <c r="I9" s="7" t="s">
        <v>49</v>
      </c>
      <c r="J9" s="7"/>
    </row>
    <row r="10" spans="1:10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x14ac:dyDescent="0.25">
      <c r="A12" s="24" t="s">
        <v>15</v>
      </c>
      <c r="B12" s="24"/>
      <c r="C12" s="24"/>
      <c r="D12" s="24"/>
      <c r="E12" s="24"/>
      <c r="F12" s="24"/>
      <c r="G12" s="24"/>
      <c r="H12" s="24"/>
      <c r="I12" s="24"/>
      <c r="J12" s="24"/>
    </row>
    <row r="13" spans="1:1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25">
      <c r="A14" s="25" t="s">
        <v>16</v>
      </c>
      <c r="B14" s="25"/>
      <c r="C14" s="25"/>
      <c r="D14" s="25"/>
      <c r="E14" s="25"/>
      <c r="F14" s="6" t="s">
        <v>17</v>
      </c>
      <c r="G14" s="6" t="s">
        <v>18</v>
      </c>
      <c r="H14" s="26" t="s">
        <v>19</v>
      </c>
      <c r="I14" s="26"/>
      <c r="J14" s="6" t="s">
        <v>20</v>
      </c>
    </row>
    <row r="15" spans="1:10" ht="15" customHeight="1" x14ac:dyDescent="0.25">
      <c r="A15" s="25" t="s">
        <v>21</v>
      </c>
      <c r="B15" s="25"/>
      <c r="C15" s="25"/>
      <c r="D15" s="25"/>
      <c r="E15" s="25"/>
      <c r="F15" s="25"/>
      <c r="G15" s="25"/>
      <c r="H15" s="25"/>
      <c r="I15" s="25"/>
      <c r="J15" s="25"/>
    </row>
    <row r="16" spans="1:10" ht="15" customHeight="1" x14ac:dyDescent="0.25">
      <c r="A16" s="31" t="s">
        <v>48</v>
      </c>
      <c r="B16" s="31"/>
      <c r="C16" s="31"/>
      <c r="D16" s="31"/>
      <c r="E16" s="31"/>
      <c r="F16" s="5">
        <v>1350.53</v>
      </c>
      <c r="G16" s="5">
        <v>0</v>
      </c>
      <c r="H16" s="28">
        <v>0</v>
      </c>
      <c r="I16" s="28"/>
      <c r="J16" s="5">
        <v>1350.53</v>
      </c>
    </row>
    <row r="17" spans="1:10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25">
      <c r="A18" s="4" t="s">
        <v>9</v>
      </c>
      <c r="B18" s="29" t="s">
        <v>47</v>
      </c>
      <c r="C18" s="29"/>
      <c r="D18" s="29"/>
      <c r="E18" s="30">
        <v>1350.53</v>
      </c>
      <c r="F18" s="30"/>
      <c r="G18" s="30">
        <v>0</v>
      </c>
      <c r="H18" s="30">
        <v>0</v>
      </c>
      <c r="I18" s="30"/>
      <c r="J18" s="30">
        <v>1350.53</v>
      </c>
    </row>
    <row r="19" spans="1:10" x14ac:dyDescent="0.25">
      <c r="A19" s="4" t="s">
        <v>28</v>
      </c>
      <c r="B19" s="29" t="s">
        <v>13</v>
      </c>
      <c r="C19" s="29"/>
      <c r="D19" s="29"/>
      <c r="E19" s="30"/>
      <c r="F19" s="30"/>
      <c r="G19" s="30"/>
      <c r="H19" s="30"/>
      <c r="I19" s="30"/>
      <c r="J19" s="30"/>
    </row>
    <row r="20" spans="1:10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</row>
  </sheetData>
  <mergeCells count="40">
    <mergeCell ref="A8:B8"/>
    <mergeCell ref="C8:H8"/>
    <mergeCell ref="I8:J8"/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16:E16"/>
    <mergeCell ref="H16:I16"/>
    <mergeCell ref="A15:E15"/>
    <mergeCell ref="F15:J15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</mergeCells>
  <pageMargins left="0.7" right="0.7" top="0.75" bottom="0.75" header="0.3" footer="0.3"/>
  <pageSetup scale="9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BC120-9217-4F59-A476-E3E56BDDF7E1}">
  <dimension ref="A1:J23"/>
  <sheetViews>
    <sheetView showGridLines="0" zoomScaleNormal="100" workbookViewId="0">
      <selection activeCell="A22" sqref="A22:J22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5703125" customWidth="1"/>
  </cols>
  <sheetData>
    <row r="1" spans="1:10" x14ac:dyDescent="0.25">
      <c r="A1" s="7"/>
      <c r="B1" s="7"/>
      <c r="C1" s="7"/>
      <c r="D1" s="7"/>
      <c r="E1" s="7"/>
      <c r="F1" s="7"/>
      <c r="G1" s="7"/>
      <c r="H1" s="7"/>
      <c r="I1" s="7" t="s">
        <v>0</v>
      </c>
      <c r="J1" s="7"/>
    </row>
    <row r="2" spans="1:10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 x14ac:dyDescent="0.25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</row>
    <row r="4" spans="1:10" x14ac:dyDescent="0.25">
      <c r="A4" s="8" t="s">
        <v>46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5">
      <c r="A5" s="8" t="s">
        <v>4</v>
      </c>
      <c r="B5" s="8"/>
      <c r="C5" s="8"/>
      <c r="D5" s="8"/>
      <c r="E5" s="8"/>
      <c r="F5" s="8"/>
      <c r="G5" s="8"/>
      <c r="H5" s="8"/>
      <c r="I5" s="8"/>
      <c r="J5" s="8"/>
    </row>
    <row r="6" spans="1:10" x14ac:dyDescent="0.25">
      <c r="A6" s="8" t="s">
        <v>5</v>
      </c>
      <c r="B6" s="8"/>
      <c r="C6" s="8"/>
      <c r="D6" s="8"/>
      <c r="E6" s="8"/>
      <c r="F6" s="8"/>
      <c r="G6" s="8"/>
      <c r="H6" s="8"/>
      <c r="I6" s="8"/>
      <c r="J6" s="8"/>
    </row>
    <row r="7" spans="1:10" x14ac:dyDescent="0.25">
      <c r="A7" s="9" t="s">
        <v>6</v>
      </c>
      <c r="B7" s="9"/>
      <c r="C7" s="10" t="s">
        <v>7</v>
      </c>
      <c r="D7" s="10"/>
      <c r="E7" s="10"/>
      <c r="F7" s="10"/>
      <c r="G7" s="10"/>
      <c r="H7" s="10"/>
      <c r="I7" s="7" t="s">
        <v>8</v>
      </c>
      <c r="J7" s="7"/>
    </row>
    <row r="8" spans="1:10" x14ac:dyDescent="0.25">
      <c r="A8" s="9" t="s">
        <v>9</v>
      </c>
      <c r="B8" s="9"/>
      <c r="C8" s="10" t="s">
        <v>45</v>
      </c>
      <c r="D8" s="10"/>
      <c r="E8" s="10"/>
      <c r="F8" s="10"/>
      <c r="G8" s="10"/>
      <c r="H8" s="10"/>
      <c r="I8" s="7" t="s">
        <v>44</v>
      </c>
      <c r="J8" s="7"/>
    </row>
    <row r="9" spans="1:10" x14ac:dyDescent="0.25">
      <c r="A9" s="9" t="s">
        <v>12</v>
      </c>
      <c r="B9" s="9"/>
      <c r="C9" s="10" t="s">
        <v>13</v>
      </c>
      <c r="D9" s="10"/>
      <c r="E9" s="10"/>
      <c r="F9" s="10"/>
      <c r="G9" s="10"/>
      <c r="H9" s="10"/>
      <c r="I9" s="7" t="s">
        <v>43</v>
      </c>
      <c r="J9" s="7"/>
    </row>
    <row r="10" spans="1:10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x14ac:dyDescent="0.25">
      <c r="A12" s="12" t="s">
        <v>15</v>
      </c>
      <c r="B12" s="12"/>
      <c r="C12" s="12"/>
      <c r="D12" s="12"/>
      <c r="E12" s="12"/>
      <c r="F12" s="12"/>
      <c r="G12" s="12"/>
      <c r="H12" s="12"/>
      <c r="I12" s="12"/>
      <c r="J12" s="12"/>
    </row>
    <row r="13" spans="1:1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25">
      <c r="A14" s="13" t="s">
        <v>16</v>
      </c>
      <c r="B14" s="13"/>
      <c r="C14" s="13"/>
      <c r="D14" s="13"/>
      <c r="E14" s="13"/>
      <c r="F14" s="1" t="s">
        <v>17</v>
      </c>
      <c r="G14" s="1" t="s">
        <v>18</v>
      </c>
      <c r="H14" s="14" t="s">
        <v>19</v>
      </c>
      <c r="I14" s="14"/>
      <c r="J14" s="1" t="s">
        <v>20</v>
      </c>
    </row>
    <row r="15" spans="1:10" x14ac:dyDescent="0.25">
      <c r="A15" s="15" t="s">
        <v>21</v>
      </c>
      <c r="B15" s="15"/>
      <c r="C15" s="15"/>
      <c r="D15" s="15"/>
      <c r="E15" s="15"/>
      <c r="F15" s="15"/>
      <c r="G15" s="15"/>
      <c r="H15" s="15"/>
      <c r="I15" s="15"/>
      <c r="J15" s="15"/>
    </row>
    <row r="16" spans="1:10" x14ac:dyDescent="0.25">
      <c r="A16" s="16" t="s">
        <v>22</v>
      </c>
      <c r="B16" s="16"/>
      <c r="C16" s="16"/>
      <c r="D16" s="16"/>
      <c r="E16" s="16"/>
      <c r="F16" s="2">
        <v>0</v>
      </c>
      <c r="G16" s="2">
        <v>140215.06</v>
      </c>
      <c r="H16" s="17">
        <v>0</v>
      </c>
      <c r="I16" s="17"/>
      <c r="J16" s="2">
        <v>140215.06</v>
      </c>
    </row>
    <row r="17" spans="1:10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25">
      <c r="A18" s="3" t="s">
        <v>9</v>
      </c>
      <c r="B18" s="19" t="s">
        <v>42</v>
      </c>
      <c r="C18" s="19"/>
      <c r="D18" s="19"/>
      <c r="E18" s="20">
        <v>0</v>
      </c>
      <c r="F18" s="20"/>
      <c r="G18" s="20">
        <v>140215.06</v>
      </c>
      <c r="H18" s="20">
        <v>0</v>
      </c>
      <c r="I18" s="20"/>
      <c r="J18" s="20">
        <v>140215.06</v>
      </c>
    </row>
    <row r="19" spans="1:10" x14ac:dyDescent="0.25">
      <c r="A19" s="3" t="s">
        <v>28</v>
      </c>
      <c r="B19" s="19" t="s">
        <v>13</v>
      </c>
      <c r="C19" s="19"/>
      <c r="D19" s="19"/>
      <c r="E19" s="20"/>
      <c r="F19" s="20"/>
      <c r="G19" s="20"/>
      <c r="H19" s="20"/>
      <c r="I19" s="20"/>
      <c r="J19" s="20"/>
    </row>
    <row r="20" spans="1:10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</row>
  </sheetData>
  <mergeCells count="39">
    <mergeCell ref="A4:J4"/>
    <mergeCell ref="A5:J5"/>
    <mergeCell ref="A1:C1"/>
    <mergeCell ref="D1:H1"/>
    <mergeCell ref="I1:J1"/>
    <mergeCell ref="A2:J2"/>
    <mergeCell ref="A3:J3"/>
    <mergeCell ref="A6:J6"/>
    <mergeCell ref="A7:B7"/>
    <mergeCell ref="C7:H7"/>
    <mergeCell ref="I7:J7"/>
    <mergeCell ref="A15:J15"/>
    <mergeCell ref="A9:B9"/>
    <mergeCell ref="C9:H9"/>
    <mergeCell ref="I9:J9"/>
    <mergeCell ref="A10:B10"/>
    <mergeCell ref="C10:H10"/>
    <mergeCell ref="A8:B8"/>
    <mergeCell ref="C8:H8"/>
    <mergeCell ref="I8:J8"/>
    <mergeCell ref="I10:J10"/>
    <mergeCell ref="A11:J11"/>
    <mergeCell ref="A12:J12"/>
    <mergeCell ref="A13:J13"/>
    <mergeCell ref="A14:E14"/>
    <mergeCell ref="H14:I14"/>
    <mergeCell ref="A22:J22"/>
    <mergeCell ref="A23:J23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</mergeCells>
  <pageMargins left="0.25" right="0.25" top="0.75" bottom="0.75" header="0.3" footer="0.3"/>
  <pageSetup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18</vt:i4>
      </vt:variant>
    </vt:vector>
  </HeadingPairs>
  <TitlesOfParts>
    <vt:vector size="29" baseType="lpstr">
      <vt:lpstr>F0001</vt:lpstr>
      <vt:lpstr>F0141</vt:lpstr>
      <vt:lpstr>F0336</vt:lpstr>
      <vt:lpstr>F0338</vt:lpstr>
      <vt:lpstr>F0940</vt:lpstr>
      <vt:lpstr>F3046</vt:lpstr>
      <vt:lpstr>F3046 Differential</vt:lpstr>
      <vt:lpstr>F3212</vt:lpstr>
      <vt:lpstr>F3212 Differential</vt:lpstr>
      <vt:lpstr>F3228</vt:lpstr>
      <vt:lpstr>F3237</vt:lpstr>
      <vt:lpstr>'F0141'!page\x2dtotal\x2dmaster0_1_1</vt:lpstr>
      <vt:lpstr>'F0338'!page\x2dtotal\x2dmaster0_1_1</vt:lpstr>
      <vt:lpstr>'F0940'!page\x2dtotal\x2dmaster0_1_1</vt:lpstr>
      <vt:lpstr>'F3228'!page\x2dtotal\x2dmaster0_1_1</vt:lpstr>
      <vt:lpstr>page\x2dtotal\x2dmaster0_1_1</vt:lpstr>
      <vt:lpstr>page\x2dtotal\x2dmaster0_10_1</vt:lpstr>
      <vt:lpstr>page\x2dtotal\x2dmaster0_4_1</vt:lpstr>
      <vt:lpstr>'F0141'!page\x2dtotal_1_1</vt:lpstr>
      <vt:lpstr>'F0338'!page\x2dtotal_1_1</vt:lpstr>
      <vt:lpstr>'F0940'!page\x2dtotal_1_1</vt:lpstr>
      <vt:lpstr>'F3228'!page\x2dtotal_1_1</vt:lpstr>
      <vt:lpstr>page\x2dtotal_1_1</vt:lpstr>
      <vt:lpstr>page\x2dtotal_10_1</vt:lpstr>
      <vt:lpstr>page\x2dtotal_4_1</vt:lpstr>
      <vt:lpstr>'F3046'!Print_Area</vt:lpstr>
      <vt:lpstr>'F3212'!Print_Area</vt:lpstr>
      <vt:lpstr>'F3228'!Print_Area</vt:lpstr>
      <vt:lpstr>'F3237'!Print_Area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2024-08-15T19:00:41Z</dcterms:created>
  <dcterms:modified xsi:type="dcterms:W3CDTF">2025-03-07T21:30:31Z</dcterms:modified>
</cp:coreProperties>
</file>