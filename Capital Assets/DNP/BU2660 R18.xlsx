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filterPrivacy="1" hidePivotFieldList="1" defaultThemeVersion="124226"/>
  <xr:revisionPtr revIDLastSave="0" documentId="8_{F0ECCEEE-0BB9-4727-9057-19652F967231}" xr6:coauthVersionLast="47" xr6:coauthVersionMax="47" xr10:uidLastSave="{00000000-0000-0000-0000-000000000000}"/>
  <bookViews>
    <workbookView xWindow="-28920" yWindow="-1200" windowWidth="29040" windowHeight="15840" tabRatio="896" activeTab="5" xr2:uid="{3AFC0A8B-B1A4-495E-96D9-D2538C7E5BB8}"/>
  </bookViews>
  <sheets>
    <sheet name="0001" sheetId="43" r:id="rId1"/>
    <sheet name="0041" sheetId="10" r:id="rId2"/>
    <sheet name="0042" sheetId="13" state="hidden" r:id="rId3"/>
    <sheet name="F0042 Diff" sheetId="46" state="hidden" r:id="rId4"/>
    <sheet name="0042 Revised" sheetId="52" r:id="rId5"/>
    <sheet name="F0042 Diff Revised" sheetId="53" r:id="rId6"/>
    <sheet name="0046" sheetId="17" r:id="rId7"/>
    <sheet name="0183" sheetId="18" r:id="rId8"/>
    <sheet name="0523" sheetId="20" r:id="rId9"/>
    <sheet name="0541" sheetId="21" r:id="rId10"/>
    <sheet name="0653" sheetId="22" r:id="rId11"/>
    <sheet name="0673" sheetId="23" r:id="rId12"/>
    <sheet name="0703" sheetId="24" r:id="rId13"/>
    <sheet name="0756" sheetId="25" r:id="rId14"/>
    <sheet name="0942" sheetId="26" r:id="rId15"/>
    <sheet name="2504" sheetId="45" r:id="rId16"/>
    <sheet name="3007" sheetId="27" r:id="rId17"/>
    <sheet name="F3007 Diff" sheetId="47" r:id="rId18"/>
    <sheet name="3290" sheetId="28" r:id="rId19"/>
    <sheet name="F3290 Diff " sheetId="48" r:id="rId20"/>
    <sheet name="3291" sheetId="29" r:id="rId21"/>
    <sheet name="F3291 Diff " sheetId="49" r:id="rId22"/>
    <sheet name="6055" sheetId="30" r:id="rId23"/>
    <sheet name="6056" sheetId="31" r:id="rId24"/>
    <sheet name="F6056 Diff" sheetId="50" r:id="rId25"/>
    <sheet name="6058" sheetId="32" r:id="rId26"/>
    <sheet name="F6058 Diff " sheetId="51" r:id="rId27"/>
    <sheet name="6059" sheetId="33" r:id="rId28"/>
    <sheet name="6060" sheetId="34" r:id="rId29"/>
    <sheet name="6062" sheetId="35" r:id="rId30"/>
    <sheet name="6063" sheetId="36" r:id="rId31"/>
    <sheet name="6064" sheetId="37" r:id="rId32"/>
    <sheet name="6072" sheetId="38" r:id="rId33"/>
    <sheet name="6801" sheetId="39" r:id="rId34"/>
    <sheet name="Report 19" sheetId="40" r:id="rId35"/>
  </sheets>
  <externalReferences>
    <externalReference r:id="rId36"/>
    <externalReference r:id="rId37"/>
    <externalReference r:id="rId38"/>
  </externalReferences>
  <definedNames>
    <definedName name="ITEM_CAPCOST" localSheetId="4">#REF!</definedName>
    <definedName name="ITEM_CAPCOST" localSheetId="5">#REF!</definedName>
    <definedName name="ITEM_CAPCOST">#REF!</definedName>
    <definedName name="page\x2dtotal" localSheetId="3">#REF!</definedName>
    <definedName name="page\x2dtotal" localSheetId="5">#REF!</definedName>
    <definedName name="page\x2dtotal" localSheetId="17">#REF!</definedName>
    <definedName name="page\x2dtotal" localSheetId="19">#REF!</definedName>
    <definedName name="page\x2dtotal" localSheetId="21">#REF!</definedName>
    <definedName name="page\x2dtotal" localSheetId="24">#REF!</definedName>
    <definedName name="page\x2dtotal" localSheetId="26">#REF!</definedName>
    <definedName name="page\x2dtotal" localSheetId="34">#REF!</definedName>
    <definedName name="page\x2dtotal">#REF!</definedName>
    <definedName name="page\x2dtotal\x2dmaster0" localSheetId="3">#REF!</definedName>
    <definedName name="page\x2dtotal\x2dmaster0" localSheetId="5">#REF!</definedName>
    <definedName name="page\x2dtotal\x2dmaster0" localSheetId="17">#REF!</definedName>
    <definedName name="page\x2dtotal\x2dmaster0" localSheetId="19">#REF!</definedName>
    <definedName name="page\x2dtotal\x2dmaster0" localSheetId="21">#REF!</definedName>
    <definedName name="page\x2dtotal\x2dmaster0" localSheetId="24">#REF!</definedName>
    <definedName name="page\x2dtotal\x2dmaster0" localSheetId="26">#REF!</definedName>
    <definedName name="page\x2dtotal\x2dmaster0" localSheetId="34">#REF!</definedName>
    <definedName name="page\x2dtotal\x2dmaster0">#REF!</definedName>
    <definedName name="page\x2dtotal\x2dmaster0_1_1">#REF!</definedName>
    <definedName name="page\x2dtotal\x2dmaster0_2_1" localSheetId="0">'0001'!#REF!</definedName>
    <definedName name="page\x2dtotal\x2dmaster0_2_1" localSheetId="1">'0041'!#REF!</definedName>
    <definedName name="page\x2dtotal\x2dmaster0_2_1" localSheetId="2">'0042'!#REF!</definedName>
    <definedName name="page\x2dtotal\x2dmaster0_2_1" localSheetId="4">'0042 Revised'!#REF!</definedName>
    <definedName name="page\x2dtotal\x2dmaster0_2_1" localSheetId="6">'0046'!#REF!</definedName>
    <definedName name="page\x2dtotal\x2dmaster0_2_1" localSheetId="7">'0183'!#REF!</definedName>
    <definedName name="page\x2dtotal\x2dmaster0_2_1" localSheetId="8">'0523'!#REF!</definedName>
    <definedName name="page\x2dtotal\x2dmaster0_2_1" localSheetId="9">'0541'!#REF!</definedName>
    <definedName name="page\x2dtotal\x2dmaster0_2_1" localSheetId="10">'0653'!#REF!</definedName>
    <definedName name="page\x2dtotal\x2dmaster0_2_1" localSheetId="11">'0673'!#REF!</definedName>
    <definedName name="page\x2dtotal\x2dmaster0_2_1" localSheetId="12">'0703'!#REF!</definedName>
    <definedName name="page\x2dtotal\x2dmaster0_2_1" localSheetId="13">'0756'!#REF!</definedName>
    <definedName name="page\x2dtotal\x2dmaster0_2_1" localSheetId="14">'0942'!#REF!</definedName>
    <definedName name="page\x2dtotal\x2dmaster0_2_1" localSheetId="15">'2504'!#REF!</definedName>
    <definedName name="page\x2dtotal\x2dmaster0_2_1" localSheetId="16">'3007'!#REF!</definedName>
    <definedName name="page\x2dtotal\x2dmaster0_2_1" localSheetId="18">'3290'!#REF!</definedName>
    <definedName name="page\x2dtotal\x2dmaster0_2_1" localSheetId="20">'3291'!#REF!</definedName>
    <definedName name="page\x2dtotal\x2dmaster0_2_1" localSheetId="22">'6055'!#REF!</definedName>
    <definedName name="page\x2dtotal\x2dmaster0_2_1" localSheetId="23">'6056'!#REF!</definedName>
    <definedName name="page\x2dtotal\x2dmaster0_2_1" localSheetId="25">'6058'!#REF!</definedName>
    <definedName name="page\x2dtotal\x2dmaster0_2_1" localSheetId="27">'6059'!#REF!</definedName>
    <definedName name="page\x2dtotal\x2dmaster0_2_1" localSheetId="28">'6060'!#REF!</definedName>
    <definedName name="page\x2dtotal\x2dmaster0_2_1" localSheetId="29">'6062'!#REF!</definedName>
    <definedName name="page\x2dtotal\x2dmaster0_2_1" localSheetId="30">'6063'!#REF!</definedName>
    <definedName name="page\x2dtotal\x2dmaster0_2_1" localSheetId="31">'6064'!#REF!</definedName>
    <definedName name="page\x2dtotal\x2dmaster0_2_1" localSheetId="32">'6072'!#REF!</definedName>
    <definedName name="page\x2dtotal\x2dmaster0_2_1" localSheetId="33">'6801'!#REF!</definedName>
    <definedName name="page\x2dtotal\x2dmaster0_2_1" localSheetId="3">#REF!</definedName>
    <definedName name="page\x2dtotal\x2dmaster0_2_1" localSheetId="5">#REF!</definedName>
    <definedName name="page\x2dtotal\x2dmaster0_2_1" localSheetId="17">#REF!</definedName>
    <definedName name="page\x2dtotal\x2dmaster0_2_1" localSheetId="19">#REF!</definedName>
    <definedName name="page\x2dtotal\x2dmaster0_2_1" localSheetId="21">#REF!</definedName>
    <definedName name="page\x2dtotal\x2dmaster0_2_1" localSheetId="24">#REF!</definedName>
    <definedName name="page\x2dtotal\x2dmaster0_2_1" localSheetId="26">#REF!</definedName>
    <definedName name="page\x2dtotal\x2dmaster0_2_1">#REF!</definedName>
    <definedName name="page\x2dtotal\x2dmaster0_3_1" localSheetId="3">#REF!</definedName>
    <definedName name="page\x2dtotal\x2dmaster0_3_1" localSheetId="5">#REF!</definedName>
    <definedName name="page\x2dtotal\x2dmaster0_3_1" localSheetId="17">#REF!</definedName>
    <definedName name="page\x2dtotal\x2dmaster0_3_1" localSheetId="19">#REF!</definedName>
    <definedName name="page\x2dtotal\x2dmaster0_3_1" localSheetId="21">#REF!</definedName>
    <definedName name="page\x2dtotal\x2dmaster0_3_1" localSheetId="24">#REF!</definedName>
    <definedName name="page\x2dtotal\x2dmaster0_3_1" localSheetId="26">#REF!</definedName>
    <definedName name="page\x2dtotal\x2dmaster0_3_1" localSheetId="34">#REF!</definedName>
    <definedName name="page\x2dtotal\x2dmaster0_3_1">#REF!</definedName>
    <definedName name="page\x2dtotal\x2dmaster0_4_1" localSheetId="3">#REF!</definedName>
    <definedName name="page\x2dtotal\x2dmaster0_4_1" localSheetId="5">#REF!</definedName>
    <definedName name="page\x2dtotal\x2dmaster0_4_1" localSheetId="17">#REF!</definedName>
    <definedName name="page\x2dtotal\x2dmaster0_4_1" localSheetId="19">#REF!</definedName>
    <definedName name="page\x2dtotal\x2dmaster0_4_1" localSheetId="21">#REF!</definedName>
    <definedName name="page\x2dtotal\x2dmaster0_4_1" localSheetId="24">#REF!</definedName>
    <definedName name="page\x2dtotal\x2dmaster0_4_1" localSheetId="26">#REF!</definedName>
    <definedName name="page\x2dtotal\x2dmaster0_4_1" localSheetId="34">#REF!</definedName>
    <definedName name="page\x2dtotal\x2dmaster0_4_1">#REF!</definedName>
    <definedName name="page\x2dtotal\x2dmaster0_5_1" localSheetId="3">#REF!</definedName>
    <definedName name="page\x2dtotal\x2dmaster0_5_1" localSheetId="5">#REF!</definedName>
    <definedName name="page\x2dtotal\x2dmaster0_5_1" localSheetId="17">#REF!</definedName>
    <definedName name="page\x2dtotal\x2dmaster0_5_1" localSheetId="19">#REF!</definedName>
    <definedName name="page\x2dtotal\x2dmaster0_5_1" localSheetId="21">#REF!</definedName>
    <definedName name="page\x2dtotal\x2dmaster0_5_1" localSheetId="24">#REF!</definedName>
    <definedName name="page\x2dtotal\x2dmaster0_5_1" localSheetId="26">#REF!</definedName>
    <definedName name="page\x2dtotal\x2dmaster0_5_1" localSheetId="34">#REF!</definedName>
    <definedName name="page\x2dtotal\x2dmaster0_5_1">#REF!</definedName>
    <definedName name="page\x2dtotal_1_1">#REF!</definedName>
    <definedName name="page\x2dtotal_2_1" localSheetId="0">'0001'!#REF!</definedName>
    <definedName name="page\x2dtotal_2_1" localSheetId="1">'0041'!#REF!</definedName>
    <definedName name="page\x2dtotal_2_1" localSheetId="2">'0042'!#REF!</definedName>
    <definedName name="page\x2dtotal_2_1" localSheetId="4">'0042 Revised'!#REF!</definedName>
    <definedName name="page\x2dtotal_2_1" localSheetId="6">'0046'!#REF!</definedName>
    <definedName name="page\x2dtotal_2_1" localSheetId="7">'0183'!#REF!</definedName>
    <definedName name="page\x2dtotal_2_1" localSheetId="8">'0523'!#REF!</definedName>
    <definedName name="page\x2dtotal_2_1" localSheetId="9">'0541'!#REF!</definedName>
    <definedName name="page\x2dtotal_2_1" localSheetId="10">'0653'!#REF!</definedName>
    <definedName name="page\x2dtotal_2_1" localSheetId="11">'0673'!#REF!</definedName>
    <definedName name="page\x2dtotal_2_1" localSheetId="12">'0703'!#REF!</definedName>
    <definedName name="page\x2dtotal_2_1" localSheetId="13">'0756'!#REF!</definedName>
    <definedName name="page\x2dtotal_2_1" localSheetId="14">'0942'!#REF!</definedName>
    <definedName name="page\x2dtotal_2_1" localSheetId="15">'2504'!#REF!</definedName>
    <definedName name="page\x2dtotal_2_1" localSheetId="16">'3007'!#REF!</definedName>
    <definedName name="page\x2dtotal_2_1" localSheetId="18">'3290'!#REF!</definedName>
    <definedName name="page\x2dtotal_2_1" localSheetId="20">'3291'!#REF!</definedName>
    <definedName name="page\x2dtotal_2_1" localSheetId="22">'6055'!#REF!</definedName>
    <definedName name="page\x2dtotal_2_1" localSheetId="23">'6056'!#REF!</definedName>
    <definedName name="page\x2dtotal_2_1" localSheetId="25">'6058'!#REF!</definedName>
    <definedName name="page\x2dtotal_2_1" localSheetId="27">'6059'!#REF!</definedName>
    <definedName name="page\x2dtotal_2_1" localSheetId="28">'6060'!#REF!</definedName>
    <definedName name="page\x2dtotal_2_1" localSheetId="29">'6062'!#REF!</definedName>
    <definedName name="page\x2dtotal_2_1" localSheetId="30">'6063'!#REF!</definedName>
    <definedName name="page\x2dtotal_2_1" localSheetId="31">'6064'!#REF!</definedName>
    <definedName name="page\x2dtotal_2_1" localSheetId="32">'6072'!#REF!</definedName>
    <definedName name="page\x2dtotal_2_1" localSheetId="33">'6801'!#REF!</definedName>
    <definedName name="page\x2dtotal_2_1" localSheetId="3">#REF!</definedName>
    <definedName name="page\x2dtotal_2_1" localSheetId="5">#REF!</definedName>
    <definedName name="page\x2dtotal_2_1" localSheetId="17">#REF!</definedName>
    <definedName name="page\x2dtotal_2_1" localSheetId="19">#REF!</definedName>
    <definedName name="page\x2dtotal_2_1" localSheetId="21">#REF!</definedName>
    <definedName name="page\x2dtotal_2_1" localSheetId="24">#REF!</definedName>
    <definedName name="page\x2dtotal_2_1" localSheetId="26">#REF!</definedName>
    <definedName name="page\x2dtotal_2_1">#REF!</definedName>
    <definedName name="page\x2dtotal_3_1" localSheetId="3">#REF!</definedName>
    <definedName name="page\x2dtotal_3_1" localSheetId="5">#REF!</definedName>
    <definedName name="page\x2dtotal_3_1" localSheetId="17">#REF!</definedName>
    <definedName name="page\x2dtotal_3_1" localSheetId="19">#REF!</definedName>
    <definedName name="page\x2dtotal_3_1" localSheetId="21">#REF!</definedName>
    <definedName name="page\x2dtotal_3_1" localSheetId="24">#REF!</definedName>
    <definedName name="page\x2dtotal_3_1" localSheetId="26">#REF!</definedName>
    <definedName name="page\x2dtotal_3_1" localSheetId="34">#REF!</definedName>
    <definedName name="page\x2dtotal_3_1">#REF!</definedName>
    <definedName name="page\x2dtotal_4_1" localSheetId="3">#REF!</definedName>
    <definedName name="page\x2dtotal_4_1" localSheetId="5">#REF!</definedName>
    <definedName name="page\x2dtotal_4_1" localSheetId="17">#REF!</definedName>
    <definedName name="page\x2dtotal_4_1" localSheetId="19">#REF!</definedName>
    <definedName name="page\x2dtotal_4_1" localSheetId="21">#REF!</definedName>
    <definedName name="page\x2dtotal_4_1" localSheetId="24">#REF!</definedName>
    <definedName name="page\x2dtotal_4_1" localSheetId="26">#REF!</definedName>
    <definedName name="page\x2dtotal_4_1" localSheetId="34">#REF!</definedName>
    <definedName name="page\x2dtotal_4_1">#REF!</definedName>
    <definedName name="page\x2dtotal_5_1" localSheetId="3">#REF!</definedName>
    <definedName name="page\x2dtotal_5_1" localSheetId="5">#REF!</definedName>
    <definedName name="page\x2dtotal_5_1" localSheetId="17">#REF!</definedName>
    <definedName name="page\x2dtotal_5_1" localSheetId="19">#REF!</definedName>
    <definedName name="page\x2dtotal_5_1" localSheetId="21">#REF!</definedName>
    <definedName name="page\x2dtotal_5_1" localSheetId="24">#REF!</definedName>
    <definedName name="page\x2dtotal_5_1" localSheetId="26">#REF!</definedName>
    <definedName name="page\x2dtotal_5_1" localSheetId="34">#REF!</definedName>
    <definedName name="page\x2dtotal_5_1">#REF!</definedName>
    <definedName name="parenthst">#REF!</definedName>
    <definedName name="parentparcel">#REF!</definedName>
    <definedName name="_xlnm.Print_Area" localSheetId="0">'0001'!$A$1:$J$62</definedName>
    <definedName name="_xlnm.Print_Area" localSheetId="1">'0041'!$A$1:$J$54</definedName>
    <definedName name="_xlnm.Print_Area" localSheetId="2">'0042'!$A$1:$J$85</definedName>
    <definedName name="_xlnm.Print_Area" localSheetId="4">'0042 Revised'!$A$1:$J$86</definedName>
    <definedName name="_xlnm.Print_Area" localSheetId="6">'0046'!$A$1:$J$54</definedName>
    <definedName name="_xlnm.Print_Area" localSheetId="7">'0183'!$A$1:$J$57</definedName>
    <definedName name="_xlnm.Print_Area" localSheetId="8">'0523'!$A$1:$J$54</definedName>
    <definedName name="_xlnm.Print_Area" localSheetId="9">'0541'!$A$1:$J$54</definedName>
    <definedName name="_xlnm.Print_Area" localSheetId="10">'0653'!$A$1:$J$54</definedName>
    <definedName name="_xlnm.Print_Area" localSheetId="11">'0673'!$A$1:$J$54</definedName>
    <definedName name="_xlnm.Print_Area" localSheetId="12">'0703'!$A$1:$J$54</definedName>
    <definedName name="_xlnm.Print_Area" localSheetId="13">'0756'!$A$1:$J$54</definedName>
    <definedName name="_xlnm.Print_Area" localSheetId="14">'0942'!$A$1:$J$54</definedName>
    <definedName name="_xlnm.Print_Area" localSheetId="15">'2504'!$A$1:$J$54</definedName>
    <definedName name="_xlnm.Print_Area" localSheetId="16">'3007'!$A$1:$J$58</definedName>
    <definedName name="_xlnm.Print_Area" localSheetId="18">'3290'!$A$1:$J$64</definedName>
    <definedName name="_xlnm.Print_Area" localSheetId="20">'3291'!$A$1:$J$60</definedName>
    <definedName name="_xlnm.Print_Area" localSheetId="22">'6055'!$A$1:$J$59</definedName>
    <definedName name="_xlnm.Print_Area" localSheetId="23">'6056'!$A$1:$J$60</definedName>
    <definedName name="_xlnm.Print_Area" localSheetId="25">'6058'!$A$1:$J$56</definedName>
    <definedName name="_xlnm.Print_Area" localSheetId="27">'6059'!$A$1:$J$54</definedName>
    <definedName name="_xlnm.Print_Area" localSheetId="28">'6060'!$A$1:$J$56</definedName>
    <definedName name="_xlnm.Print_Area" localSheetId="29">'6062'!$A$1:$J$54</definedName>
    <definedName name="_xlnm.Print_Area" localSheetId="30">'6063'!$A$1:$J$57</definedName>
    <definedName name="_xlnm.Print_Area" localSheetId="31">'6064'!$A$1:$J$54</definedName>
    <definedName name="_xlnm.Print_Area" localSheetId="32">'6072'!$A$1:$J$57</definedName>
    <definedName name="_xlnm.Print_Area" localSheetId="33">'6801'!$A$1:$J$54</definedName>
    <definedName name="_xlnm.Print_Area" localSheetId="3">'F0042 Diff'!$A$1:$V$38</definedName>
    <definedName name="_xlnm.Print_Area" localSheetId="5">'F0042 Diff Revised'!$A$1:$V$38</definedName>
    <definedName name="_xlnm.Print_Area" localSheetId="17">'F3007 Diff'!$A$1:$V$38</definedName>
    <definedName name="_xlnm.Print_Area" localSheetId="19">'F3290 Diff '!$A$1:$V$38</definedName>
    <definedName name="_xlnm.Print_Area" localSheetId="21">'F3291 Diff '!$A$1:$V$38</definedName>
    <definedName name="_xlnm.Print_Area" localSheetId="24">'F6056 Diff'!$A$1:$V$38</definedName>
    <definedName name="_xlnm.Print_Area" localSheetId="26">'F6058 Diff '!$A$1:$V$38</definedName>
    <definedName name="_xlnm.Print_Area" localSheetId="34">'Report 19'!$A$1:$H$78</definedName>
    <definedName name="Print_Area_MI" localSheetId="4">#REF!</definedName>
    <definedName name="Print_Area_MI" localSheetId="3">#REF!</definedName>
    <definedName name="Print_Area_MI" localSheetId="5">#REF!</definedName>
    <definedName name="Print_Area_MI" localSheetId="17">#REF!</definedName>
    <definedName name="Print_Area_MI" localSheetId="19">#REF!</definedName>
    <definedName name="Print_Area_MI" localSheetId="21">#REF!</definedName>
    <definedName name="Print_Area_MI" localSheetId="24">#REF!</definedName>
    <definedName name="Print_Area_MI" localSheetId="26">#REF!</definedName>
    <definedName name="Print_Area_MI">#REF!</definedName>
    <definedName name="Report_18_Analysis" localSheetId="3">#REF!</definedName>
    <definedName name="Report_18_Analysis" localSheetId="5">#REF!</definedName>
    <definedName name="Report_18_Analysis" localSheetId="17">#REF!</definedName>
    <definedName name="Report_18_Analysis" localSheetId="19">#REF!</definedName>
    <definedName name="Report_18_Analysis" localSheetId="21">#REF!</definedName>
    <definedName name="Report_18_Analysis" localSheetId="24">#REF!</definedName>
    <definedName name="Report_18_Analysis" localSheetId="26">#REF!</definedName>
    <definedName name="Report_18_Analysis">#REF!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53" l="1"/>
  <c r="V12" i="53"/>
  <c r="I13" i="53"/>
  <c r="V13" i="53"/>
  <c r="I14" i="53"/>
  <c r="V14" i="53"/>
  <c r="I15" i="53"/>
  <c r="V15" i="53"/>
  <c r="I16" i="53"/>
  <c r="V16" i="53"/>
  <c r="I17" i="53"/>
  <c r="V17" i="53"/>
  <c r="V18" i="53"/>
  <c r="I19" i="53"/>
  <c r="I29" i="53" s="1"/>
  <c r="V19" i="53"/>
  <c r="V20" i="53"/>
  <c r="I21" i="53"/>
  <c r="V21" i="53"/>
  <c r="V22" i="53"/>
  <c r="V23" i="53"/>
  <c r="I24" i="53"/>
  <c r="V24" i="53"/>
  <c r="V25" i="53"/>
  <c r="I26" i="53"/>
  <c r="V26" i="53"/>
  <c r="V27" i="53"/>
  <c r="I28" i="53"/>
  <c r="V28" i="53"/>
  <c r="E29" i="53"/>
  <c r="G29" i="53"/>
  <c r="K29" i="53"/>
  <c r="M29" i="53"/>
  <c r="O29" i="53"/>
  <c r="Q29" i="53"/>
  <c r="S29" i="53"/>
  <c r="T29" i="53"/>
  <c r="V29" i="53" l="1"/>
  <c r="D60" i="40"/>
  <c r="D59" i="40"/>
  <c r="D58" i="40"/>
  <c r="D57" i="40"/>
  <c r="D56" i="40"/>
  <c r="D55" i="40"/>
  <c r="D54" i="40"/>
  <c r="D53" i="40"/>
  <c r="D52" i="40"/>
  <c r="D51" i="40"/>
  <c r="D50" i="40"/>
  <c r="D49" i="40"/>
  <c r="D48" i="40"/>
  <c r="D47" i="40"/>
  <c r="F46" i="40"/>
  <c r="D45" i="40"/>
  <c r="D44" i="40"/>
  <c r="D43" i="40"/>
  <c r="D42" i="40"/>
  <c r="D41" i="40"/>
  <c r="D40" i="40"/>
  <c r="D39" i="40"/>
  <c r="E38" i="40"/>
  <c r="D37" i="40"/>
  <c r="D36" i="40"/>
  <c r="D35" i="40"/>
  <c r="D34" i="40"/>
  <c r="AE32" i="40"/>
  <c r="AB32" i="40"/>
  <c r="AA32" i="40"/>
  <c r="Z32" i="40"/>
  <c r="Y32" i="40"/>
  <c r="X32" i="40"/>
  <c r="W32" i="40"/>
  <c r="V32" i="40"/>
  <c r="U32" i="40"/>
  <c r="T32" i="40"/>
  <c r="S32" i="40"/>
  <c r="R32" i="40"/>
  <c r="Q32" i="40"/>
  <c r="P32" i="40"/>
  <c r="O32" i="40"/>
  <c r="N32" i="40"/>
  <c r="M32" i="40"/>
  <c r="L32" i="40"/>
  <c r="K32" i="40"/>
  <c r="AB31" i="40"/>
  <c r="AA31" i="40"/>
  <c r="AB30" i="40"/>
  <c r="AA30" i="40"/>
  <c r="B30" i="40"/>
  <c r="AB29" i="40"/>
  <c r="AA29" i="40"/>
  <c r="AB28" i="40"/>
  <c r="AA28" i="40"/>
  <c r="B28" i="40"/>
  <c r="AB27" i="40"/>
  <c r="AA27" i="40"/>
  <c r="B27" i="40"/>
  <c r="AB26" i="40"/>
  <c r="AA26" i="40"/>
  <c r="B26" i="40"/>
  <c r="AB25" i="40"/>
  <c r="AA25" i="40"/>
  <c r="B25" i="40"/>
  <c r="AB24" i="40"/>
  <c r="AA24" i="40"/>
  <c r="B24" i="40"/>
  <c r="AB23" i="40"/>
  <c r="AA23" i="40"/>
  <c r="B23" i="40"/>
  <c r="AB22" i="40"/>
  <c r="AA22" i="40"/>
  <c r="B22" i="40"/>
  <c r="AB21" i="40"/>
  <c r="AA21" i="40"/>
  <c r="B21" i="40"/>
  <c r="AB20" i="40"/>
  <c r="AA20" i="40"/>
  <c r="B20" i="40"/>
  <c r="AB19" i="40"/>
  <c r="AA19" i="40"/>
  <c r="AB18" i="40"/>
  <c r="AA18" i="40"/>
  <c r="AB17" i="40"/>
  <c r="AA17" i="40"/>
  <c r="AB16" i="40"/>
  <c r="AA16" i="40"/>
  <c r="B16" i="40"/>
  <c r="AB15" i="40"/>
  <c r="AA15" i="40"/>
  <c r="B15" i="40"/>
  <c r="AB14" i="40"/>
  <c r="AA14" i="40"/>
  <c r="B14" i="40"/>
  <c r="AB13" i="40"/>
  <c r="AA13" i="40"/>
  <c r="B13" i="40"/>
  <c r="AB12" i="40"/>
  <c r="AA12" i="40"/>
  <c r="B12" i="40"/>
  <c r="AB11" i="40"/>
  <c r="AA11" i="40"/>
  <c r="AB10" i="40"/>
  <c r="AA10" i="40"/>
  <c r="AB9" i="40"/>
  <c r="AA9" i="40"/>
  <c r="AB8" i="40"/>
  <c r="AA8" i="40"/>
  <c r="G8" i="40"/>
  <c r="AB7" i="40"/>
  <c r="AA7" i="40"/>
  <c r="G7" i="40"/>
  <c r="AB6" i="40"/>
  <c r="AA6" i="40"/>
  <c r="J35" i="39"/>
  <c r="H35" i="39"/>
  <c r="G35" i="39"/>
  <c r="F35" i="39"/>
  <c r="J32" i="39"/>
  <c r="J31" i="39"/>
  <c r="J30" i="39"/>
  <c r="J29" i="39"/>
  <c r="J28" i="39"/>
  <c r="J27" i="39"/>
  <c r="J26" i="39"/>
  <c r="J25" i="39"/>
  <c r="J24" i="39"/>
  <c r="J21" i="39"/>
  <c r="J20" i="39"/>
  <c r="J19" i="39"/>
  <c r="J18" i="39"/>
  <c r="J17" i="39"/>
  <c r="J16" i="39"/>
  <c r="J9" i="39"/>
  <c r="J8" i="39"/>
  <c r="J35" i="38"/>
  <c r="H35" i="38"/>
  <c r="G35" i="38"/>
  <c r="F35" i="38"/>
  <c r="J32" i="38"/>
  <c r="J31" i="38"/>
  <c r="J30" i="38"/>
  <c r="J29" i="38"/>
  <c r="J28" i="38"/>
  <c r="J27" i="38"/>
  <c r="J26" i="38"/>
  <c r="J25" i="38"/>
  <c r="J24" i="38"/>
  <c r="J23" i="38"/>
  <c r="J22" i="38"/>
  <c r="J21" i="38"/>
  <c r="J20" i="38"/>
  <c r="J19" i="38"/>
  <c r="J18" i="38"/>
  <c r="J17" i="38"/>
  <c r="J16" i="38"/>
  <c r="J9" i="38"/>
  <c r="J8" i="38"/>
  <c r="J35" i="37"/>
  <c r="H35" i="37"/>
  <c r="G35" i="37"/>
  <c r="F35" i="37"/>
  <c r="J32" i="37"/>
  <c r="J31" i="37"/>
  <c r="J30" i="37"/>
  <c r="J29" i="37"/>
  <c r="J28" i="37"/>
  <c r="J27" i="37"/>
  <c r="J26" i="37"/>
  <c r="J25" i="37"/>
  <c r="J24" i="37"/>
  <c r="J21" i="37"/>
  <c r="J20" i="37"/>
  <c r="J19" i="37"/>
  <c r="J18" i="37"/>
  <c r="J17" i="37"/>
  <c r="J16" i="37"/>
  <c r="J9" i="37"/>
  <c r="J8" i="37"/>
  <c r="J35" i="36"/>
  <c r="H35" i="36"/>
  <c r="G35" i="36"/>
  <c r="F35" i="36"/>
  <c r="J32" i="36"/>
  <c r="J31" i="36"/>
  <c r="J30" i="36"/>
  <c r="J29" i="36"/>
  <c r="J28" i="36"/>
  <c r="J27" i="36"/>
  <c r="J26" i="36"/>
  <c r="J25" i="36"/>
  <c r="J24" i="36"/>
  <c r="J21" i="36"/>
  <c r="J20" i="36"/>
  <c r="J19" i="36"/>
  <c r="J18" i="36"/>
  <c r="J17" i="36"/>
  <c r="J16" i="36"/>
  <c r="J9" i="36"/>
  <c r="J8" i="36"/>
  <c r="J35" i="35"/>
  <c r="H35" i="35"/>
  <c r="G35" i="35"/>
  <c r="F35" i="35"/>
  <c r="J32" i="35"/>
  <c r="J31" i="35"/>
  <c r="J30" i="35"/>
  <c r="J29" i="35"/>
  <c r="J28" i="35"/>
  <c r="J27" i="35"/>
  <c r="J26" i="35"/>
  <c r="J25" i="35"/>
  <c r="J24" i="35"/>
  <c r="J21" i="35"/>
  <c r="J20" i="35"/>
  <c r="J19" i="35"/>
  <c r="J18" i="35"/>
  <c r="J17" i="35"/>
  <c r="J16" i="35"/>
  <c r="J9" i="35"/>
  <c r="J8" i="35"/>
  <c r="J35" i="34"/>
  <c r="H35" i="34"/>
  <c r="G35" i="34"/>
  <c r="F35" i="34"/>
  <c r="J32" i="34"/>
  <c r="J31" i="34"/>
  <c r="J30" i="34"/>
  <c r="J29" i="34"/>
  <c r="J28" i="34"/>
  <c r="J27" i="34"/>
  <c r="J26" i="34"/>
  <c r="J25" i="34"/>
  <c r="J24" i="34"/>
  <c r="J23" i="34"/>
  <c r="J22" i="34"/>
  <c r="J21" i="34"/>
  <c r="J20" i="34"/>
  <c r="J19" i="34"/>
  <c r="J18" i="34"/>
  <c r="J17" i="34"/>
  <c r="J16" i="34"/>
  <c r="J9" i="34"/>
  <c r="J8" i="34"/>
  <c r="J35" i="33"/>
  <c r="H35" i="33"/>
  <c r="G35" i="33"/>
  <c r="F35" i="33"/>
  <c r="J32" i="33"/>
  <c r="J31" i="33"/>
  <c r="J30" i="33"/>
  <c r="J29" i="33"/>
  <c r="J28" i="33"/>
  <c r="J27" i="33"/>
  <c r="J26" i="33"/>
  <c r="J25" i="33"/>
  <c r="J24" i="33"/>
  <c r="J21" i="33"/>
  <c r="J20" i="33"/>
  <c r="J19" i="33"/>
  <c r="J18" i="33"/>
  <c r="J17" i="33"/>
  <c r="J16" i="33"/>
  <c r="J9" i="33"/>
  <c r="J8" i="33"/>
  <c r="V29" i="51"/>
  <c r="T29" i="51"/>
  <c r="S29" i="51"/>
  <c r="Q29" i="51"/>
  <c r="O29" i="51"/>
  <c r="M29" i="51"/>
  <c r="K29" i="51"/>
  <c r="I29" i="51"/>
  <c r="G29" i="51"/>
  <c r="E29" i="51"/>
  <c r="V28" i="51"/>
  <c r="I28" i="51"/>
  <c r="V27" i="51"/>
  <c r="V26" i="51"/>
  <c r="I26" i="51"/>
  <c r="V25" i="51"/>
  <c r="V24" i="51"/>
  <c r="I24" i="51"/>
  <c r="V23" i="51"/>
  <c r="V22" i="51"/>
  <c r="V21" i="51"/>
  <c r="I21" i="51"/>
  <c r="V20" i="51"/>
  <c r="V19" i="51"/>
  <c r="I19" i="51"/>
  <c r="V18" i="51"/>
  <c r="V17" i="51"/>
  <c r="I17" i="51"/>
  <c r="V16" i="51"/>
  <c r="I16" i="51"/>
  <c r="V15" i="51"/>
  <c r="I15" i="51"/>
  <c r="V14" i="51"/>
  <c r="I14" i="51"/>
  <c r="V13" i="51"/>
  <c r="I13" i="51"/>
  <c r="V12" i="51"/>
  <c r="I12" i="51"/>
  <c r="J35" i="32"/>
  <c r="H35" i="32"/>
  <c r="G35" i="32"/>
  <c r="F35" i="32"/>
  <c r="J32" i="32"/>
  <c r="J31" i="32"/>
  <c r="J30" i="32"/>
  <c r="J29" i="32"/>
  <c r="J28" i="32"/>
  <c r="J27" i="32"/>
  <c r="J26" i="32"/>
  <c r="J25" i="32"/>
  <c r="J24" i="32"/>
  <c r="J21" i="32"/>
  <c r="J20" i="32"/>
  <c r="J19" i="32"/>
  <c r="J18" i="32"/>
  <c r="J17" i="32"/>
  <c r="J16" i="32"/>
  <c r="J9" i="32"/>
  <c r="J8" i="32"/>
  <c r="V29" i="50"/>
  <c r="T29" i="50"/>
  <c r="S29" i="50"/>
  <c r="Q29" i="50"/>
  <c r="O29" i="50"/>
  <c r="M29" i="50"/>
  <c r="K29" i="50"/>
  <c r="I29" i="50"/>
  <c r="G29" i="50"/>
  <c r="E29" i="50"/>
  <c r="V28" i="50"/>
  <c r="I28" i="50"/>
  <c r="V27" i="50"/>
  <c r="V26" i="50"/>
  <c r="I26" i="50"/>
  <c r="V25" i="50"/>
  <c r="V24" i="50"/>
  <c r="I24" i="50"/>
  <c r="V23" i="50"/>
  <c r="V22" i="50"/>
  <c r="V21" i="50"/>
  <c r="I21" i="50"/>
  <c r="V20" i="50"/>
  <c r="V19" i="50"/>
  <c r="I19" i="50"/>
  <c r="V18" i="50"/>
  <c r="V17" i="50"/>
  <c r="I17" i="50"/>
  <c r="V16" i="50"/>
  <c r="I16" i="50"/>
  <c r="V15" i="50"/>
  <c r="I15" i="50"/>
  <c r="V14" i="50"/>
  <c r="I14" i="50"/>
  <c r="V13" i="50"/>
  <c r="I13" i="50"/>
  <c r="V12" i="50"/>
  <c r="I12" i="50"/>
  <c r="J35" i="31"/>
  <c r="H35" i="31"/>
  <c r="G35" i="31"/>
  <c r="F35" i="31"/>
  <c r="J32" i="31"/>
  <c r="J31" i="31"/>
  <c r="J30" i="31"/>
  <c r="J29" i="31"/>
  <c r="J28" i="31"/>
  <c r="J27" i="31"/>
  <c r="J26" i="31"/>
  <c r="J25" i="31"/>
  <c r="J24" i="31"/>
  <c r="J23" i="31"/>
  <c r="J22" i="31"/>
  <c r="J21" i="31"/>
  <c r="J20" i="31"/>
  <c r="J19" i="31"/>
  <c r="J18" i="31"/>
  <c r="J17" i="31"/>
  <c r="J16" i="31"/>
  <c r="J9" i="31"/>
  <c r="J8" i="31"/>
  <c r="J35" i="30"/>
  <c r="H35" i="30"/>
  <c r="G35" i="30"/>
  <c r="F35" i="30"/>
  <c r="J34" i="30"/>
  <c r="J33" i="30"/>
  <c r="J32" i="30"/>
  <c r="J31" i="30"/>
  <c r="J30" i="30"/>
  <c r="J29" i="30"/>
  <c r="J28" i="30"/>
  <c r="J27" i="30"/>
  <c r="J26" i="30"/>
  <c r="J25" i="30"/>
  <c r="J24" i="30"/>
  <c r="J23" i="30"/>
  <c r="J22" i="30"/>
  <c r="J21" i="30"/>
  <c r="J20" i="30"/>
  <c r="J19" i="30"/>
  <c r="J18" i="30"/>
  <c r="J17" i="30"/>
  <c r="J16" i="30"/>
  <c r="J9" i="30"/>
  <c r="J8" i="30"/>
  <c r="V29" i="49"/>
  <c r="T29" i="49"/>
  <c r="S29" i="49"/>
  <c r="Q29" i="49"/>
  <c r="O29" i="49"/>
  <c r="M29" i="49"/>
  <c r="K29" i="49"/>
  <c r="I29" i="49"/>
  <c r="G29" i="49"/>
  <c r="E29" i="49"/>
  <c r="V28" i="49"/>
  <c r="I28" i="49"/>
  <c r="V27" i="49"/>
  <c r="V26" i="49"/>
  <c r="I26" i="49"/>
  <c r="V25" i="49"/>
  <c r="V24" i="49"/>
  <c r="I24" i="49"/>
  <c r="V23" i="49"/>
  <c r="V22" i="49"/>
  <c r="V21" i="49"/>
  <c r="I21" i="49"/>
  <c r="V20" i="49"/>
  <c r="V19" i="49"/>
  <c r="I19" i="49"/>
  <c r="V18" i="49"/>
  <c r="V17" i="49"/>
  <c r="I17" i="49"/>
  <c r="V16" i="49"/>
  <c r="I16" i="49"/>
  <c r="V15" i="49"/>
  <c r="I15" i="49"/>
  <c r="V14" i="49"/>
  <c r="I14" i="49"/>
  <c r="V13" i="49"/>
  <c r="I13" i="49"/>
  <c r="V12" i="49"/>
  <c r="I12" i="49"/>
  <c r="J35" i="29"/>
  <c r="H35" i="29"/>
  <c r="G35" i="29"/>
  <c r="F35" i="29"/>
  <c r="J32" i="29"/>
  <c r="J31" i="29"/>
  <c r="J30" i="29"/>
  <c r="J29" i="29"/>
  <c r="J28" i="29"/>
  <c r="J27" i="29"/>
  <c r="J26" i="29"/>
  <c r="J25" i="29"/>
  <c r="J24" i="29"/>
  <c r="J23" i="29"/>
  <c r="J22" i="29"/>
  <c r="J21" i="29"/>
  <c r="J20" i="29"/>
  <c r="J19" i="29"/>
  <c r="J18" i="29"/>
  <c r="J17" i="29"/>
  <c r="J16" i="29"/>
  <c r="J9" i="29"/>
  <c r="J8" i="29"/>
  <c r="V29" i="48"/>
  <c r="T29" i="48"/>
  <c r="S29" i="48"/>
  <c r="Q29" i="48"/>
  <c r="O29" i="48"/>
  <c r="M29" i="48"/>
  <c r="K29" i="48"/>
  <c r="I29" i="48"/>
  <c r="G29" i="48"/>
  <c r="E29" i="48"/>
  <c r="V28" i="48"/>
  <c r="I28" i="48"/>
  <c r="V27" i="48"/>
  <c r="V26" i="48"/>
  <c r="I26" i="48"/>
  <c r="V25" i="48"/>
  <c r="V24" i="48"/>
  <c r="I24" i="48"/>
  <c r="V23" i="48"/>
  <c r="V22" i="48"/>
  <c r="V21" i="48"/>
  <c r="I21" i="48"/>
  <c r="V20" i="48"/>
  <c r="V19" i="48"/>
  <c r="I19" i="48"/>
  <c r="V18" i="48"/>
  <c r="V17" i="48"/>
  <c r="I17" i="48"/>
  <c r="V16" i="48"/>
  <c r="I16" i="48"/>
  <c r="V15" i="48"/>
  <c r="I15" i="48"/>
  <c r="V14" i="48"/>
  <c r="I14" i="48"/>
  <c r="V13" i="48"/>
  <c r="I13" i="48"/>
  <c r="V12" i="48"/>
  <c r="I12" i="48"/>
  <c r="J35" i="28"/>
  <c r="H35" i="28"/>
  <c r="G35" i="28"/>
  <c r="F35" i="28"/>
  <c r="J32" i="28"/>
  <c r="J31" i="28"/>
  <c r="J30" i="28"/>
  <c r="J29" i="28"/>
  <c r="J28" i="28"/>
  <c r="J27" i="28"/>
  <c r="J26" i="28"/>
  <c r="J25" i="28"/>
  <c r="J24" i="28"/>
  <c r="J21" i="28"/>
  <c r="J20" i="28"/>
  <c r="J19" i="28"/>
  <c r="J18" i="28"/>
  <c r="J17" i="28"/>
  <c r="J16" i="28"/>
  <c r="J9" i="28"/>
  <c r="J8" i="28"/>
  <c r="V29" i="47"/>
  <c r="T29" i="47"/>
  <c r="S29" i="47"/>
  <c r="Q29" i="47"/>
  <c r="O29" i="47"/>
  <c r="M29" i="47"/>
  <c r="K29" i="47"/>
  <c r="I29" i="47"/>
  <c r="G29" i="47"/>
  <c r="E29" i="47"/>
  <c r="V28" i="47"/>
  <c r="I28" i="47"/>
  <c r="V27" i="47"/>
  <c r="V26" i="47"/>
  <c r="I26" i="47"/>
  <c r="V25" i="47"/>
  <c r="V24" i="47"/>
  <c r="I24" i="47"/>
  <c r="V23" i="47"/>
  <c r="V22" i="47"/>
  <c r="V21" i="47"/>
  <c r="I21" i="47"/>
  <c r="V20" i="47"/>
  <c r="V19" i="47"/>
  <c r="I19" i="47"/>
  <c r="V18" i="47"/>
  <c r="V17" i="47"/>
  <c r="I17" i="47"/>
  <c r="V16" i="47"/>
  <c r="I16" i="47"/>
  <c r="V15" i="47"/>
  <c r="I15" i="47"/>
  <c r="V14" i="47"/>
  <c r="I14" i="47"/>
  <c r="V13" i="47"/>
  <c r="I13" i="47"/>
  <c r="V12" i="47"/>
  <c r="I12" i="47"/>
  <c r="J35" i="27"/>
  <c r="H35" i="27"/>
  <c r="G35" i="27"/>
  <c r="F35" i="27"/>
  <c r="J32" i="27"/>
  <c r="J31" i="27"/>
  <c r="J30" i="27"/>
  <c r="J29" i="27"/>
  <c r="J28" i="27"/>
  <c r="J27" i="27"/>
  <c r="J26" i="27"/>
  <c r="J25" i="27"/>
  <c r="J24" i="27"/>
  <c r="J23" i="27"/>
  <c r="J22" i="27"/>
  <c r="J21" i="27"/>
  <c r="J20" i="27"/>
  <c r="J19" i="27"/>
  <c r="J18" i="27"/>
  <c r="J17" i="27"/>
  <c r="J16" i="27"/>
  <c r="J9" i="27"/>
  <c r="J8" i="27"/>
  <c r="J35" i="45"/>
  <c r="H35" i="45"/>
  <c r="G35" i="45"/>
  <c r="F35" i="45"/>
  <c r="J32" i="45"/>
  <c r="J31" i="45"/>
  <c r="J30" i="45"/>
  <c r="J29" i="45"/>
  <c r="J28" i="45"/>
  <c r="J27" i="45"/>
  <c r="J26" i="45"/>
  <c r="J25" i="45"/>
  <c r="J24" i="45"/>
  <c r="J21" i="45"/>
  <c r="J20" i="45"/>
  <c r="J19" i="45"/>
  <c r="J18" i="45"/>
  <c r="J17" i="45"/>
  <c r="J16" i="45"/>
  <c r="J9" i="45"/>
  <c r="J8" i="45"/>
  <c r="J35" i="26"/>
  <c r="H35" i="26"/>
  <c r="G35" i="26"/>
  <c r="F35" i="26"/>
  <c r="J32" i="26"/>
  <c r="J31" i="26"/>
  <c r="J30" i="26"/>
  <c r="J29" i="26"/>
  <c r="J28" i="26"/>
  <c r="J27" i="26"/>
  <c r="J26" i="26"/>
  <c r="J25" i="26"/>
  <c r="J24" i="26"/>
  <c r="J21" i="26"/>
  <c r="J20" i="26"/>
  <c r="J19" i="26"/>
  <c r="J18" i="26"/>
  <c r="J17" i="26"/>
  <c r="J16" i="26"/>
  <c r="J9" i="26"/>
  <c r="J8" i="26"/>
  <c r="J35" i="25"/>
  <c r="H35" i="25"/>
  <c r="G35" i="25"/>
  <c r="F35" i="25"/>
  <c r="J32" i="25"/>
  <c r="J31" i="25"/>
  <c r="J30" i="25"/>
  <c r="J29" i="25"/>
  <c r="J28" i="25"/>
  <c r="J27" i="25"/>
  <c r="J26" i="25"/>
  <c r="J25" i="25"/>
  <c r="J24" i="25"/>
  <c r="J21" i="25"/>
  <c r="J20" i="25"/>
  <c r="J19" i="25"/>
  <c r="J18" i="25"/>
  <c r="J17" i="25"/>
  <c r="J16" i="25"/>
  <c r="J9" i="25"/>
  <c r="J8" i="25"/>
  <c r="J35" i="24"/>
  <c r="H35" i="24"/>
  <c r="G35" i="24"/>
  <c r="F35" i="24"/>
  <c r="J32" i="24"/>
  <c r="J31" i="24"/>
  <c r="J30" i="24"/>
  <c r="J29" i="24"/>
  <c r="J28" i="24"/>
  <c r="J27" i="24"/>
  <c r="J26" i="24"/>
  <c r="J25" i="24"/>
  <c r="J24" i="24"/>
  <c r="J21" i="24"/>
  <c r="J20" i="24"/>
  <c r="J19" i="24"/>
  <c r="J18" i="24"/>
  <c r="J17" i="24"/>
  <c r="J16" i="24"/>
  <c r="J9" i="24"/>
  <c r="J8" i="24"/>
  <c r="J35" i="23"/>
  <c r="H35" i="23"/>
  <c r="G35" i="23"/>
  <c r="F35" i="23"/>
  <c r="J32" i="23"/>
  <c r="J31" i="23"/>
  <c r="J30" i="23"/>
  <c r="J29" i="23"/>
  <c r="J28" i="23"/>
  <c r="J27" i="23"/>
  <c r="J26" i="23"/>
  <c r="J25" i="23"/>
  <c r="J24" i="23"/>
  <c r="J21" i="23"/>
  <c r="J20" i="23"/>
  <c r="J19" i="23"/>
  <c r="J18" i="23"/>
  <c r="J17" i="23"/>
  <c r="J16" i="23"/>
  <c r="J9" i="23"/>
  <c r="J8" i="23"/>
  <c r="J35" i="22"/>
  <c r="H35" i="22"/>
  <c r="G35" i="22"/>
  <c r="F35" i="22"/>
  <c r="J32" i="22"/>
  <c r="J31" i="22"/>
  <c r="J30" i="22"/>
  <c r="J29" i="22"/>
  <c r="J28" i="22"/>
  <c r="J27" i="22"/>
  <c r="J26" i="22"/>
  <c r="J25" i="22"/>
  <c r="J24" i="22"/>
  <c r="J21" i="22"/>
  <c r="J20" i="22"/>
  <c r="J19" i="22"/>
  <c r="J18" i="22"/>
  <c r="J17" i="22"/>
  <c r="J16" i="22"/>
  <c r="J9" i="22"/>
  <c r="J8" i="22"/>
  <c r="J35" i="21"/>
  <c r="H35" i="21"/>
  <c r="G35" i="21"/>
  <c r="F35" i="21"/>
  <c r="J32" i="21"/>
  <c r="J31" i="21"/>
  <c r="J30" i="21"/>
  <c r="J29" i="21"/>
  <c r="J28" i="21"/>
  <c r="J27" i="21"/>
  <c r="J26" i="21"/>
  <c r="J25" i="21"/>
  <c r="J24" i="21"/>
  <c r="J21" i="21"/>
  <c r="J20" i="21"/>
  <c r="J19" i="21"/>
  <c r="J18" i="21"/>
  <c r="J17" i="21"/>
  <c r="J16" i="21"/>
  <c r="J9" i="21"/>
  <c r="J8" i="21"/>
  <c r="J35" i="20"/>
  <c r="H35" i="20"/>
  <c r="G35" i="20"/>
  <c r="F35" i="20"/>
  <c r="J32" i="20"/>
  <c r="J31" i="20"/>
  <c r="J30" i="20"/>
  <c r="J29" i="20"/>
  <c r="J28" i="20"/>
  <c r="J27" i="20"/>
  <c r="J26" i="20"/>
  <c r="J25" i="20"/>
  <c r="J24" i="20"/>
  <c r="J21" i="20"/>
  <c r="J20" i="20"/>
  <c r="J19" i="20"/>
  <c r="J18" i="20"/>
  <c r="J17" i="20"/>
  <c r="J16" i="20"/>
  <c r="J9" i="20"/>
  <c r="J8" i="20"/>
  <c r="J35" i="18"/>
  <c r="H35" i="18"/>
  <c r="G35" i="18"/>
  <c r="F35" i="18"/>
  <c r="J32" i="18"/>
  <c r="J31" i="18"/>
  <c r="J30" i="18"/>
  <c r="J29" i="18"/>
  <c r="J28" i="18"/>
  <c r="J27" i="18"/>
  <c r="J26" i="18"/>
  <c r="J25" i="18"/>
  <c r="J24" i="18"/>
  <c r="J21" i="18"/>
  <c r="J20" i="18"/>
  <c r="J19" i="18"/>
  <c r="J18" i="18"/>
  <c r="J17" i="18"/>
  <c r="J16" i="18"/>
  <c r="J9" i="18"/>
  <c r="J8" i="18"/>
  <c r="J35" i="17"/>
  <c r="H35" i="17"/>
  <c r="G35" i="17"/>
  <c r="F35" i="17"/>
  <c r="J32" i="17"/>
  <c r="J31" i="17"/>
  <c r="J30" i="17"/>
  <c r="J29" i="17"/>
  <c r="J28" i="17"/>
  <c r="J27" i="17"/>
  <c r="J26" i="17"/>
  <c r="J25" i="17"/>
  <c r="J24" i="17"/>
  <c r="J21" i="17"/>
  <c r="J20" i="17"/>
  <c r="J19" i="17"/>
  <c r="J18" i="17"/>
  <c r="J17" i="17"/>
  <c r="J16" i="17"/>
  <c r="J9" i="17"/>
  <c r="J8" i="17"/>
  <c r="A78" i="52"/>
  <c r="J55" i="52"/>
  <c r="J46" i="52"/>
  <c r="H46" i="52"/>
  <c r="G46" i="52"/>
  <c r="F46" i="52"/>
  <c r="J44" i="52"/>
  <c r="J43" i="52"/>
  <c r="J42" i="52"/>
  <c r="J41" i="52"/>
  <c r="J40" i="52"/>
  <c r="J39" i="52"/>
  <c r="J35" i="52"/>
  <c r="H35" i="52"/>
  <c r="G35" i="52"/>
  <c r="F35" i="52"/>
  <c r="J32" i="52"/>
  <c r="J31" i="52"/>
  <c r="J30" i="52"/>
  <c r="J29" i="52"/>
  <c r="J28" i="52"/>
  <c r="J27" i="52"/>
  <c r="J26" i="52"/>
  <c r="J25" i="52"/>
  <c r="J24" i="52"/>
  <c r="J21" i="52"/>
  <c r="J20" i="52"/>
  <c r="J19" i="52"/>
  <c r="J18" i="52"/>
  <c r="J17" i="52"/>
  <c r="J16" i="52"/>
  <c r="J9" i="52"/>
  <c r="J8" i="52"/>
  <c r="A6" i="52"/>
  <c r="V29" i="46"/>
  <c r="T29" i="46"/>
  <c r="S29" i="46"/>
  <c r="Q29" i="46"/>
  <c r="O29" i="46"/>
  <c r="M29" i="46"/>
  <c r="K29" i="46"/>
  <c r="I29" i="46"/>
  <c r="G29" i="46"/>
  <c r="E29" i="46"/>
  <c r="V28" i="46"/>
  <c r="I28" i="46"/>
  <c r="V27" i="46"/>
  <c r="V26" i="46"/>
  <c r="I26" i="46"/>
  <c r="V25" i="46"/>
  <c r="V24" i="46"/>
  <c r="I24" i="46"/>
  <c r="V23" i="46"/>
  <c r="V22" i="46"/>
  <c r="V21" i="46"/>
  <c r="I21" i="46"/>
  <c r="V20" i="46"/>
  <c r="V19" i="46"/>
  <c r="I19" i="46"/>
  <c r="V18" i="46"/>
  <c r="V17" i="46"/>
  <c r="I17" i="46"/>
  <c r="V16" i="46"/>
  <c r="I16" i="46"/>
  <c r="V15" i="46"/>
  <c r="I15" i="46"/>
  <c r="V14" i="46"/>
  <c r="I14" i="46"/>
  <c r="V13" i="46"/>
  <c r="I13" i="46"/>
  <c r="V12" i="46"/>
  <c r="I12" i="46"/>
  <c r="J55" i="13"/>
  <c r="J46" i="13"/>
  <c r="H46" i="13"/>
  <c r="G46" i="13"/>
  <c r="F46" i="13"/>
  <c r="J44" i="13"/>
  <c r="J43" i="13"/>
  <c r="J42" i="13"/>
  <c r="J41" i="13"/>
  <c r="J40" i="13"/>
  <c r="J39" i="13"/>
  <c r="J35" i="13"/>
  <c r="H35" i="13"/>
  <c r="G35" i="13"/>
  <c r="F35" i="13"/>
  <c r="J32" i="13"/>
  <c r="J31" i="13"/>
  <c r="J30" i="13"/>
  <c r="J29" i="13"/>
  <c r="J28" i="13"/>
  <c r="J27" i="13"/>
  <c r="J26" i="13"/>
  <c r="J25" i="13"/>
  <c r="J24" i="13"/>
  <c r="J21" i="13"/>
  <c r="J20" i="13"/>
  <c r="J19" i="13"/>
  <c r="J18" i="13"/>
  <c r="J17" i="13"/>
  <c r="J16" i="13"/>
  <c r="H16" i="13"/>
  <c r="G16" i="13"/>
  <c r="F16" i="13"/>
  <c r="J9" i="13"/>
  <c r="J8" i="13"/>
  <c r="J35" i="10"/>
  <c r="H35" i="10"/>
  <c r="G35" i="10"/>
  <c r="F35" i="10"/>
  <c r="J32" i="10"/>
  <c r="J31" i="10"/>
  <c r="J30" i="10"/>
  <c r="J29" i="10"/>
  <c r="J28" i="10"/>
  <c r="J27" i="10"/>
  <c r="J26" i="10"/>
  <c r="J25" i="10"/>
  <c r="J24" i="10"/>
  <c r="J21" i="10"/>
  <c r="J20" i="10"/>
  <c r="J19" i="10"/>
  <c r="J18" i="10"/>
  <c r="J17" i="10"/>
  <c r="J16" i="10"/>
  <c r="J9" i="10"/>
  <c r="J8" i="10"/>
  <c r="J42" i="43"/>
  <c r="H42" i="43"/>
  <c r="G42" i="43"/>
  <c r="F42" i="43"/>
  <c r="J40" i="43"/>
  <c r="J39" i="43"/>
  <c r="J35" i="43"/>
  <c r="H35" i="43"/>
  <c r="G35" i="43"/>
  <c r="F35" i="43"/>
  <c r="J32" i="43"/>
  <c r="J31" i="43"/>
  <c r="J30" i="43"/>
  <c r="J29" i="43"/>
  <c r="J28" i="43"/>
  <c r="J27" i="43"/>
  <c r="J26" i="43"/>
  <c r="J25" i="43"/>
  <c r="J24" i="43"/>
  <c r="J21" i="43"/>
  <c r="J20" i="43"/>
  <c r="J19" i="43"/>
  <c r="J18" i="43"/>
  <c r="J17" i="43"/>
  <c r="J16" i="43"/>
  <c r="G16" i="43"/>
  <c r="F16" i="43"/>
  <c r="J9" i="43"/>
  <c r="J8" i="43"/>
</calcChain>
</file>

<file path=xl/sharedStrings.xml><?xml version="1.0" encoding="utf-8"?>
<sst xmlns="http://schemas.openxmlformats.org/spreadsheetml/2006/main" count="1851" uniqueCount="352">
  <si>
    <r>
      <rPr>
        <b/>
        <sz val="11"/>
        <color theme="1"/>
        <rFont val="Arial"/>
        <family val="2"/>
      </rPr>
      <t>Page No</t>
    </r>
    <r>
      <rPr>
        <sz val="12"/>
        <color theme="1"/>
        <rFont val="Arial"/>
        <family val="2"/>
      </rPr>
      <t xml:space="preserve"> :</t>
    </r>
    <r>
      <rPr>
        <sz val="11"/>
        <color theme="1"/>
        <rFont val="Arial"/>
        <family val="2"/>
      </rPr>
      <t xml:space="preserve"> </t>
    </r>
    <r>
      <rPr>
        <sz val="11"/>
        <color theme="1"/>
        <rFont val="Arial"/>
        <family val="2"/>
      </rPr>
      <t>1</t>
    </r>
  </si>
  <si>
    <t>REPORT 18 – STATEMENT OF CHANGES IN CAPITAL ASSETS</t>
  </si>
  <si>
    <t>Business Unit:</t>
  </si>
  <si>
    <t>Fund:</t>
  </si>
  <si>
    <t xml:space="preserve">  </t>
  </si>
  <si>
    <t>Account – Description</t>
  </si>
  <si>
    <t>Beginning Balance</t>
  </si>
  <si>
    <t>Additions</t>
  </si>
  <si>
    <t>Deductions</t>
  </si>
  <si>
    <t>Ending Balance</t>
  </si>
  <si>
    <t>Tangible Assets</t>
  </si>
  <si>
    <t>Intangible Assets</t>
  </si>
  <si>
    <t>Total</t>
  </si>
  <si>
    <t>Land Use Rights - Non-Amortizable</t>
  </si>
  <si>
    <t>Right-to-Use Leased Equipment - Amortizable</t>
  </si>
  <si>
    <t>Right-to-Use Leased Land - Amortizable</t>
  </si>
  <si>
    <t>Other Intangible Assets - Amortizable</t>
  </si>
  <si>
    <t>Patents, Copyrights, and Trademarks - Amortizable</t>
  </si>
  <si>
    <t>Land Use Rights - Amortizable</t>
  </si>
  <si>
    <t>Equipment</t>
  </si>
  <si>
    <t>Improvements Other Than Buildings</t>
  </si>
  <si>
    <t>Land</t>
  </si>
  <si>
    <t>Department Name (2660)</t>
  </si>
  <si>
    <t>2660 - DEPARTMENT OF TRANSPORTATION</t>
  </si>
  <si>
    <t>0001 - GENERAL FUND</t>
  </si>
  <si>
    <t>GENERAL FUND (0001)</t>
  </si>
  <si>
    <t>Fiscal Year 2023-24</t>
  </si>
  <si>
    <t>As of 06/30/2024</t>
  </si>
  <si>
    <t>Subscribed and executed this 30th day of August, 2024 at Sacramento, California.</t>
  </si>
  <si>
    <r>
      <rPr>
        <b/>
        <sz val="11"/>
        <color theme="1"/>
        <rFont val="Arial"/>
        <family val="2"/>
      </rPr>
      <t>Report ID:</t>
    </r>
    <r>
      <rPr>
        <sz val="11"/>
        <color theme="1"/>
        <rFont val="Arial"/>
        <family val="2"/>
      </rPr>
      <t xml:space="preserve"> RPTGL075</t>
    </r>
  </si>
  <si>
    <t>I certify (or declare) under penalty of perjury that the attached reports are true, accurate and complete, and were prepared following the applicable laws, regulations, policies, procedures, and instructions. I have not violated any of the provisions of Article 4, Chapter 1, Division 4, Title 1, Government Code (commencing with Section 1090) and Article 2, Chapter 1, Part 3, Division 3, Title 2, Government Code (commencing with Section 13030).</t>
  </si>
  <si>
    <t>KIM PHAN, Chief</t>
  </si>
  <si>
    <t>Service Transactions &amp; Asset</t>
  </si>
  <si>
    <t>Reconciliation Section</t>
  </si>
  <si>
    <t>0001</t>
  </si>
  <si>
    <t>Note:</t>
  </si>
  <si>
    <t xml:space="preserve">b - Infrastructure only.  </t>
  </si>
  <si>
    <t>Land - Operational Dept (2310-5000)</t>
  </si>
  <si>
    <t>a - Total Land</t>
  </si>
  <si>
    <r>
      <rPr>
        <b/>
        <sz val="11"/>
        <color theme="1"/>
        <rFont val="Arial"/>
        <family val="2"/>
      </rPr>
      <t>Page No</t>
    </r>
    <r>
      <rPr>
        <sz val="12"/>
        <color theme="1"/>
        <rFont val="Arial"/>
        <family val="2"/>
      </rPr>
      <t xml:space="preserve"> :</t>
    </r>
    <r>
      <rPr>
        <sz val="11"/>
        <color theme="1"/>
        <rFont val="Arial"/>
        <family val="2"/>
      </rPr>
      <t xml:space="preserve"> 2</t>
    </r>
  </si>
  <si>
    <t>0041</t>
  </si>
  <si>
    <r>
      <rPr>
        <b/>
        <sz val="11"/>
        <color theme="1"/>
        <rFont val="Arial"/>
        <family val="2"/>
      </rPr>
      <t xml:space="preserve">                                                                                                                                                               Page No:           </t>
    </r>
    <r>
      <rPr>
        <sz val="11"/>
        <color theme="1"/>
        <rFont val="Arial"/>
        <family val="2"/>
      </rPr>
      <t>1</t>
    </r>
  </si>
  <si>
    <t>REPORT 19 - STATEMENT OF CAPITAL ASSETS</t>
  </si>
  <si>
    <t xml:space="preserve"> </t>
  </si>
  <si>
    <t xml:space="preserve">CAPITAL ASSETS: </t>
  </si>
  <si>
    <t>DEBIT BALANCE</t>
  </si>
  <si>
    <t>CREDIT BALANCE</t>
  </si>
  <si>
    <r>
      <rPr>
        <sz val="10"/>
        <color rgb="FF003300"/>
        <rFont val="Arial"/>
        <family val="2"/>
      </rPr>
      <t xml:space="preserve">    </t>
    </r>
    <r>
      <rPr>
        <b/>
        <sz val="10"/>
        <color theme="1"/>
        <rFont val="Arial"/>
        <family val="2"/>
      </rPr>
      <t>Tangible Assets</t>
    </r>
    <r>
      <rPr>
        <b/>
        <sz val="10"/>
        <color theme="1"/>
        <rFont val="Arial"/>
        <family val="2"/>
      </rPr>
      <t xml:space="preserve"> </t>
    </r>
    <r>
      <rPr>
        <b/>
        <sz val="10"/>
        <color theme="1"/>
        <rFont val="Arial"/>
        <family val="2"/>
      </rPr>
      <t xml:space="preserve">                                                                                                           </t>
    </r>
  </si>
  <si>
    <t xml:space="preserve">  2310 -  Land                                                    </t>
  </si>
  <si>
    <t xml:space="preserve">  2341 -  Equipment                                                    </t>
  </si>
  <si>
    <t xml:space="preserve">  2350 -  Construction Work in Progress                                                    </t>
  </si>
  <si>
    <r>
      <rPr>
        <sz val="10"/>
        <color rgb="FF003300"/>
        <rFont val="Arial"/>
        <family val="2"/>
      </rPr>
      <t xml:space="preserve">    </t>
    </r>
    <r>
      <rPr>
        <b/>
        <sz val="10"/>
        <color theme="1"/>
        <rFont val="Arial"/>
        <family val="2"/>
      </rPr>
      <t>Intangible Assets</t>
    </r>
    <r>
      <rPr>
        <b/>
        <sz val="10"/>
        <color theme="1"/>
        <rFont val="Arial"/>
        <family val="2"/>
      </rPr>
      <t xml:space="preserve"> </t>
    </r>
    <r>
      <rPr>
        <b/>
        <sz val="10"/>
        <color theme="1"/>
        <rFont val="Arial"/>
        <family val="2"/>
      </rPr>
      <t xml:space="preserve">                                                                                                           </t>
    </r>
  </si>
  <si>
    <t xml:space="preserve">  2412 -  Land Use Rights - Amortizable                                                    </t>
  </si>
  <si>
    <t>TOTAL CAPITAL ASSETS</t>
  </si>
  <si>
    <t xml:space="preserve">         </t>
  </si>
  <si>
    <r>
      <rPr>
        <b/>
        <sz val="10"/>
        <color theme="1"/>
        <rFont val="Arial"/>
        <family val="2"/>
      </rPr>
      <t xml:space="preserve"> INVESTMENT IN CAPITAL ASSETS FROM:</t>
    </r>
    <r>
      <rPr>
        <sz val="6.65"/>
        <color theme="1"/>
        <rFont val="Arial"/>
        <family val="2"/>
      </rPr>
      <t>2</t>
    </r>
  </si>
  <si>
    <t>TOTAL INVESTMENT IN CAPITAL ASSETS</t>
  </si>
  <si>
    <t>1. Physical inventories of capital assets are made at least once every three years.</t>
  </si>
  <si>
    <t>2. Subsidiary capital asset records are in agreement with the general ledger control accounts shown above.</t>
  </si>
  <si>
    <r>
      <rPr>
        <b/>
        <sz val="11"/>
        <color theme="1"/>
        <rFont val="Arial"/>
        <family val="2"/>
      </rPr>
      <t>Page No</t>
    </r>
    <r>
      <rPr>
        <sz val="12"/>
        <color theme="1"/>
        <rFont val="Arial"/>
        <family val="2"/>
      </rPr>
      <t xml:space="preserve"> :</t>
    </r>
    <r>
      <rPr>
        <sz val="11"/>
        <color theme="1"/>
        <rFont val="Arial"/>
        <family val="2"/>
      </rPr>
      <t xml:space="preserve"> 3</t>
    </r>
  </si>
  <si>
    <t>0042 - STATE HIGHWAY ACCOUNT FUND</t>
  </si>
  <si>
    <t>Use CT11 and CT12 for CY Additions and Deductions (Absolute Values)</t>
  </si>
  <si>
    <t>0042</t>
  </si>
  <si>
    <t>Land - Excess Land (2310-1000)</t>
  </si>
  <si>
    <t>Land - Park Lease (2310-4001)</t>
  </si>
  <si>
    <t>Land - Operational Federal (2310-5001)</t>
  </si>
  <si>
    <t>Land - Infrastructure Federal  (2310-5901)</t>
  </si>
  <si>
    <t>AERONAUTICS FUND (0041)</t>
  </si>
  <si>
    <t>STATE HIGHWAY ACCOUNT FUND (0042)</t>
  </si>
  <si>
    <t>PUBLIC TRANSPORTATION ACCOUNT (0046)</t>
  </si>
  <si>
    <t>0046 - PUBLIC TRANSPORTATION ACCOUNT</t>
  </si>
  <si>
    <t>2321 Buildings</t>
  </si>
  <si>
    <t>2341 Equipment</t>
  </si>
  <si>
    <t>2411 Computer Software - Amortizable</t>
  </si>
  <si>
    <t>2412 Land Use Rights - Amortizable</t>
  </si>
  <si>
    <t>2413 Patents, Copyrights, and Trademarks - Amortizable</t>
  </si>
  <si>
    <t>2414 Other Intangible Assets - Amortizable</t>
  </si>
  <si>
    <t>2415 Right-to-Use Leased Land - Amortizable</t>
  </si>
  <si>
    <t>2416 Right-to-Use Leased Buildings - Amortizable</t>
  </si>
  <si>
    <t>2417 Right-to-Use Leased Equipment - Amortizable</t>
  </si>
  <si>
    <t>2418 Right-to-Use Subscription-Based Information Technology Arrangements (SBITA) - Amortizable</t>
  </si>
  <si>
    <t>2422 Land Use Rights - Non-Amortizable</t>
  </si>
  <si>
    <t>0046</t>
  </si>
  <si>
    <t>2331 Improvements Other Than Buildings</t>
  </si>
  <si>
    <r>
      <rPr>
        <b/>
        <sz val="11"/>
        <color theme="1"/>
        <rFont val="Arial"/>
        <family val="2"/>
      </rPr>
      <t>Page No</t>
    </r>
    <r>
      <rPr>
        <sz val="12"/>
        <color theme="1"/>
        <rFont val="Arial"/>
        <family val="2"/>
      </rPr>
      <t xml:space="preserve"> :</t>
    </r>
    <r>
      <rPr>
        <sz val="11"/>
        <color theme="1"/>
        <rFont val="Arial"/>
        <family val="2"/>
      </rPr>
      <t xml:space="preserve"> </t>
    </r>
    <r>
      <rPr>
        <sz val="11"/>
        <color theme="1"/>
        <rFont val="Arial"/>
        <family val="2"/>
      </rPr>
      <t>4</t>
    </r>
  </si>
  <si>
    <r>
      <rPr>
        <b/>
        <sz val="11"/>
        <color theme="1"/>
        <rFont val="Arial"/>
        <family val="2"/>
      </rPr>
      <t>Page No</t>
    </r>
    <r>
      <rPr>
        <sz val="12"/>
        <color theme="1"/>
        <rFont val="Arial"/>
        <family val="2"/>
      </rPr>
      <t xml:space="preserve"> :</t>
    </r>
    <r>
      <rPr>
        <sz val="11"/>
        <color theme="1"/>
        <rFont val="Arial"/>
        <family val="2"/>
      </rPr>
      <t xml:space="preserve"> </t>
    </r>
    <r>
      <rPr>
        <sz val="11"/>
        <color theme="1"/>
        <rFont val="Arial"/>
        <family val="2"/>
      </rPr>
      <t>5</t>
    </r>
  </si>
  <si>
    <t>a - Infrastructure only.</t>
  </si>
  <si>
    <t>0183</t>
  </si>
  <si>
    <r>
      <rPr>
        <b/>
        <sz val="11"/>
        <color theme="1"/>
        <rFont val="Arial"/>
        <family val="2"/>
      </rPr>
      <t>Page No</t>
    </r>
    <r>
      <rPr>
        <sz val="12"/>
        <color theme="1"/>
        <rFont val="Arial"/>
        <family val="2"/>
      </rPr>
      <t xml:space="preserve"> :</t>
    </r>
    <r>
      <rPr>
        <sz val="11"/>
        <color theme="1"/>
        <rFont val="Arial"/>
        <family val="2"/>
      </rPr>
      <t xml:space="preserve"> </t>
    </r>
    <r>
      <rPr>
        <sz val="11"/>
        <color theme="1"/>
        <rFont val="Arial"/>
        <family val="2"/>
      </rPr>
      <t>6</t>
    </r>
  </si>
  <si>
    <t>EAST BAY STATE BUILDING AUTHORITY FUND (0523)</t>
  </si>
  <si>
    <t>0523 EAST BAY STATE BUILDING AUTHORITY FUND</t>
  </si>
  <si>
    <t>0523</t>
  </si>
  <si>
    <r>
      <rPr>
        <b/>
        <sz val="11"/>
        <color theme="1"/>
        <rFont val="Arial"/>
        <family val="2"/>
      </rPr>
      <t>Page No</t>
    </r>
    <r>
      <rPr>
        <sz val="12"/>
        <color theme="1"/>
        <rFont val="Arial"/>
        <family val="2"/>
      </rPr>
      <t xml:space="preserve"> :</t>
    </r>
    <r>
      <rPr>
        <sz val="11"/>
        <color theme="1"/>
        <rFont val="Arial"/>
        <family val="2"/>
      </rPr>
      <t xml:space="preserve"> </t>
    </r>
    <r>
      <rPr>
        <sz val="11"/>
        <color theme="1"/>
        <rFont val="Arial"/>
        <family val="2"/>
      </rPr>
      <t>7</t>
    </r>
  </si>
  <si>
    <t>SAN BERNARDINO STATE BUILDING AUTHORITY (0541)</t>
  </si>
  <si>
    <t xml:space="preserve">0541 SAN BERNARDINO STATE BUILDING AUTHORITY </t>
  </si>
  <si>
    <t>0541</t>
  </si>
  <si>
    <r>
      <rPr>
        <b/>
        <sz val="11"/>
        <color theme="1"/>
        <rFont val="Arial"/>
        <family val="2"/>
      </rPr>
      <t>Page No</t>
    </r>
    <r>
      <rPr>
        <sz val="12"/>
        <color theme="1"/>
        <rFont val="Arial"/>
        <family val="2"/>
      </rPr>
      <t xml:space="preserve"> :</t>
    </r>
    <r>
      <rPr>
        <sz val="11"/>
        <color theme="1"/>
        <rFont val="Arial"/>
        <family val="2"/>
      </rPr>
      <t xml:space="preserve"> </t>
    </r>
    <r>
      <rPr>
        <sz val="11"/>
        <color theme="1"/>
        <rFont val="Arial"/>
        <family val="2"/>
      </rPr>
      <t>8</t>
    </r>
  </si>
  <si>
    <t>0653</t>
  </si>
  <si>
    <t>SEISMIC RETROFIT BOND FUND OF 1996 (0653)</t>
  </si>
  <si>
    <t xml:space="preserve">0653 SEISMIC RETROFIT BOND FUND OF 1996 </t>
  </si>
  <si>
    <t>0673</t>
  </si>
  <si>
    <r>
      <rPr>
        <b/>
        <sz val="11"/>
        <color theme="1"/>
        <rFont val="Arial"/>
        <family val="2"/>
      </rPr>
      <t>Page No</t>
    </r>
    <r>
      <rPr>
        <sz val="12"/>
        <color theme="1"/>
        <rFont val="Arial"/>
        <family val="2"/>
      </rPr>
      <t xml:space="preserve"> :</t>
    </r>
    <r>
      <rPr>
        <sz val="11"/>
        <color theme="1"/>
        <rFont val="Arial"/>
        <family val="2"/>
      </rPr>
      <t xml:space="preserve"> </t>
    </r>
    <r>
      <rPr>
        <sz val="11"/>
        <color theme="1"/>
        <rFont val="Arial"/>
        <family val="2"/>
      </rPr>
      <t>9</t>
    </r>
  </si>
  <si>
    <t>PASSENGER EQUIPMENT ACQUISITION FUND (0673)</t>
  </si>
  <si>
    <t xml:space="preserve">0673 PASSENGER EQUIPMENT ACQUISITION FUND </t>
  </si>
  <si>
    <t>0703</t>
  </si>
  <si>
    <r>
      <rPr>
        <b/>
        <sz val="11"/>
        <color theme="1"/>
        <rFont val="Arial"/>
        <family val="2"/>
      </rPr>
      <t>Page No</t>
    </r>
    <r>
      <rPr>
        <sz val="12"/>
        <color theme="1"/>
        <rFont val="Arial"/>
        <family val="2"/>
      </rPr>
      <t xml:space="preserve"> :</t>
    </r>
    <r>
      <rPr>
        <sz val="11"/>
        <color theme="1"/>
        <rFont val="Arial"/>
        <family val="2"/>
      </rPr>
      <t xml:space="preserve"> </t>
    </r>
    <r>
      <rPr>
        <sz val="11"/>
        <color theme="1"/>
        <rFont val="Arial"/>
        <family val="2"/>
      </rPr>
      <t>10</t>
    </r>
  </si>
  <si>
    <t>0756</t>
  </si>
  <si>
    <t>PASSENGER RAIL BOND FUND - PROPOSITION 108 (0756)</t>
  </si>
  <si>
    <t>0756 PASSENGER RAIL BOND FUND - PROPOSITION 108</t>
  </si>
  <si>
    <r>
      <rPr>
        <b/>
        <sz val="11"/>
        <color theme="1"/>
        <rFont val="Arial"/>
        <family val="2"/>
      </rPr>
      <t>Page No</t>
    </r>
    <r>
      <rPr>
        <sz val="12"/>
        <color theme="1"/>
        <rFont val="Arial"/>
        <family val="2"/>
      </rPr>
      <t xml:space="preserve"> :</t>
    </r>
    <r>
      <rPr>
        <sz val="11"/>
        <color theme="1"/>
        <rFont val="Arial"/>
        <family val="2"/>
      </rPr>
      <t xml:space="preserve"> </t>
    </r>
    <r>
      <rPr>
        <sz val="11"/>
        <color theme="1"/>
        <rFont val="Arial"/>
        <family val="2"/>
      </rPr>
      <t>11</t>
    </r>
  </si>
  <si>
    <t>0942</t>
  </si>
  <si>
    <t>SPECIAL DEPOSITS FUND (0942)</t>
  </si>
  <si>
    <t xml:space="preserve">0942 SPECIAL DEPOSITS FUND </t>
  </si>
  <si>
    <r>
      <rPr>
        <b/>
        <sz val="11"/>
        <color theme="1"/>
        <rFont val="Arial"/>
        <family val="2"/>
      </rPr>
      <t>Page No</t>
    </r>
    <r>
      <rPr>
        <sz val="12"/>
        <color theme="1"/>
        <rFont val="Arial"/>
        <family val="2"/>
      </rPr>
      <t xml:space="preserve"> :</t>
    </r>
    <r>
      <rPr>
        <sz val="11"/>
        <color theme="1"/>
        <rFont val="Arial"/>
        <family val="2"/>
      </rPr>
      <t xml:space="preserve"> </t>
    </r>
    <r>
      <rPr>
        <sz val="11"/>
        <color theme="1"/>
        <rFont val="Arial"/>
        <family val="2"/>
      </rPr>
      <t>12</t>
    </r>
  </si>
  <si>
    <t>3007</t>
  </si>
  <si>
    <t>TRAFFIC CONGESTION RELIEF FUND (3007)</t>
  </si>
  <si>
    <t>3007 TRAFFIC CONGESTION RELIEF FUND</t>
  </si>
  <si>
    <t>3290</t>
  </si>
  <si>
    <t xml:space="preserve">ROAD MAINTENANCE AND REHABILITATION ACCOUNT (3290) </t>
  </si>
  <si>
    <t>3290 ROAD MAINTENANCE AND REHABILITATION ACCOUNT</t>
  </si>
  <si>
    <t>3291</t>
  </si>
  <si>
    <t>TRADE CORRIDOR ENHANCEMENT ACCOUNT (3291)</t>
  </si>
  <si>
    <t xml:space="preserve">3291 TRADE CORRIDOR ENHANCEMENT ACCOUNT </t>
  </si>
  <si>
    <t>6055</t>
  </si>
  <si>
    <t>CORRIDOR MOBILITY IMPROVEMENT ACCOUNT, HIGHWAY SAFETY, TRAFFIC REDUCTION, AIR QUALITY, AND PORT SECURITY FUND OF 2006 (6055)</t>
  </si>
  <si>
    <t>6055 CORRIDOR MOBILITY IMPROVEMENT ACCOUNT, HIGHWAY SAFETY, TRAFFIC REDUCTION, AIR QUALITY, AND PORT SECURITY FUND OF 2006</t>
  </si>
  <si>
    <t>TRADE CORRIDORS IMPROVEMENT FUND (6056)</t>
  </si>
  <si>
    <t xml:space="preserve">6056 TRADE CORRIDORS IMPROVEMENT FUND </t>
  </si>
  <si>
    <t>6058</t>
  </si>
  <si>
    <t>TRANSPORTATION FACILITIES ACCOUNT, HIGHWAY SAFETY, TRAFFIC REDUCTION, AIR QUALITY, AND PORT SECURITY FUND OF 2006 (6058)</t>
  </si>
  <si>
    <t>6059 PUBLIC TRANSPORTATION ACCOUNT</t>
  </si>
  <si>
    <t>6059</t>
  </si>
  <si>
    <t>6060</t>
  </si>
  <si>
    <t xml:space="preserve">PUBLIC TRANSPORTATION MODERNIZATION, IMPROVEMENT AND SERVICE ENHANCEMENT ACCOUNT, HIGHWAY SAFETY, TRAFFIC REDUCTION, AIR QUALITY, AND PORT SECURITY FUND OF 2006 (6059) </t>
  </si>
  <si>
    <t>6062</t>
  </si>
  <si>
    <t>LOCAL BRIDGE SEISMIC RETROFIT ACCOUNT, HIGHWAY SAFETY, TRAFFIC REDUCTION, AIR QUALITY, AND PORT SECURITY FUND OF 2006 (6062)</t>
  </si>
  <si>
    <t>6063</t>
  </si>
  <si>
    <t>HIGHWAY-RAILROAD CROSSING SAFETY ACCOUNT, HIGHWAY SAFETY, TRAFFIC REDUCTION, AIR QUALITY, AND PORT SECURITY FUND OF 2006 (6063)</t>
  </si>
  <si>
    <t>6064</t>
  </si>
  <si>
    <t>HIGHWAY SAFETY, REHABILITATION, AND PRESERVATION ACCOUNT, HIGHWAY SAFETY, TRAFFIC REDUCTION, AIR QUALITY, AND PORT SECURITY FUND OF 2006 (6064)</t>
  </si>
  <si>
    <t>6072</t>
  </si>
  <si>
    <t>ROUTE 99 ACCOUNT, STATE, HIGHWAY SAFETY, TRAFFIC REDUCTION, AIR QUALITY, AND PORT SECURITY FUND OF 2006 (6072)</t>
  </si>
  <si>
    <t>GARVEE BONDS CONSTRUCTION FUND (6801)</t>
  </si>
  <si>
    <t xml:space="preserve">6801 GARVEE BONDS CONSTRUCTION FUND </t>
  </si>
  <si>
    <t>DEPARTMENT OF TRANSPORTATION (2660)</t>
  </si>
  <si>
    <r>
      <t xml:space="preserve">Business Unit:         </t>
    </r>
    <r>
      <rPr>
        <sz val="11"/>
        <color theme="1"/>
        <rFont val="Arial"/>
        <family val="2"/>
      </rPr>
      <t>2660 - DEPARTMENT OF TRANSPORTATION</t>
    </r>
  </si>
  <si>
    <t xml:space="preserve">Run Date:        </t>
  </si>
  <si>
    <r>
      <rPr>
        <b/>
        <sz val="11"/>
        <color theme="1"/>
        <rFont val="Arial"/>
        <family val="2"/>
      </rPr>
      <t xml:space="preserve">Run Time: </t>
    </r>
    <r>
      <rPr>
        <sz val="11"/>
        <color theme="1"/>
        <rFont val="Arial"/>
        <family val="2"/>
      </rPr>
      <t xml:space="preserve">         </t>
    </r>
  </si>
  <si>
    <t xml:space="preserve">  2321 -  Buildings                                            </t>
  </si>
  <si>
    <t xml:space="preserve">  2411 -  Computer Software - Amortizable</t>
  </si>
  <si>
    <t xml:space="preserve">  2413 -  Patents, Copyrights, and Trademarks - Amortizable</t>
  </si>
  <si>
    <t xml:space="preserve">  2414 -  Other Intangible Assets-Amortizable                                                    </t>
  </si>
  <si>
    <t xml:space="preserve">  2416 -  Rights Leased Buildgs-Amortizable                                                    </t>
  </si>
  <si>
    <t xml:space="preserve">  2418 -  Right-to-use SBITA - Amortizable                                                    </t>
  </si>
  <si>
    <t xml:space="preserve">  2415 -  Right-to-Use Leased Land - Amortizable</t>
  </si>
  <si>
    <t xml:space="preserve">  2417 -  Right-to-Use Leased Equipment - Amortizable</t>
  </si>
  <si>
    <t xml:space="preserve">  2422 -  Land Use Rights - Non-Amortizable                                              </t>
  </si>
  <si>
    <t xml:space="preserve">  2361 -  Infrastructure - Non Depreciable</t>
  </si>
  <si>
    <r>
      <rPr>
        <sz val="10"/>
        <color rgb="FF003300"/>
        <rFont val="Arial"/>
        <family val="2"/>
      </rPr>
      <t xml:space="preserve">  Fund:  </t>
    </r>
    <r>
      <rPr>
        <sz val="10"/>
        <color theme="1"/>
        <rFont val="Arial"/>
        <family val="2"/>
      </rPr>
      <t>0041 - Aeronautics Fund</t>
    </r>
  </si>
  <si>
    <r>
      <t xml:space="preserve">  Fund:  </t>
    </r>
    <r>
      <rPr>
        <sz val="10"/>
        <rFont val="Arial"/>
        <family val="2"/>
      </rPr>
      <t>0001 - General Fund</t>
    </r>
  </si>
  <si>
    <r>
      <rPr>
        <sz val="10"/>
        <color rgb="FF003300"/>
        <rFont val="Arial"/>
        <family val="2"/>
      </rPr>
      <t xml:space="preserve">  Fund:  </t>
    </r>
    <r>
      <rPr>
        <sz val="10"/>
        <color theme="1"/>
        <rFont val="Arial"/>
        <family val="2"/>
      </rPr>
      <t>0042 - State Highway Account Fund</t>
    </r>
  </si>
  <si>
    <r>
      <rPr>
        <sz val="10"/>
        <color rgb="FF003300"/>
        <rFont val="Arial"/>
        <family val="2"/>
      </rPr>
      <t xml:space="preserve">  Fund:  </t>
    </r>
    <r>
      <rPr>
        <sz val="10"/>
        <color theme="1"/>
        <rFont val="Arial"/>
        <family val="2"/>
      </rPr>
      <t>0046 - Transportation Planning &amp; Development Account Fund</t>
    </r>
  </si>
  <si>
    <r>
      <rPr>
        <sz val="10"/>
        <color rgb="FF003300"/>
        <rFont val="Arial"/>
        <family val="2"/>
      </rPr>
      <t xml:space="preserve">  Fund:  </t>
    </r>
    <r>
      <rPr>
        <sz val="10"/>
        <color theme="1"/>
        <rFont val="Arial"/>
        <family val="2"/>
      </rPr>
      <t>0183 - Environmental Enhancement and Mitigation</t>
    </r>
  </si>
  <si>
    <r>
      <rPr>
        <sz val="10"/>
        <color rgb="FF003300"/>
        <rFont val="Arial"/>
        <family val="2"/>
      </rPr>
      <t xml:space="preserve">  Fund:  </t>
    </r>
    <r>
      <rPr>
        <sz val="10"/>
        <color theme="1"/>
        <rFont val="Arial"/>
        <family val="2"/>
      </rPr>
      <t xml:space="preserve">0523 - East Bay State Building Authority Fund </t>
    </r>
  </si>
  <si>
    <r>
      <rPr>
        <sz val="10"/>
        <color rgb="FF003300"/>
        <rFont val="Arial"/>
        <family val="2"/>
      </rPr>
      <t xml:space="preserve">  Fund:  </t>
    </r>
    <r>
      <rPr>
        <sz val="10"/>
        <color theme="1"/>
        <rFont val="Arial"/>
        <family val="2"/>
      </rPr>
      <t>0541 - San Bernardino State Building Authority</t>
    </r>
  </si>
  <si>
    <r>
      <rPr>
        <sz val="10"/>
        <color rgb="FF003300"/>
        <rFont val="Arial"/>
        <family val="2"/>
      </rPr>
      <t xml:space="preserve">  Fund:  </t>
    </r>
    <r>
      <rPr>
        <sz val="10"/>
        <color theme="1"/>
        <rFont val="Arial"/>
        <family val="2"/>
      </rPr>
      <t>0653 - Seismic Retrofit Bond Fund of 1996</t>
    </r>
  </si>
  <si>
    <r>
      <rPr>
        <sz val="10"/>
        <color rgb="FF003300"/>
        <rFont val="Arial"/>
        <family val="2"/>
      </rPr>
      <t xml:space="preserve">  Fund:  </t>
    </r>
    <r>
      <rPr>
        <sz val="10"/>
        <color theme="1"/>
        <rFont val="Arial"/>
        <family val="2"/>
      </rPr>
      <t>0673 - PASSENGER EQUIPMENT ACQUISITION FUND</t>
    </r>
  </si>
  <si>
    <r>
      <rPr>
        <sz val="10"/>
        <color rgb="FF003300"/>
        <rFont val="Arial"/>
        <family val="2"/>
      </rPr>
      <t xml:space="preserve">  Fund:  </t>
    </r>
    <r>
      <rPr>
        <sz val="10"/>
        <color theme="1"/>
        <rFont val="Arial"/>
        <family val="2"/>
      </rPr>
      <t>0703 - Proposition 116</t>
    </r>
  </si>
  <si>
    <r>
      <rPr>
        <sz val="10"/>
        <color rgb="FF003300"/>
        <rFont val="Arial"/>
        <family val="2"/>
      </rPr>
      <t xml:space="preserve">  Fund:  </t>
    </r>
    <r>
      <rPr>
        <sz val="10"/>
        <color theme="1"/>
        <rFont val="Arial"/>
        <family val="2"/>
      </rPr>
      <t xml:space="preserve">0756 - Passenger Rail Bond </t>
    </r>
  </si>
  <si>
    <r>
      <rPr>
        <sz val="10"/>
        <color rgb="FF003300"/>
        <rFont val="Arial"/>
        <family val="2"/>
      </rPr>
      <t xml:space="preserve">  Fund:  </t>
    </r>
    <r>
      <rPr>
        <sz val="10"/>
        <color theme="1"/>
        <rFont val="Arial"/>
        <family val="2"/>
      </rPr>
      <t>0942 - Special Deposits Fund</t>
    </r>
  </si>
  <si>
    <r>
      <rPr>
        <sz val="10"/>
        <color rgb="FF003300"/>
        <rFont val="Arial"/>
        <family val="2"/>
      </rPr>
      <t xml:space="preserve">  Fund:  </t>
    </r>
    <r>
      <rPr>
        <sz val="10"/>
        <color theme="1"/>
        <rFont val="Arial"/>
        <family val="2"/>
      </rPr>
      <t>3007 - Traffic Congestion Relief Fund</t>
    </r>
  </si>
  <si>
    <r>
      <rPr>
        <sz val="10"/>
        <color rgb="FF003300"/>
        <rFont val="Arial"/>
        <family val="2"/>
      </rPr>
      <t xml:space="preserve">  Fund:  </t>
    </r>
    <r>
      <rPr>
        <sz val="10"/>
        <color theme="1"/>
        <rFont val="Arial"/>
        <family val="2"/>
      </rPr>
      <t>3290 - Road Maintenance and Rehabilitation Account</t>
    </r>
  </si>
  <si>
    <r>
      <rPr>
        <sz val="10"/>
        <color rgb="FF003300"/>
        <rFont val="Arial"/>
        <family val="2"/>
      </rPr>
      <t xml:space="preserve">  Fund:  </t>
    </r>
    <r>
      <rPr>
        <sz val="10"/>
        <color theme="1"/>
        <rFont val="Arial"/>
        <family val="2"/>
      </rPr>
      <t>3291 - Trade Corridor Enhancement Account</t>
    </r>
  </si>
  <si>
    <r>
      <rPr>
        <sz val="10"/>
        <color rgb="FF003300"/>
        <rFont val="Arial"/>
        <family val="2"/>
      </rPr>
      <t xml:space="preserve">  Fund:  </t>
    </r>
    <r>
      <rPr>
        <sz val="10"/>
        <color theme="1"/>
        <rFont val="Arial"/>
        <family val="2"/>
      </rPr>
      <t>6055 - Corridor Mobility Improvement Account, Highway Safety, Traffic Reduction, Air Quality, and Port Security Fund of 2006</t>
    </r>
  </si>
  <si>
    <r>
      <rPr>
        <sz val="10"/>
        <color rgb="FF003300"/>
        <rFont val="Arial"/>
        <family val="2"/>
      </rPr>
      <t xml:space="preserve">  Fund:  </t>
    </r>
    <r>
      <rPr>
        <sz val="10"/>
        <color theme="1"/>
        <rFont val="Arial"/>
        <family val="2"/>
      </rPr>
      <t xml:space="preserve">6056 - Trade Corridors Improvement Fund </t>
    </r>
  </si>
  <si>
    <r>
      <rPr>
        <sz val="10"/>
        <color rgb="FF003300"/>
        <rFont val="Arial"/>
        <family val="2"/>
      </rPr>
      <t xml:space="preserve">  Fund:  </t>
    </r>
    <r>
      <rPr>
        <sz val="10"/>
        <color theme="1"/>
        <rFont val="Arial"/>
        <family val="2"/>
      </rPr>
      <t>6058 - Transportation Facilities Account, Highway Safety, Traffic Reduction, Air Quality, and Port Security Fund of 2006</t>
    </r>
  </si>
  <si>
    <r>
      <rPr>
        <sz val="10"/>
        <color rgb="FF003300"/>
        <rFont val="Arial"/>
        <family val="2"/>
      </rPr>
      <t xml:space="preserve">  Fund:  </t>
    </r>
    <r>
      <rPr>
        <sz val="10"/>
        <color theme="1"/>
        <rFont val="Arial"/>
        <family val="2"/>
      </rPr>
      <t>6059- Public Transportation Modernization, Improvement and Service Enhancement Account, Highway Safety, Traffic Reduction, Air Quality, and Port Security Fund of 2006</t>
    </r>
  </si>
  <si>
    <r>
      <rPr>
        <sz val="10"/>
        <color rgb="FF003300"/>
        <rFont val="Arial"/>
        <family val="2"/>
      </rPr>
      <t xml:space="preserve">  Fund:  </t>
    </r>
    <r>
      <rPr>
        <sz val="10"/>
        <color theme="1"/>
        <rFont val="Arial"/>
        <family val="2"/>
      </rPr>
      <t>6060 - State-Local Partnership Program Account, Highway Safety, Traffic Reduction, Air Quality, and Port Security Fund of 2006</t>
    </r>
  </si>
  <si>
    <r>
      <rPr>
        <sz val="10"/>
        <color rgb="FF003300"/>
        <rFont val="Arial"/>
        <family val="2"/>
      </rPr>
      <t xml:space="preserve">  Fund:  </t>
    </r>
    <r>
      <rPr>
        <sz val="10"/>
        <color theme="1"/>
        <rFont val="Arial"/>
        <family val="2"/>
      </rPr>
      <t>6062 - Local Bridge Seismic Retrofit Account, Highway Safety, Traffic Reduction, Air Quality, and Port Security Fund of 2006</t>
    </r>
  </si>
  <si>
    <r>
      <rPr>
        <sz val="10"/>
        <color rgb="FF003300"/>
        <rFont val="Arial"/>
        <family val="2"/>
      </rPr>
      <t xml:space="preserve">  Fund:  </t>
    </r>
    <r>
      <rPr>
        <sz val="10"/>
        <color theme="1"/>
        <rFont val="Arial"/>
        <family val="2"/>
      </rPr>
      <t>6063 - Highway-Railroad Crossing Safety Account, Highway Safety, Traffic Reduction, Air Quality, and Port Security Fund of 2006</t>
    </r>
  </si>
  <si>
    <r>
      <rPr>
        <sz val="10"/>
        <color rgb="FF003300"/>
        <rFont val="Arial"/>
        <family val="2"/>
      </rPr>
      <t xml:space="preserve">  Fund:  </t>
    </r>
    <r>
      <rPr>
        <sz val="10"/>
        <color theme="1"/>
        <rFont val="Arial"/>
        <family val="2"/>
      </rPr>
      <t xml:space="preserve">6064 - Highway Safety, Rehabilitation, and Preservation Account, Highway Safety, Traffic Reduction, Air Quality, and Port Security Fund of 2006 </t>
    </r>
  </si>
  <si>
    <r>
      <rPr>
        <sz val="10"/>
        <color rgb="FF003300"/>
        <rFont val="Arial"/>
        <family val="2"/>
      </rPr>
      <t xml:space="preserve">  Fund:  </t>
    </r>
    <r>
      <rPr>
        <sz val="10"/>
        <color theme="1"/>
        <rFont val="Arial"/>
        <family val="2"/>
      </rPr>
      <t>6072 - Route 99 Account, State, Highway Safety, Traffic Reduction, Air Quality, and Port Security Fund of 2006</t>
    </r>
  </si>
  <si>
    <r>
      <rPr>
        <sz val="10"/>
        <color rgb="FF003300"/>
        <rFont val="Arial"/>
        <family val="2"/>
      </rPr>
      <t xml:space="preserve">  Fund:  </t>
    </r>
    <r>
      <rPr>
        <sz val="10"/>
        <color theme="1"/>
        <rFont val="Arial"/>
        <family val="2"/>
      </rPr>
      <t xml:space="preserve">6801 - Garvee Bonds Construction Fund </t>
    </r>
  </si>
  <si>
    <t>Building</t>
  </si>
  <si>
    <t>Non-Depreciable Infrastructure (means GASB34 completed projects)</t>
  </si>
  <si>
    <t>Const  WIP</t>
  </si>
  <si>
    <t>Computer Software</t>
  </si>
  <si>
    <t xml:space="preserve"> Right-to-Use SBITA - Amortizable</t>
  </si>
  <si>
    <t>Right-to-Use Leased Building - Amortizable</t>
  </si>
  <si>
    <t>FXF</t>
  </si>
  <si>
    <t>Variance</t>
  </si>
  <si>
    <t>Fund 0001</t>
  </si>
  <si>
    <t>Fund 0041</t>
  </si>
  <si>
    <t>Fund 0042</t>
  </si>
  <si>
    <t>Fund 0046</t>
  </si>
  <si>
    <t>Fund 0183</t>
  </si>
  <si>
    <t>Fund 0523</t>
  </si>
  <si>
    <t>Fund 0541</t>
  </si>
  <si>
    <t>Fund 0653</t>
  </si>
  <si>
    <t>Fund 0673</t>
  </si>
  <si>
    <t>Fund 0703</t>
  </si>
  <si>
    <t>Fund 0756</t>
  </si>
  <si>
    <t>Fund 0942</t>
  </si>
  <si>
    <t>Fund 3007</t>
  </si>
  <si>
    <t>Fund 3290</t>
  </si>
  <si>
    <t>Fund 3291</t>
  </si>
  <si>
    <t>Fund 6055</t>
  </si>
  <si>
    <t>Fund 6056</t>
  </si>
  <si>
    <t>Fund 6058</t>
  </si>
  <si>
    <t>Fund 6059</t>
  </si>
  <si>
    <t>Fund 6060</t>
  </si>
  <si>
    <t>Fund 6062</t>
  </si>
  <si>
    <t>Fund 6063</t>
  </si>
  <si>
    <t>Fund 6064</t>
  </si>
  <si>
    <t>Fund 6072</t>
  </si>
  <si>
    <t>Fund 6801</t>
  </si>
  <si>
    <t>RPTGL075</t>
  </si>
  <si>
    <r>
      <rPr>
        <b/>
        <sz val="11"/>
        <color theme="1"/>
        <rFont val="Arial"/>
        <family val="2"/>
      </rPr>
      <t>Run Date:</t>
    </r>
    <r>
      <rPr>
        <sz val="11"/>
        <color theme="1"/>
        <rFont val="Arial"/>
        <family val="2"/>
      </rPr>
      <t xml:space="preserve"> </t>
    </r>
  </si>
  <si>
    <r>
      <rPr>
        <b/>
        <sz val="11"/>
        <color theme="1"/>
        <rFont val="Arial"/>
        <family val="2"/>
      </rPr>
      <t>Run Time:</t>
    </r>
    <r>
      <rPr>
        <sz val="11"/>
        <color theme="1"/>
        <rFont val="Arial"/>
        <family val="2"/>
      </rPr>
      <t xml:space="preserve"> </t>
    </r>
  </si>
  <si>
    <r>
      <t xml:space="preserve">2310 Land </t>
    </r>
    <r>
      <rPr>
        <vertAlign val="superscript"/>
        <sz val="11"/>
        <color theme="1"/>
        <rFont val="Arial"/>
        <family val="2"/>
      </rPr>
      <t>a</t>
    </r>
  </si>
  <si>
    <r>
      <t xml:space="preserve">2350 Construction Work in Progress </t>
    </r>
    <r>
      <rPr>
        <vertAlign val="superscript"/>
        <sz val="11"/>
        <color theme="1"/>
        <rFont val="Arial"/>
        <family val="2"/>
      </rPr>
      <t>a</t>
    </r>
  </si>
  <si>
    <r>
      <t xml:space="preserve">2361 Infrastructure - Non Depreciable </t>
    </r>
    <r>
      <rPr>
        <vertAlign val="superscript"/>
        <sz val="11"/>
        <color theme="1"/>
        <rFont val="Arial"/>
        <family val="2"/>
      </rPr>
      <t>b</t>
    </r>
  </si>
  <si>
    <r>
      <t>Land - Infrastructure Dept (2310-5900)</t>
    </r>
    <r>
      <rPr>
        <vertAlign val="superscript"/>
        <sz val="10"/>
        <rFont val="Arial"/>
        <family val="2"/>
      </rPr>
      <t xml:space="preserve"> </t>
    </r>
  </si>
  <si>
    <r>
      <t>Land - Infrastructure Dept (2310-5900)</t>
    </r>
    <r>
      <rPr>
        <vertAlign val="superscript"/>
        <sz val="10"/>
        <rFont val="Arial"/>
        <family val="2"/>
      </rPr>
      <t xml:space="preserve"> b</t>
    </r>
  </si>
  <si>
    <t>0041 AERONAUTICS FUND</t>
  </si>
  <si>
    <r>
      <rPr>
        <b/>
        <sz val="11"/>
        <color theme="1"/>
        <rFont val="Arial"/>
        <family val="2"/>
      </rPr>
      <t>Report ID:</t>
    </r>
    <r>
      <rPr>
        <sz val="11"/>
        <color theme="1"/>
        <rFont val="Arial"/>
        <family val="2"/>
      </rPr>
      <t xml:space="preserve"> </t>
    </r>
  </si>
  <si>
    <t>6081</t>
  </si>
  <si>
    <t>6056</t>
  </si>
  <si>
    <t>Advance Mitigation Account, State Transportation Fund (2504)</t>
  </si>
  <si>
    <t>2504</t>
  </si>
  <si>
    <r>
      <rPr>
        <b/>
        <sz val="11"/>
        <color theme="1"/>
        <rFont val="Arial"/>
        <family val="2"/>
      </rPr>
      <t>Page No</t>
    </r>
    <r>
      <rPr>
        <sz val="12"/>
        <color theme="1"/>
        <rFont val="Arial"/>
        <family val="2"/>
      </rPr>
      <t xml:space="preserve"> :</t>
    </r>
    <r>
      <rPr>
        <sz val="11"/>
        <color theme="1"/>
        <rFont val="Arial"/>
        <family val="2"/>
      </rPr>
      <t xml:space="preserve"> 13</t>
    </r>
  </si>
  <si>
    <r>
      <rPr>
        <b/>
        <sz val="11"/>
        <color theme="1"/>
        <rFont val="Arial"/>
        <family val="2"/>
      </rPr>
      <t>Page No</t>
    </r>
    <r>
      <rPr>
        <sz val="12"/>
        <color theme="1"/>
        <rFont val="Arial"/>
        <family val="2"/>
      </rPr>
      <t xml:space="preserve"> :</t>
    </r>
    <r>
      <rPr>
        <sz val="11"/>
        <color theme="1"/>
        <rFont val="Arial"/>
        <family val="2"/>
      </rPr>
      <t xml:space="preserve"> 14</t>
    </r>
  </si>
  <si>
    <r>
      <rPr>
        <b/>
        <sz val="11"/>
        <color theme="1"/>
        <rFont val="Arial"/>
        <family val="2"/>
      </rPr>
      <t>Page No</t>
    </r>
    <r>
      <rPr>
        <sz val="12"/>
        <color theme="1"/>
        <rFont val="Arial"/>
        <family val="2"/>
      </rPr>
      <t xml:space="preserve"> :</t>
    </r>
    <r>
      <rPr>
        <sz val="11"/>
        <color theme="1"/>
        <rFont val="Arial"/>
        <family val="2"/>
      </rPr>
      <t xml:space="preserve"> 15</t>
    </r>
  </si>
  <si>
    <r>
      <rPr>
        <b/>
        <sz val="11"/>
        <color theme="1"/>
        <rFont val="Arial"/>
        <family val="2"/>
      </rPr>
      <t>Page No</t>
    </r>
    <r>
      <rPr>
        <sz val="12"/>
        <color theme="1"/>
        <rFont val="Arial"/>
        <family val="2"/>
      </rPr>
      <t xml:space="preserve"> :</t>
    </r>
    <r>
      <rPr>
        <sz val="11"/>
        <color theme="1"/>
        <rFont val="Arial"/>
        <family val="2"/>
      </rPr>
      <t xml:space="preserve"> 16</t>
    </r>
  </si>
  <si>
    <r>
      <rPr>
        <b/>
        <sz val="11"/>
        <color theme="1"/>
        <rFont val="Arial"/>
        <family val="2"/>
      </rPr>
      <t>Page No</t>
    </r>
    <r>
      <rPr>
        <sz val="12"/>
        <color theme="1"/>
        <rFont val="Arial"/>
        <family val="2"/>
      </rPr>
      <t xml:space="preserve"> :</t>
    </r>
    <r>
      <rPr>
        <sz val="11"/>
        <color theme="1"/>
        <rFont val="Arial"/>
        <family val="2"/>
      </rPr>
      <t xml:space="preserve"> 17</t>
    </r>
  </si>
  <si>
    <r>
      <rPr>
        <b/>
        <sz val="11"/>
        <color theme="1"/>
        <rFont val="Arial"/>
        <family val="2"/>
      </rPr>
      <t>Page No</t>
    </r>
    <r>
      <rPr>
        <sz val="12"/>
        <color theme="1"/>
        <rFont val="Arial"/>
        <family val="2"/>
      </rPr>
      <t xml:space="preserve"> :</t>
    </r>
    <r>
      <rPr>
        <sz val="11"/>
        <color theme="1"/>
        <rFont val="Arial"/>
        <family val="2"/>
      </rPr>
      <t xml:space="preserve"> 18</t>
    </r>
  </si>
  <si>
    <r>
      <rPr>
        <b/>
        <sz val="11"/>
        <color theme="1"/>
        <rFont val="Arial"/>
        <family val="2"/>
      </rPr>
      <t>Page No</t>
    </r>
    <r>
      <rPr>
        <sz val="12"/>
        <color theme="1"/>
        <rFont val="Arial"/>
        <family val="2"/>
      </rPr>
      <t xml:space="preserve"> :</t>
    </r>
    <r>
      <rPr>
        <sz val="11"/>
        <color theme="1"/>
        <rFont val="Arial"/>
        <family val="2"/>
      </rPr>
      <t xml:space="preserve"> 19</t>
    </r>
  </si>
  <si>
    <r>
      <rPr>
        <b/>
        <sz val="11"/>
        <color theme="1"/>
        <rFont val="Arial"/>
        <family val="2"/>
      </rPr>
      <t>Page No</t>
    </r>
    <r>
      <rPr>
        <sz val="12"/>
        <color theme="1"/>
        <rFont val="Arial"/>
        <family val="2"/>
      </rPr>
      <t xml:space="preserve"> :</t>
    </r>
    <r>
      <rPr>
        <sz val="11"/>
        <color theme="1"/>
        <rFont val="Arial"/>
        <family val="2"/>
      </rPr>
      <t xml:space="preserve"> 20</t>
    </r>
  </si>
  <si>
    <r>
      <rPr>
        <b/>
        <sz val="11"/>
        <color theme="1"/>
        <rFont val="Arial"/>
        <family val="2"/>
      </rPr>
      <t>Page No</t>
    </r>
    <r>
      <rPr>
        <sz val="12"/>
        <color theme="1"/>
        <rFont val="Arial"/>
        <family val="2"/>
      </rPr>
      <t xml:space="preserve"> :</t>
    </r>
    <r>
      <rPr>
        <sz val="11"/>
        <color theme="1"/>
        <rFont val="Arial"/>
        <family val="2"/>
      </rPr>
      <t xml:space="preserve"> 21</t>
    </r>
  </si>
  <si>
    <r>
      <rPr>
        <b/>
        <sz val="11"/>
        <color theme="1"/>
        <rFont val="Arial"/>
        <family val="2"/>
      </rPr>
      <t>Page No</t>
    </r>
    <r>
      <rPr>
        <sz val="12"/>
        <color theme="1"/>
        <rFont val="Arial"/>
        <family val="2"/>
      </rPr>
      <t xml:space="preserve"> :</t>
    </r>
    <r>
      <rPr>
        <sz val="11"/>
        <color theme="1"/>
        <rFont val="Arial"/>
        <family val="2"/>
      </rPr>
      <t xml:space="preserve"> 22</t>
    </r>
  </si>
  <si>
    <r>
      <rPr>
        <b/>
        <sz val="11"/>
        <color theme="1"/>
        <rFont val="Arial"/>
        <family val="2"/>
      </rPr>
      <t>Page No</t>
    </r>
    <r>
      <rPr>
        <sz val="12"/>
        <color theme="1"/>
        <rFont val="Arial"/>
        <family val="2"/>
      </rPr>
      <t xml:space="preserve"> :</t>
    </r>
    <r>
      <rPr>
        <sz val="11"/>
        <color theme="1"/>
        <rFont val="Arial"/>
        <family val="2"/>
      </rPr>
      <t xml:space="preserve"> 23</t>
    </r>
  </si>
  <si>
    <r>
      <rPr>
        <b/>
        <sz val="11"/>
        <color theme="1"/>
        <rFont val="Arial"/>
        <family val="2"/>
      </rPr>
      <t>Page No</t>
    </r>
    <r>
      <rPr>
        <sz val="12"/>
        <color theme="1"/>
        <rFont val="Arial"/>
        <family val="2"/>
      </rPr>
      <t xml:space="preserve"> :</t>
    </r>
    <r>
      <rPr>
        <sz val="11"/>
        <color theme="1"/>
        <rFont val="Arial"/>
        <family val="2"/>
      </rPr>
      <t xml:space="preserve"> 24</t>
    </r>
  </si>
  <si>
    <r>
      <rPr>
        <b/>
        <sz val="11"/>
        <color theme="1"/>
        <rFont val="Arial"/>
        <family val="2"/>
      </rPr>
      <t>Page No</t>
    </r>
    <r>
      <rPr>
        <sz val="12"/>
        <color theme="1"/>
        <rFont val="Arial"/>
        <family val="2"/>
      </rPr>
      <t xml:space="preserve"> :</t>
    </r>
    <r>
      <rPr>
        <sz val="11"/>
        <color theme="1"/>
        <rFont val="Arial"/>
        <family val="2"/>
      </rPr>
      <t xml:space="preserve"> 27</t>
    </r>
  </si>
  <si>
    <r>
      <rPr>
        <sz val="10"/>
        <color rgb="FF003300"/>
        <rFont val="Arial"/>
        <family val="2"/>
      </rPr>
      <t xml:space="preserve">  Fund:  2504</t>
    </r>
    <r>
      <rPr>
        <sz val="10"/>
        <color theme="1"/>
        <rFont val="Arial"/>
        <family val="2"/>
      </rPr>
      <t xml:space="preserve"> - Traffic Congestion Relief Fund</t>
    </r>
  </si>
  <si>
    <t>2504 ADVANCE MITIGATION ACCOUNT, State Transportation Fund</t>
  </si>
  <si>
    <t>Fund 2504</t>
  </si>
  <si>
    <t>ENVIRONMENTAL ENHANCEMENT AND MITIGATION (0183)</t>
  </si>
  <si>
    <t xml:space="preserve">0183 - ENVIRONMENTAL ENHANCEMENT AND MITIGATION </t>
  </si>
  <si>
    <t>0703 PROPOSITION 116 RAIL BONDS</t>
  </si>
  <si>
    <t>PROPOSITION 116 RAIL BONDS (0703)</t>
  </si>
  <si>
    <t>6058 TRANSPORTATION FACILITIES ACCOUNT</t>
  </si>
  <si>
    <t>6060 STATE AND LOCAL PARTNERSHIP PROGRAM ACCOUNT</t>
  </si>
  <si>
    <t>STATE AND LOCAL PARTNERSHIP PROGRAM ACCOUNT, HIGHWAY SAFETY, TRAFFIC REDUCTION, AIR QUALITY, AND PORT SECURITY FUND OF 2006 (6060)</t>
  </si>
  <si>
    <t>6062 LOCAL BRIDGE SEISMIC RETROFIT ACCOUNT</t>
  </si>
  <si>
    <t>6063 HIGHWAY-RAILROAD CROSSING SAFETY ACCOUNT</t>
  </si>
  <si>
    <t>6064 HIGHWAY SAFETY, REHABILITATION, AND PRESERVATION ACCOUNT</t>
  </si>
  <si>
    <t>6072 ROUTE 99 ACCOUNT</t>
  </si>
  <si>
    <t>BB Only</t>
  </si>
  <si>
    <r>
      <t xml:space="preserve">c - The </t>
    </r>
    <r>
      <rPr>
        <b/>
        <sz val="11"/>
        <rFont val="Arial"/>
        <family val="2"/>
      </rPr>
      <t>$19,313,009.55</t>
    </r>
    <r>
      <rPr>
        <sz val="11"/>
        <rFont val="Arial"/>
        <family val="2"/>
      </rPr>
      <t xml:space="preserve"> in Construction Work in Progress' Deductions which represents FY 2023/2024's Transfer from CWIP to Non-Depreciable Infrastructure (Completed).</t>
    </r>
  </si>
  <si>
    <r>
      <t xml:space="preserve">c - The </t>
    </r>
    <r>
      <rPr>
        <b/>
        <sz val="11"/>
        <rFont val="Arial"/>
        <family val="2"/>
      </rPr>
      <t>$243,754,951.19</t>
    </r>
    <r>
      <rPr>
        <sz val="11"/>
        <rFont val="Arial"/>
        <family val="2"/>
      </rPr>
      <t xml:space="preserve"> in Construction Work in Progress' Deductions which represents FY 2023/2024's Transfer from CWIP to Non-Depreciable Infrastructure (Completed).</t>
    </r>
  </si>
  <si>
    <r>
      <t xml:space="preserve">c - The </t>
    </r>
    <r>
      <rPr>
        <b/>
        <sz val="11"/>
        <rFont val="Arial"/>
        <family val="2"/>
      </rPr>
      <t>$58,815,511.57</t>
    </r>
    <r>
      <rPr>
        <sz val="11"/>
        <rFont val="Arial"/>
        <family val="2"/>
      </rPr>
      <t xml:space="preserve"> in Construction Work in Progress' Deductions which represents FY 2023/2024's Transfer from CWIP to Non-Depreciable Infrastructure (Completed).</t>
    </r>
  </si>
  <si>
    <r>
      <t xml:space="preserve">c - The </t>
    </r>
    <r>
      <rPr>
        <b/>
        <sz val="11"/>
        <rFont val="Arial"/>
        <family val="2"/>
      </rPr>
      <t>$1,068,422.43</t>
    </r>
    <r>
      <rPr>
        <sz val="11"/>
        <rFont val="Arial"/>
        <family val="2"/>
      </rPr>
      <t xml:space="preserve"> in Construction Work in Progress' Deductions which represents FY 2023/2024's Transfer from CWIP to Non-Depreciable Infrastructure (Completed).</t>
    </r>
  </si>
  <si>
    <t>1. Deduction amount is the result of routine disposal/sales transactions.</t>
  </si>
  <si>
    <t>2. To reverse an erroneous transaction in the Excess Land Management System (ELMS).</t>
  </si>
  <si>
    <t>3. An adjustment to correct the value at acquisition (VTA) amount in ELMS.</t>
  </si>
  <si>
    <r>
      <t xml:space="preserve">2350 Construction Work in Progress </t>
    </r>
    <r>
      <rPr>
        <vertAlign val="superscript"/>
        <sz val="11"/>
        <color theme="1"/>
        <rFont val="Arial"/>
        <family val="2"/>
      </rPr>
      <t>b</t>
    </r>
  </si>
  <si>
    <t>h - See "Beginning Balance Differential Report".</t>
  </si>
  <si>
    <t>d - See "Beginning Balance Differential Report".</t>
  </si>
  <si>
    <r>
      <t xml:space="preserve">2361 Infrastructure - Non Depreciable </t>
    </r>
    <r>
      <rPr>
        <vertAlign val="superscript"/>
        <sz val="11"/>
        <color theme="1"/>
        <rFont val="Arial"/>
        <family val="2"/>
      </rPr>
      <t>a</t>
    </r>
  </si>
  <si>
    <t>2361 Infrastructure - Non Depreciable a</t>
  </si>
  <si>
    <t>b - See "Beginning Balance Differential Report".</t>
  </si>
  <si>
    <r>
      <t xml:space="preserve">b - The </t>
    </r>
    <r>
      <rPr>
        <b/>
        <sz val="11"/>
        <rFont val="Arial"/>
        <family val="2"/>
      </rPr>
      <t>$22,202,895.28</t>
    </r>
    <r>
      <rPr>
        <sz val="11"/>
        <rFont val="Arial"/>
        <family val="2"/>
      </rPr>
      <t xml:space="preserve"> in Construction Work in Progress' Deductions which represents FY 2023/2024's Transfer from CWIP to Non-Depreciable Infrastructure (Completed).</t>
    </r>
  </si>
  <si>
    <r>
      <t xml:space="preserve">b - The </t>
    </r>
    <r>
      <rPr>
        <b/>
        <sz val="11"/>
        <rFont val="Arial"/>
        <family val="2"/>
      </rPr>
      <t>$1,937,804.59</t>
    </r>
    <r>
      <rPr>
        <sz val="11"/>
        <rFont val="Arial"/>
        <family val="2"/>
      </rPr>
      <t xml:space="preserve"> in Construction Work in Progress' Deductions which represents FY 2023/2024's Transfer from CWIP to Non-Depreciable Infrastructure (Completed).</t>
    </r>
  </si>
  <si>
    <r>
      <t xml:space="preserve">b - The </t>
    </r>
    <r>
      <rPr>
        <b/>
        <sz val="11"/>
        <rFont val="Arial"/>
        <family val="2"/>
      </rPr>
      <t>$39,558,596.76</t>
    </r>
    <r>
      <rPr>
        <sz val="11"/>
        <rFont val="Arial"/>
        <family val="2"/>
      </rPr>
      <t xml:space="preserve"> in Construction Work in Progress' Deductions which represents FY 2023/2024's Transfer from CWIP to Non-Depreciable Infrastructure (Completed).</t>
    </r>
  </si>
  <si>
    <t>c - See "Beginning Balance Differential Report".</t>
  </si>
  <si>
    <r>
      <t xml:space="preserve">b - The </t>
    </r>
    <r>
      <rPr>
        <b/>
        <sz val="10"/>
        <rFont val="Arial"/>
        <family val="2"/>
      </rPr>
      <t>$2,630.83</t>
    </r>
    <r>
      <rPr>
        <sz val="10"/>
        <rFont val="Arial"/>
        <family val="2"/>
      </rPr>
      <t xml:space="preserve"> in Land Additions is part of a larger project, over $5K, that is multi-funded.</t>
    </r>
  </si>
  <si>
    <t>e - See "Beginning Balance Differential Report".</t>
  </si>
  <si>
    <r>
      <t xml:space="preserve">d - The </t>
    </r>
    <r>
      <rPr>
        <b/>
        <sz val="11"/>
        <rFont val="Arial"/>
        <family val="2"/>
      </rPr>
      <t>$1,104,181.11</t>
    </r>
    <r>
      <rPr>
        <sz val="11"/>
        <rFont val="Arial"/>
        <family val="2"/>
      </rPr>
      <t xml:space="preserve"> in deductions for Right-to-Use Leased Buildings - Amortizable represents FY2023/2024 removal of lease asset at the end of the lease term.</t>
    </r>
  </si>
  <si>
    <r>
      <t xml:space="preserve">c1 - The </t>
    </r>
    <r>
      <rPr>
        <b/>
        <sz val="11"/>
        <rFont val="Arial"/>
        <family val="2"/>
      </rPr>
      <t>$2,963,759</t>
    </r>
    <r>
      <rPr>
        <sz val="11"/>
        <rFont val="Arial"/>
        <family val="2"/>
      </rPr>
      <t xml:space="preserve"> in Excess Land (0042) Deductions amount is the result of the following: </t>
    </r>
  </si>
  <si>
    <r>
      <t xml:space="preserve">c2 - The </t>
    </r>
    <r>
      <rPr>
        <b/>
        <sz val="11"/>
        <rFont val="Arial"/>
        <family val="2"/>
      </rPr>
      <t>$6,801,648.83</t>
    </r>
    <r>
      <rPr>
        <sz val="11"/>
        <rFont val="Arial"/>
        <family val="2"/>
      </rPr>
      <t xml:space="preserve"> in Infrastructure Land (0042) Deductions represents FY 2023/2024 Relinquishments.</t>
    </r>
  </si>
  <si>
    <r>
      <t xml:space="preserve">d - The </t>
    </r>
    <r>
      <rPr>
        <b/>
        <sz val="11"/>
        <rFont val="Arial"/>
        <family val="2"/>
      </rPr>
      <t>$846,888,690.13</t>
    </r>
    <r>
      <rPr>
        <sz val="11"/>
        <rFont val="Arial"/>
        <family val="2"/>
      </rPr>
      <t xml:space="preserve"> in Construction Work in Progress' Deductions which represents FY 2023/2024's Transfer from CWIP to Non-Depreciable Infrastructure (Completed).</t>
    </r>
  </si>
  <si>
    <r>
      <t>e</t>
    </r>
    <r>
      <rPr>
        <vertAlign val="superscript"/>
        <sz val="11"/>
        <rFont val="Arial"/>
        <family val="2"/>
      </rPr>
      <t xml:space="preserve"> </t>
    </r>
    <r>
      <rPr>
        <sz val="11"/>
        <rFont val="Arial"/>
        <family val="2"/>
      </rPr>
      <t xml:space="preserve">- The </t>
    </r>
    <r>
      <rPr>
        <b/>
        <sz val="11"/>
        <rFont val="Arial"/>
        <family val="2"/>
      </rPr>
      <t>$34,997,798.94</t>
    </r>
    <r>
      <rPr>
        <sz val="11"/>
        <rFont val="Arial"/>
        <family val="2"/>
      </rPr>
      <t xml:space="preserve"> in Non-Depreciable Infrastructure's (0042) Deductions represents FY 2023/2024 Relinquishments.</t>
    </r>
  </si>
  <si>
    <r>
      <t xml:space="preserve">f - The </t>
    </r>
    <r>
      <rPr>
        <b/>
        <sz val="11"/>
        <rFont val="Arial"/>
        <family val="2"/>
      </rPr>
      <t>$7,311,305.00</t>
    </r>
    <r>
      <rPr>
        <sz val="11"/>
        <rFont val="Arial"/>
        <family val="2"/>
      </rPr>
      <t xml:space="preserve"> in deductions for Right-to-Use Leased Buildings - Amortizable represents FY2023/2024 removal of  lease asset at the end of the lease term.</t>
    </r>
  </si>
  <si>
    <r>
      <t xml:space="preserve">g - The </t>
    </r>
    <r>
      <rPr>
        <b/>
        <sz val="11"/>
        <rFont val="Arial"/>
        <family val="2"/>
      </rPr>
      <t>$2,870,666.77</t>
    </r>
    <r>
      <rPr>
        <sz val="11"/>
        <rFont val="Arial"/>
        <family val="2"/>
      </rPr>
      <t xml:space="preserve"> in deductions for Right-to-Use Subscription-Based Information Technology Arrangements (SBITA) - Amortizable represents FY2023/2024 removal of SBITA Asset at the End of the Subscription Term .</t>
    </r>
  </si>
  <si>
    <r>
      <rPr>
        <b/>
        <sz val="11"/>
        <color theme="1"/>
        <rFont val="Arial"/>
        <family val="2"/>
      </rPr>
      <t>Page No</t>
    </r>
    <r>
      <rPr>
        <sz val="12"/>
        <color theme="1"/>
        <rFont val="Arial"/>
        <family val="2"/>
      </rPr>
      <t xml:space="preserve"> :</t>
    </r>
    <r>
      <rPr>
        <sz val="11"/>
        <color theme="1"/>
        <rFont val="Arial"/>
        <family val="2"/>
      </rPr>
      <t xml:space="preserve"> 25</t>
    </r>
  </si>
  <si>
    <r>
      <rPr>
        <b/>
        <sz val="11"/>
        <color theme="1"/>
        <rFont val="Arial"/>
        <family val="2"/>
      </rPr>
      <t>Page No</t>
    </r>
    <r>
      <rPr>
        <sz val="12"/>
        <color theme="1"/>
        <rFont val="Arial"/>
        <family val="2"/>
      </rPr>
      <t xml:space="preserve"> :</t>
    </r>
    <r>
      <rPr>
        <sz val="11"/>
        <color theme="1"/>
        <rFont val="Arial"/>
        <family val="2"/>
      </rPr>
      <t xml:space="preserve"> 26</t>
    </r>
  </si>
  <si>
    <t xml:space="preserve">Report ID:          </t>
  </si>
  <si>
    <t>RPTGL076</t>
  </si>
  <si>
    <t>Compute the sum of columns 4 to 8. The amount should agree with the computed difference in column 3.</t>
  </si>
  <si>
    <t>Col. 10 -</t>
  </si>
  <si>
    <t>Breakdown and categorize the differences in columns 4 to 9.</t>
  </si>
  <si>
    <t>Col. 4 - 9</t>
  </si>
  <si>
    <t>Research posting and source documents to identify and explain the difference.</t>
  </si>
  <si>
    <t>Compute difference between current year beginning balance and prior year ending balance.</t>
  </si>
  <si>
    <t>Col. 3 -</t>
  </si>
  <si>
    <t>Enter Beginning Balance from Current Year Report 18.</t>
  </si>
  <si>
    <t>Col. 2 -</t>
  </si>
  <si>
    <t>Enter Ending Balance from Prior Year Report 18.</t>
  </si>
  <si>
    <t>Col. 1 -</t>
  </si>
  <si>
    <t>Report Instructions:</t>
  </si>
  <si>
    <t>Patents, Copyrights, and Trademarks - Non-Amortizable</t>
  </si>
  <si>
    <t>Land Use Rights - Non-Amortizable (2422)</t>
  </si>
  <si>
    <t>Right-to-Use Subscription-Based Information Technology Arrangements (SBITA) - Amortizable (2418)</t>
  </si>
  <si>
    <t>Right-to-Use Leased Buildings - Amortizable (2416)</t>
  </si>
  <si>
    <t>Right-to-Use Leased Land - Amortizable ()</t>
  </si>
  <si>
    <t>Other Intangible Assets - Amortizable (2414)</t>
  </si>
  <si>
    <t>Patents, Copyrights, and Trademarks - Amortizable (2413)</t>
  </si>
  <si>
    <t>Land Use Rights - Amortizable (2412)</t>
  </si>
  <si>
    <t>Computer Software - Amortizable (2411)</t>
  </si>
  <si>
    <t>Infrastructure - Non Depreciable (2361)</t>
  </si>
  <si>
    <t>Construction Work in Progress (2350)</t>
  </si>
  <si>
    <t>Equipment (2341)</t>
  </si>
  <si>
    <t>Improvements Other Than Buildings (2331)</t>
  </si>
  <si>
    <t>Buildings (2321)</t>
  </si>
  <si>
    <t>Land (2310)</t>
  </si>
  <si>
    <r>
      <t xml:space="preserve">Restatement Amount 
</t>
    </r>
    <r>
      <rPr>
        <sz val="11"/>
        <color theme="1"/>
        <rFont val="Calibri"/>
      </rPr>
      <t>(should agree to the difference calculated)</t>
    </r>
  </si>
  <si>
    <t>Other amounts that make up the difference (provide description): Prior Year Fund to Fund Adjustment.</t>
  </si>
  <si>
    <r>
      <t xml:space="preserve">Other amounts that make up the difference (provide description): </t>
    </r>
    <r>
      <rPr>
        <b/>
        <u/>
        <sz val="8"/>
        <color theme="1"/>
        <rFont val="Calibri"/>
        <family val="2"/>
        <scheme val="minor"/>
      </rPr>
      <t>incorrect entry was made in current year balance</t>
    </r>
  </si>
  <si>
    <r>
      <t xml:space="preserve">Other amounts that make up the difference (provide description): </t>
    </r>
    <r>
      <rPr>
        <b/>
        <u/>
        <sz val="10"/>
        <color rgb="FF000000"/>
        <rFont val="Century Gothic"/>
        <family val="2"/>
      </rPr>
      <t>Per SCO guidance, applying % to District Project Survey % adjustment for Prior Year Expenditures.</t>
    </r>
  </si>
  <si>
    <t>Availability Payment Arrangements (GASB 94)</t>
  </si>
  <si>
    <t>Non-capitalizable assets reported as capital assets in the prior year</t>
  </si>
  <si>
    <t>Assets unreported in the prior year</t>
  </si>
  <si>
    <t>Difference</t>
  </si>
  <si>
    <t>Current Year Beginning Balance</t>
  </si>
  <si>
    <t>Prior Year Ending Balance</t>
  </si>
  <si>
    <t>(10)</t>
  </si>
  <si>
    <t>(9)</t>
  </si>
  <si>
    <t>(8)</t>
  </si>
  <si>
    <t>(7)</t>
  </si>
  <si>
    <t>(6)</t>
  </si>
  <si>
    <t>(5)</t>
  </si>
  <si>
    <t>(4)</t>
  </si>
  <si>
    <t>(3)</t>
  </si>
  <si>
    <t>(2)</t>
  </si>
  <si>
    <t>(1)</t>
  </si>
  <si>
    <t>Breakdown of Difference:</t>
  </si>
  <si>
    <t>As of June 30, 2024</t>
  </si>
  <si>
    <t>State Highway Account Fund (0042)</t>
  </si>
  <si>
    <t>Beginning Balance Differential Report</t>
  </si>
  <si>
    <t>Statement of Changes in Capital Assets Group of Accounts - Report 18</t>
  </si>
  <si>
    <t>Department of Transportation (2660)</t>
  </si>
  <si>
    <r>
      <t xml:space="preserve">Other amounts that make up the difference </t>
    </r>
    <r>
      <rPr>
        <sz val="11"/>
        <color theme="1"/>
        <rFont val="Calibri"/>
      </rPr>
      <t xml:space="preserve">(provide description): </t>
    </r>
    <r>
      <rPr>
        <b/>
        <u/>
        <sz val="8"/>
        <color theme="1"/>
        <rFont val="Calibri"/>
        <family val="2"/>
        <scheme val="minor"/>
      </rPr>
      <t>GASB 87 FY 2021-2022 implementation beginning balance adjustment.</t>
    </r>
  </si>
  <si>
    <r>
      <t xml:space="preserve">Other amounts that make up the difference </t>
    </r>
    <r>
      <rPr>
        <sz val="11"/>
        <color theme="1"/>
        <rFont val="Calibri"/>
      </rPr>
      <t xml:space="preserve">(provide description): </t>
    </r>
    <r>
      <rPr>
        <b/>
        <u/>
        <sz val="8"/>
        <color theme="1"/>
        <rFont val="Calibri"/>
        <family val="2"/>
        <scheme val="minor"/>
      </rPr>
      <t>incorrect entry was made in current year balance</t>
    </r>
  </si>
  <si>
    <t>State Highway Account Fund (3007)</t>
  </si>
  <si>
    <t>Other amounts that make up the difference (provide description): GASB 87 FY2021-2022 Implementation beginning balance adjustment</t>
  </si>
  <si>
    <t>State Highway Account Fund (3290)</t>
  </si>
  <si>
    <t>State Highway Account Fund (3291)</t>
  </si>
  <si>
    <t>State Highway Account Fund (6056)</t>
  </si>
  <si>
    <t>State Highway Account Fund (6058)</t>
  </si>
  <si>
    <r>
      <t xml:space="preserve">i - Per SCO, the </t>
    </r>
    <r>
      <rPr>
        <b/>
        <sz val="11"/>
        <rFont val="Arial"/>
        <family val="2"/>
      </rPr>
      <t>$671,411,077.68</t>
    </r>
    <r>
      <rPr>
        <sz val="11"/>
        <rFont val="Arial"/>
        <family val="2"/>
      </rPr>
      <t xml:space="preserve"> ($201,423,323.30 State &amp; $469,987,754.38 Federal) GASB94 APA is reclassified from Infrastructure Land to Infrastructure - Non Depreciable.</t>
    </r>
  </si>
  <si>
    <r>
      <t xml:space="preserve">Fiscal Year 2023-24 </t>
    </r>
    <r>
      <rPr>
        <b/>
        <sz val="11"/>
        <color rgb="FFFF0000"/>
        <rFont val="Arial"/>
        <family val="2"/>
      </rPr>
      <t>Revised 2/6/2025</t>
    </r>
  </si>
  <si>
    <r>
      <t xml:space="preserve">As of June 30, 2024 </t>
    </r>
    <r>
      <rPr>
        <b/>
        <sz val="11"/>
        <color rgb="FFFF0000"/>
        <rFont val="Calibri"/>
        <family val="2"/>
        <scheme val="minor"/>
      </rPr>
      <t>Revised 2/6/2025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</si>
</sst>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h:mm:ss;@"/>
    <numFmt numFmtId="165" formatCode="_(&quot;$&quot;* #,##0.00_);_(&quot;$&quot;* \(#,##0.00\);_(&quot;$&quot;* &quot;-&quot;_);_(@_)"/>
  </numFmts>
  <fonts count="49" x14ac:knownFonts="1">
    <font>
      <sz val="11"/>
      <color theme="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b/>
      <sz val="11"/>
      <color theme="1"/>
      <name val="Arial"/>
      <family val="2"/>
    </font>
    <font>
      <sz val="11"/>
      <color theme="1"/>
      <name val="Arial"/>
      <family val="2"/>
    </font>
    <font>
      <sz val="11"/>
      <color rgb="FF000080"/>
      <name val="Calibri"/>
      <family val="2"/>
    </font>
    <font>
      <b/>
      <sz val="10"/>
      <color theme="1"/>
      <name val="Arial"/>
      <family val="2"/>
    </font>
    <font>
      <b/>
      <sz val="11"/>
      <color theme="1"/>
      <name val="Calibri"/>
      <family val="2"/>
    </font>
    <font>
      <sz val="10"/>
      <color theme="1"/>
      <name val="Arial"/>
      <family val="2"/>
    </font>
    <font>
      <u/>
      <sz val="10"/>
      <color theme="1"/>
      <name val="Arial"/>
      <family val="2"/>
    </font>
    <font>
      <sz val="12"/>
      <color theme="1"/>
      <name val="Arial"/>
      <family val="2"/>
    </font>
    <font>
      <sz val="11"/>
      <color theme="1"/>
      <name val="Arial"/>
      <family val="2"/>
    </font>
    <font>
      <b/>
      <sz val="11"/>
      <color theme="1"/>
      <name val="Arial"/>
      <family val="2"/>
    </font>
    <font>
      <sz val="11"/>
      <color theme="1"/>
      <name val="Calibri"/>
      <family val="2"/>
      <scheme val="minor"/>
    </font>
    <font>
      <b/>
      <sz val="10"/>
      <color rgb="FFFF0000"/>
      <name val="Arial"/>
      <family val="2"/>
    </font>
    <font>
      <b/>
      <sz val="11"/>
      <color rgb="FFFF0000"/>
      <name val="Calibri"/>
      <family val="2"/>
    </font>
    <font>
      <sz val="11"/>
      <color theme="1"/>
      <name val="Calibri"/>
      <family val="2"/>
    </font>
    <font>
      <sz val="11"/>
      <color theme="1"/>
      <name val="Calibri"/>
      <family val="2"/>
    </font>
    <font>
      <sz val="10"/>
      <name val="Helv"/>
    </font>
    <font>
      <b/>
      <sz val="11"/>
      <name val="Calibri"/>
      <family val="2"/>
      <scheme val="minor"/>
    </font>
    <font>
      <sz val="11"/>
      <name val="Calibri"/>
      <family val="2"/>
      <scheme val="minor"/>
    </font>
    <font>
      <b/>
      <sz val="10"/>
      <color theme="1"/>
      <name val="Arial"/>
      <family val="2"/>
    </font>
    <font>
      <b/>
      <sz val="11"/>
      <color theme="1"/>
      <name val="Calibri"/>
      <family val="2"/>
    </font>
    <font>
      <u/>
      <sz val="10"/>
      <color theme="1"/>
      <name val="Arial"/>
      <family val="2"/>
    </font>
    <font>
      <u/>
      <sz val="11"/>
      <name val="Calibri"/>
      <family val="2"/>
      <scheme val="minor"/>
    </font>
    <font>
      <b/>
      <u/>
      <sz val="10"/>
      <color theme="1"/>
      <name val="Arial"/>
      <family val="2"/>
    </font>
    <font>
      <sz val="10"/>
      <color rgb="FF003300"/>
      <name val="Arial"/>
      <family val="2"/>
    </font>
    <font>
      <sz val="6.65"/>
      <color theme="1"/>
      <name val="Arial"/>
      <family val="2"/>
    </font>
    <font>
      <b/>
      <sz val="10"/>
      <color rgb="FFFF0000"/>
      <name val="Calibri"/>
      <family val="2"/>
      <scheme val="minor"/>
    </font>
    <font>
      <sz val="10"/>
      <name val="Arial"/>
      <family val="2"/>
    </font>
    <font>
      <sz val="11"/>
      <color rgb="FF000080"/>
      <name val="Arial"/>
      <family val="2"/>
    </font>
    <font>
      <vertAlign val="superscript"/>
      <sz val="11"/>
      <color theme="1"/>
      <name val="Arial"/>
      <family val="2"/>
    </font>
    <font>
      <b/>
      <sz val="11"/>
      <color rgb="FFFF0000"/>
      <name val="Arial"/>
      <family val="2"/>
    </font>
    <font>
      <sz val="11"/>
      <color rgb="FFFF0000"/>
      <name val="Arial"/>
      <family val="2"/>
    </font>
    <font>
      <u/>
      <sz val="11"/>
      <name val="Arial"/>
      <family val="2"/>
    </font>
    <font>
      <sz val="11"/>
      <name val="Arial"/>
      <family val="2"/>
    </font>
    <font>
      <vertAlign val="superscript"/>
      <sz val="10"/>
      <name val="Arial"/>
      <family val="2"/>
    </font>
    <font>
      <b/>
      <sz val="11"/>
      <name val="Arial"/>
      <family val="2"/>
    </font>
    <font>
      <b/>
      <sz val="10"/>
      <name val="Arial"/>
      <family val="2"/>
    </font>
    <font>
      <vertAlign val="superscript"/>
      <sz val="11"/>
      <name val="Arial"/>
      <family val="2"/>
    </font>
    <font>
      <b/>
      <sz val="11"/>
      <color theme="1"/>
      <name val="Calibri"/>
      <family val="2"/>
      <scheme val="minor"/>
    </font>
    <font>
      <b/>
      <sz val="10"/>
      <color rgb="FF000000"/>
      <name val="Century Gothic"/>
      <family val="2"/>
    </font>
    <font>
      <b/>
      <u/>
      <sz val="8"/>
      <color theme="1"/>
      <name val="Calibri"/>
      <family val="2"/>
      <scheme val="minor"/>
    </font>
    <font>
      <b/>
      <u/>
      <sz val="10"/>
      <color rgb="FF000000"/>
      <name val="Century Gothic"/>
      <family val="2"/>
    </font>
    <font>
      <b/>
      <sz val="11"/>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1"/>
        <bgColor indexed="64"/>
      </patternFill>
    </fill>
    <fill>
      <patternFill patternType="solid">
        <fgColor rgb="FFFFFFFF"/>
        <bgColor indexed="64"/>
      </patternFill>
    </fill>
  </fills>
  <borders count="9">
    <border>
      <left/>
      <right/>
      <top/>
      <bottom/>
      <diagonal/>
    </border>
    <border>
      <left/>
      <right/>
      <top style="thin">
        <color auto="1"/>
      </top>
      <bottom style="double">
        <color auto="1"/>
      </bottom>
      <diagonal/>
    </border>
    <border>
      <left/>
      <right/>
      <top/>
      <bottom style="thin">
        <color auto="1"/>
      </bottom>
      <diagonal/>
    </border>
    <border>
      <left/>
      <right/>
      <top/>
      <bottom style="double">
        <color indexed="64"/>
      </bottom>
      <diagonal/>
    </border>
    <border>
      <left style="thin">
        <color indexed="64"/>
      </left>
      <right style="thin">
        <color indexed="64"/>
      </right>
      <top/>
      <bottom/>
      <diagonal/>
    </border>
    <border>
      <left style="thin">
        <color indexed="64"/>
      </left>
      <right style="thin">
        <color indexed="64"/>
      </right>
      <top style="double">
        <color indexed="64"/>
      </top>
      <bottom style="double">
        <color indexed="64"/>
      </bottom>
      <diagonal/>
    </border>
    <border>
      <left style="thin">
        <color indexed="64"/>
      </left>
      <right/>
      <top style="thin">
        <color indexed="64"/>
      </top>
      <bottom style="double">
        <color indexed="64"/>
      </bottom>
      <diagonal/>
    </border>
    <border>
      <left/>
      <right/>
      <top style="thin">
        <color indexed="64"/>
      </top>
      <bottom/>
      <diagonal/>
    </border>
    <border>
      <left/>
      <right/>
      <top style="thin">
        <color indexed="64"/>
      </top>
      <bottom style="double">
        <color indexed="64"/>
      </bottom>
      <diagonal/>
    </border>
  </borders>
  <cellStyleXfs count="18">
    <xf numFmtId="0" fontId="0" fillId="0" borderId="0"/>
    <xf numFmtId="0" fontId="17" fillId="0" borderId="0"/>
    <xf numFmtId="43" fontId="20" fillId="0" borderId="0" applyFont="0" applyFill="0" applyBorder="0" applyAlignment="0" applyProtection="0"/>
    <xf numFmtId="44" fontId="20" fillId="0" borderId="0" applyFont="0" applyFill="0" applyBorder="0" applyAlignment="0" applyProtection="0"/>
    <xf numFmtId="39" fontId="22" fillId="0" borderId="0"/>
    <xf numFmtId="0" fontId="5" fillId="0" borderId="0"/>
    <xf numFmtId="44" fontId="21" fillId="0" borderId="0" applyFont="0" applyFill="0" applyBorder="0" applyAlignment="0" applyProtection="0"/>
    <xf numFmtId="0" fontId="21" fillId="0" borderId="0"/>
    <xf numFmtId="43" fontId="5" fillId="0" borderId="0" applyFont="0" applyFill="0" applyBorder="0" applyAlignment="0" applyProtection="0"/>
    <xf numFmtId="44" fontId="5" fillId="0" borderId="0" applyFont="0" applyFill="0" applyBorder="0" applyAlignment="0" applyProtection="0"/>
    <xf numFmtId="44" fontId="33" fillId="0" borderId="0" applyFont="0" applyFill="0" applyBorder="0" applyAlignment="0" applyProtection="0"/>
    <xf numFmtId="0" fontId="4" fillId="0" borderId="0"/>
    <xf numFmtId="43" fontId="4" fillId="0" borderId="0" applyFont="0" applyFill="0" applyBorder="0" applyAlignment="0" applyProtection="0"/>
    <xf numFmtId="0" fontId="3" fillId="0" borderId="0"/>
    <xf numFmtId="44" fontId="20" fillId="0" borderId="0" applyFont="0" applyFill="0" applyBorder="0" applyAlignment="0" applyProtection="0"/>
    <xf numFmtId="0" fontId="20" fillId="0" borderId="0"/>
    <xf numFmtId="0" fontId="2" fillId="0" borderId="0"/>
    <xf numFmtId="0" fontId="1" fillId="0" borderId="0"/>
  </cellStyleXfs>
  <cellXfs count="251">
    <xf numFmtId="0" fontId="0" fillId="0" borderId="0" xfId="0"/>
    <xf numFmtId="0" fontId="19" fillId="0" borderId="0" xfId="0" applyFont="1" applyAlignment="1">
      <alignment horizontal="left" vertical="top"/>
    </xf>
    <xf numFmtId="0" fontId="19" fillId="0" borderId="0" xfId="0" applyFont="1" applyAlignment="1">
      <alignment vertical="top" wrapText="1"/>
    </xf>
    <xf numFmtId="0" fontId="0" fillId="0" borderId="0" xfId="0" applyAlignment="1">
      <alignment horizontal="left" vertical="top" wrapText="1"/>
    </xf>
    <xf numFmtId="0" fontId="10" fillId="0" borderId="0" xfId="0" applyFont="1" applyAlignment="1">
      <alignment horizontal="left" vertical="center" wrapText="1"/>
    </xf>
    <xf numFmtId="0" fontId="10" fillId="0" borderId="0" xfId="0" applyFont="1" applyAlignment="1">
      <alignment horizontal="right" vertical="center" wrapText="1"/>
    </xf>
    <xf numFmtId="0" fontId="15" fillId="0" borderId="0" xfId="0" applyFont="1" applyAlignment="1">
      <alignment horizontal="left" vertical="top" wrapText="1"/>
    </xf>
    <xf numFmtId="39" fontId="24" fillId="0" borderId="0" xfId="4" applyFont="1"/>
    <xf numFmtId="0" fontId="15" fillId="0" borderId="0" xfId="0" applyFont="1" applyAlignment="1">
      <alignment vertical="top" wrapText="1"/>
    </xf>
    <xf numFmtId="0" fontId="21" fillId="0" borderId="0" xfId="7"/>
    <xf numFmtId="39" fontId="6" fillId="0" borderId="0" xfId="7" applyNumberFormat="1" applyFont="1" applyAlignment="1">
      <alignment horizontal="right" vertical="top" wrapText="1"/>
    </xf>
    <xf numFmtId="0" fontId="21" fillId="0" borderId="0" xfId="7" applyAlignment="1">
      <alignment horizontal="left" indent="1"/>
    </xf>
    <xf numFmtId="39" fontId="24" fillId="0" borderId="0" xfId="4" applyFont="1" applyAlignment="1">
      <alignment wrapText="1"/>
    </xf>
    <xf numFmtId="39" fontId="28" fillId="0" borderId="0" xfId="4" applyFont="1"/>
    <xf numFmtId="0" fontId="25" fillId="0" borderId="0" xfId="0" applyFont="1" applyAlignment="1">
      <alignment horizontal="right" vertical="center" wrapText="1"/>
    </xf>
    <xf numFmtId="43" fontId="0" fillId="0" borderId="0" xfId="0" applyNumberFormat="1"/>
    <xf numFmtId="0" fontId="6" fillId="0" borderId="0" xfId="7" applyFont="1" applyAlignment="1">
      <alignment horizontal="left" wrapText="1"/>
    </xf>
    <xf numFmtId="0" fontId="6" fillId="0" borderId="0" xfId="7" applyFont="1" applyAlignment="1">
      <alignment horizontal="left" vertical="top" wrapText="1"/>
    </xf>
    <xf numFmtId="0" fontId="25" fillId="0" borderId="0" xfId="7" applyFont="1" applyAlignment="1">
      <alignment horizontal="left" vertical="top" wrapText="1"/>
    </xf>
    <xf numFmtId="39" fontId="32" fillId="0" borderId="0" xfId="4" applyFont="1"/>
    <xf numFmtId="43" fontId="6" fillId="0" borderId="0" xfId="0" applyNumberFormat="1" applyFont="1" applyAlignment="1">
      <alignment horizontal="right" vertical="center" wrapText="1"/>
    </xf>
    <xf numFmtId="43" fontId="6" fillId="0" borderId="0" xfId="0" applyNumberFormat="1" applyFont="1" applyAlignment="1">
      <alignment horizontal="right" vertical="top" wrapText="1"/>
    </xf>
    <xf numFmtId="43" fontId="24" fillId="0" borderId="0" xfId="2" applyFont="1" applyFill="1"/>
    <xf numFmtId="0" fontId="16" fillId="0" borderId="0" xfId="7" applyFont="1" applyAlignment="1">
      <alignment horizontal="left" vertical="top" wrapText="1"/>
    </xf>
    <xf numFmtId="0" fontId="15" fillId="0" borderId="0" xfId="7" applyFont="1" applyAlignment="1">
      <alignment horizontal="left" vertical="top" wrapText="1"/>
    </xf>
    <xf numFmtId="0" fontId="30" fillId="0" borderId="0" xfId="7" applyFont="1" applyAlignment="1">
      <alignment horizontal="left" vertical="top" wrapText="1"/>
    </xf>
    <xf numFmtId="14" fontId="15" fillId="0" borderId="0" xfId="0" applyNumberFormat="1" applyFont="1" applyAlignment="1">
      <alignment horizontal="left" vertical="top" wrapText="1"/>
    </xf>
    <xf numFmtId="39" fontId="24" fillId="3" borderId="0" xfId="4" applyFont="1" applyFill="1"/>
    <xf numFmtId="40" fontId="24" fillId="0" borderId="4" xfId="4" applyNumberFormat="1" applyFont="1" applyBorder="1"/>
    <xf numFmtId="39" fontId="24" fillId="2" borderId="0" xfId="4" applyFont="1" applyFill="1"/>
    <xf numFmtId="44" fontId="24" fillId="0" borderId="0" xfId="4" applyNumberFormat="1" applyFont="1"/>
    <xf numFmtId="39" fontId="24" fillId="0" borderId="5" xfId="4" applyFont="1" applyBorder="1"/>
    <xf numFmtId="39" fontId="24" fillId="2" borderId="6" xfId="4" applyFont="1" applyFill="1" applyBorder="1"/>
    <xf numFmtId="39" fontId="24" fillId="3" borderId="1" xfId="4" applyFont="1" applyFill="1" applyBorder="1"/>
    <xf numFmtId="39" fontId="24" fillId="0" borderId="0" xfId="4" applyFont="1" applyAlignment="1">
      <alignment horizontal="right"/>
    </xf>
    <xf numFmtId="165" fontId="5" fillId="0" borderId="0" xfId="5" applyNumberFormat="1"/>
    <xf numFmtId="39" fontId="24" fillId="0" borderId="0" xfId="4" applyFont="1" applyAlignment="1">
      <alignment horizontal="center" wrapText="1"/>
    </xf>
    <xf numFmtId="0" fontId="15" fillId="0" borderId="0" xfId="0" applyFont="1"/>
    <xf numFmtId="164" fontId="15" fillId="0" borderId="0" xfId="0" applyNumberFormat="1" applyFont="1" applyAlignment="1">
      <alignment horizontal="left" vertical="top" wrapText="1"/>
    </xf>
    <xf numFmtId="0" fontId="15" fillId="0" borderId="0" xfId="5" applyFont="1" applyProtection="1">
      <protection locked="0"/>
    </xf>
    <xf numFmtId="0" fontId="16" fillId="0" borderId="0" xfId="0" applyFont="1" applyAlignment="1">
      <alignment horizontal="left" indent="1"/>
    </xf>
    <xf numFmtId="43" fontId="15" fillId="0" borderId="0" xfId="0" applyNumberFormat="1" applyFont="1"/>
    <xf numFmtId="0" fontId="15" fillId="0" borderId="0" xfId="0" applyFont="1" applyAlignment="1">
      <alignment horizontal="left" indent="1"/>
    </xf>
    <xf numFmtId="0" fontId="36" fillId="0" borderId="0" xfId="0" applyFont="1" applyAlignment="1">
      <alignment horizontal="left" vertical="top"/>
    </xf>
    <xf numFmtId="0" fontId="37" fillId="0" borderId="0" xfId="0" applyFont="1" applyAlignment="1">
      <alignment vertical="top" wrapText="1"/>
    </xf>
    <xf numFmtId="0" fontId="25" fillId="0" borderId="0" xfId="0" applyFont="1" applyAlignment="1">
      <alignment horizontal="left" vertical="center" wrapText="1"/>
    </xf>
    <xf numFmtId="39" fontId="38" fillId="0" borderId="0" xfId="4" applyFont="1"/>
    <xf numFmtId="39" fontId="39" fillId="0" borderId="0" xfId="4" applyFont="1"/>
    <xf numFmtId="43" fontId="39" fillId="0" borderId="0" xfId="2" applyFont="1" applyFill="1"/>
    <xf numFmtId="39" fontId="33" fillId="0" borderId="0" xfId="4" applyFont="1"/>
    <xf numFmtId="39" fontId="39" fillId="0" borderId="0" xfId="4" applyFont="1" applyAlignment="1">
      <alignment horizontal="left"/>
    </xf>
    <xf numFmtId="43" fontId="15" fillId="0" borderId="2" xfId="0" applyNumberFormat="1" applyFont="1" applyBorder="1"/>
    <xf numFmtId="43" fontId="6" fillId="0" borderId="2" xfId="0" applyNumberFormat="1" applyFont="1" applyBorder="1"/>
    <xf numFmtId="43" fontId="6" fillId="0" borderId="0" xfId="0" applyNumberFormat="1" applyFont="1" applyAlignment="1">
      <alignment horizontal="left" indent="1"/>
    </xf>
    <xf numFmtId="43" fontId="6" fillId="0" borderId="0" xfId="0" applyNumberFormat="1" applyFont="1"/>
    <xf numFmtId="43" fontId="33" fillId="0" borderId="0" xfId="3" applyNumberFormat="1" applyFont="1" applyFill="1" applyAlignment="1" applyProtection="1">
      <alignment horizontal="right"/>
    </xf>
    <xf numFmtId="44" fontId="27" fillId="0" borderId="0" xfId="0" applyNumberFormat="1" applyFont="1" applyAlignment="1">
      <alignment vertical="center" wrapText="1"/>
    </xf>
    <xf numFmtId="44" fontId="13" fillId="0" borderId="0" xfId="0" applyNumberFormat="1" applyFont="1" applyAlignment="1">
      <alignment vertical="center" wrapText="1"/>
    </xf>
    <xf numFmtId="39" fontId="6" fillId="0" borderId="0" xfId="7" applyNumberFormat="1" applyFont="1" applyAlignment="1">
      <alignment vertical="top" wrapText="1"/>
    </xf>
    <xf numFmtId="0" fontId="6" fillId="0" borderId="0" xfId="7" applyFont="1" applyAlignment="1">
      <alignment vertical="top" wrapText="1"/>
    </xf>
    <xf numFmtId="39" fontId="24" fillId="0" borderId="0" xfId="4" applyFont="1" applyAlignment="1">
      <alignment vertical="top" wrapText="1"/>
    </xf>
    <xf numFmtId="39" fontId="39" fillId="0" borderId="0" xfId="4" applyFont="1" applyAlignment="1">
      <alignment horizontal="left" wrapText="1"/>
    </xf>
    <xf numFmtId="43" fontId="10" fillId="0" borderId="0" xfId="0" applyNumberFormat="1" applyFont="1" applyAlignment="1">
      <alignment horizontal="right" vertical="center" wrapText="1"/>
    </xf>
    <xf numFmtId="0" fontId="20" fillId="0" borderId="0" xfId="7" applyFont="1"/>
    <xf numFmtId="0" fontId="8" fillId="0" borderId="0" xfId="0" applyFont="1"/>
    <xf numFmtId="43" fontId="8" fillId="0" borderId="0" xfId="0" applyNumberFormat="1" applyFont="1"/>
    <xf numFmtId="39" fontId="33" fillId="0" borderId="0" xfId="4" applyFont="1" applyAlignment="1">
      <alignment horizontal="left" wrapText="1"/>
    </xf>
    <xf numFmtId="0" fontId="8" fillId="0" borderId="0" xfId="5" applyFont="1" applyProtection="1">
      <protection locked="0"/>
    </xf>
    <xf numFmtId="0" fontId="10" fillId="0" borderId="0" xfId="0" applyFont="1" applyAlignment="1">
      <alignment horizontal="center" vertical="center" wrapText="1"/>
    </xf>
    <xf numFmtId="43" fontId="15" fillId="0" borderId="0" xfId="2" applyFont="1" applyFill="1"/>
    <xf numFmtId="0" fontId="6" fillId="0" borderId="0" xfId="0" applyFont="1"/>
    <xf numFmtId="39" fontId="33" fillId="0" borderId="0" xfId="4" applyFont="1" applyAlignment="1">
      <alignment wrapText="1"/>
    </xf>
    <xf numFmtId="43" fontId="39" fillId="0" borderId="0" xfId="2" applyFont="1" applyFill="1" applyAlignment="1">
      <alignment horizontal="left" wrapText="1"/>
    </xf>
    <xf numFmtId="43" fontId="39" fillId="0" borderId="8" xfId="2" applyFont="1" applyFill="1" applyBorder="1" applyAlignment="1">
      <alignment horizontal="left" wrapText="1"/>
    </xf>
    <xf numFmtId="39" fontId="8" fillId="0" borderId="0" xfId="0" applyNumberFormat="1" applyFont="1" applyAlignment="1">
      <alignment horizontal="left"/>
    </xf>
    <xf numFmtId="0" fontId="8" fillId="0" borderId="2" xfId="0" applyFont="1" applyBorder="1"/>
    <xf numFmtId="39" fontId="39" fillId="0" borderId="7" xfId="4" applyFont="1" applyBorder="1" applyAlignment="1">
      <alignment horizontal="left"/>
    </xf>
    <xf numFmtId="39" fontId="39" fillId="0" borderId="7" xfId="4" applyFont="1" applyBorder="1"/>
    <xf numFmtId="39" fontId="39" fillId="0" borderId="0" xfId="4" applyFont="1" applyAlignment="1">
      <alignment wrapText="1"/>
    </xf>
    <xf numFmtId="39" fontId="8" fillId="0" borderId="0" xfId="0" applyNumberFormat="1" applyFont="1"/>
    <xf numFmtId="39" fontId="39" fillId="0" borderId="7" xfId="4" applyFont="1" applyBorder="1" applyAlignment="1">
      <alignment wrapText="1"/>
    </xf>
    <xf numFmtId="0" fontId="21" fillId="0" borderId="0" xfId="7" applyAlignment="1">
      <alignment vertical="top" wrapText="1"/>
    </xf>
    <xf numFmtId="0" fontId="7" fillId="0" borderId="0" xfId="7" applyFont="1" applyAlignment="1">
      <alignment horizontal="left" vertical="top" wrapText="1"/>
    </xf>
    <xf numFmtId="0" fontId="8" fillId="0" borderId="0" xfId="7" applyFont="1"/>
    <xf numFmtId="0" fontId="3" fillId="0" borderId="0" xfId="13"/>
    <xf numFmtId="43" fontId="3" fillId="0" borderId="0" xfId="13" applyNumberFormat="1"/>
    <xf numFmtId="0" fontId="3" fillId="0" borderId="0" xfId="13" applyProtection="1">
      <protection locked="0"/>
    </xf>
    <xf numFmtId="43" fontId="3" fillId="0" borderId="0" xfId="13" applyNumberFormat="1" applyProtection="1">
      <protection locked="0"/>
    </xf>
    <xf numFmtId="43" fontId="44" fillId="0" borderId="8" xfId="13" applyNumberFormat="1" applyFont="1" applyBorder="1"/>
    <xf numFmtId="43" fontId="3" fillId="4" borderId="0" xfId="13" applyNumberFormat="1" applyFill="1"/>
    <xf numFmtId="0" fontId="44" fillId="0" borderId="0" xfId="13" applyFont="1"/>
    <xf numFmtId="43" fontId="3" fillId="4" borderId="0" xfId="13" applyNumberFormat="1" applyFill="1" applyProtection="1">
      <protection locked="0"/>
    </xf>
    <xf numFmtId="43" fontId="3" fillId="0" borderId="0" xfId="14" applyNumberFormat="1" applyFont="1" applyProtection="1">
      <protection locked="0"/>
    </xf>
    <xf numFmtId="0" fontId="3" fillId="0" borderId="0" xfId="13" applyAlignment="1" applyProtection="1">
      <alignment wrapText="1"/>
      <protection locked="0"/>
    </xf>
    <xf numFmtId="0" fontId="44" fillId="0" borderId="0" xfId="13" applyFont="1" applyProtection="1">
      <protection locked="0"/>
    </xf>
    <xf numFmtId="0" fontId="44" fillId="0" borderId="2" xfId="13" applyFont="1" applyBorder="1" applyAlignment="1" applyProtection="1">
      <alignment horizontal="center" vertical="top" wrapText="1"/>
      <protection locked="0"/>
    </xf>
    <xf numFmtId="0" fontId="3" fillId="0" borderId="2" xfId="13" applyBorder="1" applyProtection="1">
      <protection locked="0"/>
    </xf>
    <xf numFmtId="0" fontId="45" fillId="5" borderId="2" xfId="13" applyFont="1" applyFill="1" applyBorder="1" applyAlignment="1">
      <alignment horizontal="left" vertical="top" wrapText="1"/>
    </xf>
    <xf numFmtId="0" fontId="44" fillId="0" borderId="2" xfId="13" applyFont="1" applyBorder="1" applyAlignment="1" applyProtection="1">
      <alignment horizontal="left" vertical="top" wrapText="1"/>
      <protection locked="0"/>
    </xf>
    <xf numFmtId="0" fontId="44" fillId="0" borderId="2" xfId="13" applyFont="1" applyBorder="1" applyAlignment="1" applyProtection="1">
      <alignment horizontal="left" vertical="top"/>
      <protection locked="0"/>
    </xf>
    <xf numFmtId="0" fontId="3" fillId="0" borderId="2" xfId="13" applyBorder="1" applyAlignment="1" applyProtection="1">
      <alignment horizontal="center"/>
      <protection locked="0"/>
    </xf>
    <xf numFmtId="0" fontId="3" fillId="4" borderId="2" xfId="13" applyFill="1" applyBorder="1" applyAlignment="1" applyProtection="1">
      <alignment horizontal="center"/>
      <protection locked="0"/>
    </xf>
    <xf numFmtId="0" fontId="44" fillId="0" borderId="2" xfId="13" applyFont="1" applyBorder="1" applyAlignment="1" applyProtection="1">
      <alignment horizontal="center" vertical="top"/>
      <protection locked="0"/>
    </xf>
    <xf numFmtId="0" fontId="3" fillId="0" borderId="0" xfId="13" quotePrefix="1" applyAlignment="1" applyProtection="1">
      <alignment horizontal="center"/>
      <protection locked="0"/>
    </xf>
    <xf numFmtId="0" fontId="3" fillId="0" borderId="0" xfId="13" applyAlignment="1" applyProtection="1">
      <alignment horizontal="center"/>
      <protection locked="0"/>
    </xf>
    <xf numFmtId="0" fontId="3" fillId="4" borderId="0" xfId="13" applyFill="1" applyAlignment="1" applyProtection="1">
      <alignment horizontal="center"/>
      <protection locked="0"/>
    </xf>
    <xf numFmtId="43" fontId="44" fillId="0" borderId="0" xfId="13" applyNumberFormat="1" applyFont="1" applyAlignment="1" applyProtection="1">
      <alignment horizontal="centerContinuous"/>
      <protection locked="0"/>
    </xf>
    <xf numFmtId="0" fontId="44" fillId="0" borderId="0" xfId="13" applyFont="1" applyAlignment="1" applyProtection="1">
      <alignment horizontal="centerContinuous"/>
      <protection locked="0"/>
    </xf>
    <xf numFmtId="0" fontId="3" fillId="0" borderId="2" xfId="13" applyBorder="1" applyAlignment="1" applyProtection="1">
      <alignment vertical="top"/>
      <protection locked="0"/>
    </xf>
    <xf numFmtId="0" fontId="45" fillId="5" borderId="2" xfId="13" applyFont="1" applyFill="1" applyBorder="1" applyAlignment="1">
      <alignment horizontal="center" vertical="top" wrapText="1"/>
    </xf>
    <xf numFmtId="0" fontId="3" fillId="0" borderId="2" xfId="13" applyBorder="1" applyAlignment="1" applyProtection="1">
      <alignment horizontal="center" vertical="top"/>
      <protection locked="0"/>
    </xf>
    <xf numFmtId="0" fontId="3" fillId="0" borderId="0" xfId="13" quotePrefix="1" applyAlignment="1" applyProtection="1">
      <alignment horizontal="center" vertical="top"/>
      <protection locked="0"/>
    </xf>
    <xf numFmtId="0" fontId="3" fillId="0" borderId="0" xfId="13" applyAlignment="1" applyProtection="1">
      <alignment horizontal="center" vertical="top"/>
      <protection locked="0"/>
    </xf>
    <xf numFmtId="0" fontId="3" fillId="0" borderId="0" xfId="13" applyAlignment="1" applyProtection="1">
      <alignment vertical="top"/>
      <protection locked="0"/>
    </xf>
    <xf numFmtId="0" fontId="20" fillId="0" borderId="0" xfId="15"/>
    <xf numFmtId="0" fontId="8" fillId="0" borderId="0" xfId="15" applyFont="1"/>
    <xf numFmtId="39" fontId="8" fillId="0" borderId="0" xfId="15" applyNumberFormat="1" applyFont="1" applyAlignment="1">
      <alignment horizontal="left"/>
    </xf>
    <xf numFmtId="43" fontId="8" fillId="0" borderId="0" xfId="15" applyNumberFormat="1" applyFont="1"/>
    <xf numFmtId="43" fontId="6" fillId="0" borderId="0" xfId="15" applyNumberFormat="1" applyFont="1"/>
    <xf numFmtId="0" fontId="6" fillId="0" borderId="0" xfId="15" applyFont="1"/>
    <xf numFmtId="43" fontId="20" fillId="0" borderId="0" xfId="15" applyNumberFormat="1"/>
    <xf numFmtId="43" fontId="6" fillId="0" borderId="2" xfId="15" applyNumberFormat="1" applyFont="1" applyBorder="1"/>
    <xf numFmtId="43" fontId="8" fillId="0" borderId="2" xfId="15" applyNumberFormat="1" applyFont="1" applyBorder="1"/>
    <xf numFmtId="43" fontId="6" fillId="0" borderId="0" xfId="15" applyNumberFormat="1" applyFont="1" applyAlignment="1">
      <alignment horizontal="right" vertical="center" wrapText="1"/>
    </xf>
    <xf numFmtId="0" fontId="8" fillId="0" borderId="0" xfId="15" applyFont="1" applyAlignment="1">
      <alignment horizontal="left" vertical="top" wrapText="1"/>
    </xf>
    <xf numFmtId="43" fontId="10" fillId="0" borderId="0" xfId="15" applyNumberFormat="1" applyFont="1" applyAlignment="1">
      <alignment horizontal="right" vertical="center" wrapText="1"/>
    </xf>
    <xf numFmtId="0" fontId="10" fillId="0" borderId="0" xfId="15" applyFont="1" applyAlignment="1">
      <alignment horizontal="right" vertical="center" wrapText="1"/>
    </xf>
    <xf numFmtId="44" fontId="13" fillId="0" borderId="0" xfId="15" applyNumberFormat="1" applyFont="1" applyAlignment="1">
      <alignment vertical="center" wrapText="1"/>
    </xf>
    <xf numFmtId="0" fontId="10" fillId="0" borderId="0" xfId="15" applyFont="1" applyAlignment="1">
      <alignment horizontal="left" vertical="center" wrapText="1"/>
    </xf>
    <xf numFmtId="0" fontId="37" fillId="0" borderId="0" xfId="15" applyFont="1" applyAlignment="1">
      <alignment vertical="top" wrapText="1"/>
    </xf>
    <xf numFmtId="0" fontId="36" fillId="0" borderId="0" xfId="15" applyFont="1" applyAlignment="1">
      <alignment horizontal="left" vertical="top"/>
    </xf>
    <xf numFmtId="43" fontId="6" fillId="0" borderId="0" xfId="15" applyNumberFormat="1" applyFont="1" applyAlignment="1">
      <alignment horizontal="right" vertical="top" wrapText="1"/>
    </xf>
    <xf numFmtId="43" fontId="6" fillId="0" borderId="0" xfId="15" applyNumberFormat="1" applyFont="1" applyAlignment="1">
      <alignment horizontal="left" indent="1"/>
    </xf>
    <xf numFmtId="0" fontId="7" fillId="0" borderId="0" xfId="15" applyFont="1" applyAlignment="1">
      <alignment horizontal="left" indent="1"/>
    </xf>
    <xf numFmtId="0" fontId="8" fillId="0" borderId="0" xfId="16" applyFont="1" applyProtection="1">
      <protection locked="0"/>
    </xf>
    <xf numFmtId="0" fontId="8" fillId="0" borderId="0" xfId="15" applyFont="1" applyAlignment="1">
      <alignment horizontal="left" indent="1"/>
    </xf>
    <xf numFmtId="0" fontId="10" fillId="0" borderId="0" xfId="15" applyFont="1" applyAlignment="1">
      <alignment horizontal="center" vertical="center" wrapText="1"/>
    </xf>
    <xf numFmtId="164" fontId="8" fillId="0" borderId="0" xfId="15" applyNumberFormat="1" applyFont="1" applyAlignment="1">
      <alignment horizontal="left" vertical="top" wrapText="1"/>
    </xf>
    <xf numFmtId="0" fontId="8" fillId="0" borderId="0" xfId="15" applyFont="1" applyAlignment="1">
      <alignment vertical="top" wrapText="1"/>
    </xf>
    <xf numFmtId="14" fontId="8" fillId="0" borderId="0" xfId="15" applyNumberFormat="1" applyFont="1" applyAlignment="1">
      <alignment horizontal="left" vertical="top" wrapText="1"/>
    </xf>
    <xf numFmtId="49" fontId="6" fillId="0" borderId="0" xfId="0" quotePrefix="1" applyNumberFormat="1" applyFont="1" applyAlignment="1">
      <alignment horizontal="left" vertical="center" wrapText="1"/>
    </xf>
    <xf numFmtId="49" fontId="6" fillId="0" borderId="0" xfId="0" applyNumberFormat="1" applyFont="1" applyAlignment="1">
      <alignment horizontal="left" vertical="center" wrapText="1"/>
    </xf>
    <xf numFmtId="0" fontId="6" fillId="0" borderId="0" xfId="0" applyFont="1" applyAlignment="1">
      <alignment horizontal="right" vertical="center" wrapText="1"/>
    </xf>
    <xf numFmtId="39" fontId="39" fillId="0" borderId="0" xfId="4" applyFont="1" applyAlignment="1">
      <alignment horizontal="left" wrapText="1"/>
    </xf>
    <xf numFmtId="39" fontId="8" fillId="0" borderId="0" xfId="0" applyNumberFormat="1" applyFont="1" applyAlignment="1">
      <alignment horizontal="left"/>
    </xf>
    <xf numFmtId="0" fontId="25" fillId="0" borderId="0" xfId="0" applyFont="1" applyAlignment="1">
      <alignment horizontal="right" vertical="center" wrapText="1"/>
    </xf>
    <xf numFmtId="0" fontId="15" fillId="0" borderId="0" xfId="0" applyFont="1" applyAlignment="1">
      <alignment horizontal="left" vertical="top" wrapText="1"/>
    </xf>
    <xf numFmtId="0" fontId="8" fillId="0" borderId="0" xfId="0" applyFont="1" applyAlignment="1">
      <alignment horizontal="left" vertical="top" wrapText="1"/>
    </xf>
    <xf numFmtId="43" fontId="6" fillId="0" borderId="0" xfId="0" applyNumberFormat="1" applyFont="1" applyAlignment="1">
      <alignment horizontal="center"/>
    </xf>
    <xf numFmtId="43" fontId="6" fillId="0" borderId="2" xfId="0" applyNumberFormat="1" applyFont="1" applyBorder="1" applyAlignment="1">
      <alignment horizontal="center"/>
    </xf>
    <xf numFmtId="0" fontId="15" fillId="0" borderId="0" xfId="5" applyFont="1" applyAlignment="1" applyProtection="1">
      <alignment horizontal="left" wrapText="1"/>
      <protection locked="0"/>
    </xf>
    <xf numFmtId="0" fontId="34" fillId="0" borderId="0" xfId="0" applyFont="1" applyAlignment="1">
      <alignment horizontal="left" indent="1"/>
    </xf>
    <xf numFmtId="0" fontId="15" fillId="0" borderId="0" xfId="0" applyFont="1" applyAlignment="1">
      <alignment horizontal="left" indent="1"/>
    </xf>
    <xf numFmtId="0" fontId="25" fillId="0" borderId="0" xfId="0" applyFont="1" applyAlignment="1">
      <alignment horizontal="left" vertical="center" wrapText="1"/>
    </xf>
    <xf numFmtId="0" fontId="16" fillId="0" borderId="0" xfId="0" applyFont="1" applyAlignment="1">
      <alignment horizontal="left" indent="1"/>
    </xf>
    <xf numFmtId="0" fontId="15" fillId="0" borderId="0" xfId="5" applyFont="1" applyAlignment="1" applyProtection="1">
      <alignment horizontal="left"/>
      <protection locked="0"/>
    </xf>
    <xf numFmtId="0" fontId="16" fillId="0" borderId="0" xfId="0" applyFont="1" applyAlignment="1">
      <alignment horizontal="center" vertical="top" wrapText="1"/>
    </xf>
    <xf numFmtId="0" fontId="7" fillId="0" borderId="0" xfId="0" applyFont="1" applyAlignment="1">
      <alignment horizontal="center" vertical="top" wrapText="1"/>
    </xf>
    <xf numFmtId="39" fontId="16" fillId="0" borderId="0" xfId="0" applyNumberFormat="1" applyFont="1" applyAlignment="1">
      <alignment horizontal="center" vertical="top" wrapText="1"/>
    </xf>
    <xf numFmtId="0" fontId="16" fillId="0" borderId="0" xfId="0" applyFont="1" applyAlignment="1">
      <alignment horizontal="left" vertical="top" wrapText="1"/>
    </xf>
    <xf numFmtId="0" fontId="18" fillId="0" borderId="0" xfId="0" applyFont="1" applyAlignment="1">
      <alignment horizontal="left" vertical="top" wrapText="1"/>
    </xf>
    <xf numFmtId="0" fontId="0" fillId="0" borderId="0" xfId="0" applyAlignment="1">
      <alignment horizontal="left" vertical="top" wrapText="1"/>
    </xf>
    <xf numFmtId="44" fontId="27" fillId="0" borderId="0" xfId="0" applyNumberFormat="1" applyFont="1" applyAlignment="1">
      <alignment horizontal="center" vertical="center" wrapText="1"/>
    </xf>
    <xf numFmtId="39" fontId="39" fillId="0" borderId="0" xfId="4" applyFont="1" applyAlignment="1">
      <alignment horizontal="left"/>
    </xf>
    <xf numFmtId="43" fontId="10" fillId="0" borderId="0" xfId="0" applyNumberFormat="1" applyFont="1" applyAlignment="1">
      <alignment horizontal="center" vertical="center" wrapText="1"/>
    </xf>
    <xf numFmtId="0" fontId="8" fillId="0" borderId="0" xfId="5" applyFont="1" applyAlignment="1" applyProtection="1">
      <alignment horizontal="left"/>
      <protection locked="0"/>
    </xf>
    <xf numFmtId="0" fontId="8" fillId="0" borderId="0" xfId="5" applyFont="1" applyAlignment="1" applyProtection="1">
      <alignment horizontal="left" wrapText="1"/>
      <protection locked="0"/>
    </xf>
    <xf numFmtId="0" fontId="7" fillId="0" borderId="0" xfId="0" applyFont="1" applyAlignment="1">
      <alignment horizontal="left" vertical="top" wrapText="1"/>
    </xf>
    <xf numFmtId="0" fontId="11" fillId="0" borderId="0" xfId="0" applyFont="1" applyAlignment="1">
      <alignment horizontal="left" indent="1"/>
    </xf>
    <xf numFmtId="0" fontId="0" fillId="0" borderId="0" xfId="0" applyAlignment="1">
      <alignment horizontal="left" indent="1"/>
    </xf>
    <xf numFmtId="0" fontId="9" fillId="0" borderId="0" xfId="0" applyFont="1" applyAlignment="1">
      <alignment horizontal="left" indent="1"/>
    </xf>
    <xf numFmtId="0" fontId="10" fillId="0" borderId="0" xfId="0" applyFont="1" applyAlignment="1">
      <alignment horizontal="left" vertical="center" wrapText="1"/>
    </xf>
    <xf numFmtId="0" fontId="10" fillId="0" borderId="0" xfId="0" applyFont="1" applyAlignment="1">
      <alignment horizontal="center" vertical="center" wrapText="1"/>
    </xf>
    <xf numFmtId="43" fontId="15" fillId="0" borderId="2" xfId="0" applyNumberFormat="1" applyFont="1" applyBorder="1" applyAlignment="1">
      <alignment horizontal="center"/>
    </xf>
    <xf numFmtId="43" fontId="6" fillId="0" borderId="0" xfId="0" applyNumberFormat="1" applyFont="1" applyAlignment="1">
      <alignment horizontal="center" vertical="center" wrapText="1"/>
    </xf>
    <xf numFmtId="0" fontId="8" fillId="0" borderId="0" xfId="15" applyFont="1" applyAlignment="1">
      <alignment horizontal="left" vertical="top" wrapText="1"/>
    </xf>
    <xf numFmtId="0" fontId="7" fillId="0" borderId="0" xfId="15" applyFont="1" applyAlignment="1">
      <alignment horizontal="center" vertical="top" wrapText="1"/>
    </xf>
    <xf numFmtId="0" fontId="20" fillId="0" borderId="0" xfId="15" applyAlignment="1">
      <alignment horizontal="left" vertical="top" wrapText="1"/>
    </xf>
    <xf numFmtId="0" fontId="9" fillId="0" borderId="0" xfId="15" applyFont="1" applyAlignment="1">
      <alignment horizontal="left" indent="1"/>
    </xf>
    <xf numFmtId="0" fontId="20" fillId="0" borderId="0" xfId="15" applyAlignment="1">
      <alignment horizontal="left" indent="1"/>
    </xf>
    <xf numFmtId="0" fontId="10" fillId="0" borderId="0" xfId="15" applyFont="1" applyAlignment="1">
      <alignment horizontal="left" vertical="center" wrapText="1"/>
    </xf>
    <xf numFmtId="0" fontId="10" fillId="0" borderId="0" xfId="15" applyFont="1" applyAlignment="1">
      <alignment horizontal="center" vertical="center" wrapText="1"/>
    </xf>
    <xf numFmtId="0" fontId="11" fillId="0" borderId="0" xfId="15" applyFont="1" applyAlignment="1">
      <alignment horizontal="left" indent="1"/>
    </xf>
    <xf numFmtId="39" fontId="7" fillId="0" borderId="0" xfId="15" applyNumberFormat="1" applyFont="1" applyAlignment="1">
      <alignment horizontal="center" vertical="top" wrapText="1"/>
    </xf>
    <xf numFmtId="0" fontId="7" fillId="0" borderId="0" xfId="15" applyFont="1" applyAlignment="1">
      <alignment horizontal="left" vertical="top" wrapText="1"/>
    </xf>
    <xf numFmtId="43" fontId="6" fillId="0" borderId="0" xfId="15" applyNumberFormat="1" applyFont="1" applyAlignment="1">
      <alignment horizontal="center"/>
    </xf>
    <xf numFmtId="0" fontId="8" fillId="0" borderId="0" xfId="16" applyFont="1" applyAlignment="1" applyProtection="1">
      <alignment horizontal="left"/>
      <protection locked="0"/>
    </xf>
    <xf numFmtId="0" fontId="18" fillId="0" borderId="0" xfId="15" applyFont="1" applyAlignment="1">
      <alignment horizontal="left" vertical="top" wrapText="1"/>
    </xf>
    <xf numFmtId="0" fontId="8" fillId="0" borderId="0" xfId="16" applyFont="1" applyAlignment="1" applyProtection="1">
      <alignment horizontal="left" wrapText="1"/>
      <protection locked="0"/>
    </xf>
    <xf numFmtId="49" fontId="6" fillId="0" borderId="0" xfId="15" quotePrefix="1" applyNumberFormat="1" applyFont="1" applyAlignment="1">
      <alignment horizontal="left" vertical="center" wrapText="1"/>
    </xf>
    <xf numFmtId="49" fontId="6" fillId="0" borderId="0" xfId="15" applyNumberFormat="1" applyFont="1" applyAlignment="1">
      <alignment horizontal="left" vertical="center" wrapText="1"/>
    </xf>
    <xf numFmtId="44" fontId="13" fillId="0" borderId="0" xfId="15" applyNumberFormat="1" applyFont="1" applyAlignment="1">
      <alignment horizontal="center" vertical="center" wrapText="1"/>
    </xf>
    <xf numFmtId="0" fontId="6" fillId="0" borderId="0" xfId="15" applyFont="1" applyAlignment="1">
      <alignment horizontal="right" vertical="center" wrapText="1"/>
    </xf>
    <xf numFmtId="0" fontId="10" fillId="0" borderId="0" xfId="15" applyFont="1" applyAlignment="1">
      <alignment horizontal="right" vertical="center" wrapText="1"/>
    </xf>
    <xf numFmtId="43" fontId="6" fillId="0" borderId="0" xfId="15" applyNumberFormat="1" applyFont="1" applyAlignment="1">
      <alignment horizontal="center" vertical="center" wrapText="1"/>
    </xf>
    <xf numFmtId="43" fontId="10" fillId="0" borderId="0" xfId="15" applyNumberFormat="1" applyFont="1" applyAlignment="1">
      <alignment horizontal="center" vertical="center" wrapText="1"/>
    </xf>
    <xf numFmtId="43" fontId="8" fillId="0" borderId="2" xfId="15" applyNumberFormat="1" applyFont="1" applyBorder="1" applyAlignment="1">
      <alignment horizontal="center"/>
    </xf>
    <xf numFmtId="0" fontId="10" fillId="0" borderId="0" xfId="0" applyFont="1" applyAlignment="1">
      <alignment horizontal="right" vertical="center" wrapText="1"/>
    </xf>
    <xf numFmtId="0" fontId="12" fillId="0" borderId="0" xfId="0" applyFont="1" applyAlignment="1">
      <alignment horizontal="right" vertical="center" wrapText="1"/>
    </xf>
    <xf numFmtId="49" fontId="12" fillId="0" borderId="0" xfId="0" applyNumberFormat="1" applyFont="1" applyAlignment="1">
      <alignment horizontal="left" vertical="center" wrapText="1"/>
    </xf>
    <xf numFmtId="44" fontId="13" fillId="0" borderId="0" xfId="0" applyNumberFormat="1" applyFont="1" applyAlignment="1">
      <alignment horizontal="center" vertical="center" wrapText="1"/>
    </xf>
    <xf numFmtId="39" fontId="33" fillId="0" borderId="0" xfId="4" applyFont="1" applyAlignment="1">
      <alignment horizontal="left" wrapText="1"/>
    </xf>
    <xf numFmtId="39" fontId="39" fillId="0" borderId="0" xfId="4" applyFont="1" applyAlignment="1">
      <alignment horizontal="left" vertical="top" wrapText="1"/>
    </xf>
    <xf numFmtId="0" fontId="10" fillId="0" borderId="0" xfId="0" applyFont="1" applyAlignment="1">
      <alignment horizontal="center" vertical="top" wrapText="1"/>
    </xf>
    <xf numFmtId="43" fontId="6" fillId="0" borderId="0" xfId="0" applyNumberFormat="1" applyFont="1" applyAlignment="1">
      <alignment horizontal="left" indent="1"/>
    </xf>
    <xf numFmtId="0" fontId="15" fillId="0" borderId="0" xfId="0" applyFont="1" applyAlignment="1">
      <alignment horizontal="center" vertical="top" wrapText="1"/>
    </xf>
    <xf numFmtId="39" fontId="6" fillId="0" borderId="0" xfId="7" applyNumberFormat="1" applyFont="1" applyAlignment="1">
      <alignment horizontal="right" vertical="top" wrapText="1"/>
    </xf>
    <xf numFmtId="39" fontId="6" fillId="0" borderId="0" xfId="7" applyNumberFormat="1" applyFont="1" applyAlignment="1">
      <alignment horizontal="center" vertical="top" wrapText="1"/>
    </xf>
    <xf numFmtId="0" fontId="6" fillId="0" borderId="0" xfId="7" applyFont="1" applyAlignment="1">
      <alignment horizontal="center" wrapText="1"/>
    </xf>
    <xf numFmtId="0" fontId="16" fillId="0" borderId="0" xfId="7" applyFont="1" applyAlignment="1">
      <alignment horizontal="center" vertical="top" wrapText="1"/>
    </xf>
    <xf numFmtId="0" fontId="16" fillId="0" borderId="0" xfId="7" applyFont="1" applyAlignment="1">
      <alignment horizontal="left" vertical="top" wrapText="1"/>
    </xf>
    <xf numFmtId="0" fontId="26" fillId="0" borderId="0" xfId="7" applyFont="1" applyAlignment="1">
      <alignment horizontal="left" vertical="top" wrapText="1"/>
    </xf>
    <xf numFmtId="0" fontId="21" fillId="0" borderId="0" xfId="7" applyAlignment="1">
      <alignment horizontal="left" vertical="top" wrapText="1"/>
    </xf>
    <xf numFmtId="0" fontId="15" fillId="0" borderId="0" xfId="7" applyFont="1" applyAlignment="1">
      <alignment horizontal="left" indent="1"/>
    </xf>
    <xf numFmtId="0" fontId="25" fillId="0" borderId="0" xfId="7" applyFont="1" applyAlignment="1">
      <alignment horizontal="left" vertical="top" wrapText="1"/>
    </xf>
    <xf numFmtId="0" fontId="29" fillId="0" borderId="0" xfId="7" applyFont="1" applyAlignment="1">
      <alignment horizontal="right" vertical="top" wrapText="1"/>
    </xf>
    <xf numFmtId="0" fontId="21" fillId="0" borderId="0" xfId="7" applyAlignment="1">
      <alignment horizontal="left" indent="1"/>
    </xf>
    <xf numFmtId="0" fontId="25" fillId="0" borderId="0" xfId="7" applyFont="1" applyAlignment="1">
      <alignment horizontal="left" indent="1"/>
    </xf>
    <xf numFmtId="0" fontId="25" fillId="0" borderId="0" xfId="7" applyFont="1" applyAlignment="1">
      <alignment horizontal="left" wrapText="1"/>
    </xf>
    <xf numFmtId="0" fontId="6" fillId="0" borderId="0" xfId="7" applyFont="1" applyAlignment="1">
      <alignment horizontal="right" vertical="top" wrapText="1"/>
    </xf>
    <xf numFmtId="39" fontId="23" fillId="0" borderId="0" xfId="4" applyFont="1" applyAlignment="1">
      <alignment horizontal="center" wrapText="1"/>
    </xf>
    <xf numFmtId="39" fontId="23" fillId="0" borderId="3" xfId="4" applyFont="1" applyBorder="1" applyAlignment="1">
      <alignment horizontal="center" wrapText="1"/>
    </xf>
    <xf numFmtId="39" fontId="23" fillId="0" borderId="0" xfId="4" applyFont="1" applyAlignment="1">
      <alignment horizontal="center"/>
    </xf>
    <xf numFmtId="39" fontId="23" fillId="0" borderId="3" xfId="4" applyFont="1" applyBorder="1" applyAlignment="1">
      <alignment horizontal="center"/>
    </xf>
    <xf numFmtId="39" fontId="23" fillId="2" borderId="0" xfId="4" applyFont="1" applyFill="1" applyAlignment="1">
      <alignment horizontal="center"/>
    </xf>
    <xf numFmtId="0" fontId="19" fillId="0" borderId="0" xfId="7" applyFont="1" applyAlignment="1">
      <alignment horizontal="left" indent="1"/>
    </xf>
    <xf numFmtId="0" fontId="6" fillId="0" borderId="0" xfId="7" applyFont="1" applyAlignment="1">
      <alignment horizontal="left" indent="1"/>
    </xf>
    <xf numFmtId="0" fontId="1" fillId="0" borderId="0" xfId="17"/>
    <xf numFmtId="43" fontId="1" fillId="0" borderId="0" xfId="17" applyNumberFormat="1"/>
    <xf numFmtId="0" fontId="1" fillId="0" borderId="0" xfId="17" applyProtection="1">
      <protection locked="0"/>
    </xf>
    <xf numFmtId="43" fontId="1" fillId="0" borderId="0" xfId="17" applyNumberFormat="1" applyProtection="1">
      <protection locked="0"/>
    </xf>
    <xf numFmtId="43" fontId="44" fillId="0" borderId="8" xfId="17" applyNumberFormat="1" applyFont="1" applyBorder="1"/>
    <xf numFmtId="43" fontId="1" fillId="4" borderId="0" xfId="17" applyNumberFormat="1" applyFill="1"/>
    <xf numFmtId="0" fontId="44" fillId="0" borderId="0" xfId="17" applyFont="1"/>
    <xf numFmtId="43" fontId="1" fillId="4" borderId="0" xfId="17" applyNumberFormat="1" applyFill="1" applyProtection="1">
      <protection locked="0"/>
    </xf>
    <xf numFmtId="43" fontId="1" fillId="0" borderId="0" xfId="14" applyNumberFormat="1" applyFont="1" applyProtection="1">
      <protection locked="0"/>
    </xf>
    <xf numFmtId="0" fontId="1" fillId="0" borderId="0" xfId="17" applyAlignment="1" applyProtection="1">
      <alignment wrapText="1"/>
      <protection locked="0"/>
    </xf>
    <xf numFmtId="0" fontId="44" fillId="0" borderId="0" xfId="17" applyFont="1" applyProtection="1">
      <protection locked="0"/>
    </xf>
    <xf numFmtId="0" fontId="44" fillId="0" borderId="2" xfId="17" applyFont="1" applyBorder="1" applyAlignment="1" applyProtection="1">
      <alignment horizontal="center" vertical="top" wrapText="1"/>
      <protection locked="0"/>
    </xf>
    <xf numFmtId="0" fontId="1" fillId="0" borderId="2" xfId="17" applyBorder="1" applyProtection="1">
      <protection locked="0"/>
    </xf>
    <xf numFmtId="0" fontId="45" fillId="5" borderId="2" xfId="17" applyFont="1" applyFill="1" applyBorder="1" applyAlignment="1">
      <alignment horizontal="left" vertical="top" wrapText="1"/>
    </xf>
    <xf numFmtId="0" fontId="44" fillId="0" borderId="2" xfId="17" applyFont="1" applyBorder="1" applyAlignment="1" applyProtection="1">
      <alignment horizontal="left" vertical="top" wrapText="1"/>
      <protection locked="0"/>
    </xf>
    <xf numFmtId="0" fontId="44" fillId="0" borderId="2" xfId="17" applyFont="1" applyBorder="1" applyAlignment="1" applyProtection="1">
      <alignment horizontal="left" vertical="top"/>
      <protection locked="0"/>
    </xf>
    <xf numFmtId="0" fontId="1" fillId="0" borderId="2" xfId="17" applyBorder="1" applyAlignment="1" applyProtection="1">
      <alignment horizontal="center"/>
      <protection locked="0"/>
    </xf>
    <xf numFmtId="0" fontId="1" fillId="4" borderId="2" xfId="17" applyFill="1" applyBorder="1" applyAlignment="1" applyProtection="1">
      <alignment horizontal="center"/>
      <protection locked="0"/>
    </xf>
    <xf numFmtId="0" fontId="44" fillId="0" borderId="2" xfId="17" applyFont="1" applyBorder="1" applyAlignment="1" applyProtection="1">
      <alignment horizontal="center" vertical="top"/>
      <protection locked="0"/>
    </xf>
    <xf numFmtId="0" fontId="1" fillId="0" borderId="0" xfId="17" quotePrefix="1" applyAlignment="1" applyProtection="1">
      <alignment horizontal="center"/>
      <protection locked="0"/>
    </xf>
    <xf numFmtId="0" fontId="1" fillId="0" borderId="0" xfId="17" applyAlignment="1" applyProtection="1">
      <alignment horizontal="center"/>
      <protection locked="0"/>
    </xf>
    <xf numFmtId="0" fontId="1" fillId="4" borderId="0" xfId="17" applyFill="1" applyAlignment="1" applyProtection="1">
      <alignment horizontal="center"/>
      <protection locked="0"/>
    </xf>
    <xf numFmtId="43" fontId="44" fillId="0" borderId="0" xfId="17" applyNumberFormat="1" applyFont="1" applyAlignment="1" applyProtection="1">
      <alignment horizontal="centerContinuous"/>
      <protection locked="0"/>
    </xf>
    <xf numFmtId="0" fontId="44" fillId="0" borderId="0" xfId="17" applyFont="1" applyAlignment="1" applyProtection="1">
      <alignment horizontal="centerContinuous"/>
      <protection locked="0"/>
    </xf>
  </cellXfs>
  <cellStyles count="18">
    <cellStyle name="Comma" xfId="2" builtinId="3"/>
    <cellStyle name="Comma 2" xfId="8" xr:uid="{74C47621-10B6-44AE-9A65-7A1B6D7EF8DE}"/>
    <cellStyle name="Comma 3" xfId="12" xr:uid="{8E323E53-C0A1-4491-91B8-B8B86C0E7E0C}"/>
    <cellStyle name="Currency" xfId="3" builtinId="4"/>
    <cellStyle name="Currency 2" xfId="6" xr:uid="{92F1F423-10AC-4B3D-8E2B-460D4B8D1221}"/>
    <cellStyle name="Currency 2 2" xfId="10" xr:uid="{E2020447-5E3D-4CEC-B64A-DF8C82616E31}"/>
    <cellStyle name="Currency 2 3" xfId="14" xr:uid="{63175C12-1CEE-43AD-8E1A-55EBD2B2E498}"/>
    <cellStyle name="Currency 3" xfId="9" xr:uid="{4C16D036-D1D3-46B1-93BC-D791EF0D49EC}"/>
    <cellStyle name="Normal" xfId="0" builtinId="0"/>
    <cellStyle name="Normal 2" xfId="1" xr:uid="{00000000-0005-0000-0000-000001000000}"/>
    <cellStyle name="Normal 2 2" xfId="5" xr:uid="{31025D38-EAF0-4D5A-BF0A-7B389F80CC5B}"/>
    <cellStyle name="Normal 2 2 2" xfId="13" xr:uid="{86A67328-86A6-4281-A0C6-016D863E1208}"/>
    <cellStyle name="Normal 2 2 2 2" xfId="17" xr:uid="{A7ED0E9D-48BE-47BE-B19A-0558AC4BB7C4}"/>
    <cellStyle name="Normal 2 2 3" xfId="16" xr:uid="{D6D39EFF-B06F-4B60-9010-6BCB212CB2A5}"/>
    <cellStyle name="Normal 3" xfId="7" xr:uid="{EBDD5133-4020-4F31-991E-181E6886E5C2}"/>
    <cellStyle name="Normal 4" xfId="4" xr:uid="{DA1E95C2-81DE-4F37-BDD2-5D9655E46927}"/>
    <cellStyle name="Normal 5" xfId="11" xr:uid="{89E089CD-735F-41A1-99F6-FACA52FA041D}"/>
    <cellStyle name="Normal 6" xfId="15" xr:uid="{FF04BCBA-2FA4-4B0E-AD28-26ED0B1E68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660400</xdr:colOff>
      <xdr:row>18</xdr:row>
      <xdr:rowOff>107950</xdr:rowOff>
    </xdr:from>
    <xdr:to>
      <xdr:col>9</xdr:col>
      <xdr:colOff>88388</xdr:colOff>
      <xdr:row>19</xdr:row>
      <xdr:rowOff>103781</xdr:rowOff>
    </xdr:to>
    <xdr:sp macro="" textlink="">
      <xdr:nvSpPr>
        <xdr:cNvPr id="2" name="TextBox 1">
          <a:extLst>
            <a:ext uri="{FF2B5EF4-FFF2-40B4-BE49-F238E27FC236}">
              <a16:creationId xmlns:a16="http://schemas.microsoft.com/office/drawing/2014/main" id="{70BF6E63-9E18-44A2-BDD5-88C0E36091ED}"/>
            </a:ext>
          </a:extLst>
        </xdr:cNvPr>
        <xdr:cNvSpPr txBox="1"/>
      </xdr:nvSpPr>
      <xdr:spPr>
        <a:xfrm flipH="1">
          <a:off x="7651750" y="3568700"/>
          <a:ext cx="234438" cy="173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c</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571702</xdr:colOff>
      <xdr:row>14</xdr:row>
      <xdr:rowOff>145307</xdr:rowOff>
    </xdr:from>
    <xdr:to>
      <xdr:col>9</xdr:col>
      <xdr:colOff>228803</xdr:colOff>
      <xdr:row>15</xdr:row>
      <xdr:rowOff>107207</xdr:rowOff>
    </xdr:to>
    <xdr:sp macro="" textlink="">
      <xdr:nvSpPr>
        <xdr:cNvPr id="2" name="TextBox 1">
          <a:extLst>
            <a:ext uri="{FF2B5EF4-FFF2-40B4-BE49-F238E27FC236}">
              <a16:creationId xmlns:a16="http://schemas.microsoft.com/office/drawing/2014/main" id="{40CC0151-E6B4-4FE7-8C57-42C3B31518E6}"/>
            </a:ext>
          </a:extLst>
        </xdr:cNvPr>
        <xdr:cNvSpPr txBox="1"/>
      </xdr:nvSpPr>
      <xdr:spPr>
        <a:xfrm flipH="1">
          <a:off x="7533058" y="2830546"/>
          <a:ext cx="508272" cy="184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c</a:t>
          </a:r>
        </a:p>
      </xdr:txBody>
    </xdr:sp>
    <xdr:clientData/>
  </xdr:twoCellAnchor>
  <xdr:twoCellAnchor>
    <xdr:from>
      <xdr:col>8</xdr:col>
      <xdr:colOff>581024</xdr:colOff>
      <xdr:row>18</xdr:row>
      <xdr:rowOff>114300</xdr:rowOff>
    </xdr:from>
    <xdr:to>
      <xdr:col>9</xdr:col>
      <xdr:colOff>228600</xdr:colOff>
      <xdr:row>19</xdr:row>
      <xdr:rowOff>114300</xdr:rowOff>
    </xdr:to>
    <xdr:sp macro="" textlink="">
      <xdr:nvSpPr>
        <xdr:cNvPr id="4" name="TextBox 3">
          <a:extLst>
            <a:ext uri="{FF2B5EF4-FFF2-40B4-BE49-F238E27FC236}">
              <a16:creationId xmlns:a16="http://schemas.microsoft.com/office/drawing/2014/main" id="{EE2D1B9F-FEF8-44C5-B46D-0D1ED07A6BC4}"/>
            </a:ext>
          </a:extLst>
        </xdr:cNvPr>
        <xdr:cNvSpPr txBox="1"/>
      </xdr:nvSpPr>
      <xdr:spPr>
        <a:xfrm flipH="1">
          <a:off x="7524749" y="3571875"/>
          <a:ext cx="495301"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d</a:t>
          </a:r>
        </a:p>
      </xdr:txBody>
    </xdr:sp>
    <xdr:clientData/>
  </xdr:twoCellAnchor>
  <xdr:twoCellAnchor>
    <xdr:from>
      <xdr:col>8</xdr:col>
      <xdr:colOff>561975</xdr:colOff>
      <xdr:row>19</xdr:row>
      <xdr:rowOff>171450</xdr:rowOff>
    </xdr:from>
    <xdr:to>
      <xdr:col>9</xdr:col>
      <xdr:colOff>219076</xdr:colOff>
      <xdr:row>20</xdr:row>
      <xdr:rowOff>133350</xdr:rowOff>
    </xdr:to>
    <xdr:sp macro="" textlink="">
      <xdr:nvSpPr>
        <xdr:cNvPr id="5" name="TextBox 4">
          <a:extLst>
            <a:ext uri="{FF2B5EF4-FFF2-40B4-BE49-F238E27FC236}">
              <a16:creationId xmlns:a16="http://schemas.microsoft.com/office/drawing/2014/main" id="{DBFF5D9C-4882-48FF-8F7B-1AECA048E873}"/>
            </a:ext>
          </a:extLst>
        </xdr:cNvPr>
        <xdr:cNvSpPr txBox="1"/>
      </xdr:nvSpPr>
      <xdr:spPr>
        <a:xfrm flipH="1">
          <a:off x="7505700" y="3810000"/>
          <a:ext cx="504826"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e</a:t>
          </a:r>
        </a:p>
      </xdr:txBody>
    </xdr:sp>
    <xdr:clientData/>
  </xdr:twoCellAnchor>
  <xdr:twoCellAnchor>
    <xdr:from>
      <xdr:col>8</xdr:col>
      <xdr:colOff>552450</xdr:colOff>
      <xdr:row>27</xdr:row>
      <xdr:rowOff>95250</xdr:rowOff>
    </xdr:from>
    <xdr:to>
      <xdr:col>9</xdr:col>
      <xdr:colOff>200026</xdr:colOff>
      <xdr:row>28</xdr:row>
      <xdr:rowOff>85725</xdr:rowOff>
    </xdr:to>
    <xdr:sp macro="" textlink="">
      <xdr:nvSpPr>
        <xdr:cNvPr id="6" name="TextBox 5">
          <a:extLst>
            <a:ext uri="{FF2B5EF4-FFF2-40B4-BE49-F238E27FC236}">
              <a16:creationId xmlns:a16="http://schemas.microsoft.com/office/drawing/2014/main" id="{74F0A1AE-9789-4C5A-9C03-999BA5F681D1}"/>
            </a:ext>
          </a:extLst>
        </xdr:cNvPr>
        <xdr:cNvSpPr txBox="1"/>
      </xdr:nvSpPr>
      <xdr:spPr>
        <a:xfrm flipH="1">
          <a:off x="7496175" y="5238750"/>
          <a:ext cx="495301"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f</a:t>
          </a:r>
        </a:p>
      </xdr:txBody>
    </xdr:sp>
    <xdr:clientData/>
  </xdr:twoCellAnchor>
  <xdr:twoCellAnchor>
    <xdr:from>
      <xdr:col>8</xdr:col>
      <xdr:colOff>523875</xdr:colOff>
      <xdr:row>30</xdr:row>
      <xdr:rowOff>47625</xdr:rowOff>
    </xdr:from>
    <xdr:to>
      <xdr:col>9</xdr:col>
      <xdr:colOff>180976</xdr:colOff>
      <xdr:row>30</xdr:row>
      <xdr:rowOff>219075</xdr:rowOff>
    </xdr:to>
    <xdr:sp macro="" textlink="">
      <xdr:nvSpPr>
        <xdr:cNvPr id="7" name="TextBox 6">
          <a:extLst>
            <a:ext uri="{FF2B5EF4-FFF2-40B4-BE49-F238E27FC236}">
              <a16:creationId xmlns:a16="http://schemas.microsoft.com/office/drawing/2014/main" id="{BBD27E95-AFCD-4D71-A73E-D29FA85D94C1}"/>
            </a:ext>
          </a:extLst>
        </xdr:cNvPr>
        <xdr:cNvSpPr txBox="1"/>
      </xdr:nvSpPr>
      <xdr:spPr>
        <a:xfrm flipH="1">
          <a:off x="7467600" y="5734050"/>
          <a:ext cx="504826"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g</a:t>
          </a:r>
        </a:p>
      </xdr:txBody>
    </xdr:sp>
    <xdr:clientData/>
  </xdr:twoCellAnchor>
  <xdr:twoCellAnchor>
    <xdr:from>
      <xdr:col>8</xdr:col>
      <xdr:colOff>425449</xdr:colOff>
      <xdr:row>37</xdr:row>
      <xdr:rowOff>63500</xdr:rowOff>
    </xdr:from>
    <xdr:to>
      <xdr:col>9</xdr:col>
      <xdr:colOff>266699</xdr:colOff>
      <xdr:row>38</xdr:row>
      <xdr:rowOff>57150</xdr:rowOff>
    </xdr:to>
    <xdr:sp macro="" textlink="">
      <xdr:nvSpPr>
        <xdr:cNvPr id="8" name="TextBox 7">
          <a:extLst>
            <a:ext uri="{FF2B5EF4-FFF2-40B4-BE49-F238E27FC236}">
              <a16:creationId xmlns:a16="http://schemas.microsoft.com/office/drawing/2014/main" id="{196A7E65-ED57-4BED-9625-E970E0D5D127}"/>
            </a:ext>
          </a:extLst>
        </xdr:cNvPr>
        <xdr:cNvSpPr txBox="1"/>
      </xdr:nvSpPr>
      <xdr:spPr>
        <a:xfrm flipH="1">
          <a:off x="7289799" y="8324850"/>
          <a:ext cx="4254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c1</a:t>
          </a:r>
        </a:p>
      </xdr:txBody>
    </xdr:sp>
    <xdr:clientData/>
  </xdr:twoCellAnchor>
  <xdr:twoCellAnchor>
    <xdr:from>
      <xdr:col>8</xdr:col>
      <xdr:colOff>393699</xdr:colOff>
      <xdr:row>41</xdr:row>
      <xdr:rowOff>82550</xdr:rowOff>
    </xdr:from>
    <xdr:to>
      <xdr:col>9</xdr:col>
      <xdr:colOff>133349</xdr:colOff>
      <xdr:row>43</xdr:row>
      <xdr:rowOff>0</xdr:rowOff>
    </xdr:to>
    <xdr:sp macro="" textlink="">
      <xdr:nvSpPr>
        <xdr:cNvPr id="9" name="TextBox 8">
          <a:extLst>
            <a:ext uri="{FF2B5EF4-FFF2-40B4-BE49-F238E27FC236}">
              <a16:creationId xmlns:a16="http://schemas.microsoft.com/office/drawing/2014/main" id="{7FAE93FE-183C-482F-8F85-B4251EDCD225}"/>
            </a:ext>
          </a:extLst>
        </xdr:cNvPr>
        <xdr:cNvSpPr txBox="1"/>
      </xdr:nvSpPr>
      <xdr:spPr>
        <a:xfrm flipH="1">
          <a:off x="7258049" y="9055100"/>
          <a:ext cx="3238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c2</a:t>
          </a:r>
        </a:p>
      </xdr:txBody>
    </xdr:sp>
    <xdr:clientData/>
  </xdr:twoCellAnchor>
  <xdr:twoCellAnchor>
    <xdr:from>
      <xdr:col>5</xdr:col>
      <xdr:colOff>1266622</xdr:colOff>
      <xdr:row>34</xdr:row>
      <xdr:rowOff>20266</xdr:rowOff>
    </xdr:from>
    <xdr:to>
      <xdr:col>6</xdr:col>
      <xdr:colOff>302437</xdr:colOff>
      <xdr:row>34</xdr:row>
      <xdr:rowOff>191716</xdr:rowOff>
    </xdr:to>
    <xdr:sp macro="" textlink="">
      <xdr:nvSpPr>
        <xdr:cNvPr id="3" name="TextBox 2">
          <a:extLst>
            <a:ext uri="{FF2B5EF4-FFF2-40B4-BE49-F238E27FC236}">
              <a16:creationId xmlns:a16="http://schemas.microsoft.com/office/drawing/2014/main" id="{EA7A1374-D586-4577-B2DA-488159E46D98}"/>
            </a:ext>
          </a:extLst>
        </xdr:cNvPr>
        <xdr:cNvSpPr txBox="1"/>
      </xdr:nvSpPr>
      <xdr:spPr>
        <a:xfrm flipH="1">
          <a:off x="4924627" y="6697899"/>
          <a:ext cx="50509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h</a:t>
          </a:r>
        </a:p>
      </xdr:txBody>
    </xdr:sp>
    <xdr:clientData/>
  </xdr:twoCellAnchor>
  <xdr:twoCellAnchor>
    <xdr:from>
      <xdr:col>5</xdr:col>
      <xdr:colOff>1287872</xdr:colOff>
      <xdr:row>44</xdr:row>
      <xdr:rowOff>46797</xdr:rowOff>
    </xdr:from>
    <xdr:to>
      <xdr:col>6</xdr:col>
      <xdr:colOff>504136</xdr:colOff>
      <xdr:row>45</xdr:row>
      <xdr:rowOff>27747</xdr:rowOff>
    </xdr:to>
    <xdr:sp macro="" textlink="">
      <xdr:nvSpPr>
        <xdr:cNvPr id="12" name="TextBox 11">
          <a:extLst>
            <a:ext uri="{FF2B5EF4-FFF2-40B4-BE49-F238E27FC236}">
              <a16:creationId xmlns:a16="http://schemas.microsoft.com/office/drawing/2014/main" id="{A261D140-6EAE-49B4-95CC-E5D711EADA82}"/>
            </a:ext>
          </a:extLst>
        </xdr:cNvPr>
        <xdr:cNvSpPr txBox="1"/>
      </xdr:nvSpPr>
      <xdr:spPr>
        <a:xfrm flipH="1">
          <a:off x="4935947" y="8885997"/>
          <a:ext cx="683114"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h</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571702</xdr:colOff>
      <xdr:row>14</xdr:row>
      <xdr:rowOff>145307</xdr:rowOff>
    </xdr:from>
    <xdr:to>
      <xdr:col>9</xdr:col>
      <xdr:colOff>228803</xdr:colOff>
      <xdr:row>15</xdr:row>
      <xdr:rowOff>107207</xdr:rowOff>
    </xdr:to>
    <xdr:sp macro="" textlink="">
      <xdr:nvSpPr>
        <xdr:cNvPr id="2" name="TextBox 1">
          <a:extLst>
            <a:ext uri="{FF2B5EF4-FFF2-40B4-BE49-F238E27FC236}">
              <a16:creationId xmlns:a16="http://schemas.microsoft.com/office/drawing/2014/main" id="{DB237538-E780-4069-A158-CFAAD1B791D0}"/>
            </a:ext>
          </a:extLst>
        </xdr:cNvPr>
        <xdr:cNvSpPr txBox="1"/>
      </xdr:nvSpPr>
      <xdr:spPr>
        <a:xfrm flipH="1">
          <a:off x="5448502" y="2812307"/>
          <a:ext cx="266701"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c</a:t>
          </a:r>
        </a:p>
      </xdr:txBody>
    </xdr:sp>
    <xdr:clientData/>
  </xdr:twoCellAnchor>
  <xdr:twoCellAnchor>
    <xdr:from>
      <xdr:col>8</xdr:col>
      <xdr:colOff>581024</xdr:colOff>
      <xdr:row>18</xdr:row>
      <xdr:rowOff>114300</xdr:rowOff>
    </xdr:from>
    <xdr:to>
      <xdr:col>9</xdr:col>
      <xdr:colOff>228600</xdr:colOff>
      <xdr:row>19</xdr:row>
      <xdr:rowOff>114300</xdr:rowOff>
    </xdr:to>
    <xdr:sp macro="" textlink="">
      <xdr:nvSpPr>
        <xdr:cNvPr id="3" name="TextBox 2">
          <a:extLst>
            <a:ext uri="{FF2B5EF4-FFF2-40B4-BE49-F238E27FC236}">
              <a16:creationId xmlns:a16="http://schemas.microsoft.com/office/drawing/2014/main" id="{B9BA257B-4F98-4B5A-BA80-3B716DC36CAE}"/>
            </a:ext>
          </a:extLst>
        </xdr:cNvPr>
        <xdr:cNvSpPr txBox="1"/>
      </xdr:nvSpPr>
      <xdr:spPr>
        <a:xfrm flipH="1">
          <a:off x="5457824" y="3543300"/>
          <a:ext cx="257176"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d</a:t>
          </a:r>
        </a:p>
      </xdr:txBody>
    </xdr:sp>
    <xdr:clientData/>
  </xdr:twoCellAnchor>
  <xdr:twoCellAnchor>
    <xdr:from>
      <xdr:col>8</xdr:col>
      <xdr:colOff>561975</xdr:colOff>
      <xdr:row>19</xdr:row>
      <xdr:rowOff>171450</xdr:rowOff>
    </xdr:from>
    <xdr:to>
      <xdr:col>9</xdr:col>
      <xdr:colOff>219076</xdr:colOff>
      <xdr:row>20</xdr:row>
      <xdr:rowOff>133350</xdr:rowOff>
    </xdr:to>
    <xdr:sp macro="" textlink="">
      <xdr:nvSpPr>
        <xdr:cNvPr id="4" name="TextBox 3">
          <a:extLst>
            <a:ext uri="{FF2B5EF4-FFF2-40B4-BE49-F238E27FC236}">
              <a16:creationId xmlns:a16="http://schemas.microsoft.com/office/drawing/2014/main" id="{310ACD1B-C776-43EB-A8EE-5034DA8ECD1B}"/>
            </a:ext>
          </a:extLst>
        </xdr:cNvPr>
        <xdr:cNvSpPr txBox="1"/>
      </xdr:nvSpPr>
      <xdr:spPr>
        <a:xfrm flipH="1">
          <a:off x="5438775" y="3790950"/>
          <a:ext cx="266701"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e</a:t>
          </a:r>
        </a:p>
      </xdr:txBody>
    </xdr:sp>
    <xdr:clientData/>
  </xdr:twoCellAnchor>
  <xdr:twoCellAnchor>
    <xdr:from>
      <xdr:col>8</xdr:col>
      <xdr:colOff>552450</xdr:colOff>
      <xdr:row>27</xdr:row>
      <xdr:rowOff>95250</xdr:rowOff>
    </xdr:from>
    <xdr:to>
      <xdr:col>9</xdr:col>
      <xdr:colOff>200026</xdr:colOff>
      <xdr:row>28</xdr:row>
      <xdr:rowOff>85725</xdr:rowOff>
    </xdr:to>
    <xdr:sp macro="" textlink="">
      <xdr:nvSpPr>
        <xdr:cNvPr id="5" name="TextBox 4">
          <a:extLst>
            <a:ext uri="{FF2B5EF4-FFF2-40B4-BE49-F238E27FC236}">
              <a16:creationId xmlns:a16="http://schemas.microsoft.com/office/drawing/2014/main" id="{D8F1D9AA-F86D-456C-B2B3-0B5318363571}"/>
            </a:ext>
          </a:extLst>
        </xdr:cNvPr>
        <xdr:cNvSpPr txBox="1"/>
      </xdr:nvSpPr>
      <xdr:spPr>
        <a:xfrm flipH="1">
          <a:off x="5429250" y="5238750"/>
          <a:ext cx="257176"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f</a:t>
          </a:r>
        </a:p>
      </xdr:txBody>
    </xdr:sp>
    <xdr:clientData/>
  </xdr:twoCellAnchor>
  <xdr:twoCellAnchor>
    <xdr:from>
      <xdr:col>8</xdr:col>
      <xdr:colOff>523875</xdr:colOff>
      <xdr:row>30</xdr:row>
      <xdr:rowOff>47625</xdr:rowOff>
    </xdr:from>
    <xdr:to>
      <xdr:col>9</xdr:col>
      <xdr:colOff>180976</xdr:colOff>
      <xdr:row>30</xdr:row>
      <xdr:rowOff>219075</xdr:rowOff>
    </xdr:to>
    <xdr:sp macro="" textlink="">
      <xdr:nvSpPr>
        <xdr:cNvPr id="6" name="TextBox 5">
          <a:extLst>
            <a:ext uri="{FF2B5EF4-FFF2-40B4-BE49-F238E27FC236}">
              <a16:creationId xmlns:a16="http://schemas.microsoft.com/office/drawing/2014/main" id="{042C9CAE-DBEC-4E14-BDE7-FA26D1216547}"/>
            </a:ext>
          </a:extLst>
        </xdr:cNvPr>
        <xdr:cNvSpPr txBox="1"/>
      </xdr:nvSpPr>
      <xdr:spPr>
        <a:xfrm flipH="1">
          <a:off x="5400675" y="5762625"/>
          <a:ext cx="266701" cy="14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g</a:t>
          </a:r>
        </a:p>
      </xdr:txBody>
    </xdr:sp>
    <xdr:clientData/>
  </xdr:twoCellAnchor>
  <xdr:twoCellAnchor>
    <xdr:from>
      <xdr:col>8</xdr:col>
      <xdr:colOff>425449</xdr:colOff>
      <xdr:row>37</xdr:row>
      <xdr:rowOff>63500</xdr:rowOff>
    </xdr:from>
    <xdr:to>
      <xdr:col>9</xdr:col>
      <xdr:colOff>266699</xdr:colOff>
      <xdr:row>38</xdr:row>
      <xdr:rowOff>57150</xdr:rowOff>
    </xdr:to>
    <xdr:sp macro="" textlink="">
      <xdr:nvSpPr>
        <xdr:cNvPr id="7" name="TextBox 6">
          <a:extLst>
            <a:ext uri="{FF2B5EF4-FFF2-40B4-BE49-F238E27FC236}">
              <a16:creationId xmlns:a16="http://schemas.microsoft.com/office/drawing/2014/main" id="{93F777FA-4FD5-40F4-B644-CC4B1E5E2F12}"/>
            </a:ext>
          </a:extLst>
        </xdr:cNvPr>
        <xdr:cNvSpPr txBox="1"/>
      </xdr:nvSpPr>
      <xdr:spPr>
        <a:xfrm flipH="1">
          <a:off x="5302249" y="7112000"/>
          <a:ext cx="4508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c1</a:t>
          </a:r>
        </a:p>
      </xdr:txBody>
    </xdr:sp>
    <xdr:clientData/>
  </xdr:twoCellAnchor>
  <xdr:twoCellAnchor>
    <xdr:from>
      <xdr:col>8</xdr:col>
      <xdr:colOff>393699</xdr:colOff>
      <xdr:row>41</xdr:row>
      <xdr:rowOff>82550</xdr:rowOff>
    </xdr:from>
    <xdr:to>
      <xdr:col>9</xdr:col>
      <xdr:colOff>133349</xdr:colOff>
      <xdr:row>43</xdr:row>
      <xdr:rowOff>0</xdr:rowOff>
    </xdr:to>
    <xdr:sp macro="" textlink="">
      <xdr:nvSpPr>
        <xdr:cNvPr id="8" name="TextBox 7">
          <a:extLst>
            <a:ext uri="{FF2B5EF4-FFF2-40B4-BE49-F238E27FC236}">
              <a16:creationId xmlns:a16="http://schemas.microsoft.com/office/drawing/2014/main" id="{101CD5C7-02A5-4E0D-9E42-88254FC64754}"/>
            </a:ext>
          </a:extLst>
        </xdr:cNvPr>
        <xdr:cNvSpPr txBox="1"/>
      </xdr:nvSpPr>
      <xdr:spPr>
        <a:xfrm flipH="1">
          <a:off x="5270499" y="7893050"/>
          <a:ext cx="3492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c2</a:t>
          </a:r>
        </a:p>
      </xdr:txBody>
    </xdr:sp>
    <xdr:clientData/>
  </xdr:twoCellAnchor>
  <xdr:twoCellAnchor>
    <xdr:from>
      <xdr:col>5</xdr:col>
      <xdr:colOff>1266622</xdr:colOff>
      <xdr:row>34</xdr:row>
      <xdr:rowOff>20266</xdr:rowOff>
    </xdr:from>
    <xdr:to>
      <xdr:col>6</xdr:col>
      <xdr:colOff>302437</xdr:colOff>
      <xdr:row>34</xdr:row>
      <xdr:rowOff>191716</xdr:rowOff>
    </xdr:to>
    <xdr:sp macro="" textlink="">
      <xdr:nvSpPr>
        <xdr:cNvPr id="9" name="TextBox 8">
          <a:extLst>
            <a:ext uri="{FF2B5EF4-FFF2-40B4-BE49-F238E27FC236}">
              <a16:creationId xmlns:a16="http://schemas.microsoft.com/office/drawing/2014/main" id="{0AA07893-6F4D-4ED3-AC6A-D7115A0C8CD7}"/>
            </a:ext>
          </a:extLst>
        </xdr:cNvPr>
        <xdr:cNvSpPr txBox="1"/>
      </xdr:nvSpPr>
      <xdr:spPr>
        <a:xfrm flipH="1">
          <a:off x="3657397" y="6497266"/>
          <a:ext cx="30264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h</a:t>
          </a:r>
        </a:p>
      </xdr:txBody>
    </xdr:sp>
    <xdr:clientData/>
  </xdr:twoCellAnchor>
  <xdr:twoCellAnchor>
    <xdr:from>
      <xdr:col>5</xdr:col>
      <xdr:colOff>1287872</xdr:colOff>
      <xdr:row>44</xdr:row>
      <xdr:rowOff>46797</xdr:rowOff>
    </xdr:from>
    <xdr:to>
      <xdr:col>6</xdr:col>
      <xdr:colOff>504136</xdr:colOff>
      <xdr:row>45</xdr:row>
      <xdr:rowOff>27747</xdr:rowOff>
    </xdr:to>
    <xdr:sp macro="" textlink="">
      <xdr:nvSpPr>
        <xdr:cNvPr id="10" name="TextBox 9">
          <a:extLst>
            <a:ext uri="{FF2B5EF4-FFF2-40B4-BE49-F238E27FC236}">
              <a16:creationId xmlns:a16="http://schemas.microsoft.com/office/drawing/2014/main" id="{D87CD919-5E03-4F36-A447-13A95EC00D6E}"/>
            </a:ext>
          </a:extLst>
        </xdr:cNvPr>
        <xdr:cNvSpPr txBox="1"/>
      </xdr:nvSpPr>
      <xdr:spPr>
        <a:xfrm flipH="1">
          <a:off x="3659597" y="8428797"/>
          <a:ext cx="502139"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h</a:t>
          </a:r>
        </a:p>
      </xdr:txBody>
    </xdr:sp>
    <xdr:clientData/>
  </xdr:twoCellAnchor>
  <xdr:twoCellAnchor>
    <xdr:from>
      <xdr:col>5</xdr:col>
      <xdr:colOff>1285875</xdr:colOff>
      <xdr:row>14</xdr:row>
      <xdr:rowOff>152400</xdr:rowOff>
    </xdr:from>
    <xdr:to>
      <xdr:col>6</xdr:col>
      <xdr:colOff>320676</xdr:colOff>
      <xdr:row>15</xdr:row>
      <xdr:rowOff>111125</xdr:rowOff>
    </xdr:to>
    <xdr:sp macro="" textlink="">
      <xdr:nvSpPr>
        <xdr:cNvPr id="11" name="TextBox 10">
          <a:extLst>
            <a:ext uri="{FF2B5EF4-FFF2-40B4-BE49-F238E27FC236}">
              <a16:creationId xmlns:a16="http://schemas.microsoft.com/office/drawing/2014/main" id="{C20F7977-C096-483C-AAD0-506DEE3D2BAF}"/>
            </a:ext>
          </a:extLst>
        </xdr:cNvPr>
        <xdr:cNvSpPr txBox="1"/>
      </xdr:nvSpPr>
      <xdr:spPr>
        <a:xfrm flipH="1">
          <a:off x="3657600" y="2819400"/>
          <a:ext cx="320676" cy="149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i</a:t>
          </a:r>
        </a:p>
      </xdr:txBody>
    </xdr:sp>
    <xdr:clientData/>
  </xdr:twoCellAnchor>
  <xdr:twoCellAnchor>
    <xdr:from>
      <xdr:col>5</xdr:col>
      <xdr:colOff>1304925</xdr:colOff>
      <xdr:row>19</xdr:row>
      <xdr:rowOff>152400</xdr:rowOff>
    </xdr:from>
    <xdr:to>
      <xdr:col>6</xdr:col>
      <xdr:colOff>339726</xdr:colOff>
      <xdr:row>20</xdr:row>
      <xdr:rowOff>123825</xdr:rowOff>
    </xdr:to>
    <xdr:sp macro="" textlink="">
      <xdr:nvSpPr>
        <xdr:cNvPr id="12" name="TextBox 11">
          <a:extLst>
            <a:ext uri="{FF2B5EF4-FFF2-40B4-BE49-F238E27FC236}">
              <a16:creationId xmlns:a16="http://schemas.microsoft.com/office/drawing/2014/main" id="{B3763130-D361-4774-883B-718F6384A14D}"/>
            </a:ext>
          </a:extLst>
        </xdr:cNvPr>
        <xdr:cNvSpPr txBox="1"/>
      </xdr:nvSpPr>
      <xdr:spPr>
        <a:xfrm flipH="1">
          <a:off x="3657600" y="3771900"/>
          <a:ext cx="339726"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i</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952500</xdr:colOff>
      <xdr:row>34</xdr:row>
      <xdr:rowOff>0</xdr:rowOff>
    </xdr:from>
    <xdr:to>
      <xdr:col>6</xdr:col>
      <xdr:colOff>264540</xdr:colOff>
      <xdr:row>34</xdr:row>
      <xdr:rowOff>171450</xdr:rowOff>
    </xdr:to>
    <xdr:sp macro="" textlink="">
      <xdr:nvSpPr>
        <xdr:cNvPr id="2" name="TextBox 1">
          <a:extLst>
            <a:ext uri="{FF2B5EF4-FFF2-40B4-BE49-F238E27FC236}">
              <a16:creationId xmlns:a16="http://schemas.microsoft.com/office/drawing/2014/main" id="{416C005B-748E-4235-A6BF-01036C63ECD3}"/>
            </a:ext>
          </a:extLst>
        </xdr:cNvPr>
        <xdr:cNvSpPr txBox="1"/>
      </xdr:nvSpPr>
      <xdr:spPr>
        <a:xfrm flipH="1">
          <a:off x="5029200" y="6619875"/>
          <a:ext cx="50266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c</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952500</xdr:colOff>
      <xdr:row>33</xdr:row>
      <xdr:rowOff>180975</xdr:rowOff>
    </xdr:from>
    <xdr:to>
      <xdr:col>6</xdr:col>
      <xdr:colOff>235965</xdr:colOff>
      <xdr:row>34</xdr:row>
      <xdr:rowOff>152400</xdr:rowOff>
    </xdr:to>
    <xdr:sp macro="" textlink="">
      <xdr:nvSpPr>
        <xdr:cNvPr id="2" name="TextBox 1">
          <a:extLst>
            <a:ext uri="{FF2B5EF4-FFF2-40B4-BE49-F238E27FC236}">
              <a16:creationId xmlns:a16="http://schemas.microsoft.com/office/drawing/2014/main" id="{45448207-3062-4ED6-ACC0-8716E6AC5A91}"/>
            </a:ext>
          </a:extLst>
        </xdr:cNvPr>
        <xdr:cNvSpPr txBox="1"/>
      </xdr:nvSpPr>
      <xdr:spPr>
        <a:xfrm flipH="1">
          <a:off x="5029200" y="6629400"/>
          <a:ext cx="50266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c</a:t>
          </a:r>
        </a:p>
      </xdr:txBody>
    </xdr:sp>
    <xdr:clientData/>
  </xdr:twoCellAnchor>
  <xdr:twoCellAnchor>
    <xdr:from>
      <xdr:col>6</xdr:col>
      <xdr:colOff>971550</xdr:colOff>
      <xdr:row>14</xdr:row>
      <xdr:rowOff>101600</xdr:rowOff>
    </xdr:from>
    <xdr:to>
      <xdr:col>7</xdr:col>
      <xdr:colOff>305815</xdr:colOff>
      <xdr:row>15</xdr:row>
      <xdr:rowOff>53975</xdr:rowOff>
    </xdr:to>
    <xdr:sp macro="" textlink="">
      <xdr:nvSpPr>
        <xdr:cNvPr id="3" name="TextBox 2">
          <a:extLst>
            <a:ext uri="{FF2B5EF4-FFF2-40B4-BE49-F238E27FC236}">
              <a16:creationId xmlns:a16="http://schemas.microsoft.com/office/drawing/2014/main" id="{879BC308-9625-43B0-B7F8-70912DE8C79B}"/>
            </a:ext>
          </a:extLst>
        </xdr:cNvPr>
        <xdr:cNvSpPr txBox="1"/>
      </xdr:nvSpPr>
      <xdr:spPr>
        <a:xfrm flipH="1">
          <a:off x="6273800" y="2806700"/>
          <a:ext cx="502665" cy="168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b</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8</xdr:col>
      <xdr:colOff>615951</xdr:colOff>
      <xdr:row>27</xdr:row>
      <xdr:rowOff>22226</xdr:rowOff>
    </xdr:from>
    <xdr:ext cx="323850" cy="264560"/>
    <xdr:sp macro="" textlink="">
      <xdr:nvSpPr>
        <xdr:cNvPr id="3" name="TextBox 2">
          <a:extLst>
            <a:ext uri="{FF2B5EF4-FFF2-40B4-BE49-F238E27FC236}">
              <a16:creationId xmlns:a16="http://schemas.microsoft.com/office/drawing/2014/main" id="{40B6DDCB-3E47-4DE2-AC55-2E15208E9609}"/>
            </a:ext>
          </a:extLst>
        </xdr:cNvPr>
        <xdr:cNvSpPr txBox="1"/>
      </xdr:nvSpPr>
      <xdr:spPr>
        <a:xfrm>
          <a:off x="7531101" y="5172076"/>
          <a:ext cx="3238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a:t>
          </a:r>
        </a:p>
      </xdr:txBody>
    </xdr:sp>
    <xdr:clientData/>
  </xdr:oneCellAnchor>
  <xdr:oneCellAnchor>
    <xdr:from>
      <xdr:col>8</xdr:col>
      <xdr:colOff>603250</xdr:colOff>
      <xdr:row>18</xdr:row>
      <xdr:rowOff>63500</xdr:rowOff>
    </xdr:from>
    <xdr:ext cx="323850" cy="264560"/>
    <xdr:sp macro="" textlink="">
      <xdr:nvSpPr>
        <xdr:cNvPr id="4" name="TextBox 3">
          <a:extLst>
            <a:ext uri="{FF2B5EF4-FFF2-40B4-BE49-F238E27FC236}">
              <a16:creationId xmlns:a16="http://schemas.microsoft.com/office/drawing/2014/main" id="{5112F5ED-3C8E-4190-93A2-A4F266034254}"/>
            </a:ext>
          </a:extLst>
        </xdr:cNvPr>
        <xdr:cNvSpPr txBox="1"/>
      </xdr:nvSpPr>
      <xdr:spPr>
        <a:xfrm>
          <a:off x="7518400" y="3549650"/>
          <a:ext cx="3238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c</a:t>
          </a:r>
        </a:p>
      </xdr:txBody>
    </xdr:sp>
    <xdr:clientData/>
  </xdr:oneCellAnchor>
  <xdr:twoCellAnchor>
    <xdr:from>
      <xdr:col>5</xdr:col>
      <xdr:colOff>952500</xdr:colOff>
      <xdr:row>34</xdr:row>
      <xdr:rowOff>9525</xdr:rowOff>
    </xdr:from>
    <xdr:to>
      <xdr:col>6</xdr:col>
      <xdr:colOff>235965</xdr:colOff>
      <xdr:row>34</xdr:row>
      <xdr:rowOff>180975</xdr:rowOff>
    </xdr:to>
    <xdr:sp macro="" textlink="">
      <xdr:nvSpPr>
        <xdr:cNvPr id="5" name="TextBox 4">
          <a:extLst>
            <a:ext uri="{FF2B5EF4-FFF2-40B4-BE49-F238E27FC236}">
              <a16:creationId xmlns:a16="http://schemas.microsoft.com/office/drawing/2014/main" id="{739C81C0-019C-47C7-AA6D-0AF2652D7221}"/>
            </a:ext>
          </a:extLst>
        </xdr:cNvPr>
        <xdr:cNvSpPr txBox="1"/>
      </xdr:nvSpPr>
      <xdr:spPr>
        <a:xfrm flipH="1">
          <a:off x="5029200" y="6629400"/>
          <a:ext cx="50266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e</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8</xdr:col>
      <xdr:colOff>469900</xdr:colOff>
      <xdr:row>18</xdr:row>
      <xdr:rowOff>12700</xdr:rowOff>
    </xdr:from>
    <xdr:ext cx="323850" cy="264560"/>
    <xdr:sp macro="" textlink="">
      <xdr:nvSpPr>
        <xdr:cNvPr id="2" name="TextBox 1">
          <a:extLst>
            <a:ext uri="{FF2B5EF4-FFF2-40B4-BE49-F238E27FC236}">
              <a16:creationId xmlns:a16="http://schemas.microsoft.com/office/drawing/2014/main" id="{59E2D171-3A0F-411F-9B61-BCB51AC86499}"/>
            </a:ext>
          </a:extLst>
        </xdr:cNvPr>
        <xdr:cNvSpPr txBox="1"/>
      </xdr:nvSpPr>
      <xdr:spPr>
        <a:xfrm>
          <a:off x="7600950" y="3505200"/>
          <a:ext cx="3238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c</a:t>
          </a:r>
        </a:p>
      </xdr:txBody>
    </xdr:sp>
    <xdr:clientData/>
  </xdr:oneCellAnchor>
  <xdr:twoCellAnchor>
    <xdr:from>
      <xdr:col>5</xdr:col>
      <xdr:colOff>1133475</xdr:colOff>
      <xdr:row>34</xdr:row>
      <xdr:rowOff>0</xdr:rowOff>
    </xdr:from>
    <xdr:to>
      <xdr:col>6</xdr:col>
      <xdr:colOff>226440</xdr:colOff>
      <xdr:row>34</xdr:row>
      <xdr:rowOff>171450</xdr:rowOff>
    </xdr:to>
    <xdr:sp macro="" textlink="">
      <xdr:nvSpPr>
        <xdr:cNvPr id="3" name="TextBox 2">
          <a:extLst>
            <a:ext uri="{FF2B5EF4-FFF2-40B4-BE49-F238E27FC236}">
              <a16:creationId xmlns:a16="http://schemas.microsoft.com/office/drawing/2014/main" id="{40982E59-F5B6-4A2E-89F5-FD5D0D0050BE}"/>
            </a:ext>
          </a:extLst>
        </xdr:cNvPr>
        <xdr:cNvSpPr txBox="1"/>
      </xdr:nvSpPr>
      <xdr:spPr>
        <a:xfrm flipH="1">
          <a:off x="5210175" y="6648450"/>
          <a:ext cx="50266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d</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8</xdr:col>
      <xdr:colOff>920750</xdr:colOff>
      <xdr:row>18</xdr:row>
      <xdr:rowOff>25400</xdr:rowOff>
    </xdr:from>
    <xdr:ext cx="323850" cy="264560"/>
    <xdr:sp macro="" textlink="">
      <xdr:nvSpPr>
        <xdr:cNvPr id="2" name="TextBox 1">
          <a:extLst>
            <a:ext uri="{FF2B5EF4-FFF2-40B4-BE49-F238E27FC236}">
              <a16:creationId xmlns:a16="http://schemas.microsoft.com/office/drawing/2014/main" id="{68D95351-BA35-46B8-A5CC-6E82AF9371B7}"/>
            </a:ext>
          </a:extLst>
        </xdr:cNvPr>
        <xdr:cNvSpPr txBox="1"/>
      </xdr:nvSpPr>
      <xdr:spPr>
        <a:xfrm>
          <a:off x="7785100" y="3511550"/>
          <a:ext cx="3238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b</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8</xdr:col>
      <xdr:colOff>736600</xdr:colOff>
      <xdr:row>18</xdr:row>
      <xdr:rowOff>31750</xdr:rowOff>
    </xdr:from>
    <xdr:ext cx="323850" cy="264560"/>
    <xdr:sp macro="" textlink="">
      <xdr:nvSpPr>
        <xdr:cNvPr id="2" name="TextBox 1">
          <a:extLst>
            <a:ext uri="{FF2B5EF4-FFF2-40B4-BE49-F238E27FC236}">
              <a16:creationId xmlns:a16="http://schemas.microsoft.com/office/drawing/2014/main" id="{4DB3DDB2-C991-439C-9EBA-0B5C0D802628}"/>
            </a:ext>
          </a:extLst>
        </xdr:cNvPr>
        <xdr:cNvSpPr txBox="1"/>
      </xdr:nvSpPr>
      <xdr:spPr>
        <a:xfrm>
          <a:off x="7461250" y="3517900"/>
          <a:ext cx="3238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c</a:t>
          </a:r>
        </a:p>
      </xdr:txBody>
    </xdr:sp>
    <xdr:clientData/>
  </xdr:oneCellAnchor>
  <xdr:twoCellAnchor>
    <xdr:from>
      <xdr:col>5</xdr:col>
      <xdr:colOff>942975</xdr:colOff>
      <xdr:row>33</xdr:row>
      <xdr:rowOff>190500</xdr:rowOff>
    </xdr:from>
    <xdr:to>
      <xdr:col>6</xdr:col>
      <xdr:colOff>226440</xdr:colOff>
      <xdr:row>34</xdr:row>
      <xdr:rowOff>161925</xdr:rowOff>
    </xdr:to>
    <xdr:sp macro="" textlink="">
      <xdr:nvSpPr>
        <xdr:cNvPr id="3" name="TextBox 2">
          <a:extLst>
            <a:ext uri="{FF2B5EF4-FFF2-40B4-BE49-F238E27FC236}">
              <a16:creationId xmlns:a16="http://schemas.microsoft.com/office/drawing/2014/main" id="{04BBE99C-2750-44CB-833F-645F210CE986}"/>
            </a:ext>
          </a:extLst>
        </xdr:cNvPr>
        <xdr:cNvSpPr txBox="1"/>
      </xdr:nvSpPr>
      <xdr:spPr>
        <a:xfrm flipH="1">
          <a:off x="5019675" y="6629400"/>
          <a:ext cx="50266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d</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1047750</xdr:colOff>
      <xdr:row>34</xdr:row>
      <xdr:rowOff>9525</xdr:rowOff>
    </xdr:from>
    <xdr:to>
      <xdr:col>6</xdr:col>
      <xdr:colOff>274065</xdr:colOff>
      <xdr:row>34</xdr:row>
      <xdr:rowOff>180975</xdr:rowOff>
    </xdr:to>
    <xdr:sp macro="" textlink="">
      <xdr:nvSpPr>
        <xdr:cNvPr id="2" name="TextBox 1">
          <a:extLst>
            <a:ext uri="{FF2B5EF4-FFF2-40B4-BE49-F238E27FC236}">
              <a16:creationId xmlns:a16="http://schemas.microsoft.com/office/drawing/2014/main" id="{0B42E7C7-DB0C-4AD9-8EFF-C547CA652734}"/>
            </a:ext>
          </a:extLst>
        </xdr:cNvPr>
        <xdr:cNvSpPr txBox="1"/>
      </xdr:nvSpPr>
      <xdr:spPr>
        <a:xfrm flipH="1">
          <a:off x="5124450" y="6800850"/>
          <a:ext cx="50266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t>b</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8</xdr:col>
      <xdr:colOff>819150</xdr:colOff>
      <xdr:row>18</xdr:row>
      <xdr:rowOff>25400</xdr:rowOff>
    </xdr:from>
    <xdr:ext cx="323850" cy="264560"/>
    <xdr:sp macro="" textlink="">
      <xdr:nvSpPr>
        <xdr:cNvPr id="2" name="TextBox 1">
          <a:extLst>
            <a:ext uri="{FF2B5EF4-FFF2-40B4-BE49-F238E27FC236}">
              <a16:creationId xmlns:a16="http://schemas.microsoft.com/office/drawing/2014/main" id="{8C7821BB-E4DC-4CD6-AB56-A202CDC7B586}"/>
            </a:ext>
          </a:extLst>
        </xdr:cNvPr>
        <xdr:cNvSpPr txBox="1"/>
      </xdr:nvSpPr>
      <xdr:spPr>
        <a:xfrm>
          <a:off x="7734300" y="3721100"/>
          <a:ext cx="3238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b</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8</xdr:col>
      <xdr:colOff>723900</xdr:colOff>
      <xdr:row>18</xdr:row>
      <xdr:rowOff>31750</xdr:rowOff>
    </xdr:from>
    <xdr:ext cx="323850" cy="264560"/>
    <xdr:sp macro="" textlink="">
      <xdr:nvSpPr>
        <xdr:cNvPr id="2" name="TextBox 1">
          <a:extLst>
            <a:ext uri="{FF2B5EF4-FFF2-40B4-BE49-F238E27FC236}">
              <a16:creationId xmlns:a16="http://schemas.microsoft.com/office/drawing/2014/main" id="{4FC7510E-89BF-4B48-BAF2-63BE37398304}"/>
            </a:ext>
          </a:extLst>
        </xdr:cNvPr>
        <xdr:cNvSpPr txBox="1"/>
      </xdr:nvSpPr>
      <xdr:spPr>
        <a:xfrm>
          <a:off x="6794500" y="3524250"/>
          <a:ext cx="3238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b</a:t>
          </a: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Year%20End\Year%20End%20Reports\FY24\FY24%20Final%20Report%2018%20&amp;%2019%20-%20Versions\FY24%20Final%20Report%2025-02-06\FY24%20Report%2018%20Statement%20of%20Changes%20in%20Capital%20Assets%20Group%20of%20Accounts%20-%20Revised%202025-02-06.xlsx" TargetMode="External"/><Relationship Id="rId1" Type="http://schemas.openxmlformats.org/officeDocument/2006/relationships/externalLinkPath" Target="file:///P:\Year%20End\Year%20End%20Reports\FY24\FY24%20Final%20Report%2018%20&amp;%2019%20-%20Versions\FY24%20Final%20Report%2025-02-06\FY24%20Report%2018%20Statement%20of%20Changes%20in%20Capital%20Assets%20Group%20of%20Accounts%20-%20Revised%202025-02-0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State_Gov_Reporting\2023-24\GAAP\CAPITAL%20ASSETS%20&amp;%20LEASES\CAPITAL%20ASSETS\3a.%20Report%2018%20&amp;%2019\Agency%20Reports\BU%202660\BU2660%20F0042%20R18_REVISED.xlsx" TargetMode="External"/><Relationship Id="rId1" Type="http://schemas.openxmlformats.org/officeDocument/2006/relationships/externalLinkPath" Target="BU2660%20F0042%20R18_REVISED.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jzhao\AppData\Roaming\Microsoft\Excel\BU2660%20F0042%20R18_REVISED%20(version%201).xlsb" TargetMode="External"/><Relationship Id="rId1" Type="http://schemas.openxmlformats.org/officeDocument/2006/relationships/externalLinkPath" Target="file:///C:\Users\jzhao\AppData\Roaming\Microsoft\Excel\BU2660%20F0042%20R18_REVISED%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001"/>
      <sheetName val="0041"/>
      <sheetName val="0042 Revised"/>
      <sheetName val="0046"/>
      <sheetName val="0183"/>
      <sheetName val="0523"/>
      <sheetName val="0541"/>
      <sheetName val="0653"/>
      <sheetName val="0673"/>
      <sheetName val="0703"/>
      <sheetName val="0756"/>
      <sheetName val="0942"/>
      <sheetName val="2504"/>
      <sheetName val="3007"/>
      <sheetName val="3290 Revised"/>
      <sheetName val="3291"/>
      <sheetName val="6055"/>
      <sheetName val="6056"/>
      <sheetName val="6058"/>
      <sheetName val="6059"/>
      <sheetName val="6060"/>
      <sheetName val="6062"/>
      <sheetName val="6063"/>
      <sheetName val="6064"/>
      <sheetName val="6072"/>
      <sheetName val="6801"/>
      <sheetName val="Report 19"/>
      <sheetName val="Report 18 Reconciliation Fund -"/>
      <sheetName val="Date"/>
    </sheetNames>
    <sheetDataSet>
      <sheetData sheetId="0">
        <row r="16">
          <cell r="J16">
            <v>955511.52</v>
          </cell>
        </row>
      </sheetData>
      <sheetData sheetId="1">
        <row r="16">
          <cell r="J16">
            <v>0</v>
          </cell>
        </row>
      </sheetData>
      <sheetData sheetId="2"/>
      <sheetData sheetId="3">
        <row r="16">
          <cell r="J16">
            <v>0</v>
          </cell>
        </row>
      </sheetData>
      <sheetData sheetId="4">
        <row r="16">
          <cell r="J16">
            <v>0</v>
          </cell>
        </row>
      </sheetData>
      <sheetData sheetId="5">
        <row r="16">
          <cell r="F16">
            <v>8000000</v>
          </cell>
        </row>
      </sheetData>
      <sheetData sheetId="6">
        <row r="16">
          <cell r="J16">
            <v>0</v>
          </cell>
        </row>
      </sheetData>
      <sheetData sheetId="7">
        <row r="16">
          <cell r="J16">
            <v>300093.58999999997</v>
          </cell>
        </row>
      </sheetData>
      <sheetData sheetId="8">
        <row r="16">
          <cell r="J16">
            <v>0</v>
          </cell>
        </row>
      </sheetData>
      <sheetData sheetId="9">
        <row r="16">
          <cell r="J16">
            <v>0</v>
          </cell>
        </row>
      </sheetData>
      <sheetData sheetId="10">
        <row r="16">
          <cell r="J16">
            <v>0</v>
          </cell>
        </row>
      </sheetData>
      <sheetData sheetId="11">
        <row r="16">
          <cell r="J16">
            <v>0</v>
          </cell>
        </row>
      </sheetData>
      <sheetData sheetId="12">
        <row r="16">
          <cell r="J16">
            <v>0</v>
          </cell>
        </row>
      </sheetData>
      <sheetData sheetId="13">
        <row r="16">
          <cell r="G16">
            <v>2630.83</v>
          </cell>
        </row>
      </sheetData>
      <sheetData sheetId="14">
        <row r="16">
          <cell r="G16">
            <v>3384432.55</v>
          </cell>
        </row>
      </sheetData>
      <sheetData sheetId="15">
        <row r="16">
          <cell r="G16">
            <v>13780455.880000001</v>
          </cell>
        </row>
      </sheetData>
      <sheetData sheetId="16">
        <row r="16">
          <cell r="J16">
            <v>0</v>
          </cell>
        </row>
      </sheetData>
      <sheetData sheetId="17">
        <row r="16">
          <cell r="J16">
            <v>0</v>
          </cell>
        </row>
      </sheetData>
      <sheetData sheetId="18">
        <row r="16">
          <cell r="J16">
            <v>0</v>
          </cell>
        </row>
      </sheetData>
      <sheetData sheetId="19">
        <row r="16">
          <cell r="J16">
            <v>0</v>
          </cell>
        </row>
      </sheetData>
      <sheetData sheetId="20">
        <row r="16">
          <cell r="J16">
            <v>0</v>
          </cell>
        </row>
      </sheetData>
      <sheetData sheetId="21">
        <row r="16">
          <cell r="J16">
            <v>0</v>
          </cell>
        </row>
      </sheetData>
      <sheetData sheetId="22">
        <row r="16">
          <cell r="J16">
            <v>0</v>
          </cell>
        </row>
      </sheetData>
      <sheetData sheetId="23">
        <row r="16">
          <cell r="J16">
            <v>44393.46</v>
          </cell>
        </row>
      </sheetData>
      <sheetData sheetId="24">
        <row r="16">
          <cell r="G16">
            <v>31959.16</v>
          </cell>
        </row>
      </sheetData>
      <sheetData sheetId="25">
        <row r="16">
          <cell r="J16">
            <v>64778024.299999997</v>
          </cell>
        </row>
      </sheetData>
      <sheetData sheetId="26"/>
      <sheetData sheetId="27"/>
      <sheetData sheetId="28">
        <row r="2">
          <cell r="A2" t="str">
            <v>As of 06/30/2024</v>
          </cell>
        </row>
        <row r="10">
          <cell r="A10" t="str">
            <v>Subscribed and executed this 30th day of August, 2024 at Sacramento, California.</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0042 Diff Revised"/>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04D13-9371-4469-9556-86F83A2C02E6}">
  <sheetPr>
    <pageSetUpPr fitToPage="1"/>
  </sheetPr>
  <dimension ref="A1:K62"/>
  <sheetViews>
    <sheetView zoomScaleNormal="100" workbookViewId="0">
      <pane ySplit="14" topLeftCell="A32" activePane="bottomLeft" state="frozen"/>
      <selection activeCell="O34" sqref="O34"/>
      <selection pane="bottomLeft" activeCell="O34" sqref="O34"/>
    </sheetView>
  </sheetViews>
  <sheetFormatPr defaultColWidth="9.140625" defaultRowHeight="14.25" x14ac:dyDescent="0.2"/>
  <cols>
    <col min="1" max="1" width="12.140625" style="37" customWidth="1"/>
    <col min="2" max="2" width="5.28515625" style="37" customWidth="1"/>
    <col min="3" max="3" width="7.5703125" style="37" customWidth="1"/>
    <col min="4" max="4" width="14.42578125" style="37" customWidth="1"/>
    <col min="5" max="5" width="19" style="37" customWidth="1"/>
    <col min="6" max="6" width="18.85546875" style="37" bestFit="1" customWidth="1"/>
    <col min="7" max="7" width="16.7109375" style="37" customWidth="1"/>
    <col min="8" max="8" width="6.140625" style="37" customWidth="1"/>
    <col min="9" max="9" width="11.5703125" style="37" customWidth="1"/>
    <col min="10" max="10" width="16.140625" style="37" bestFit="1" customWidth="1"/>
    <col min="11" max="16384" width="9.140625" style="37"/>
  </cols>
  <sheetData>
    <row r="1" spans="1:11" customFormat="1" ht="15" x14ac:dyDescent="0.25">
      <c r="A1" s="161"/>
      <c r="B1" s="161"/>
      <c r="C1" s="161"/>
      <c r="D1" s="161"/>
      <c r="E1" s="161"/>
      <c r="F1" s="161"/>
      <c r="G1" s="161"/>
      <c r="H1" s="161"/>
      <c r="I1" s="161" t="s">
        <v>0</v>
      </c>
      <c r="J1" s="161"/>
    </row>
    <row r="2" spans="1:11" customFormat="1" ht="15" x14ac:dyDescent="0.25">
      <c r="A2" s="157" t="s">
        <v>1</v>
      </c>
      <c r="B2" s="157"/>
      <c r="C2" s="157"/>
      <c r="D2" s="157"/>
      <c r="E2" s="157"/>
      <c r="F2" s="157"/>
      <c r="G2" s="157"/>
      <c r="H2" s="157"/>
      <c r="I2" s="157"/>
      <c r="J2" s="157"/>
    </row>
    <row r="3" spans="1:11" customFormat="1" ht="15" x14ac:dyDescent="0.25">
      <c r="A3" s="156" t="s">
        <v>22</v>
      </c>
      <c r="B3" s="157"/>
      <c r="C3" s="157"/>
      <c r="D3" s="157"/>
      <c r="E3" s="157"/>
      <c r="F3" s="157"/>
      <c r="G3" s="157"/>
      <c r="H3" s="157"/>
      <c r="I3" s="157"/>
      <c r="J3" s="157"/>
    </row>
    <row r="4" spans="1:11" customFormat="1" ht="14.45" customHeight="1" x14ac:dyDescent="0.25">
      <c r="A4" s="156" t="s">
        <v>25</v>
      </c>
      <c r="B4" s="157"/>
      <c r="C4" s="157"/>
      <c r="D4" s="157"/>
      <c r="E4" s="157"/>
      <c r="F4" s="157"/>
      <c r="G4" s="157"/>
      <c r="H4" s="157"/>
      <c r="I4" s="157"/>
      <c r="J4" s="157"/>
    </row>
    <row r="5" spans="1:11" customFormat="1" ht="15" x14ac:dyDescent="0.25">
      <c r="A5" s="156" t="s">
        <v>26</v>
      </c>
      <c r="B5" s="157"/>
      <c r="C5" s="157"/>
      <c r="D5" s="157"/>
      <c r="E5" s="157"/>
      <c r="F5" s="157"/>
      <c r="G5" s="157"/>
      <c r="H5" s="157"/>
      <c r="I5" s="157"/>
      <c r="J5" s="157"/>
    </row>
    <row r="6" spans="1:11" customFormat="1" ht="15" x14ac:dyDescent="0.25">
      <c r="A6" s="158" t="s">
        <v>27</v>
      </c>
      <c r="B6" s="157"/>
      <c r="C6" s="157"/>
      <c r="D6" s="157"/>
      <c r="E6" s="157"/>
      <c r="F6" s="157"/>
      <c r="G6" s="157"/>
      <c r="H6" s="157"/>
      <c r="I6" s="157"/>
      <c r="J6" s="157"/>
    </row>
    <row r="7" spans="1:11" ht="14.45" customHeight="1" x14ac:dyDescent="0.2">
      <c r="A7" s="159" t="s">
        <v>2</v>
      </c>
      <c r="B7" s="159"/>
      <c r="C7" s="146" t="s">
        <v>23</v>
      </c>
      <c r="D7" s="146"/>
      <c r="E7" s="146"/>
      <c r="F7" s="146"/>
      <c r="G7" s="146"/>
      <c r="H7" s="146"/>
      <c r="I7" s="8" t="s">
        <v>29</v>
      </c>
      <c r="J7" s="8" t="s">
        <v>216</v>
      </c>
    </row>
    <row r="8" spans="1:11" ht="14.45" customHeight="1" x14ac:dyDescent="0.2">
      <c r="A8" s="159" t="s">
        <v>3</v>
      </c>
      <c r="B8" s="159"/>
      <c r="C8" s="146" t="s">
        <v>24</v>
      </c>
      <c r="D8" s="147"/>
      <c r="E8" s="147"/>
      <c r="F8" s="147"/>
      <c r="G8" s="147"/>
      <c r="H8" s="147"/>
      <c r="I8" s="8" t="s">
        <v>217</v>
      </c>
      <c r="J8" s="26">
        <f ca="1">TODAY()</f>
        <v>45723</v>
      </c>
    </row>
    <row r="9" spans="1:11" ht="14.45" customHeight="1" x14ac:dyDescent="0.2">
      <c r="A9" s="159"/>
      <c r="B9" s="159"/>
      <c r="C9" s="160"/>
      <c r="D9" s="160"/>
      <c r="E9" s="160"/>
      <c r="F9" s="160"/>
      <c r="G9" s="160"/>
      <c r="H9" s="160"/>
      <c r="I9" s="8" t="s">
        <v>218</v>
      </c>
      <c r="J9" s="38">
        <f ca="1">NOW()</f>
        <v>45723.507627430554</v>
      </c>
    </row>
    <row r="10" spans="1:11" x14ac:dyDescent="0.2">
      <c r="A10" s="146"/>
      <c r="B10" s="146"/>
      <c r="C10" s="146"/>
      <c r="D10" s="146"/>
      <c r="E10" s="146"/>
      <c r="F10" s="146"/>
      <c r="G10" s="146"/>
      <c r="H10" s="146"/>
      <c r="I10" s="146"/>
      <c r="J10" s="146"/>
    </row>
    <row r="11" spans="1:11" x14ac:dyDescent="0.2">
      <c r="A11" s="152"/>
      <c r="B11" s="152"/>
      <c r="C11" s="152"/>
      <c r="D11" s="152"/>
      <c r="E11" s="152"/>
      <c r="F11" s="152"/>
      <c r="G11" s="152"/>
      <c r="H11" s="152"/>
      <c r="I11" s="152"/>
      <c r="J11" s="152"/>
    </row>
    <row r="12" spans="1:11" x14ac:dyDescent="0.2">
      <c r="A12" s="151" t="s">
        <v>4</v>
      </c>
      <c r="B12" s="151"/>
      <c r="C12" s="151"/>
      <c r="D12" s="151"/>
      <c r="E12" s="151"/>
      <c r="F12" s="151"/>
      <c r="G12" s="151"/>
      <c r="H12" s="151"/>
      <c r="I12" s="151"/>
      <c r="J12" s="151"/>
    </row>
    <row r="13" spans="1:11" x14ac:dyDescent="0.2">
      <c r="A13" s="152"/>
      <c r="B13" s="152"/>
      <c r="C13" s="152"/>
      <c r="D13" s="152"/>
      <c r="E13" s="152"/>
      <c r="F13" s="152"/>
      <c r="G13" s="152"/>
      <c r="H13" s="152"/>
      <c r="I13" s="152"/>
      <c r="J13" s="152"/>
    </row>
    <row r="14" spans="1:11" ht="24.75" customHeight="1" x14ac:dyDescent="0.2">
      <c r="A14" s="153" t="s">
        <v>5</v>
      </c>
      <c r="B14" s="153"/>
      <c r="C14" s="153"/>
      <c r="D14" s="153"/>
      <c r="E14" s="153"/>
      <c r="F14" s="14" t="s">
        <v>6</v>
      </c>
      <c r="G14" s="14" t="s">
        <v>7</v>
      </c>
      <c r="H14" s="145" t="s">
        <v>8</v>
      </c>
      <c r="I14" s="145"/>
      <c r="J14" s="14" t="s">
        <v>9</v>
      </c>
    </row>
    <row r="15" spans="1:11" ht="17.25" customHeight="1" x14ac:dyDescent="0.25">
      <c r="A15" s="154" t="s">
        <v>10</v>
      </c>
      <c r="B15" s="154"/>
      <c r="C15" s="154"/>
      <c r="D15" s="154"/>
      <c r="E15" s="154"/>
      <c r="F15" s="154"/>
      <c r="G15" s="154"/>
      <c r="H15" s="154"/>
      <c r="I15" s="154"/>
      <c r="J15" s="154"/>
    </row>
    <row r="16" spans="1:11" ht="17.25" x14ac:dyDescent="0.25">
      <c r="A16" s="67" t="s">
        <v>219</v>
      </c>
      <c r="B16" s="40"/>
      <c r="C16" s="40"/>
      <c r="D16" s="40"/>
      <c r="E16" s="40"/>
      <c r="F16" s="53">
        <f>F42</f>
        <v>886023.84</v>
      </c>
      <c r="G16" s="53">
        <f>G42</f>
        <v>69487.679999999993</v>
      </c>
      <c r="H16" s="148"/>
      <c r="I16" s="148"/>
      <c r="J16" s="53">
        <f t="shared" ref="J16:J21" si="0">F16+G16-H16</f>
        <v>955511.52</v>
      </c>
      <c r="K16" s="41"/>
    </row>
    <row r="17" spans="1:11" ht="15" x14ac:dyDescent="0.25">
      <c r="A17" s="39" t="s">
        <v>71</v>
      </c>
      <c r="B17" s="40"/>
      <c r="C17" s="40"/>
      <c r="D17" s="40"/>
      <c r="E17" s="40"/>
      <c r="F17" s="53">
        <v>105422.6</v>
      </c>
      <c r="G17" s="53"/>
      <c r="H17" s="148"/>
      <c r="I17" s="148"/>
      <c r="J17" s="53">
        <f t="shared" si="0"/>
        <v>105422.6</v>
      </c>
      <c r="K17" s="41"/>
    </row>
    <row r="18" spans="1:11" ht="15" x14ac:dyDescent="0.25">
      <c r="A18" s="39" t="s">
        <v>83</v>
      </c>
      <c r="B18" s="40"/>
      <c r="C18" s="40"/>
      <c r="D18" s="40"/>
      <c r="E18" s="40"/>
      <c r="F18" s="53"/>
      <c r="G18" s="53"/>
      <c r="H18" s="148"/>
      <c r="I18" s="148"/>
      <c r="J18" s="53">
        <f t="shared" si="0"/>
        <v>0</v>
      </c>
      <c r="K18" s="41"/>
    </row>
    <row r="19" spans="1:11" ht="15" x14ac:dyDescent="0.25">
      <c r="A19" s="39" t="s">
        <v>72</v>
      </c>
      <c r="B19" s="40"/>
      <c r="C19" s="40"/>
      <c r="D19" s="40"/>
      <c r="E19" s="40"/>
      <c r="F19" s="53">
        <v>934059.34</v>
      </c>
      <c r="G19" s="53">
        <v>76269.42</v>
      </c>
      <c r="H19" s="148">
        <v>368175.54</v>
      </c>
      <c r="I19" s="148"/>
      <c r="J19" s="53">
        <f t="shared" si="0"/>
        <v>642153.22</v>
      </c>
      <c r="K19" s="41"/>
    </row>
    <row r="20" spans="1:11" ht="17.25" x14ac:dyDescent="0.25">
      <c r="A20" s="67" t="s">
        <v>265</v>
      </c>
      <c r="B20" s="40"/>
      <c r="C20" s="40"/>
      <c r="D20" s="40"/>
      <c r="E20" s="40"/>
      <c r="F20" s="53">
        <v>64122816.839999996</v>
      </c>
      <c r="G20" s="53">
        <v>72150164.409999996</v>
      </c>
      <c r="H20" s="148">
        <v>19313009.550000001</v>
      </c>
      <c r="I20" s="148"/>
      <c r="J20" s="53">
        <f t="shared" si="0"/>
        <v>116959971.7</v>
      </c>
      <c r="K20" s="41"/>
    </row>
    <row r="21" spans="1:11" ht="17.25" x14ac:dyDescent="0.25">
      <c r="A21" s="39" t="s">
        <v>221</v>
      </c>
      <c r="B21" s="40"/>
      <c r="C21" s="40"/>
      <c r="D21" s="40"/>
      <c r="E21" s="40"/>
      <c r="F21" s="53">
        <v>5886147.9500000002</v>
      </c>
      <c r="G21" s="53">
        <v>50235157.969999999</v>
      </c>
      <c r="H21" s="148"/>
      <c r="I21" s="148"/>
      <c r="J21" s="53">
        <f t="shared" si="0"/>
        <v>56121305.920000002</v>
      </c>
      <c r="K21" s="41"/>
    </row>
    <row r="22" spans="1:11" x14ac:dyDescent="0.2">
      <c r="A22" s="42"/>
      <c r="B22" s="42"/>
      <c r="C22" s="42"/>
      <c r="D22" s="42"/>
      <c r="E22" s="42"/>
      <c r="F22" s="53"/>
      <c r="G22" s="53"/>
      <c r="H22" s="148"/>
      <c r="I22" s="148"/>
      <c r="J22" s="53"/>
      <c r="K22" s="41"/>
    </row>
    <row r="23" spans="1:11" ht="15" x14ac:dyDescent="0.25">
      <c r="A23" s="40" t="s">
        <v>11</v>
      </c>
      <c r="B23" s="40"/>
      <c r="C23" s="40"/>
      <c r="D23" s="40"/>
      <c r="E23" s="40"/>
      <c r="F23" s="53"/>
      <c r="G23" s="53"/>
      <c r="H23" s="148"/>
      <c r="I23" s="148"/>
      <c r="J23" s="53"/>
      <c r="K23" s="41"/>
    </row>
    <row r="24" spans="1:11" x14ac:dyDescent="0.2">
      <c r="A24" s="155" t="s">
        <v>73</v>
      </c>
      <c r="B24" s="155"/>
      <c r="C24" s="155"/>
      <c r="D24" s="155"/>
      <c r="E24" s="155"/>
      <c r="F24" s="53"/>
      <c r="G24" s="53"/>
      <c r="H24" s="148"/>
      <c r="I24" s="148"/>
      <c r="J24" s="53">
        <f>F24+G24-H24</f>
        <v>0</v>
      </c>
      <c r="K24" s="41"/>
    </row>
    <row r="25" spans="1:11" x14ac:dyDescent="0.2">
      <c r="A25" s="155" t="s">
        <v>74</v>
      </c>
      <c r="B25" s="155"/>
      <c r="C25" s="155"/>
      <c r="D25" s="155"/>
      <c r="E25" s="155"/>
      <c r="F25" s="53"/>
      <c r="G25" s="53"/>
      <c r="H25" s="148"/>
      <c r="I25" s="148"/>
      <c r="J25" s="53">
        <f t="shared" ref="J25:J32" si="1">F25+G25-H25</f>
        <v>0</v>
      </c>
      <c r="K25" s="41"/>
    </row>
    <row r="26" spans="1:11" x14ac:dyDescent="0.2">
      <c r="A26" s="155" t="s">
        <v>75</v>
      </c>
      <c r="B26" s="155"/>
      <c r="C26" s="155"/>
      <c r="D26" s="155"/>
      <c r="E26" s="155"/>
      <c r="F26" s="53"/>
      <c r="G26" s="53"/>
      <c r="H26" s="148"/>
      <c r="I26" s="148"/>
      <c r="J26" s="53">
        <f t="shared" si="1"/>
        <v>0</v>
      </c>
      <c r="K26" s="41"/>
    </row>
    <row r="27" spans="1:11" x14ac:dyDescent="0.2">
      <c r="A27" s="155" t="s">
        <v>76</v>
      </c>
      <c r="B27" s="155"/>
      <c r="C27" s="155"/>
      <c r="D27" s="155"/>
      <c r="E27" s="155"/>
      <c r="F27" s="53"/>
      <c r="G27" s="53"/>
      <c r="H27" s="148"/>
      <c r="I27" s="148"/>
      <c r="J27" s="53">
        <f t="shared" si="1"/>
        <v>0</v>
      </c>
      <c r="K27" s="41"/>
    </row>
    <row r="28" spans="1:11" x14ac:dyDescent="0.2">
      <c r="A28" s="155" t="s">
        <v>77</v>
      </c>
      <c r="B28" s="155"/>
      <c r="C28" s="155"/>
      <c r="D28" s="155"/>
      <c r="E28" s="155"/>
      <c r="F28" s="53"/>
      <c r="G28" s="53"/>
      <c r="H28" s="148"/>
      <c r="I28" s="148"/>
      <c r="J28" s="53">
        <f t="shared" si="1"/>
        <v>0</v>
      </c>
      <c r="K28" s="41"/>
    </row>
    <row r="29" spans="1:11" x14ac:dyDescent="0.2">
      <c r="A29" s="155" t="s">
        <v>78</v>
      </c>
      <c r="B29" s="155"/>
      <c r="C29" s="155"/>
      <c r="D29" s="155"/>
      <c r="E29" s="155"/>
      <c r="F29" s="53"/>
      <c r="G29" s="53"/>
      <c r="H29" s="148"/>
      <c r="I29" s="148"/>
      <c r="J29" s="53">
        <f t="shared" si="1"/>
        <v>0</v>
      </c>
      <c r="K29" s="41"/>
    </row>
    <row r="30" spans="1:11" x14ac:dyDescent="0.2">
      <c r="A30" s="155" t="s">
        <v>79</v>
      </c>
      <c r="B30" s="155"/>
      <c r="C30" s="155"/>
      <c r="D30" s="155"/>
      <c r="E30" s="155"/>
      <c r="F30" s="53"/>
      <c r="G30" s="53"/>
      <c r="H30" s="148"/>
      <c r="I30" s="148"/>
      <c r="J30" s="53">
        <f t="shared" si="1"/>
        <v>0</v>
      </c>
      <c r="K30" s="41"/>
    </row>
    <row r="31" spans="1:11" ht="29.1" customHeight="1" x14ac:dyDescent="0.2">
      <c r="A31" s="150" t="s">
        <v>80</v>
      </c>
      <c r="B31" s="150"/>
      <c r="C31" s="150"/>
      <c r="D31" s="150"/>
      <c r="E31" s="150"/>
      <c r="F31" s="53"/>
      <c r="G31" s="53"/>
      <c r="H31" s="148"/>
      <c r="I31" s="148"/>
      <c r="J31" s="53">
        <f t="shared" si="1"/>
        <v>0</v>
      </c>
      <c r="K31" s="41"/>
    </row>
    <row r="32" spans="1:11" ht="15" x14ac:dyDescent="0.25">
      <c r="A32" s="39" t="s">
        <v>81</v>
      </c>
      <c r="B32" s="40"/>
      <c r="C32" s="40"/>
      <c r="D32" s="40"/>
      <c r="E32" s="40"/>
      <c r="F32" s="53"/>
      <c r="G32" s="53"/>
      <c r="H32" s="148"/>
      <c r="I32" s="148"/>
      <c r="J32" s="53">
        <f t="shared" si="1"/>
        <v>0</v>
      </c>
      <c r="K32" s="41"/>
    </row>
    <row r="33" spans="1:11" x14ac:dyDescent="0.2">
      <c r="A33" s="6"/>
      <c r="B33" s="6"/>
      <c r="C33" s="6"/>
      <c r="D33" s="6"/>
      <c r="E33" s="6"/>
      <c r="F33" s="21"/>
      <c r="G33" s="21"/>
      <c r="H33" s="21"/>
      <c r="I33" s="21"/>
      <c r="J33" s="21"/>
      <c r="K33" s="41"/>
    </row>
    <row r="34" spans="1:11" ht="15.75" customHeight="1" x14ac:dyDescent="0.2">
      <c r="A34" s="43"/>
      <c r="B34" s="43"/>
      <c r="C34" s="43"/>
      <c r="D34" s="43"/>
      <c r="E34" s="43"/>
      <c r="F34" s="44"/>
      <c r="G34" s="44"/>
      <c r="H34" s="44"/>
      <c r="I34" s="44"/>
      <c r="J34" s="44"/>
    </row>
    <row r="35" spans="1:11" ht="46.5" customHeight="1" x14ac:dyDescent="0.2">
      <c r="A35" s="45" t="s">
        <v>3</v>
      </c>
      <c r="B35" s="140" t="s">
        <v>34</v>
      </c>
      <c r="C35" s="141"/>
      <c r="D35" s="141"/>
      <c r="F35" s="56">
        <f>SUM(F16:F34)</f>
        <v>71934470.569999993</v>
      </c>
      <c r="G35" s="56">
        <f>SUM(G16:G34)</f>
        <v>122531079.47999999</v>
      </c>
      <c r="H35" s="162">
        <f>SUM(H16:H34)</f>
        <v>19681185.09</v>
      </c>
      <c r="I35" s="162"/>
      <c r="J35" s="56">
        <f>SUM(J16:J34)</f>
        <v>174784364.96000001</v>
      </c>
    </row>
    <row r="36" spans="1:11" x14ac:dyDescent="0.2">
      <c r="A36" s="45"/>
      <c r="B36" s="142"/>
      <c r="C36" s="142"/>
      <c r="D36" s="142"/>
      <c r="E36" s="56"/>
      <c r="F36" s="56"/>
      <c r="G36" s="56"/>
      <c r="H36" s="56"/>
      <c r="I36" s="56"/>
      <c r="J36" s="56"/>
    </row>
    <row r="37" spans="1:11" x14ac:dyDescent="0.2">
      <c r="A37" s="46" t="s">
        <v>35</v>
      </c>
    </row>
    <row r="38" spans="1:11" x14ac:dyDescent="0.2">
      <c r="A38" s="49"/>
      <c r="F38" s="14" t="s">
        <v>12</v>
      </c>
      <c r="G38" s="14" t="s">
        <v>7</v>
      </c>
      <c r="H38" s="145" t="s">
        <v>8</v>
      </c>
      <c r="I38" s="145"/>
      <c r="J38" s="14" t="s">
        <v>12</v>
      </c>
    </row>
    <row r="39" spans="1:11" x14ac:dyDescent="0.2">
      <c r="A39" s="146" t="s">
        <v>37</v>
      </c>
      <c r="B39" s="146"/>
      <c r="C39" s="146"/>
      <c r="D39" s="146"/>
      <c r="E39" s="146"/>
      <c r="F39" s="54">
        <v>622702.5</v>
      </c>
      <c r="G39" s="54"/>
      <c r="H39" s="148"/>
      <c r="I39" s="148"/>
      <c r="J39" s="54">
        <f>F39+G39-H39</f>
        <v>622702.5</v>
      </c>
    </row>
    <row r="40" spans="1:11" x14ac:dyDescent="0.2">
      <c r="A40" s="147" t="s">
        <v>223</v>
      </c>
      <c r="B40" s="146"/>
      <c r="C40" s="146"/>
      <c r="D40" s="146"/>
      <c r="E40" s="146"/>
      <c r="F40" s="54">
        <v>263321.33999999997</v>
      </c>
      <c r="G40" s="54">
        <v>69487.679999999993</v>
      </c>
      <c r="H40" s="148">
        <v>0</v>
      </c>
      <c r="I40" s="148"/>
      <c r="J40" s="54">
        <f>F40+G40-H40</f>
        <v>332809.01999999996</v>
      </c>
    </row>
    <row r="41" spans="1:11" x14ac:dyDescent="0.2">
      <c r="A41" s="49"/>
      <c r="F41" s="54"/>
      <c r="G41" s="54"/>
      <c r="H41" s="54"/>
      <c r="I41" s="54"/>
      <c r="J41" s="54"/>
    </row>
    <row r="42" spans="1:11" x14ac:dyDescent="0.2">
      <c r="A42" s="47" t="s">
        <v>38</v>
      </c>
      <c r="F42" s="52">
        <f>SUM(F39:F41)</f>
        <v>886023.84</v>
      </c>
      <c r="G42" s="52">
        <f>SUM(G39:G40)</f>
        <v>69487.679999999993</v>
      </c>
      <c r="H42" s="149">
        <f>SUM(H39:H40)</f>
        <v>0</v>
      </c>
      <c r="I42" s="149"/>
      <c r="J42" s="52">
        <f>SUM(J39:J41)</f>
        <v>955511.52</v>
      </c>
    </row>
    <row r="44" spans="1:11" x14ac:dyDescent="0.2">
      <c r="A44" s="47" t="s">
        <v>36</v>
      </c>
    </row>
    <row r="46" spans="1:11" x14ac:dyDescent="0.2">
      <c r="A46" s="143" t="s">
        <v>258</v>
      </c>
      <c r="B46" s="143"/>
      <c r="C46" s="143"/>
      <c r="D46" s="143"/>
      <c r="E46" s="143"/>
      <c r="F46" s="143"/>
      <c r="G46" s="143"/>
      <c r="H46" s="143"/>
      <c r="I46" s="143"/>
      <c r="J46" s="143"/>
    </row>
    <row r="47" spans="1:11" x14ac:dyDescent="0.2">
      <c r="A47" s="143"/>
      <c r="B47" s="143"/>
      <c r="C47" s="143"/>
      <c r="D47" s="143"/>
      <c r="E47" s="143"/>
      <c r="F47" s="143"/>
      <c r="G47" s="143"/>
      <c r="H47" s="143"/>
      <c r="I47" s="143"/>
      <c r="J47" s="143"/>
    </row>
    <row r="49" spans="1:10" s="64" customFormat="1" ht="14.45" customHeight="1" x14ac:dyDescent="0.2">
      <c r="A49" s="143" t="s">
        <v>30</v>
      </c>
      <c r="B49" s="143"/>
      <c r="C49" s="143"/>
      <c r="D49" s="143"/>
      <c r="E49" s="143"/>
      <c r="F49" s="143"/>
      <c r="G49" s="143"/>
      <c r="H49" s="143"/>
      <c r="I49" s="143"/>
      <c r="J49" s="143"/>
    </row>
    <row r="50" spans="1:10" s="64" customFormat="1" x14ac:dyDescent="0.2">
      <c r="A50" s="143"/>
      <c r="B50" s="143"/>
      <c r="C50" s="143"/>
      <c r="D50" s="143"/>
      <c r="E50" s="143"/>
      <c r="F50" s="143"/>
      <c r="G50" s="143"/>
      <c r="H50" s="143"/>
      <c r="I50" s="143"/>
      <c r="J50" s="143"/>
    </row>
    <row r="51" spans="1:10" s="64" customFormat="1" x14ac:dyDescent="0.2">
      <c r="A51" s="143"/>
      <c r="B51" s="143"/>
      <c r="C51" s="143"/>
      <c r="D51" s="143"/>
      <c r="E51" s="143"/>
      <c r="F51" s="143"/>
      <c r="G51" s="143"/>
      <c r="H51" s="143"/>
      <c r="I51" s="143"/>
      <c r="J51" s="143"/>
    </row>
    <row r="52" spans="1:10" s="64" customFormat="1" x14ac:dyDescent="0.2"/>
    <row r="53" spans="1:10" s="64" customFormat="1" x14ac:dyDescent="0.2"/>
    <row r="54" spans="1:10" s="64" customFormat="1" x14ac:dyDescent="0.2">
      <c r="A54" s="144" t="s">
        <v>28</v>
      </c>
      <c r="B54" s="144"/>
      <c r="C54" s="144"/>
      <c r="D54" s="144"/>
      <c r="E54" s="144"/>
      <c r="F54" s="144"/>
      <c r="G54" s="144"/>
      <c r="H54" s="144"/>
      <c r="I54" s="144"/>
      <c r="J54" s="144"/>
    </row>
    <row r="55" spans="1:10" s="64" customFormat="1" x14ac:dyDescent="0.2">
      <c r="A55" s="74"/>
      <c r="B55" s="74"/>
      <c r="C55" s="74"/>
      <c r="D55" s="74"/>
      <c r="E55" s="74"/>
      <c r="F55" s="74"/>
      <c r="G55" s="74"/>
      <c r="H55" s="74"/>
      <c r="I55" s="74"/>
      <c r="J55" s="74"/>
    </row>
    <row r="56" spans="1:10" s="64" customFormat="1" x14ac:dyDescent="0.2">
      <c r="A56" s="74"/>
      <c r="B56" s="74"/>
      <c r="C56" s="74"/>
      <c r="D56" s="74"/>
      <c r="E56" s="74"/>
      <c r="F56" s="74"/>
      <c r="G56" s="74"/>
      <c r="H56" s="74"/>
      <c r="I56" s="74"/>
      <c r="J56" s="74"/>
    </row>
    <row r="57" spans="1:10" s="64" customFormat="1" x14ac:dyDescent="0.2">
      <c r="A57" s="74"/>
      <c r="B57" s="74"/>
      <c r="C57" s="74"/>
      <c r="D57" s="74"/>
      <c r="E57" s="74"/>
      <c r="F57" s="74"/>
      <c r="G57" s="74"/>
      <c r="H57" s="74"/>
      <c r="I57" s="74"/>
      <c r="J57" s="74"/>
    </row>
    <row r="58" spans="1:10" s="64" customFormat="1" x14ac:dyDescent="0.2"/>
    <row r="59" spans="1:10" s="64" customFormat="1" x14ac:dyDescent="0.2">
      <c r="I59" s="75"/>
      <c r="J59" s="75"/>
    </row>
    <row r="60" spans="1:10" s="64" customFormat="1" x14ac:dyDescent="0.2">
      <c r="I60" s="50" t="s">
        <v>31</v>
      </c>
      <c r="J60" s="47"/>
    </row>
    <row r="61" spans="1:10" s="64" customFormat="1" x14ac:dyDescent="0.2">
      <c r="I61" s="50" t="s">
        <v>32</v>
      </c>
      <c r="J61" s="47"/>
    </row>
    <row r="62" spans="1:10" s="64" customFormat="1" x14ac:dyDescent="0.2">
      <c r="I62" s="50" t="s">
        <v>33</v>
      </c>
      <c r="J62" s="47"/>
    </row>
  </sheetData>
  <mergeCells count="60">
    <mergeCell ref="H29:I29"/>
    <mergeCell ref="H30:I30"/>
    <mergeCell ref="H31:I31"/>
    <mergeCell ref="H32:I32"/>
    <mergeCell ref="H35:I35"/>
    <mergeCell ref="H24:I24"/>
    <mergeCell ref="H25:I25"/>
    <mergeCell ref="H26:I26"/>
    <mergeCell ref="H27:I27"/>
    <mergeCell ref="H28:I28"/>
    <mergeCell ref="H19:I19"/>
    <mergeCell ref="H20:I20"/>
    <mergeCell ref="H21:I21"/>
    <mergeCell ref="H22:I22"/>
    <mergeCell ref="H23:I23"/>
    <mergeCell ref="A4:J4"/>
    <mergeCell ref="A1:C1"/>
    <mergeCell ref="D1:H1"/>
    <mergeCell ref="I1:J1"/>
    <mergeCell ref="A2:J2"/>
    <mergeCell ref="A3:J3"/>
    <mergeCell ref="A11:J11"/>
    <mergeCell ref="A5:J5"/>
    <mergeCell ref="A6:J6"/>
    <mergeCell ref="A7:B7"/>
    <mergeCell ref="C7:H7"/>
    <mergeCell ref="A8:B8"/>
    <mergeCell ref="C8:H8"/>
    <mergeCell ref="A9:B9"/>
    <mergeCell ref="C9:H9"/>
    <mergeCell ref="A10:B10"/>
    <mergeCell ref="C10:H10"/>
    <mergeCell ref="I10:J10"/>
    <mergeCell ref="A31:E31"/>
    <mergeCell ref="A12:J12"/>
    <mergeCell ref="A13:J13"/>
    <mergeCell ref="A14:E14"/>
    <mergeCell ref="A15:J15"/>
    <mergeCell ref="A24:E24"/>
    <mergeCell ref="A25:E25"/>
    <mergeCell ref="A26:E26"/>
    <mergeCell ref="A27:E27"/>
    <mergeCell ref="A28:E28"/>
    <mergeCell ref="A29:E29"/>
    <mergeCell ref="A30:E30"/>
    <mergeCell ref="H14:I14"/>
    <mergeCell ref="H16:I16"/>
    <mergeCell ref="H17:I17"/>
    <mergeCell ref="H18:I18"/>
    <mergeCell ref="B35:D35"/>
    <mergeCell ref="B36:D36"/>
    <mergeCell ref="A49:J51"/>
    <mergeCell ref="A54:J54"/>
    <mergeCell ref="H38:I38"/>
    <mergeCell ref="A39:E39"/>
    <mergeCell ref="A40:E40"/>
    <mergeCell ref="H39:I39"/>
    <mergeCell ref="H40:I40"/>
    <mergeCell ref="H42:I42"/>
    <mergeCell ref="A46:J47"/>
  </mergeCells>
  <pageMargins left="0.25" right="0.25" top="0.75" bottom="0.75" header="0.3" footer="0.3"/>
  <pageSetup scale="72" orientation="portrait"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82FF6-34BD-41CA-917A-42F8DB3DB149}">
  <sheetPr>
    <pageSetUpPr fitToPage="1"/>
  </sheetPr>
  <dimension ref="A1:K54"/>
  <sheetViews>
    <sheetView zoomScale="96" zoomScaleNormal="96" workbookViewId="0">
      <pane ySplit="14" topLeftCell="A31"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85546875" customWidth="1"/>
    <col min="5" max="5" width="19" customWidth="1"/>
    <col min="6" max="6" width="17.42578125" customWidth="1"/>
    <col min="7" max="7" width="9.42578125" bestFit="1" customWidth="1"/>
    <col min="8" max="8" width="4.85546875" customWidth="1"/>
    <col min="9" max="9" width="8.7109375" customWidth="1"/>
    <col min="10" max="10" width="16.42578125" customWidth="1"/>
  </cols>
  <sheetData>
    <row r="1" spans="1:11" x14ac:dyDescent="0.25">
      <c r="A1" s="161"/>
      <c r="B1" s="161"/>
      <c r="C1" s="161"/>
      <c r="D1" s="161"/>
      <c r="E1" s="161"/>
      <c r="F1" s="161"/>
      <c r="G1" s="161"/>
      <c r="H1" s="161"/>
      <c r="I1" s="146" t="s">
        <v>39</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6" t="s">
        <v>67</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s="37" customFormat="1" ht="14.45" customHeight="1" x14ac:dyDescent="0.2">
      <c r="A7" s="159" t="s">
        <v>2</v>
      </c>
      <c r="B7" s="159"/>
      <c r="C7" s="146" t="s">
        <v>23</v>
      </c>
      <c r="D7" s="146"/>
      <c r="E7" s="146"/>
      <c r="F7" s="146"/>
      <c r="G7" s="146"/>
      <c r="H7" s="146"/>
      <c r="I7" s="8" t="s">
        <v>29</v>
      </c>
      <c r="J7" s="8" t="s">
        <v>216</v>
      </c>
    </row>
    <row r="8" spans="1:11" s="37" customFormat="1" ht="14.45" customHeight="1" x14ac:dyDescent="0.2">
      <c r="A8" s="159" t="s">
        <v>3</v>
      </c>
      <c r="B8" s="159"/>
      <c r="C8" s="146" t="s">
        <v>224</v>
      </c>
      <c r="D8" s="146"/>
      <c r="E8" s="146"/>
      <c r="F8" s="146"/>
      <c r="G8" s="146"/>
      <c r="H8" s="146"/>
      <c r="I8" s="8" t="s">
        <v>217</v>
      </c>
      <c r="J8" s="26">
        <f ca="1">TODAY()</f>
        <v>45723</v>
      </c>
    </row>
    <row r="9" spans="1:11" s="37" customFormat="1" ht="14.45" customHeight="1" x14ac:dyDescent="0.2">
      <c r="A9" s="159"/>
      <c r="B9" s="159"/>
      <c r="C9" s="160"/>
      <c r="D9" s="160"/>
      <c r="E9" s="160"/>
      <c r="F9" s="160"/>
      <c r="G9" s="160"/>
      <c r="H9" s="160"/>
      <c r="I9" s="8" t="s">
        <v>218</v>
      </c>
      <c r="J9" s="38">
        <f ca="1">NOW()</f>
        <v>45723.507627430554</v>
      </c>
    </row>
    <row r="10" spans="1:11" s="37" customFormat="1" ht="14.25" x14ac:dyDescent="0.2">
      <c r="A10" s="146"/>
      <c r="B10" s="146"/>
      <c r="C10" s="146"/>
      <c r="D10" s="146"/>
      <c r="E10" s="146"/>
      <c r="F10" s="146"/>
      <c r="G10" s="146"/>
      <c r="H10" s="146"/>
      <c r="I10" s="146"/>
      <c r="J10" s="146"/>
    </row>
    <row r="11" spans="1:11" s="37" customFormat="1" ht="14.25" x14ac:dyDescent="0.2">
      <c r="A11" s="152"/>
      <c r="B11" s="152"/>
      <c r="C11" s="152"/>
      <c r="D11" s="152"/>
      <c r="E11" s="152"/>
      <c r="F11" s="152"/>
      <c r="G11" s="152"/>
      <c r="H11" s="152"/>
      <c r="I11" s="152"/>
      <c r="J11" s="152"/>
    </row>
    <row r="12" spans="1:11" s="37" customFormat="1" ht="14.25" x14ac:dyDescent="0.2">
      <c r="A12" s="151" t="s">
        <v>4</v>
      </c>
      <c r="B12" s="151"/>
      <c r="C12" s="151"/>
      <c r="D12" s="151"/>
      <c r="E12" s="151"/>
      <c r="F12" s="151"/>
      <c r="G12" s="151"/>
      <c r="H12" s="151"/>
      <c r="I12" s="151"/>
      <c r="J12" s="151"/>
    </row>
    <row r="13" spans="1:11" s="37" customFormat="1" ht="14.25" x14ac:dyDescent="0.2">
      <c r="A13" s="152"/>
      <c r="B13" s="152"/>
      <c r="C13" s="152"/>
      <c r="D13" s="152"/>
      <c r="E13" s="152"/>
      <c r="F13" s="152"/>
      <c r="G13" s="152"/>
      <c r="H13" s="152"/>
      <c r="I13" s="152"/>
      <c r="J13" s="152"/>
    </row>
    <row r="14" spans="1:11" s="37" customFormat="1" ht="24.75" customHeight="1" x14ac:dyDescent="0.2">
      <c r="A14" s="153" t="s">
        <v>5</v>
      </c>
      <c r="B14" s="153"/>
      <c r="C14" s="153"/>
      <c r="D14" s="153"/>
      <c r="E14" s="153"/>
      <c r="F14" s="14" t="s">
        <v>6</v>
      </c>
      <c r="G14" s="14" t="s">
        <v>7</v>
      </c>
      <c r="H14" s="145" t="s">
        <v>8</v>
      </c>
      <c r="I14" s="145"/>
      <c r="J14" s="14" t="s">
        <v>9</v>
      </c>
    </row>
    <row r="15" spans="1:11" s="37" customFormat="1" ht="17.25" customHeight="1" x14ac:dyDescent="0.25">
      <c r="A15" s="154" t="s">
        <v>10</v>
      </c>
      <c r="B15" s="154"/>
      <c r="C15" s="154"/>
      <c r="D15" s="154"/>
      <c r="E15" s="154"/>
      <c r="F15" s="154"/>
      <c r="G15" s="154"/>
      <c r="H15" s="154"/>
      <c r="I15" s="154"/>
      <c r="J15" s="154"/>
    </row>
    <row r="16" spans="1:11" s="37" customFormat="1" ht="17.25" x14ac:dyDescent="0.25">
      <c r="A16" s="39" t="s">
        <v>219</v>
      </c>
      <c r="B16" s="40"/>
      <c r="C16" s="40"/>
      <c r="D16" s="40"/>
      <c r="E16" s="40"/>
      <c r="F16" s="53"/>
      <c r="G16" s="53"/>
      <c r="H16" s="148"/>
      <c r="I16" s="148"/>
      <c r="J16" s="53">
        <f t="shared" ref="J16:J21" si="0">F16+G16-H16</f>
        <v>0</v>
      </c>
      <c r="K16" s="41"/>
    </row>
    <row r="17" spans="1:11" s="37" customFormat="1" x14ac:dyDescent="0.25">
      <c r="A17" s="39" t="s">
        <v>71</v>
      </c>
      <c r="B17" s="40"/>
      <c r="C17" s="40"/>
      <c r="D17" s="40"/>
      <c r="E17" s="40"/>
      <c r="F17" s="53"/>
      <c r="G17" s="53"/>
      <c r="H17" s="148"/>
      <c r="I17" s="148"/>
      <c r="J17" s="53">
        <f t="shared" si="0"/>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5">
        <v>1161084.3999999999</v>
      </c>
      <c r="G19" s="53"/>
      <c r="H19" s="148"/>
      <c r="I19" s="148"/>
      <c r="J19" s="53">
        <f t="shared" si="0"/>
        <v>1161084.3999999999</v>
      </c>
      <c r="K19" s="41"/>
    </row>
    <row r="20" spans="1:11" s="37" customFormat="1" ht="17.25" x14ac:dyDescent="0.25">
      <c r="A20" s="39" t="s">
        <v>220</v>
      </c>
      <c r="B20" s="40"/>
      <c r="C20" s="40"/>
      <c r="D20" s="40"/>
      <c r="E20" s="40"/>
      <c r="F20" s="53"/>
      <c r="G20" s="53"/>
      <c r="H20" s="148"/>
      <c r="I20" s="148"/>
      <c r="J20" s="53">
        <f t="shared" si="0"/>
        <v>0</v>
      </c>
      <c r="K20" s="41"/>
    </row>
    <row r="21" spans="1:11" s="37" customFormat="1" ht="17.25" x14ac:dyDescent="0.25">
      <c r="A21" s="67" t="s">
        <v>268</v>
      </c>
      <c r="B21" s="40"/>
      <c r="C21" s="40"/>
      <c r="D21" s="40"/>
      <c r="E21" s="40"/>
      <c r="F21" s="53"/>
      <c r="G21" s="53"/>
      <c r="H21" s="148"/>
      <c r="I21" s="148"/>
      <c r="J21" s="53">
        <f t="shared" si="0"/>
        <v>0</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v>46612.909999999996</v>
      </c>
      <c r="G24" s="53">
        <v>244.97000000000003</v>
      </c>
      <c r="H24" s="148"/>
      <c r="I24" s="148"/>
      <c r="J24" s="53">
        <f>F24+G24-H24</f>
        <v>46857.88</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v>2917.1800000000003</v>
      </c>
      <c r="G31" s="53">
        <v>586.15401491003308</v>
      </c>
      <c r="H31" s="148">
        <v>1031.4191404417084</v>
      </c>
      <c r="I31" s="148"/>
      <c r="J31" s="53">
        <f t="shared" si="1"/>
        <v>2471.9148744683248</v>
      </c>
      <c r="K31" s="41"/>
    </row>
    <row r="32" spans="1:11" s="37" customFormat="1" x14ac:dyDescent="0.25">
      <c r="A32" s="39" t="s">
        <v>81</v>
      </c>
      <c r="B32" s="40"/>
      <c r="C32" s="40"/>
      <c r="D32" s="40"/>
      <c r="E32" s="40"/>
      <c r="F32" s="53"/>
      <c r="G32" s="53"/>
      <c r="H32" s="53"/>
      <c r="I32" s="53"/>
      <c r="J32" s="53">
        <f t="shared" si="1"/>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40</v>
      </c>
      <c r="C35" s="140"/>
      <c r="D35" s="140"/>
      <c r="F35" s="56">
        <f>SUM(F16:F34)</f>
        <v>1210614.4899999998</v>
      </c>
      <c r="G35" s="56">
        <f>SUM(G16:G34)</f>
        <v>831.12401491003311</v>
      </c>
      <c r="H35" s="162">
        <f>SUM(H16:H34)</f>
        <v>1031.4191404417084</v>
      </c>
      <c r="I35" s="162"/>
      <c r="J35" s="56">
        <f>SUM(J16:J34)</f>
        <v>1210414.194874468</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s="64" customFormat="1" ht="14.45" customHeight="1" x14ac:dyDescent="0.2">
      <c r="A40" s="143" t="s">
        <v>30</v>
      </c>
      <c r="B40" s="143"/>
      <c r="C40" s="143"/>
      <c r="D40" s="143"/>
      <c r="E40" s="143"/>
      <c r="F40" s="143"/>
      <c r="G40" s="143"/>
      <c r="H40" s="143"/>
      <c r="I40" s="143"/>
      <c r="J40" s="143"/>
    </row>
    <row r="41" spans="1:11" s="64" customFormat="1" ht="14.25" x14ac:dyDescent="0.2">
      <c r="A41" s="143"/>
      <c r="B41" s="143"/>
      <c r="C41" s="143"/>
      <c r="D41" s="143"/>
      <c r="E41" s="143"/>
      <c r="F41" s="143"/>
      <c r="G41" s="143"/>
      <c r="H41" s="143"/>
      <c r="I41" s="143"/>
      <c r="J41" s="143"/>
    </row>
    <row r="42" spans="1:11" s="64" customFormat="1" ht="14.25" x14ac:dyDescent="0.2">
      <c r="A42" s="143"/>
      <c r="B42" s="143"/>
      <c r="C42" s="143"/>
      <c r="D42" s="143"/>
      <c r="E42" s="143"/>
      <c r="F42" s="143"/>
      <c r="G42" s="143"/>
      <c r="H42" s="143"/>
      <c r="I42" s="143"/>
      <c r="J42" s="143"/>
    </row>
    <row r="43" spans="1:11" s="64" customFormat="1" ht="14.25" x14ac:dyDescent="0.2">
      <c r="A43" s="143"/>
      <c r="B43" s="143"/>
      <c r="C43" s="143"/>
      <c r="D43" s="143"/>
      <c r="E43" s="143"/>
      <c r="F43" s="143"/>
      <c r="G43" s="143"/>
      <c r="H43" s="143"/>
      <c r="I43" s="143"/>
      <c r="J43" s="143"/>
    </row>
    <row r="44" spans="1:11" s="64" customFormat="1" ht="14.25" x14ac:dyDescent="0.2"/>
    <row r="45" spans="1:11" s="64" customFormat="1" ht="14.25" x14ac:dyDescent="0.2"/>
    <row r="46" spans="1:11" s="64" customFormat="1" ht="14.25" x14ac:dyDescent="0.2">
      <c r="A46" s="143" t="s">
        <v>28</v>
      </c>
      <c r="B46" s="143"/>
      <c r="C46" s="143"/>
      <c r="D46" s="143"/>
      <c r="E46" s="143"/>
      <c r="F46" s="143"/>
      <c r="G46" s="143"/>
      <c r="H46" s="143"/>
      <c r="I46" s="143"/>
      <c r="J46" s="143"/>
    </row>
    <row r="47" spans="1:11" s="64" customFormat="1" ht="14.25" x14ac:dyDescent="0.2">
      <c r="A47" s="74"/>
      <c r="B47" s="74"/>
      <c r="C47" s="74"/>
      <c r="D47" s="74"/>
      <c r="E47" s="74"/>
      <c r="F47" s="74"/>
      <c r="G47" s="74"/>
      <c r="H47" s="74"/>
      <c r="I47" s="74"/>
      <c r="J47" s="74"/>
    </row>
    <row r="48" spans="1:11" s="64" customFormat="1" ht="14.25" x14ac:dyDescent="0.2">
      <c r="A48" s="74"/>
      <c r="B48" s="74"/>
      <c r="C48" s="74"/>
      <c r="D48" s="74"/>
      <c r="E48" s="74"/>
      <c r="F48" s="74"/>
      <c r="G48" s="74"/>
      <c r="H48" s="74"/>
      <c r="I48" s="74"/>
      <c r="J48" s="74"/>
    </row>
    <row r="49" spans="1:10" s="64" customFormat="1" ht="14.25" x14ac:dyDescent="0.2">
      <c r="A49" s="74"/>
      <c r="B49" s="74"/>
      <c r="C49" s="74"/>
      <c r="D49" s="74"/>
      <c r="E49" s="74"/>
      <c r="F49" s="74"/>
      <c r="G49" s="74"/>
      <c r="H49" s="74"/>
      <c r="I49" s="74"/>
      <c r="J49" s="74"/>
    </row>
    <row r="50" spans="1:10" s="64" customFormat="1" ht="14.25" x14ac:dyDescent="0.2"/>
    <row r="51" spans="1:10" s="64" customFormat="1" ht="14.25" x14ac:dyDescent="0.2">
      <c r="I51" s="75"/>
      <c r="J51" s="75"/>
    </row>
    <row r="52" spans="1:10" s="64" customFormat="1" ht="14.25" x14ac:dyDescent="0.2">
      <c r="I52" s="50" t="s">
        <v>31</v>
      </c>
      <c r="J52" s="47"/>
    </row>
    <row r="53" spans="1:10" s="64" customFormat="1" ht="14.25" x14ac:dyDescent="0.2">
      <c r="I53" s="50" t="s">
        <v>32</v>
      </c>
      <c r="J53" s="47"/>
    </row>
    <row r="54" spans="1:10" s="64" customFormat="1" ht="14.25" x14ac:dyDescent="0.2">
      <c r="I54" s="50" t="s">
        <v>33</v>
      </c>
      <c r="J54" s="47"/>
    </row>
  </sheetData>
  <mergeCells count="52">
    <mergeCell ref="H30:I30"/>
    <mergeCell ref="H31:I31"/>
    <mergeCell ref="H35:I35"/>
    <mergeCell ref="H14:I14"/>
    <mergeCell ref="H21:I21"/>
    <mergeCell ref="H22:I22"/>
    <mergeCell ref="H23:I23"/>
    <mergeCell ref="H24:I24"/>
    <mergeCell ref="H25:I25"/>
    <mergeCell ref="H16:I16"/>
    <mergeCell ref="H17:I17"/>
    <mergeCell ref="H18:I18"/>
    <mergeCell ref="H19:I19"/>
    <mergeCell ref="H20:I20"/>
    <mergeCell ref="A24:E24"/>
    <mergeCell ref="A25:E25"/>
    <mergeCell ref="A26:E26"/>
    <mergeCell ref="A27:E27"/>
    <mergeCell ref="A46:J46"/>
    <mergeCell ref="A40:J43"/>
    <mergeCell ref="B36:D36"/>
    <mergeCell ref="A28:E28"/>
    <mergeCell ref="A29:E29"/>
    <mergeCell ref="A30:E30"/>
    <mergeCell ref="A31:E31"/>
    <mergeCell ref="B35:D35"/>
    <mergeCell ref="H26:I26"/>
    <mergeCell ref="H27:I27"/>
    <mergeCell ref="H28:I28"/>
    <mergeCell ref="H29:I29"/>
    <mergeCell ref="A11:J11"/>
    <mergeCell ref="A12:J12"/>
    <mergeCell ref="A13:J13"/>
    <mergeCell ref="A14:E14"/>
    <mergeCell ref="A15:J15"/>
    <mergeCell ref="A9:B9"/>
    <mergeCell ref="C9:H9"/>
    <mergeCell ref="A10:B10"/>
    <mergeCell ref="A5:J5"/>
    <mergeCell ref="A6:J6"/>
    <mergeCell ref="C10:H10"/>
    <mergeCell ref="I10:J10"/>
    <mergeCell ref="A4:J4"/>
    <mergeCell ref="A7:B7"/>
    <mergeCell ref="C7:H7"/>
    <mergeCell ref="A8:B8"/>
    <mergeCell ref="C8:H8"/>
    <mergeCell ref="A1:C1"/>
    <mergeCell ref="D1:H1"/>
    <mergeCell ref="I1:J1"/>
    <mergeCell ref="A2:J2"/>
    <mergeCell ref="A3:J3"/>
  </mergeCells>
  <pageMargins left="0.25" right="0.25" top="0.75" bottom="0.75" header="0.3" footer="0.3"/>
  <pageSetup scale="82"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D6B7-D7B4-4B68-8D66-B5525BF8F8BA}">
  <sheetPr>
    <pageSetUpPr fitToPage="1"/>
  </sheetPr>
  <dimension ref="A1:M85"/>
  <sheetViews>
    <sheetView zoomScaleNormal="100" workbookViewId="0">
      <pane ySplit="14" topLeftCell="A48"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23.42578125" customWidth="1"/>
    <col min="5" max="5" width="3.85546875" customWidth="1"/>
    <col min="6" max="6" width="21" bestFit="1" customWidth="1"/>
    <col min="7" max="7" width="18.85546875" bestFit="1" customWidth="1"/>
    <col min="8" max="8" width="7.140625" customWidth="1"/>
    <col min="9" max="9" width="12.140625" customWidth="1"/>
    <col min="10" max="10" width="19.85546875" bestFit="1" customWidth="1"/>
    <col min="13" max="13" width="19.42578125" bestFit="1" customWidth="1"/>
  </cols>
  <sheetData>
    <row r="1" spans="1:11" x14ac:dyDescent="0.25">
      <c r="A1" s="161"/>
      <c r="B1" s="161"/>
      <c r="C1" s="161"/>
      <c r="D1" s="161"/>
      <c r="E1" s="161"/>
      <c r="F1" s="161"/>
      <c r="G1" s="161"/>
      <c r="H1" s="161"/>
      <c r="I1" s="146" t="s">
        <v>59</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6" t="s">
        <v>68</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6" t="s">
        <v>60</v>
      </c>
      <c r="D8" s="147"/>
      <c r="E8" s="147"/>
      <c r="F8" s="147"/>
      <c r="G8" s="147"/>
      <c r="H8" s="147"/>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68" t="s">
        <v>7</v>
      </c>
      <c r="H14" s="172" t="s">
        <v>8</v>
      </c>
      <c r="I14" s="172"/>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f>F46</f>
        <v>15640420069.759998</v>
      </c>
      <c r="G16" s="53">
        <f>G46</f>
        <v>81451063.480000004</v>
      </c>
      <c r="H16" s="148">
        <f>H46</f>
        <v>9765407.8300000001</v>
      </c>
      <c r="I16" s="148"/>
      <c r="J16" s="53">
        <f t="shared" ref="J16:J21" si="0">F16+G16-H16</f>
        <v>15712105725.409998</v>
      </c>
      <c r="K16" s="41"/>
    </row>
    <row r="17" spans="1:11" s="37" customFormat="1" x14ac:dyDescent="0.25">
      <c r="A17" s="39" t="s">
        <v>71</v>
      </c>
      <c r="B17" s="40"/>
      <c r="C17" s="40"/>
      <c r="D17" s="40"/>
      <c r="E17" s="40"/>
      <c r="F17" s="53">
        <v>1415663193.4600005</v>
      </c>
      <c r="G17" s="53">
        <v>42601673.479999997</v>
      </c>
      <c r="H17" s="148"/>
      <c r="I17" s="148"/>
      <c r="J17" s="53">
        <f t="shared" si="0"/>
        <v>1458264866.9400005</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v>1437942486.7100003</v>
      </c>
      <c r="G19" s="53">
        <v>185967275.47999996</v>
      </c>
      <c r="H19" s="148">
        <v>496553.53</v>
      </c>
      <c r="I19" s="148"/>
      <c r="J19" s="53">
        <f t="shared" si="0"/>
        <v>1623413208.6600003</v>
      </c>
      <c r="K19" s="19" t="s">
        <v>61</v>
      </c>
    </row>
    <row r="20" spans="1:11" s="37" customFormat="1" ht="17.25" x14ac:dyDescent="0.25">
      <c r="A20" s="39" t="s">
        <v>220</v>
      </c>
      <c r="B20" s="40"/>
      <c r="C20" s="40"/>
      <c r="D20" s="40"/>
      <c r="E20" s="40"/>
      <c r="F20" s="53">
        <v>7845963344.4200001</v>
      </c>
      <c r="G20" s="53">
        <v>1475590935.1599998</v>
      </c>
      <c r="H20" s="148">
        <v>846888690.13</v>
      </c>
      <c r="I20" s="148"/>
      <c r="J20" s="53">
        <f t="shared" si="0"/>
        <v>8474665589.4499998</v>
      </c>
      <c r="K20" s="41"/>
    </row>
    <row r="21" spans="1:11" s="37" customFormat="1" ht="17.25" x14ac:dyDescent="0.25">
      <c r="A21" s="39" t="s">
        <v>221</v>
      </c>
      <c r="B21" s="40"/>
      <c r="C21" s="40"/>
      <c r="D21" s="40"/>
      <c r="E21" s="40"/>
      <c r="F21" s="53">
        <v>76082171602.290009</v>
      </c>
      <c r="G21" s="53">
        <v>940137992.61000001</v>
      </c>
      <c r="H21" s="148">
        <v>34997798.939999998</v>
      </c>
      <c r="I21" s="148"/>
      <c r="J21" s="53">
        <f t="shared" si="0"/>
        <v>76987311795.960007</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v>200577833.48999998</v>
      </c>
      <c r="G24" s="53">
        <v>9250221.3690000009</v>
      </c>
      <c r="H24" s="148"/>
      <c r="I24" s="148"/>
      <c r="J24" s="53">
        <f>F24+G24-H24</f>
        <v>209828054.85899997</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v>374638.98</v>
      </c>
      <c r="G26" s="53"/>
      <c r="H26" s="148"/>
      <c r="I26" s="148"/>
      <c r="J26" s="53">
        <f t="shared" si="1"/>
        <v>374638.98</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65" t="s">
        <v>78</v>
      </c>
      <c r="B29" s="155"/>
      <c r="C29" s="155"/>
      <c r="D29" s="155"/>
      <c r="E29" s="155"/>
      <c r="F29" s="53">
        <v>91516504.789999992</v>
      </c>
      <c r="G29" s="53">
        <v>22460939</v>
      </c>
      <c r="H29" s="148">
        <v>7311305</v>
      </c>
      <c r="I29" s="148"/>
      <c r="J29" s="53">
        <f>F29+G29-H29</f>
        <v>106666138.78999999</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66" t="s">
        <v>80</v>
      </c>
      <c r="B31" s="150"/>
      <c r="C31" s="150"/>
      <c r="D31" s="150"/>
      <c r="E31" s="150"/>
      <c r="F31" s="53">
        <v>8479526.7599999998</v>
      </c>
      <c r="G31" s="53">
        <v>1696224.8923715339</v>
      </c>
      <c r="H31" s="148">
        <v>2870666.7710938016</v>
      </c>
      <c r="I31" s="148"/>
      <c r="J31" s="53">
        <f t="shared" si="1"/>
        <v>7305084.8812777316</v>
      </c>
      <c r="K31" s="41"/>
    </row>
    <row r="32" spans="1:11" s="37" customFormat="1" x14ac:dyDescent="0.25">
      <c r="A32" s="39" t="s">
        <v>81</v>
      </c>
      <c r="B32" s="40"/>
      <c r="C32" s="40"/>
      <c r="D32" s="40"/>
      <c r="E32" s="40"/>
      <c r="F32" s="53"/>
      <c r="G32" s="53"/>
      <c r="H32" s="53"/>
      <c r="I32" s="53"/>
      <c r="J32" s="53">
        <f t="shared" si="1"/>
        <v>0</v>
      </c>
      <c r="K32" s="41"/>
    </row>
    <row r="33" spans="1:13" s="37" customFormat="1" ht="14.25" x14ac:dyDescent="0.2">
      <c r="A33" s="6"/>
      <c r="B33" s="6"/>
      <c r="C33" s="6"/>
      <c r="D33" s="6"/>
      <c r="E33" s="6"/>
      <c r="F33" s="21"/>
      <c r="G33" s="21"/>
      <c r="H33" s="21"/>
      <c r="I33" s="21"/>
      <c r="J33" s="21"/>
      <c r="K33" s="41"/>
    </row>
    <row r="34" spans="1:13" s="37" customFormat="1" ht="15.75" customHeight="1" x14ac:dyDescent="0.2">
      <c r="A34" s="43"/>
      <c r="B34" s="43"/>
      <c r="C34" s="43"/>
      <c r="D34" s="43"/>
      <c r="E34" s="43"/>
      <c r="F34" s="44"/>
      <c r="G34" s="44"/>
      <c r="H34" s="44"/>
      <c r="I34" s="44"/>
      <c r="J34" s="44"/>
    </row>
    <row r="35" spans="1:13" s="37" customFormat="1" ht="46.5" customHeight="1" x14ac:dyDescent="0.2">
      <c r="A35" s="45" t="s">
        <v>3</v>
      </c>
      <c r="B35" s="140" t="s">
        <v>62</v>
      </c>
      <c r="C35" s="141"/>
      <c r="D35" s="141"/>
      <c r="F35" s="56">
        <f>SUM(F16:F34)</f>
        <v>102723109200.66</v>
      </c>
      <c r="G35" s="56">
        <f>SUM(G16:G34)</f>
        <v>2759156325.4713717</v>
      </c>
      <c r="H35" s="162">
        <f>SUM(H16:H34)</f>
        <v>902330422.20109391</v>
      </c>
      <c r="I35" s="162"/>
      <c r="J35" s="56">
        <f>SUM(J16:J34)</f>
        <v>104579935103.93027</v>
      </c>
    </row>
    <row r="36" spans="1:13" s="37" customFormat="1" ht="14.25" x14ac:dyDescent="0.2">
      <c r="A36" s="45"/>
      <c r="B36" s="142"/>
      <c r="C36" s="142"/>
      <c r="D36" s="142"/>
      <c r="E36" s="56"/>
      <c r="F36" s="56"/>
      <c r="G36" s="56"/>
      <c r="H36" s="56"/>
      <c r="I36" s="56"/>
      <c r="J36" s="56"/>
    </row>
    <row r="37" spans="1:13" s="37" customFormat="1" ht="14.25" x14ac:dyDescent="0.2">
      <c r="A37" s="46" t="s">
        <v>35</v>
      </c>
    </row>
    <row r="38" spans="1:13" s="37" customFormat="1" ht="14.25" x14ac:dyDescent="0.2">
      <c r="A38" s="49"/>
      <c r="F38" s="14" t="s">
        <v>12</v>
      </c>
      <c r="G38" s="14" t="s">
        <v>7</v>
      </c>
      <c r="H38" s="145" t="s">
        <v>8</v>
      </c>
      <c r="I38" s="145"/>
      <c r="J38" s="14" t="s">
        <v>12</v>
      </c>
    </row>
    <row r="39" spans="1:13" s="37" customFormat="1" ht="14.25" x14ac:dyDescent="0.2">
      <c r="A39" s="146" t="s">
        <v>63</v>
      </c>
      <c r="B39" s="146"/>
      <c r="C39" s="146"/>
      <c r="D39" s="146"/>
      <c r="E39" s="146"/>
      <c r="F39" s="20">
        <v>117804433</v>
      </c>
      <c r="G39" s="20">
        <v>2590694</v>
      </c>
      <c r="H39" s="174">
        <v>2963759</v>
      </c>
      <c r="I39" s="174"/>
      <c r="J39" s="20">
        <f t="shared" ref="J39:J44" si="2">F39+G39-H39</f>
        <v>117431368</v>
      </c>
      <c r="K39" s="41"/>
    </row>
    <row r="40" spans="1:13" s="37" customFormat="1" ht="14.25" x14ac:dyDescent="0.2">
      <c r="A40" s="146" t="s">
        <v>64</v>
      </c>
      <c r="B40" s="146"/>
      <c r="C40" s="146"/>
      <c r="D40" s="146"/>
      <c r="E40" s="146"/>
      <c r="F40" s="20">
        <v>45936</v>
      </c>
      <c r="G40" s="62"/>
      <c r="H40" s="164"/>
      <c r="I40" s="164"/>
      <c r="J40" s="20">
        <f t="shared" si="2"/>
        <v>45936</v>
      </c>
      <c r="K40" s="41"/>
    </row>
    <row r="41" spans="1:13" s="37" customFormat="1" ht="14.25" x14ac:dyDescent="0.2">
      <c r="A41" s="146" t="s">
        <v>37</v>
      </c>
      <c r="B41" s="146"/>
      <c r="C41" s="146"/>
      <c r="D41" s="146"/>
      <c r="E41" s="146"/>
      <c r="F41" s="20">
        <v>62974265.770000003</v>
      </c>
      <c r="G41" s="54">
        <v>716392.57</v>
      </c>
      <c r="H41" s="164"/>
      <c r="I41" s="164"/>
      <c r="J41" s="20">
        <f t="shared" si="2"/>
        <v>63690658.340000004</v>
      </c>
      <c r="K41" s="41"/>
    </row>
    <row r="42" spans="1:13" s="37" customFormat="1" ht="14.25" x14ac:dyDescent="0.2">
      <c r="A42" s="146" t="s">
        <v>65</v>
      </c>
      <c r="B42" s="146"/>
      <c r="C42" s="146"/>
      <c r="D42" s="146"/>
      <c r="E42" s="146"/>
      <c r="F42" s="20">
        <v>1991250</v>
      </c>
      <c r="G42" s="54"/>
      <c r="H42" s="164"/>
      <c r="I42" s="164"/>
      <c r="J42" s="20">
        <f t="shared" si="2"/>
        <v>1991250</v>
      </c>
      <c r="K42" s="41"/>
    </row>
    <row r="43" spans="1:13" s="37" customFormat="1" ht="14.45" customHeight="1" x14ac:dyDescent="0.2">
      <c r="A43" s="146" t="s">
        <v>222</v>
      </c>
      <c r="B43" s="146"/>
      <c r="C43" s="146"/>
      <c r="D43" s="146"/>
      <c r="E43" s="146"/>
      <c r="F43" s="20">
        <v>13467718996.879999</v>
      </c>
      <c r="G43" s="54">
        <v>58321705.140000001</v>
      </c>
      <c r="H43" s="148">
        <v>6801648.8300000001</v>
      </c>
      <c r="I43" s="148"/>
      <c r="J43" s="20">
        <f t="shared" si="2"/>
        <v>13519239053.189999</v>
      </c>
      <c r="K43" s="41"/>
    </row>
    <row r="44" spans="1:13" s="37" customFormat="1" ht="14.25" x14ac:dyDescent="0.2">
      <c r="A44" s="146" t="s">
        <v>66</v>
      </c>
      <c r="B44" s="146"/>
      <c r="C44" s="146"/>
      <c r="D44" s="146"/>
      <c r="E44" s="146"/>
      <c r="F44" s="54">
        <v>1989885188.1099997</v>
      </c>
      <c r="G44" s="54">
        <v>19822271.77</v>
      </c>
      <c r="H44" s="148"/>
      <c r="I44" s="148"/>
      <c r="J44" s="20">
        <f t="shared" si="2"/>
        <v>2009707459.8799996</v>
      </c>
      <c r="K44" s="41"/>
    </row>
    <row r="45" spans="1:13" s="37" customFormat="1" ht="14.25" x14ac:dyDescent="0.2">
      <c r="A45" s="49"/>
      <c r="F45" s="41"/>
      <c r="G45" s="41"/>
      <c r="H45" s="41"/>
      <c r="I45" s="41"/>
      <c r="J45" s="41"/>
      <c r="K45" s="41"/>
    </row>
    <row r="46" spans="1:13" s="37" customFormat="1" ht="14.25" x14ac:dyDescent="0.2">
      <c r="A46" s="50" t="s">
        <v>38</v>
      </c>
      <c r="F46" s="52">
        <f>SUM(F39:F45)</f>
        <v>15640420069.759998</v>
      </c>
      <c r="G46" s="51">
        <f>SUM(G39:G45)</f>
        <v>81451063.480000004</v>
      </c>
      <c r="H46" s="173">
        <f>SUM(H39:I44)</f>
        <v>9765407.8300000001</v>
      </c>
      <c r="I46" s="173"/>
      <c r="J46" s="52">
        <f>SUM(J39:J45)</f>
        <v>15712105725.409998</v>
      </c>
      <c r="K46" s="41"/>
      <c r="M46" s="69"/>
    </row>
    <row r="47" spans="1:13" x14ac:dyDescent="0.25">
      <c r="J47" s="15"/>
    </row>
    <row r="48" spans="1:13" x14ac:dyDescent="0.25">
      <c r="A48" s="50" t="s">
        <v>36</v>
      </c>
      <c r="J48" s="15"/>
    </row>
    <row r="49" spans="1:10" x14ac:dyDescent="0.25">
      <c r="J49" s="15"/>
    </row>
    <row r="50" spans="1:10" s="64" customFormat="1" ht="14.25" x14ac:dyDescent="0.2">
      <c r="A50" s="143" t="s">
        <v>278</v>
      </c>
      <c r="B50" s="143"/>
      <c r="C50" s="143"/>
      <c r="D50" s="143"/>
      <c r="E50" s="143"/>
      <c r="F50" s="143"/>
      <c r="G50" s="143"/>
      <c r="H50" s="143"/>
      <c r="I50" s="143"/>
      <c r="J50" s="143"/>
    </row>
    <row r="51" spans="1:10" s="64" customFormat="1" ht="14.25" x14ac:dyDescent="0.2">
      <c r="A51" s="61"/>
      <c r="B51" s="61"/>
      <c r="C51" s="61"/>
      <c r="D51" s="61"/>
      <c r="E51" s="61"/>
      <c r="F51" s="61"/>
      <c r="G51" s="61"/>
      <c r="H51" s="61"/>
      <c r="I51" s="61"/>
      <c r="J51" s="61"/>
    </row>
    <row r="52" spans="1:10" s="64" customFormat="1" ht="14.45" customHeight="1" x14ac:dyDescent="0.2">
      <c r="A52" s="61"/>
      <c r="B52" s="61"/>
      <c r="C52" s="61"/>
      <c r="D52" s="163" t="s">
        <v>262</v>
      </c>
      <c r="E52" s="163"/>
      <c r="F52" s="163"/>
      <c r="G52" s="163"/>
      <c r="H52" s="163"/>
      <c r="I52" s="163"/>
      <c r="J52" s="72">
        <v>1805530</v>
      </c>
    </row>
    <row r="53" spans="1:10" s="64" customFormat="1" ht="14.45" customHeight="1" x14ac:dyDescent="0.2">
      <c r="A53" s="61"/>
      <c r="B53" s="61"/>
      <c r="C53" s="61"/>
      <c r="D53" s="163" t="s">
        <v>263</v>
      </c>
      <c r="E53" s="163"/>
      <c r="F53" s="163"/>
      <c r="G53" s="163"/>
      <c r="H53" s="163"/>
      <c r="I53" s="163"/>
      <c r="J53" s="72">
        <v>851525</v>
      </c>
    </row>
    <row r="54" spans="1:10" s="64" customFormat="1" ht="14.45" customHeight="1" x14ac:dyDescent="0.2">
      <c r="A54" s="61"/>
      <c r="B54" s="61"/>
      <c r="C54" s="61"/>
      <c r="D54" s="163" t="s">
        <v>264</v>
      </c>
      <c r="E54" s="163"/>
      <c r="F54" s="163"/>
      <c r="G54" s="163"/>
      <c r="H54" s="163"/>
      <c r="I54" s="163"/>
      <c r="J54" s="72">
        <v>306704</v>
      </c>
    </row>
    <row r="55" spans="1:10" s="64" customFormat="1" thickBot="1" x14ac:dyDescent="0.25">
      <c r="A55" s="61"/>
      <c r="B55" s="61"/>
      <c r="C55" s="61"/>
      <c r="D55" s="61"/>
      <c r="E55" s="61"/>
      <c r="F55" s="61"/>
      <c r="G55" s="61"/>
      <c r="H55" s="61"/>
      <c r="I55" s="61"/>
      <c r="J55" s="73">
        <f>SUM(J52:J54)</f>
        <v>2963759</v>
      </c>
    </row>
    <row r="56" spans="1:10" s="64" customFormat="1" thickTop="1" x14ac:dyDescent="0.2">
      <c r="A56" s="70"/>
      <c r="B56" s="70"/>
      <c r="C56" s="70"/>
      <c r="D56" s="70"/>
      <c r="E56" s="70"/>
      <c r="F56" s="70"/>
      <c r="G56" s="70"/>
      <c r="H56" s="70"/>
      <c r="I56" s="70"/>
      <c r="J56" s="54"/>
    </row>
    <row r="57" spans="1:10" s="64" customFormat="1" ht="14.45" customHeight="1" x14ac:dyDescent="0.2">
      <c r="A57" s="143" t="s">
        <v>279</v>
      </c>
      <c r="B57" s="143"/>
      <c r="C57" s="143"/>
      <c r="D57" s="143"/>
      <c r="E57" s="143"/>
      <c r="F57" s="143"/>
      <c r="G57" s="143"/>
      <c r="H57" s="143"/>
      <c r="I57" s="143"/>
      <c r="J57" s="143"/>
    </row>
    <row r="58" spans="1:10" s="64" customFormat="1" ht="14.25" x14ac:dyDescent="0.2">
      <c r="A58" s="66"/>
      <c r="B58" s="66"/>
      <c r="C58" s="66"/>
      <c r="D58" s="66"/>
      <c r="E58" s="66"/>
      <c r="F58" s="66"/>
      <c r="G58" s="70"/>
      <c r="H58" s="70"/>
      <c r="I58" s="70"/>
      <c r="J58" s="54"/>
    </row>
    <row r="59" spans="1:10" s="64" customFormat="1" ht="14.45" customHeight="1" x14ac:dyDescent="0.2">
      <c r="A59" s="143" t="s">
        <v>280</v>
      </c>
      <c r="B59" s="143"/>
      <c r="C59" s="143"/>
      <c r="D59" s="143"/>
      <c r="E59" s="143"/>
      <c r="F59" s="143"/>
      <c r="G59" s="143"/>
      <c r="H59" s="143"/>
      <c r="I59" s="143"/>
      <c r="J59" s="143"/>
    </row>
    <row r="60" spans="1:10" s="64" customFormat="1" ht="14.25" x14ac:dyDescent="0.2">
      <c r="A60" s="143"/>
      <c r="B60" s="143"/>
      <c r="C60" s="143"/>
      <c r="D60" s="143"/>
      <c r="E60" s="143"/>
      <c r="F60" s="143"/>
      <c r="G60" s="143"/>
      <c r="H60" s="143"/>
      <c r="I60" s="143"/>
      <c r="J60" s="143"/>
    </row>
    <row r="61" spans="1:10" s="64" customFormat="1" ht="14.25" x14ac:dyDescent="0.2">
      <c r="A61" s="66"/>
      <c r="B61" s="66"/>
      <c r="C61" s="66"/>
      <c r="D61" s="66"/>
      <c r="E61" s="66"/>
      <c r="F61" s="66"/>
      <c r="G61" s="70"/>
      <c r="H61" s="70"/>
      <c r="I61" s="70"/>
      <c r="J61" s="54"/>
    </row>
    <row r="62" spans="1:10" s="64" customFormat="1" ht="14.45" customHeight="1" x14ac:dyDescent="0.2">
      <c r="A62" s="143" t="s">
        <v>281</v>
      </c>
      <c r="B62" s="143"/>
      <c r="C62" s="143"/>
      <c r="D62" s="143"/>
      <c r="E62" s="143"/>
      <c r="F62" s="143"/>
      <c r="G62" s="143"/>
      <c r="H62" s="143"/>
      <c r="I62" s="143"/>
      <c r="J62" s="143"/>
    </row>
    <row r="63" spans="1:10" s="64" customFormat="1" ht="14.25" x14ac:dyDescent="0.2">
      <c r="A63" s="61"/>
      <c r="B63" s="61"/>
      <c r="C63" s="61"/>
      <c r="D63" s="61"/>
      <c r="E63" s="61"/>
      <c r="F63" s="61"/>
      <c r="J63" s="65"/>
    </row>
    <row r="64" spans="1:10" s="64" customFormat="1" ht="14.45" customHeight="1" x14ac:dyDescent="0.2">
      <c r="A64" s="143" t="s">
        <v>282</v>
      </c>
      <c r="B64" s="143"/>
      <c r="C64" s="143"/>
      <c r="D64" s="143"/>
      <c r="E64" s="143"/>
      <c r="F64" s="143"/>
      <c r="G64" s="143"/>
      <c r="H64" s="143"/>
      <c r="I64" s="143"/>
      <c r="J64" s="143"/>
    </row>
    <row r="65" spans="1:10" s="64" customFormat="1" ht="14.45" customHeight="1" x14ac:dyDescent="0.2">
      <c r="A65" s="143"/>
      <c r="B65" s="143"/>
      <c r="C65" s="143"/>
      <c r="D65" s="143"/>
      <c r="E65" s="143"/>
      <c r="F65" s="143"/>
      <c r="G65" s="143"/>
      <c r="H65" s="143"/>
      <c r="I65" s="143"/>
      <c r="J65" s="143"/>
    </row>
    <row r="66" spans="1:10" s="64" customFormat="1" ht="14.25" x14ac:dyDescent="0.2">
      <c r="A66" s="66"/>
      <c r="B66" s="66"/>
      <c r="C66" s="66"/>
      <c r="D66" s="66"/>
      <c r="E66" s="66"/>
      <c r="F66" s="66"/>
      <c r="J66" s="65"/>
    </row>
    <row r="67" spans="1:10" s="64" customFormat="1" ht="28.5" customHeight="1" x14ac:dyDescent="0.2">
      <c r="A67" s="143" t="s">
        <v>283</v>
      </c>
      <c r="B67" s="143"/>
      <c r="C67" s="143"/>
      <c r="D67" s="143"/>
      <c r="E67" s="143"/>
      <c r="F67" s="143"/>
      <c r="G67" s="143"/>
      <c r="H67" s="143"/>
      <c r="I67" s="143"/>
      <c r="J67" s="143"/>
    </row>
    <row r="68" spans="1:10" s="64" customFormat="1" ht="14.25" x14ac:dyDescent="0.2">
      <c r="A68" s="66"/>
      <c r="B68" s="66"/>
      <c r="C68" s="66"/>
      <c r="D68" s="66"/>
      <c r="E68" s="66"/>
      <c r="F68" s="66"/>
      <c r="J68" s="65"/>
    </row>
    <row r="69" spans="1:10" s="64" customFormat="1" ht="14.45" customHeight="1" x14ac:dyDescent="0.2">
      <c r="A69" s="143" t="s">
        <v>266</v>
      </c>
      <c r="B69" s="143"/>
      <c r="C69" s="143"/>
      <c r="D69" s="143"/>
      <c r="E69" s="143"/>
      <c r="F69" s="143"/>
      <c r="G69" s="143"/>
      <c r="H69" s="143"/>
      <c r="I69" s="143"/>
      <c r="J69" s="143"/>
    </row>
    <row r="70" spans="1:10" s="64" customFormat="1" ht="14.45" customHeight="1" x14ac:dyDescent="0.2">
      <c r="A70" s="66"/>
      <c r="B70" s="66"/>
      <c r="C70" s="66"/>
      <c r="D70" s="66"/>
      <c r="E70" s="66"/>
      <c r="F70" s="66"/>
      <c r="G70" s="66"/>
      <c r="H70" s="66"/>
      <c r="I70" s="66"/>
      <c r="J70" s="66"/>
    </row>
    <row r="71" spans="1:10" s="64" customFormat="1" ht="14.25" x14ac:dyDescent="0.2">
      <c r="A71" s="66"/>
      <c r="B71" s="66"/>
      <c r="C71" s="66"/>
      <c r="D71" s="66"/>
      <c r="E71" s="66"/>
      <c r="F71" s="66"/>
      <c r="J71" s="65"/>
    </row>
    <row r="72" spans="1:10" s="64" customFormat="1" ht="14.45" customHeight="1" x14ac:dyDescent="0.2">
      <c r="A72" s="143" t="s">
        <v>30</v>
      </c>
      <c r="B72" s="143"/>
      <c r="C72" s="143"/>
      <c r="D72" s="143"/>
      <c r="E72" s="143"/>
      <c r="F72" s="143"/>
      <c r="G72" s="143"/>
      <c r="H72" s="143"/>
      <c r="I72" s="143"/>
      <c r="J72" s="143"/>
    </row>
    <row r="73" spans="1:10" s="64" customFormat="1" ht="14.25" x14ac:dyDescent="0.2">
      <c r="A73" s="143"/>
      <c r="B73" s="143"/>
      <c r="C73" s="143"/>
      <c r="D73" s="143"/>
      <c r="E73" s="143"/>
      <c r="F73" s="143"/>
      <c r="G73" s="143"/>
      <c r="H73" s="143"/>
      <c r="I73" s="143"/>
      <c r="J73" s="143"/>
    </row>
    <row r="74" spans="1:10" s="64" customFormat="1" ht="14.25" x14ac:dyDescent="0.2">
      <c r="A74" s="143"/>
      <c r="B74" s="143"/>
      <c r="C74" s="143"/>
      <c r="D74" s="143"/>
      <c r="E74" s="143"/>
      <c r="F74" s="143"/>
      <c r="G74" s="143"/>
      <c r="H74" s="143"/>
      <c r="I74" s="143"/>
      <c r="J74" s="143"/>
    </row>
    <row r="75" spans="1:10" s="64" customFormat="1" ht="14.25" x14ac:dyDescent="0.2">
      <c r="A75" s="143"/>
      <c r="B75" s="143"/>
      <c r="C75" s="143"/>
      <c r="D75" s="143"/>
      <c r="E75" s="143"/>
      <c r="F75" s="143"/>
      <c r="G75" s="143"/>
      <c r="H75" s="143"/>
      <c r="I75" s="143"/>
      <c r="J75" s="143"/>
    </row>
    <row r="76" spans="1:10" s="64" customFormat="1" ht="14.25" x14ac:dyDescent="0.2"/>
    <row r="77" spans="1:10" s="64" customFormat="1" ht="14.25" x14ac:dyDescent="0.2">
      <c r="A77" s="64" t="s">
        <v>28</v>
      </c>
    </row>
    <row r="78" spans="1:10" s="64" customFormat="1" ht="14.25" x14ac:dyDescent="0.2">
      <c r="A78" s="143"/>
      <c r="B78" s="143"/>
      <c r="C78" s="143"/>
      <c r="D78" s="143"/>
      <c r="E78" s="143"/>
      <c r="F78" s="143"/>
      <c r="G78" s="143"/>
      <c r="H78" s="143"/>
      <c r="I78" s="143"/>
      <c r="J78" s="143"/>
    </row>
    <row r="79" spans="1:10" s="64" customFormat="1" ht="14.25" x14ac:dyDescent="0.2">
      <c r="A79" s="74"/>
      <c r="B79" s="74"/>
      <c r="C79" s="74"/>
      <c r="D79" s="74"/>
      <c r="E79" s="74"/>
      <c r="F79" s="74"/>
      <c r="G79" s="74"/>
      <c r="H79" s="74"/>
      <c r="I79" s="74"/>
      <c r="J79" s="74"/>
    </row>
    <row r="80" spans="1:10" s="64" customFormat="1" ht="14.25" x14ac:dyDescent="0.2">
      <c r="A80" s="74"/>
      <c r="B80" s="74"/>
      <c r="C80" s="74"/>
      <c r="D80" s="74"/>
      <c r="E80" s="74"/>
      <c r="F80" s="74"/>
      <c r="G80" s="74"/>
      <c r="H80" s="74"/>
      <c r="I80" s="74"/>
      <c r="J80" s="74"/>
    </row>
    <row r="81" spans="1:10" s="64" customFormat="1" ht="14.25" x14ac:dyDescent="0.2">
      <c r="A81" s="74"/>
      <c r="B81" s="74"/>
      <c r="C81" s="74"/>
      <c r="D81" s="74"/>
      <c r="E81" s="74"/>
      <c r="F81" s="74"/>
      <c r="G81" s="74"/>
      <c r="H81" s="74"/>
      <c r="I81" s="74"/>
      <c r="J81" s="74"/>
    </row>
    <row r="82" spans="1:10" s="64" customFormat="1" ht="14.25" x14ac:dyDescent="0.2"/>
    <row r="83" spans="1:10" s="64" customFormat="1" ht="14.25" x14ac:dyDescent="0.2">
      <c r="I83" s="76" t="s">
        <v>31</v>
      </c>
      <c r="J83" s="77"/>
    </row>
    <row r="84" spans="1:10" s="64" customFormat="1" ht="14.25" x14ac:dyDescent="0.2">
      <c r="I84" s="50" t="s">
        <v>32</v>
      </c>
      <c r="J84" s="47"/>
    </row>
    <row r="85" spans="1:10" s="64" customFormat="1" ht="14.25" x14ac:dyDescent="0.2">
      <c r="I85" s="50" t="s">
        <v>33</v>
      </c>
      <c r="J85" s="47"/>
    </row>
  </sheetData>
  <mergeCells count="76">
    <mergeCell ref="A72:J75"/>
    <mergeCell ref="A78:J78"/>
    <mergeCell ref="A62:J62"/>
    <mergeCell ref="A67:J67"/>
    <mergeCell ref="A59:J60"/>
    <mergeCell ref="A69:J69"/>
    <mergeCell ref="A64:J65"/>
    <mergeCell ref="A57:J57"/>
    <mergeCell ref="H46:I46"/>
    <mergeCell ref="H31:I31"/>
    <mergeCell ref="H35:I35"/>
    <mergeCell ref="H39:I39"/>
    <mergeCell ref="H40:I40"/>
    <mergeCell ref="H41:I41"/>
    <mergeCell ref="B35:D35"/>
    <mergeCell ref="B36:D36"/>
    <mergeCell ref="H38:I38"/>
    <mergeCell ref="A44:E44"/>
    <mergeCell ref="A39:E39"/>
    <mergeCell ref="A40:E40"/>
    <mergeCell ref="A41:E41"/>
    <mergeCell ref="D52:I52"/>
    <mergeCell ref="D53:I53"/>
    <mergeCell ref="H26:I26"/>
    <mergeCell ref="H27:I27"/>
    <mergeCell ref="H28:I28"/>
    <mergeCell ref="H29:I29"/>
    <mergeCell ref="H30:I30"/>
    <mergeCell ref="H21:I21"/>
    <mergeCell ref="H22:I22"/>
    <mergeCell ref="H23:I23"/>
    <mergeCell ref="H24:I24"/>
    <mergeCell ref="H25:I25"/>
    <mergeCell ref="H16:I16"/>
    <mergeCell ref="H17:I17"/>
    <mergeCell ref="H18:I18"/>
    <mergeCell ref="H19:I19"/>
    <mergeCell ref="H20:I20"/>
    <mergeCell ref="A24:E24"/>
    <mergeCell ref="A25:E25"/>
    <mergeCell ref="A26:E26"/>
    <mergeCell ref="A8:B8"/>
    <mergeCell ref="C8:H8"/>
    <mergeCell ref="A15:J15"/>
    <mergeCell ref="A9:B9"/>
    <mergeCell ref="C9:H9"/>
    <mergeCell ref="A10:B10"/>
    <mergeCell ref="C10:H10"/>
    <mergeCell ref="I10:J10"/>
    <mergeCell ref="A11:J11"/>
    <mergeCell ref="A12:J12"/>
    <mergeCell ref="A13:J13"/>
    <mergeCell ref="A14:E14"/>
    <mergeCell ref="H14:I14"/>
    <mergeCell ref="A1:C1"/>
    <mergeCell ref="D1:H1"/>
    <mergeCell ref="I1:J1"/>
    <mergeCell ref="A2:J2"/>
    <mergeCell ref="A3:J3"/>
    <mergeCell ref="A4:J4"/>
    <mergeCell ref="A5:J5"/>
    <mergeCell ref="A6:J6"/>
    <mergeCell ref="A7:B7"/>
    <mergeCell ref="C7:H7"/>
    <mergeCell ref="A27:E27"/>
    <mergeCell ref="A28:E28"/>
    <mergeCell ref="A29:E29"/>
    <mergeCell ref="A30:E30"/>
    <mergeCell ref="A31:E31"/>
    <mergeCell ref="D54:I54"/>
    <mergeCell ref="A42:E42"/>
    <mergeCell ref="A43:E43"/>
    <mergeCell ref="H42:I42"/>
    <mergeCell ref="H43:I43"/>
    <mergeCell ref="H44:I44"/>
    <mergeCell ref="A50:J50"/>
  </mergeCells>
  <pageMargins left="0.25" right="0.25" top="0.75" bottom="0.75" header="0.3" footer="0.3"/>
  <pageSetup paperSize="5" scale="69" orientation="portrait"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CD986-2E83-43B7-A789-ACF62592B65E}">
  <sheetPr>
    <pageSetUpPr fitToPage="1"/>
  </sheetPr>
  <dimension ref="A1:V39"/>
  <sheetViews>
    <sheetView zoomScale="76" zoomScaleNormal="76" workbookViewId="0">
      <pane ySplit="9" topLeftCell="A10" activePane="bottomLeft" state="frozen"/>
      <selection activeCell="O34" sqref="O34"/>
      <selection pane="bottomLeft" activeCell="O34" sqref="O34"/>
    </sheetView>
  </sheetViews>
  <sheetFormatPr defaultColWidth="9.140625" defaultRowHeight="15" x14ac:dyDescent="0.25"/>
  <cols>
    <col min="1" max="1" width="1.7109375" style="84" customWidth="1"/>
    <col min="2" max="2" width="50.42578125" style="84" bestFit="1" customWidth="1"/>
    <col min="3" max="3" width="1" style="84" customWidth="1"/>
    <col min="4" max="4" width="1.7109375" style="84" customWidth="1"/>
    <col min="5" max="5" width="19.5703125" style="85" bestFit="1" customWidth="1"/>
    <col min="6" max="6" width="1.7109375" style="85" customWidth="1"/>
    <col min="7" max="7" width="20.140625" style="85" bestFit="1" customWidth="1"/>
    <col min="8" max="8" width="1.7109375" style="85" customWidth="1"/>
    <col min="9" max="9" width="15.7109375" style="85" bestFit="1" customWidth="1"/>
    <col min="10" max="10" width="1.7109375" style="85" customWidth="1"/>
    <col min="11" max="11" width="10.7109375" style="85" bestFit="1" customWidth="1"/>
    <col min="12" max="12" width="1.7109375" style="84" customWidth="1"/>
    <col min="13" max="13" width="15.28515625" style="84" bestFit="1" customWidth="1"/>
    <col min="14" max="14" width="1.7109375" style="84" customWidth="1"/>
    <col min="15" max="15" width="15.7109375" style="84" customWidth="1"/>
    <col min="16" max="16" width="1.7109375" style="84" customWidth="1"/>
    <col min="17" max="17" width="27.85546875" style="84" customWidth="1"/>
    <col min="18" max="18" width="1.7109375" style="84" customWidth="1"/>
    <col min="19" max="20" width="17.5703125" style="84" bestFit="1" customWidth="1"/>
    <col min="21" max="21" width="1.7109375" style="84" customWidth="1"/>
    <col min="22" max="22" width="16.28515625" style="84" bestFit="1" customWidth="1"/>
    <col min="23" max="16384" width="9.140625" style="84"/>
  </cols>
  <sheetData>
    <row r="1" spans="1:22" x14ac:dyDescent="0.25">
      <c r="A1" s="107" t="s">
        <v>340</v>
      </c>
      <c r="B1" s="107"/>
      <c r="C1" s="107"/>
      <c r="D1" s="107"/>
      <c r="E1" s="107"/>
      <c r="F1" s="107"/>
      <c r="G1" s="107"/>
      <c r="H1" s="107"/>
      <c r="I1" s="107"/>
      <c r="J1" s="107"/>
      <c r="K1" s="107"/>
      <c r="L1" s="107"/>
      <c r="M1" s="107"/>
      <c r="N1" s="107"/>
      <c r="O1" s="107"/>
      <c r="P1" s="107"/>
      <c r="Q1" s="107"/>
      <c r="R1" s="107"/>
      <c r="S1" s="107"/>
      <c r="T1" s="107"/>
      <c r="U1" s="107"/>
      <c r="V1" s="107"/>
    </row>
    <row r="2" spans="1:22" x14ac:dyDescent="0.25">
      <c r="A2" s="107" t="s">
        <v>339</v>
      </c>
      <c r="B2" s="107"/>
      <c r="C2" s="107"/>
      <c r="D2" s="107"/>
      <c r="E2" s="107"/>
      <c r="F2" s="107"/>
      <c r="G2" s="107"/>
      <c r="H2" s="107"/>
      <c r="I2" s="107"/>
      <c r="J2" s="107"/>
      <c r="K2" s="107"/>
      <c r="L2" s="107"/>
      <c r="M2" s="107"/>
      <c r="N2" s="107"/>
      <c r="O2" s="107"/>
      <c r="P2" s="107"/>
      <c r="Q2" s="107"/>
      <c r="R2" s="107"/>
      <c r="S2" s="107"/>
      <c r="T2" s="107"/>
      <c r="U2" s="107"/>
      <c r="V2" s="107"/>
    </row>
    <row r="3" spans="1:22" x14ac:dyDescent="0.25">
      <c r="A3" s="107" t="s">
        <v>338</v>
      </c>
      <c r="B3" s="107"/>
      <c r="C3" s="107"/>
      <c r="D3" s="107"/>
      <c r="E3" s="107"/>
      <c r="F3" s="107"/>
      <c r="G3" s="107"/>
      <c r="H3" s="107"/>
      <c r="I3" s="107"/>
      <c r="J3" s="107"/>
      <c r="K3" s="107"/>
      <c r="L3" s="107"/>
      <c r="M3" s="107"/>
      <c r="N3" s="107"/>
      <c r="O3" s="107"/>
      <c r="P3" s="107"/>
      <c r="Q3" s="107"/>
      <c r="R3" s="107"/>
      <c r="S3" s="107"/>
      <c r="T3" s="107"/>
      <c r="U3" s="107"/>
      <c r="V3" s="107"/>
    </row>
    <row r="4" spans="1:22" x14ac:dyDescent="0.25">
      <c r="A4" s="107" t="s">
        <v>337</v>
      </c>
      <c r="B4" s="107"/>
      <c r="C4" s="107"/>
      <c r="D4" s="107"/>
      <c r="E4" s="107"/>
      <c r="F4" s="107"/>
      <c r="G4" s="107"/>
      <c r="H4" s="107"/>
      <c r="I4" s="107"/>
      <c r="J4" s="107"/>
      <c r="K4" s="107"/>
      <c r="L4" s="107"/>
      <c r="M4" s="107"/>
      <c r="N4" s="107"/>
      <c r="O4" s="107"/>
      <c r="P4" s="107"/>
      <c r="Q4" s="107"/>
      <c r="R4" s="107"/>
      <c r="S4" s="107"/>
      <c r="T4" s="107"/>
      <c r="U4" s="107"/>
      <c r="V4" s="107"/>
    </row>
    <row r="5" spans="1:22" x14ac:dyDescent="0.25">
      <c r="A5" s="107" t="s">
        <v>336</v>
      </c>
      <c r="B5" s="107"/>
      <c r="C5" s="107"/>
      <c r="D5" s="107"/>
      <c r="E5" s="107"/>
      <c r="F5" s="107"/>
      <c r="G5" s="107"/>
      <c r="H5" s="107"/>
      <c r="I5" s="107"/>
      <c r="J5" s="107"/>
      <c r="K5" s="107"/>
      <c r="L5" s="107"/>
      <c r="M5" s="107"/>
      <c r="N5" s="107"/>
      <c r="O5" s="107"/>
      <c r="P5" s="107"/>
      <c r="Q5" s="107"/>
      <c r="R5" s="107"/>
      <c r="S5" s="107"/>
      <c r="T5" s="107"/>
      <c r="U5" s="107"/>
      <c r="V5" s="107"/>
    </row>
    <row r="6" spans="1:22" x14ac:dyDescent="0.25">
      <c r="A6" s="86"/>
      <c r="B6" s="86"/>
      <c r="C6" s="86"/>
      <c r="D6" s="86"/>
      <c r="E6" s="87"/>
      <c r="F6" s="87"/>
      <c r="G6" s="87"/>
      <c r="H6" s="87"/>
      <c r="I6" s="87"/>
      <c r="J6" s="87"/>
      <c r="K6" s="87"/>
      <c r="L6" s="86"/>
      <c r="M6" s="86"/>
      <c r="N6" s="86"/>
      <c r="O6" s="86"/>
      <c r="P6" s="86"/>
      <c r="Q6" s="86"/>
      <c r="R6" s="86"/>
      <c r="S6" s="86"/>
      <c r="T6" s="86"/>
      <c r="U6" s="86"/>
      <c r="V6" s="86"/>
    </row>
    <row r="7" spans="1:22" x14ac:dyDescent="0.25">
      <c r="A7" s="86"/>
      <c r="B7" s="86"/>
      <c r="C7" s="86"/>
      <c r="D7" s="86"/>
      <c r="E7" s="87"/>
      <c r="F7" s="87"/>
      <c r="G7" s="87"/>
      <c r="H7" s="87"/>
      <c r="I7" s="87"/>
      <c r="J7" s="91"/>
      <c r="K7" s="106" t="s">
        <v>335</v>
      </c>
      <c r="L7" s="106"/>
      <c r="M7" s="106"/>
      <c r="N7" s="106"/>
      <c r="O7" s="106"/>
      <c r="P7" s="106"/>
      <c r="Q7" s="106"/>
      <c r="R7" s="106"/>
      <c r="S7" s="106"/>
      <c r="T7" s="106"/>
      <c r="U7" s="86"/>
      <c r="V7" s="86"/>
    </row>
    <row r="8" spans="1:22" x14ac:dyDescent="0.25">
      <c r="A8" s="86"/>
      <c r="B8" s="86"/>
      <c r="C8" s="86"/>
      <c r="D8" s="86"/>
      <c r="E8" s="103" t="s">
        <v>334</v>
      </c>
      <c r="F8" s="104"/>
      <c r="G8" s="103" t="s">
        <v>333</v>
      </c>
      <c r="H8" s="104"/>
      <c r="I8" s="103" t="s">
        <v>332</v>
      </c>
      <c r="J8" s="105"/>
      <c r="K8" s="103" t="s">
        <v>331</v>
      </c>
      <c r="L8" s="86"/>
      <c r="M8" s="103" t="s">
        <v>330</v>
      </c>
      <c r="N8" s="104"/>
      <c r="O8" s="103" t="s">
        <v>329</v>
      </c>
      <c r="P8" s="104"/>
      <c r="Q8" s="103" t="s">
        <v>328</v>
      </c>
      <c r="R8" s="104"/>
      <c r="S8" s="103" t="s">
        <v>327</v>
      </c>
      <c r="T8" s="103" t="s">
        <v>326</v>
      </c>
      <c r="U8" s="104"/>
      <c r="V8" s="103" t="s">
        <v>325</v>
      </c>
    </row>
    <row r="9" spans="1:22" ht="108.75" x14ac:dyDescent="0.25">
      <c r="A9" s="94"/>
      <c r="B9" s="86"/>
      <c r="C9" s="86"/>
      <c r="D9" s="86"/>
      <c r="E9" s="95" t="s">
        <v>324</v>
      </c>
      <c r="F9" s="100"/>
      <c r="G9" s="95" t="s">
        <v>323</v>
      </c>
      <c r="H9" s="100"/>
      <c r="I9" s="102" t="s">
        <v>322</v>
      </c>
      <c r="J9" s="101"/>
      <c r="K9" s="95" t="s">
        <v>321</v>
      </c>
      <c r="L9" s="100"/>
      <c r="M9" s="95" t="s">
        <v>320</v>
      </c>
      <c r="N9" s="96"/>
      <c r="O9" s="95" t="s">
        <v>319</v>
      </c>
      <c r="P9" s="96"/>
      <c r="Q9" s="97" t="s">
        <v>318</v>
      </c>
      <c r="R9" s="99"/>
      <c r="S9" s="98" t="s">
        <v>317</v>
      </c>
      <c r="T9" s="97" t="s">
        <v>316</v>
      </c>
      <c r="U9" s="96"/>
      <c r="V9" s="95" t="s">
        <v>315</v>
      </c>
    </row>
    <row r="10" spans="1:22" x14ac:dyDescent="0.25">
      <c r="A10" s="86"/>
      <c r="B10" s="86"/>
      <c r="C10" s="86"/>
      <c r="D10" s="86"/>
      <c r="E10" s="87"/>
      <c r="F10" s="87"/>
      <c r="G10" s="87"/>
      <c r="H10" s="87"/>
      <c r="I10" s="87"/>
      <c r="J10" s="91"/>
      <c r="K10" s="87"/>
      <c r="L10" s="87"/>
      <c r="M10" s="87"/>
      <c r="N10" s="87"/>
      <c r="O10" s="87"/>
      <c r="P10" s="87"/>
      <c r="Q10" s="87"/>
      <c r="R10" s="87"/>
      <c r="S10" s="87"/>
      <c r="T10" s="87"/>
      <c r="U10" s="87"/>
      <c r="V10" s="87"/>
    </row>
    <row r="11" spans="1:22" x14ac:dyDescent="0.25">
      <c r="A11" s="94" t="s">
        <v>10</v>
      </c>
      <c r="B11" s="86"/>
      <c r="C11" s="86"/>
      <c r="D11" s="86"/>
      <c r="E11" s="87"/>
      <c r="F11" s="87"/>
      <c r="G11" s="87"/>
      <c r="H11" s="87"/>
      <c r="I11" s="87"/>
      <c r="J11" s="91"/>
      <c r="K11" s="87"/>
      <c r="L11" s="87"/>
      <c r="M11" s="87"/>
      <c r="N11" s="87"/>
      <c r="O11" s="87"/>
      <c r="P11" s="87"/>
      <c r="Q11" s="87"/>
      <c r="R11" s="87"/>
      <c r="S11" s="87"/>
      <c r="T11" s="87"/>
      <c r="U11" s="87"/>
      <c r="V11" s="87"/>
    </row>
    <row r="12" spans="1:22" x14ac:dyDescent="0.25">
      <c r="A12" s="86"/>
      <c r="B12" s="86" t="s">
        <v>314</v>
      </c>
      <c r="C12" s="86"/>
      <c r="D12" s="86"/>
      <c r="E12" s="92">
        <v>15634134747.141905</v>
      </c>
      <c r="F12" s="87"/>
      <c r="G12" s="92">
        <v>15640420069.761908</v>
      </c>
      <c r="H12" s="87"/>
      <c r="I12" s="85">
        <f t="shared" ref="I12:I17" si="0">G12-E12</f>
        <v>6285322.6200027466</v>
      </c>
      <c r="J12" s="91"/>
      <c r="K12" s="87"/>
      <c r="L12" s="87"/>
      <c r="M12" s="87"/>
      <c r="N12" s="87"/>
      <c r="O12" s="87"/>
      <c r="P12" s="87"/>
      <c r="Q12" s="87">
        <v>6285322.6200027466</v>
      </c>
      <c r="R12" s="87"/>
      <c r="S12" s="87"/>
      <c r="T12" s="87"/>
      <c r="U12" s="87"/>
      <c r="V12" s="85">
        <f t="shared" ref="V12:V28" si="1">SUM(K12:T12)</f>
        <v>6285322.6200027466</v>
      </c>
    </row>
    <row r="13" spans="1:22" x14ac:dyDescent="0.25">
      <c r="A13" s="86"/>
      <c r="B13" s="86" t="s">
        <v>313</v>
      </c>
      <c r="C13" s="86"/>
      <c r="D13" s="86"/>
      <c r="E13" s="92">
        <v>1415663193.4600005</v>
      </c>
      <c r="F13" s="87"/>
      <c r="G13" s="92">
        <v>1415663193.4600005</v>
      </c>
      <c r="H13" s="87"/>
      <c r="I13" s="85">
        <f t="shared" si="0"/>
        <v>0</v>
      </c>
      <c r="J13" s="91"/>
      <c r="K13" s="87"/>
      <c r="L13" s="87"/>
      <c r="M13" s="87"/>
      <c r="N13" s="87"/>
      <c r="O13" s="87"/>
      <c r="P13" s="87"/>
      <c r="Q13" s="87"/>
      <c r="R13" s="87"/>
      <c r="S13" s="87"/>
      <c r="T13" s="87"/>
      <c r="U13" s="87"/>
      <c r="V13" s="85">
        <f t="shared" si="1"/>
        <v>0</v>
      </c>
    </row>
    <row r="14" spans="1:22" x14ac:dyDescent="0.25">
      <c r="A14" s="86"/>
      <c r="B14" s="86" t="s">
        <v>312</v>
      </c>
      <c r="C14" s="86"/>
      <c r="D14" s="86"/>
      <c r="E14" s="92"/>
      <c r="F14" s="87"/>
      <c r="G14" s="92"/>
      <c r="H14" s="87"/>
      <c r="I14" s="85">
        <f t="shared" si="0"/>
        <v>0</v>
      </c>
      <c r="J14" s="91"/>
      <c r="K14" s="87"/>
      <c r="L14" s="87"/>
      <c r="M14" s="87"/>
      <c r="N14" s="87"/>
      <c r="O14" s="87"/>
      <c r="P14" s="87"/>
      <c r="Q14" s="87"/>
      <c r="R14" s="87"/>
      <c r="S14" s="87"/>
      <c r="T14" s="87"/>
      <c r="U14" s="87"/>
      <c r="V14" s="85">
        <f t="shared" si="1"/>
        <v>0</v>
      </c>
    </row>
    <row r="15" spans="1:22" x14ac:dyDescent="0.25">
      <c r="A15" s="86"/>
      <c r="B15" s="86" t="s">
        <v>311</v>
      </c>
      <c r="C15" s="86"/>
      <c r="D15" s="86"/>
      <c r="E15" s="92">
        <v>1437942486.7100003</v>
      </c>
      <c r="F15" s="87"/>
      <c r="G15" s="92">
        <v>1437942486.7100003</v>
      </c>
      <c r="H15" s="87"/>
      <c r="I15" s="85">
        <f t="shared" si="0"/>
        <v>0</v>
      </c>
      <c r="J15" s="91"/>
      <c r="K15" s="87"/>
      <c r="L15" s="87"/>
      <c r="M15" s="87"/>
      <c r="N15" s="87"/>
      <c r="O15" s="87"/>
      <c r="P15" s="87"/>
      <c r="Q15" s="87"/>
      <c r="R15" s="87"/>
      <c r="S15" s="87"/>
      <c r="T15" s="87"/>
      <c r="U15" s="87"/>
      <c r="V15" s="85">
        <f t="shared" si="1"/>
        <v>0</v>
      </c>
    </row>
    <row r="16" spans="1:22" x14ac:dyDescent="0.25">
      <c r="A16" s="86"/>
      <c r="B16" s="86" t="s">
        <v>310</v>
      </c>
      <c r="C16" s="86"/>
      <c r="D16" s="86"/>
      <c r="E16" s="92">
        <v>7859028024.0099993</v>
      </c>
      <c r="F16" s="87"/>
      <c r="G16" s="92">
        <v>7845963344.4200001</v>
      </c>
      <c r="H16" s="87"/>
      <c r="I16" s="85">
        <f t="shared" si="0"/>
        <v>-13064679.589999199</v>
      </c>
      <c r="J16" s="91"/>
      <c r="K16" s="87"/>
      <c r="L16" s="87"/>
      <c r="M16" s="87"/>
      <c r="N16" s="87"/>
      <c r="O16" s="87"/>
      <c r="P16" s="87"/>
      <c r="Q16" s="87">
        <v>3027102.19</v>
      </c>
      <c r="R16" s="87"/>
      <c r="S16" s="87"/>
      <c r="T16" s="87">
        <v>-16091781.779999999</v>
      </c>
      <c r="U16" s="87"/>
      <c r="V16" s="85">
        <f t="shared" si="1"/>
        <v>-13064679.59</v>
      </c>
    </row>
    <row r="17" spans="1:22" x14ac:dyDescent="0.25">
      <c r="A17" s="86"/>
      <c r="B17" s="86" t="s">
        <v>309</v>
      </c>
      <c r="C17" s="86"/>
      <c r="D17" s="86"/>
      <c r="E17" s="92">
        <v>75953678353.490005</v>
      </c>
      <c r="F17" s="87"/>
      <c r="G17" s="92">
        <v>76082171602.290009</v>
      </c>
      <c r="H17" s="87"/>
      <c r="I17" s="85">
        <f t="shared" si="0"/>
        <v>128493248.80000305</v>
      </c>
      <c r="J17" s="91"/>
      <c r="K17" s="87"/>
      <c r="L17" s="87"/>
      <c r="M17" s="87"/>
      <c r="N17" s="87"/>
      <c r="O17" s="87"/>
      <c r="P17" s="87"/>
      <c r="Q17" s="87">
        <v>120478085.61</v>
      </c>
      <c r="R17" s="87"/>
      <c r="S17" s="87"/>
      <c r="T17" s="87">
        <v>8015163.1900000004</v>
      </c>
      <c r="U17" s="87"/>
      <c r="V17" s="85">
        <f t="shared" si="1"/>
        <v>128493248.8</v>
      </c>
    </row>
    <row r="18" spans="1:22" x14ac:dyDescent="0.25">
      <c r="A18" s="94" t="s">
        <v>11</v>
      </c>
      <c r="B18" s="86"/>
      <c r="C18" s="86"/>
      <c r="D18" s="86"/>
      <c r="E18" s="87"/>
      <c r="F18" s="87"/>
      <c r="G18" s="87"/>
      <c r="H18" s="87"/>
      <c r="J18" s="91"/>
      <c r="K18" s="87"/>
      <c r="L18" s="87"/>
      <c r="M18" s="87"/>
      <c r="N18" s="87"/>
      <c r="O18" s="87"/>
      <c r="P18" s="87"/>
      <c r="Q18" s="87"/>
      <c r="R18" s="87"/>
      <c r="S18" s="87"/>
      <c r="T18" s="87"/>
      <c r="U18" s="87"/>
      <c r="V18" s="85">
        <f t="shared" si="1"/>
        <v>0</v>
      </c>
    </row>
    <row r="19" spans="1:22" x14ac:dyDescent="0.25">
      <c r="A19" s="86"/>
      <c r="B19" s="86" t="s">
        <v>308</v>
      </c>
      <c r="C19" s="86"/>
      <c r="D19" s="86"/>
      <c r="E19" s="92">
        <v>200577833.48999998</v>
      </c>
      <c r="F19" s="87"/>
      <c r="G19" s="87">
        <v>200577833.48999998</v>
      </c>
      <c r="H19" s="87"/>
      <c r="I19" s="85">
        <f>G19-E19</f>
        <v>0</v>
      </c>
      <c r="J19" s="91"/>
      <c r="K19" s="87"/>
      <c r="L19" s="87"/>
      <c r="M19" s="87"/>
      <c r="N19" s="87"/>
      <c r="O19" s="87"/>
      <c r="P19" s="87"/>
      <c r="Q19" s="87"/>
      <c r="R19" s="87"/>
      <c r="S19" s="87"/>
      <c r="T19" s="87"/>
      <c r="U19" s="87"/>
      <c r="V19" s="85">
        <f t="shared" si="1"/>
        <v>0</v>
      </c>
    </row>
    <row r="20" spans="1:22" x14ac:dyDescent="0.25">
      <c r="A20" s="86"/>
      <c r="B20" s="86" t="s">
        <v>307</v>
      </c>
      <c r="C20" s="86"/>
      <c r="D20" s="86"/>
      <c r="E20" s="92"/>
      <c r="F20" s="87"/>
      <c r="G20" s="87"/>
      <c r="H20" s="87"/>
      <c r="J20" s="91"/>
      <c r="K20" s="87"/>
      <c r="L20" s="87"/>
      <c r="M20" s="87"/>
      <c r="N20" s="87"/>
      <c r="O20" s="87"/>
      <c r="P20" s="87"/>
      <c r="Q20" s="87"/>
      <c r="R20" s="87"/>
      <c r="S20" s="87"/>
      <c r="T20" s="87"/>
      <c r="U20" s="87"/>
      <c r="V20" s="85">
        <f t="shared" si="1"/>
        <v>0</v>
      </c>
    </row>
    <row r="21" spans="1:22" x14ac:dyDescent="0.25">
      <c r="A21" s="86"/>
      <c r="B21" s="86" t="s">
        <v>306</v>
      </c>
      <c r="C21" s="86"/>
      <c r="D21" s="86"/>
      <c r="E21" s="92">
        <v>374638.98</v>
      </c>
      <c r="F21" s="87"/>
      <c r="G21" s="87">
        <v>374638.98</v>
      </c>
      <c r="H21" s="87"/>
      <c r="I21" s="85">
        <f>G21-E21</f>
        <v>0</v>
      </c>
      <c r="J21" s="91"/>
      <c r="K21" s="87"/>
      <c r="L21" s="87"/>
      <c r="M21" s="87"/>
      <c r="N21" s="87"/>
      <c r="O21" s="87"/>
      <c r="P21" s="87"/>
      <c r="Q21" s="87"/>
      <c r="R21" s="87"/>
      <c r="S21" s="87"/>
      <c r="T21" s="87"/>
      <c r="U21" s="87"/>
      <c r="V21" s="85">
        <f t="shared" si="1"/>
        <v>0</v>
      </c>
    </row>
    <row r="22" spans="1:22" x14ac:dyDescent="0.25">
      <c r="A22" s="86"/>
      <c r="B22" s="86" t="s">
        <v>305</v>
      </c>
      <c r="C22" s="86"/>
      <c r="D22" s="86"/>
      <c r="E22" s="92"/>
      <c r="F22" s="87"/>
      <c r="G22" s="87"/>
      <c r="H22" s="87"/>
      <c r="J22" s="91"/>
      <c r="K22" s="87"/>
      <c r="L22" s="87"/>
      <c r="M22" s="87"/>
      <c r="N22" s="87"/>
      <c r="O22" s="87"/>
      <c r="P22" s="87"/>
      <c r="Q22" s="87"/>
      <c r="R22" s="87"/>
      <c r="S22" s="87"/>
      <c r="T22" s="87"/>
      <c r="U22" s="87"/>
      <c r="V22" s="85">
        <f t="shared" si="1"/>
        <v>0</v>
      </c>
    </row>
    <row r="23" spans="1:22" x14ac:dyDescent="0.25">
      <c r="A23" s="86"/>
      <c r="B23" s="86" t="s">
        <v>304</v>
      </c>
      <c r="C23" s="86"/>
      <c r="D23" s="86"/>
      <c r="E23" s="92"/>
      <c r="F23" s="87"/>
      <c r="G23" s="87"/>
      <c r="H23" s="87"/>
      <c r="J23" s="91"/>
      <c r="K23" s="87"/>
      <c r="L23" s="87"/>
      <c r="M23" s="87"/>
      <c r="N23" s="87"/>
      <c r="O23" s="87"/>
      <c r="P23" s="87"/>
      <c r="Q23" s="87"/>
      <c r="R23" s="87"/>
      <c r="S23" s="87"/>
      <c r="T23" s="87"/>
      <c r="U23" s="87"/>
      <c r="V23" s="85">
        <f t="shared" si="1"/>
        <v>0</v>
      </c>
    </row>
    <row r="24" spans="1:22" x14ac:dyDescent="0.25">
      <c r="A24" s="86"/>
      <c r="B24" s="86" t="s">
        <v>303</v>
      </c>
      <c r="C24" s="86"/>
      <c r="D24" s="86"/>
      <c r="E24" s="92">
        <v>91516504.789999992</v>
      </c>
      <c r="F24" s="87"/>
      <c r="G24" s="87">
        <v>91516504.789999992</v>
      </c>
      <c r="H24" s="87"/>
      <c r="I24" s="85">
        <f>G24-E24</f>
        <v>0</v>
      </c>
      <c r="J24" s="91"/>
      <c r="K24" s="87"/>
      <c r="L24" s="87"/>
      <c r="M24" s="87"/>
      <c r="N24" s="87"/>
      <c r="O24" s="87"/>
      <c r="P24" s="87"/>
      <c r="Q24" s="87"/>
      <c r="R24" s="87"/>
      <c r="S24" s="87"/>
      <c r="T24" s="87"/>
      <c r="U24" s="87"/>
      <c r="V24" s="85">
        <f t="shared" si="1"/>
        <v>0</v>
      </c>
    </row>
    <row r="25" spans="1:22" x14ac:dyDescent="0.25">
      <c r="A25" s="86"/>
      <c r="B25" s="86" t="s">
        <v>14</v>
      </c>
      <c r="C25" s="86"/>
      <c r="D25" s="86"/>
      <c r="E25" s="92"/>
      <c r="F25" s="87"/>
      <c r="G25" s="87"/>
      <c r="H25" s="87"/>
      <c r="J25" s="91"/>
      <c r="K25" s="87"/>
      <c r="L25" s="87"/>
      <c r="M25" s="87"/>
      <c r="N25" s="87"/>
      <c r="O25" s="87"/>
      <c r="P25" s="87"/>
      <c r="Q25" s="87"/>
      <c r="R25" s="87"/>
      <c r="S25" s="87"/>
      <c r="T25" s="87"/>
      <c r="U25" s="87"/>
      <c r="V25" s="85">
        <f t="shared" si="1"/>
        <v>0</v>
      </c>
    </row>
    <row r="26" spans="1:22" ht="45" x14ac:dyDescent="0.25">
      <c r="A26" s="86"/>
      <c r="B26" s="93" t="s">
        <v>302</v>
      </c>
      <c r="C26" s="86"/>
      <c r="D26" s="86"/>
      <c r="E26" s="92">
        <v>8479526.7599999998</v>
      </c>
      <c r="F26" s="87"/>
      <c r="G26" s="87">
        <v>8479526.7599999998</v>
      </c>
      <c r="H26" s="87"/>
      <c r="I26" s="85">
        <f>G26-E26</f>
        <v>0</v>
      </c>
      <c r="J26" s="91"/>
      <c r="K26" s="87"/>
      <c r="L26" s="87"/>
      <c r="M26" s="87"/>
      <c r="N26" s="87"/>
      <c r="O26" s="87"/>
      <c r="P26" s="87"/>
      <c r="Q26" s="87"/>
      <c r="R26" s="87"/>
      <c r="S26" s="87">
        <v>0</v>
      </c>
      <c r="T26" s="87"/>
      <c r="U26" s="87"/>
      <c r="V26" s="85">
        <f t="shared" si="1"/>
        <v>0</v>
      </c>
    </row>
    <row r="27" spans="1:22" x14ac:dyDescent="0.25">
      <c r="A27" s="86"/>
      <c r="B27" s="86" t="s">
        <v>301</v>
      </c>
      <c r="C27" s="86"/>
      <c r="D27" s="86"/>
      <c r="E27" s="92"/>
      <c r="F27" s="87"/>
      <c r="G27" s="87"/>
      <c r="H27" s="87"/>
      <c r="J27" s="91"/>
      <c r="K27" s="87"/>
      <c r="L27" s="87"/>
      <c r="M27" s="87"/>
      <c r="N27" s="87"/>
      <c r="O27" s="87"/>
      <c r="P27" s="87"/>
      <c r="Q27" s="87"/>
      <c r="R27" s="87"/>
      <c r="S27" s="87"/>
      <c r="T27" s="87"/>
      <c r="U27" s="87"/>
      <c r="V27" s="85">
        <f t="shared" si="1"/>
        <v>0</v>
      </c>
    </row>
    <row r="28" spans="1:22" x14ac:dyDescent="0.25">
      <c r="A28" s="86"/>
      <c r="B28" s="86" t="s">
        <v>300</v>
      </c>
      <c r="C28" s="86"/>
      <c r="D28" s="86"/>
      <c r="E28" s="92"/>
      <c r="F28" s="87"/>
      <c r="G28" s="87"/>
      <c r="H28" s="87"/>
      <c r="I28" s="85">
        <f>G28-E28</f>
        <v>0</v>
      </c>
      <c r="J28" s="91"/>
      <c r="K28" s="87"/>
      <c r="L28" s="87"/>
      <c r="M28" s="87"/>
      <c r="N28" s="87"/>
      <c r="O28" s="87"/>
      <c r="P28" s="87"/>
      <c r="Q28" s="87"/>
      <c r="R28" s="87"/>
      <c r="S28" s="87"/>
      <c r="T28" s="87"/>
      <c r="U28" s="87"/>
      <c r="V28" s="85">
        <f t="shared" si="1"/>
        <v>0</v>
      </c>
    </row>
    <row r="29" spans="1:22" ht="15.75" thickBot="1" x14ac:dyDescent="0.3">
      <c r="A29" s="90" t="s">
        <v>12</v>
      </c>
      <c r="E29" s="88">
        <f>SUM(E12:E28)</f>
        <v>102601395308.83189</v>
      </c>
      <c r="G29" s="88">
        <f>SUM(G12:G28)</f>
        <v>102723109200.6619</v>
      </c>
      <c r="I29" s="88">
        <f>SUM(I12:I28)</f>
        <v>121713891.8300066</v>
      </c>
      <c r="J29" s="89"/>
      <c r="K29" s="88">
        <f>SUM(K12:K28)</f>
        <v>0</v>
      </c>
      <c r="L29" s="85"/>
      <c r="M29" s="88">
        <f>SUM(M12:M28)</f>
        <v>0</v>
      </c>
      <c r="N29" s="85"/>
      <c r="O29" s="88">
        <f>SUM(O12:O28)</f>
        <v>0</v>
      </c>
      <c r="P29" s="85"/>
      <c r="Q29" s="88">
        <f>SUM(Q12:Q28)</f>
        <v>129790510.42000274</v>
      </c>
      <c r="R29" s="85"/>
      <c r="S29" s="88">
        <f>SUM(S12:S28)</f>
        <v>0</v>
      </c>
      <c r="T29" s="88">
        <f>SUM(T12:T28)</f>
        <v>-8076618.5899999989</v>
      </c>
      <c r="U29" s="85"/>
      <c r="V29" s="88">
        <f>SUM(V12:V28)</f>
        <v>121713891.83000274</v>
      </c>
    </row>
    <row r="30" spans="1:22" ht="15.75" thickTop="1" x14ac:dyDescent="0.25">
      <c r="A30" s="86"/>
      <c r="B30" s="86"/>
      <c r="C30" s="86"/>
      <c r="D30" s="86"/>
      <c r="E30" s="87"/>
      <c r="F30" s="87"/>
      <c r="G30" s="87"/>
      <c r="H30" s="87"/>
      <c r="I30" s="87"/>
      <c r="J30" s="87"/>
      <c r="K30" s="87"/>
      <c r="L30" s="87"/>
      <c r="M30" s="87"/>
      <c r="N30" s="87"/>
      <c r="O30" s="87"/>
      <c r="P30" s="87"/>
      <c r="Q30" s="87"/>
      <c r="R30" s="87"/>
      <c r="S30" s="87"/>
      <c r="T30" s="87"/>
      <c r="U30" s="87"/>
      <c r="V30" s="87"/>
    </row>
    <row r="31" spans="1:22" x14ac:dyDescent="0.25">
      <c r="A31" s="86"/>
      <c r="B31" s="86"/>
      <c r="C31" s="86"/>
      <c r="D31" s="86"/>
      <c r="E31" s="87"/>
      <c r="F31" s="87"/>
      <c r="G31" s="87"/>
      <c r="H31" s="87"/>
      <c r="I31" s="87"/>
      <c r="J31" s="87"/>
      <c r="K31" s="87"/>
      <c r="L31" s="86"/>
      <c r="M31" s="86"/>
      <c r="N31" s="86"/>
      <c r="O31" s="86"/>
      <c r="P31" s="86"/>
      <c r="Q31" s="86"/>
      <c r="R31" s="86"/>
      <c r="S31" s="86"/>
      <c r="T31" s="86"/>
      <c r="U31" s="86"/>
      <c r="V31" s="86"/>
    </row>
    <row r="32" spans="1:22" x14ac:dyDescent="0.25">
      <c r="A32" s="86" t="s">
        <v>299</v>
      </c>
      <c r="B32" s="86"/>
      <c r="C32" s="86"/>
      <c r="D32" s="86"/>
      <c r="E32" s="87"/>
      <c r="F32" s="87"/>
      <c r="G32" s="87"/>
      <c r="H32" s="87"/>
      <c r="I32" s="87"/>
      <c r="J32" s="87"/>
      <c r="K32" s="87"/>
      <c r="L32" s="86"/>
      <c r="M32" s="86"/>
      <c r="N32" s="86"/>
      <c r="O32" s="86"/>
      <c r="P32" s="86"/>
      <c r="Q32" s="86"/>
      <c r="R32" s="86"/>
      <c r="S32" s="86"/>
      <c r="T32" s="86"/>
      <c r="U32" s="86"/>
      <c r="V32" s="86"/>
    </row>
    <row r="33" spans="1:22" x14ac:dyDescent="0.25">
      <c r="A33" s="86" t="s">
        <v>298</v>
      </c>
      <c r="B33" s="86"/>
      <c r="C33" s="86" t="s">
        <v>297</v>
      </c>
      <c r="D33" s="86"/>
      <c r="E33" s="87"/>
      <c r="F33" s="87"/>
      <c r="G33" s="87"/>
      <c r="H33" s="87"/>
      <c r="I33" s="87"/>
      <c r="J33" s="87"/>
      <c r="K33" s="87"/>
      <c r="L33" s="86"/>
      <c r="M33" s="86"/>
      <c r="N33" s="86"/>
      <c r="O33" s="86"/>
      <c r="P33" s="86"/>
      <c r="Q33" s="86"/>
      <c r="R33" s="86"/>
      <c r="S33" s="86"/>
      <c r="T33" s="86"/>
      <c r="U33" s="86"/>
      <c r="V33" s="86"/>
    </row>
    <row r="34" spans="1:22" x14ac:dyDescent="0.25">
      <c r="A34" s="86" t="s">
        <v>296</v>
      </c>
      <c r="B34" s="86"/>
      <c r="C34" s="86" t="s">
        <v>295</v>
      </c>
      <c r="D34" s="86"/>
      <c r="E34" s="87"/>
      <c r="F34" s="87"/>
      <c r="G34" s="87"/>
      <c r="H34" s="87"/>
      <c r="I34" s="87"/>
      <c r="J34" s="87"/>
      <c r="K34" s="87"/>
      <c r="L34" s="86"/>
      <c r="M34" s="86"/>
      <c r="N34" s="86"/>
      <c r="O34" s="86"/>
      <c r="P34" s="86"/>
      <c r="Q34" s="86"/>
      <c r="R34" s="86"/>
      <c r="S34" s="86"/>
      <c r="T34" s="86"/>
      <c r="U34" s="86"/>
      <c r="V34" s="86"/>
    </row>
    <row r="35" spans="1:22" x14ac:dyDescent="0.25">
      <c r="A35" s="86" t="s">
        <v>294</v>
      </c>
      <c r="B35" s="86"/>
      <c r="C35" s="86" t="s">
        <v>293</v>
      </c>
      <c r="D35" s="86"/>
      <c r="E35" s="87"/>
      <c r="F35" s="87"/>
      <c r="G35" s="87"/>
      <c r="H35" s="87"/>
      <c r="I35" s="87"/>
      <c r="J35" s="87"/>
      <c r="K35" s="87"/>
      <c r="L35" s="86"/>
      <c r="M35" s="86"/>
      <c r="N35" s="86"/>
      <c r="O35" s="86"/>
      <c r="P35" s="86"/>
      <c r="Q35" s="86"/>
      <c r="R35" s="86"/>
      <c r="S35" s="86"/>
      <c r="T35" s="86"/>
      <c r="U35" s="86"/>
      <c r="V35" s="86"/>
    </row>
    <row r="36" spans="1:22" x14ac:dyDescent="0.25">
      <c r="A36" s="86"/>
      <c r="B36" s="86"/>
      <c r="C36" s="86" t="s">
        <v>292</v>
      </c>
      <c r="D36" s="86"/>
      <c r="E36" s="87"/>
      <c r="F36" s="87"/>
      <c r="G36" s="87"/>
      <c r="H36" s="87"/>
      <c r="I36" s="87"/>
      <c r="J36" s="87"/>
      <c r="K36" s="87"/>
      <c r="L36" s="86"/>
      <c r="M36" s="86"/>
      <c r="N36" s="86"/>
      <c r="O36" s="86"/>
      <c r="P36" s="86"/>
      <c r="Q36" s="86"/>
      <c r="R36" s="86"/>
      <c r="S36" s="86"/>
      <c r="T36" s="86"/>
      <c r="U36" s="86"/>
      <c r="V36" s="86"/>
    </row>
    <row r="37" spans="1:22" x14ac:dyDescent="0.25">
      <c r="A37" s="86" t="s">
        <v>291</v>
      </c>
      <c r="B37" s="86"/>
      <c r="C37" s="86" t="s">
        <v>290</v>
      </c>
      <c r="D37" s="86"/>
      <c r="E37" s="87"/>
      <c r="F37" s="87"/>
      <c r="G37" s="87"/>
      <c r="H37" s="87"/>
      <c r="I37" s="87"/>
      <c r="J37" s="87"/>
      <c r="K37" s="87"/>
      <c r="L37" s="86"/>
      <c r="M37" s="86"/>
      <c r="N37" s="86"/>
      <c r="O37" s="86"/>
      <c r="P37" s="86"/>
      <c r="Q37" s="86"/>
      <c r="R37" s="86"/>
      <c r="S37" s="86"/>
      <c r="T37" s="86"/>
      <c r="U37" s="86"/>
      <c r="V37" s="86"/>
    </row>
    <row r="38" spans="1:22" x14ac:dyDescent="0.25">
      <c r="A38" s="86" t="s">
        <v>289</v>
      </c>
      <c r="B38" s="86"/>
      <c r="C38" s="86" t="s">
        <v>288</v>
      </c>
      <c r="D38" s="86"/>
      <c r="E38" s="87"/>
      <c r="F38" s="87"/>
      <c r="G38" s="87"/>
      <c r="H38" s="87"/>
      <c r="I38" s="87"/>
      <c r="J38" s="87"/>
      <c r="K38" s="87"/>
      <c r="L38" s="86"/>
      <c r="M38" s="86"/>
      <c r="N38" s="86"/>
      <c r="O38" s="86"/>
      <c r="P38" s="86"/>
      <c r="Q38" s="86"/>
      <c r="R38" s="86"/>
      <c r="S38" s="86"/>
      <c r="T38" s="86"/>
      <c r="U38" s="86"/>
      <c r="V38" s="86"/>
    </row>
    <row r="39" spans="1:22" x14ac:dyDescent="0.25">
      <c r="A39" s="86"/>
      <c r="B39" s="86"/>
      <c r="C39" s="86"/>
      <c r="D39" s="86"/>
      <c r="E39" s="87"/>
      <c r="F39" s="87"/>
      <c r="G39" s="87"/>
      <c r="H39" s="87"/>
      <c r="I39" s="87"/>
      <c r="J39" s="87"/>
      <c r="K39" s="87"/>
      <c r="L39" s="86"/>
      <c r="M39" s="86"/>
      <c r="N39" s="86"/>
      <c r="O39" s="86"/>
      <c r="P39" s="86"/>
      <c r="Q39" s="86"/>
      <c r="R39" s="86"/>
      <c r="S39" s="86"/>
      <c r="T39" s="86"/>
      <c r="U39" s="86"/>
      <c r="V39" s="86"/>
    </row>
  </sheetData>
  <printOptions horizontalCentered="1"/>
  <pageMargins left="0" right="0" top="0.75" bottom="0.75" header="0.3" footer="0.3"/>
  <pageSetup scale="55" orientation="landscape"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6032D-EDE1-4CC5-87FA-F711B2CACFB9}">
  <sheetPr>
    <tabColor rgb="FFFFC000"/>
    <pageSetUpPr fitToPage="1"/>
  </sheetPr>
  <dimension ref="A1:K86"/>
  <sheetViews>
    <sheetView workbookViewId="0">
      <selection sqref="A1:C1"/>
    </sheetView>
  </sheetViews>
  <sheetFormatPr defaultColWidth="9.140625" defaultRowHeight="15" x14ac:dyDescent="0.25"/>
  <cols>
    <col min="1" max="1" width="12.140625" style="114" customWidth="1"/>
    <col min="2" max="2" width="5.28515625" style="114" customWidth="1"/>
    <col min="3" max="3" width="7.5703125" style="114" customWidth="1"/>
    <col min="4" max="4" width="23.42578125" style="114" customWidth="1"/>
    <col min="5" max="5" width="3.85546875" style="114" customWidth="1"/>
    <col min="6" max="6" width="21" style="114" bestFit="1" customWidth="1"/>
    <col min="7" max="7" width="18.85546875" style="114" bestFit="1" customWidth="1"/>
    <col min="8" max="8" width="7.140625" style="114" customWidth="1"/>
    <col min="9" max="9" width="12.140625" style="114" customWidth="1"/>
    <col min="10" max="10" width="19.85546875" style="114" bestFit="1" customWidth="1"/>
    <col min="11" max="16384" width="9.140625" style="114"/>
  </cols>
  <sheetData>
    <row r="1" spans="1:11" x14ac:dyDescent="0.25">
      <c r="A1" s="177"/>
      <c r="B1" s="177"/>
      <c r="C1" s="177"/>
      <c r="D1" s="177"/>
      <c r="E1" s="177"/>
      <c r="F1" s="177"/>
      <c r="G1" s="177"/>
      <c r="H1" s="177"/>
      <c r="I1" s="175" t="s">
        <v>59</v>
      </c>
      <c r="J1" s="177"/>
    </row>
    <row r="2" spans="1:11" x14ac:dyDescent="0.25">
      <c r="A2" s="176" t="s">
        <v>1</v>
      </c>
      <c r="B2" s="176"/>
      <c r="C2" s="176"/>
      <c r="D2" s="176"/>
      <c r="E2" s="176"/>
      <c r="F2" s="176"/>
      <c r="G2" s="176"/>
      <c r="H2" s="176"/>
      <c r="I2" s="176"/>
      <c r="J2" s="176"/>
    </row>
    <row r="3" spans="1:11" x14ac:dyDescent="0.25">
      <c r="A3" s="176" t="s">
        <v>22</v>
      </c>
      <c r="B3" s="176"/>
      <c r="C3" s="176"/>
      <c r="D3" s="176"/>
      <c r="E3" s="176"/>
      <c r="F3" s="176"/>
      <c r="G3" s="176"/>
      <c r="H3" s="176"/>
      <c r="I3" s="176"/>
      <c r="J3" s="176"/>
    </row>
    <row r="4" spans="1:11" ht="14.45" customHeight="1" x14ac:dyDescent="0.25">
      <c r="A4" s="176" t="s">
        <v>68</v>
      </c>
      <c r="B4" s="176"/>
      <c r="C4" s="176"/>
      <c r="D4" s="176"/>
      <c r="E4" s="176"/>
      <c r="F4" s="176"/>
      <c r="G4" s="176"/>
      <c r="H4" s="176"/>
      <c r="I4" s="176"/>
      <c r="J4" s="176"/>
    </row>
    <row r="5" spans="1:11" x14ac:dyDescent="0.25">
      <c r="A5" s="176" t="s">
        <v>350</v>
      </c>
      <c r="B5" s="176"/>
      <c r="C5" s="176"/>
      <c r="D5" s="176"/>
      <c r="E5" s="176"/>
      <c r="F5" s="176"/>
      <c r="G5" s="176"/>
      <c r="H5" s="176"/>
      <c r="I5" s="176"/>
      <c r="J5" s="176"/>
    </row>
    <row r="6" spans="1:11" x14ac:dyDescent="0.25">
      <c r="A6" s="183" t="str">
        <f>[1]Date!A2</f>
        <v>As of 06/30/2024</v>
      </c>
      <c r="B6" s="176"/>
      <c r="C6" s="176"/>
      <c r="D6" s="176"/>
      <c r="E6" s="176"/>
      <c r="F6" s="176"/>
      <c r="G6" s="176"/>
      <c r="H6" s="176"/>
      <c r="I6" s="176"/>
      <c r="J6" s="176"/>
    </row>
    <row r="7" spans="1:11" ht="14.45" customHeight="1" x14ac:dyDescent="0.25">
      <c r="A7" s="184" t="s">
        <v>2</v>
      </c>
      <c r="B7" s="184"/>
      <c r="C7" s="175" t="s">
        <v>23</v>
      </c>
      <c r="D7" s="175"/>
      <c r="E7" s="175"/>
      <c r="F7" s="175"/>
      <c r="G7" s="175"/>
      <c r="H7" s="175"/>
      <c r="I7" s="138" t="s">
        <v>225</v>
      </c>
      <c r="J7" s="138" t="s">
        <v>216</v>
      </c>
    </row>
    <row r="8" spans="1:11" ht="14.45" customHeight="1" x14ac:dyDescent="0.25">
      <c r="A8" s="184" t="s">
        <v>3</v>
      </c>
      <c r="B8" s="184"/>
      <c r="C8" s="175" t="s">
        <v>60</v>
      </c>
      <c r="D8" s="175"/>
      <c r="E8" s="175"/>
      <c r="F8" s="175"/>
      <c r="G8" s="175"/>
      <c r="H8" s="175"/>
      <c r="I8" s="138" t="s">
        <v>217</v>
      </c>
      <c r="J8" s="139">
        <f ca="1">TODAY()</f>
        <v>45723</v>
      </c>
    </row>
    <row r="9" spans="1:11" ht="14.45" customHeight="1" x14ac:dyDescent="0.25">
      <c r="A9" s="184"/>
      <c r="B9" s="184"/>
      <c r="C9" s="187"/>
      <c r="D9" s="187"/>
      <c r="E9" s="187"/>
      <c r="F9" s="187"/>
      <c r="G9" s="187"/>
      <c r="H9" s="187"/>
      <c r="I9" s="138" t="s">
        <v>218</v>
      </c>
      <c r="J9" s="137">
        <f ca="1">NOW()</f>
        <v>45723.507627430554</v>
      </c>
    </row>
    <row r="10" spans="1:11" x14ac:dyDescent="0.25">
      <c r="A10" s="177"/>
      <c r="B10" s="177"/>
      <c r="C10" s="177"/>
      <c r="D10" s="177"/>
      <c r="E10" s="177"/>
      <c r="F10" s="177"/>
      <c r="G10" s="177"/>
      <c r="H10" s="177"/>
      <c r="I10" s="177"/>
      <c r="J10" s="177"/>
    </row>
    <row r="11" spans="1:11" x14ac:dyDescent="0.25">
      <c r="A11" s="179"/>
      <c r="B11" s="179"/>
      <c r="C11" s="179"/>
      <c r="D11" s="179"/>
      <c r="E11" s="179"/>
      <c r="F11" s="179"/>
      <c r="G11" s="179"/>
      <c r="H11" s="179"/>
      <c r="I11" s="179"/>
      <c r="J11" s="179"/>
    </row>
    <row r="12" spans="1:11" x14ac:dyDescent="0.25">
      <c r="A12" s="178" t="s">
        <v>4</v>
      </c>
      <c r="B12" s="178"/>
      <c r="C12" s="178"/>
      <c r="D12" s="178"/>
      <c r="E12" s="178"/>
      <c r="F12" s="178"/>
      <c r="G12" s="178"/>
      <c r="H12" s="178"/>
      <c r="I12" s="178"/>
      <c r="J12" s="178"/>
    </row>
    <row r="13" spans="1:11" x14ac:dyDescent="0.25">
      <c r="A13" s="179"/>
      <c r="B13" s="179"/>
      <c r="C13" s="179"/>
      <c r="D13" s="179"/>
      <c r="E13" s="179"/>
      <c r="F13" s="179"/>
      <c r="G13" s="179"/>
      <c r="H13" s="179"/>
      <c r="I13" s="179"/>
      <c r="J13" s="179"/>
    </row>
    <row r="14" spans="1:11" ht="24.75" customHeight="1" x14ac:dyDescent="0.25">
      <c r="A14" s="180" t="s">
        <v>5</v>
      </c>
      <c r="B14" s="180"/>
      <c r="C14" s="180"/>
      <c r="D14" s="180"/>
      <c r="E14" s="180"/>
      <c r="F14" s="126" t="s">
        <v>6</v>
      </c>
      <c r="G14" s="136" t="s">
        <v>7</v>
      </c>
      <c r="H14" s="181" t="s">
        <v>8</v>
      </c>
      <c r="I14" s="181"/>
      <c r="J14" s="126" t="s">
        <v>9</v>
      </c>
    </row>
    <row r="15" spans="1:11" ht="17.25" customHeight="1" x14ac:dyDescent="0.25">
      <c r="A15" s="182" t="s">
        <v>10</v>
      </c>
      <c r="B15" s="182"/>
      <c r="C15" s="182"/>
      <c r="D15" s="182"/>
      <c r="E15" s="182"/>
      <c r="F15" s="182"/>
      <c r="G15" s="182"/>
      <c r="H15" s="182"/>
      <c r="I15" s="182"/>
      <c r="J15" s="182"/>
    </row>
    <row r="16" spans="1:11" s="115" customFormat="1" ht="17.25" x14ac:dyDescent="0.25">
      <c r="A16" s="134" t="s">
        <v>219</v>
      </c>
      <c r="B16" s="133"/>
      <c r="C16" s="133"/>
      <c r="D16" s="133"/>
      <c r="E16" s="133"/>
      <c r="F16" s="132">
        <v>14969008992.08</v>
      </c>
      <c r="G16" s="132">
        <v>81451063.480000004</v>
      </c>
      <c r="H16" s="185">
        <v>9765407.8300000001</v>
      </c>
      <c r="I16" s="185"/>
      <c r="J16" s="132">
        <f t="shared" ref="J16:J21" si="0">F16+G16-H16</f>
        <v>15040694647.73</v>
      </c>
      <c r="K16" s="117"/>
    </row>
    <row r="17" spans="1:11" s="115" customFormat="1" x14ac:dyDescent="0.25">
      <c r="A17" s="134" t="s">
        <v>71</v>
      </c>
      <c r="B17" s="133"/>
      <c r="C17" s="133"/>
      <c r="D17" s="133"/>
      <c r="E17" s="133"/>
      <c r="F17" s="132">
        <v>1415663193.4600005</v>
      </c>
      <c r="G17" s="132">
        <v>42601673.479999997</v>
      </c>
      <c r="H17" s="185"/>
      <c r="I17" s="185"/>
      <c r="J17" s="132">
        <f t="shared" si="0"/>
        <v>1458264866.9400005</v>
      </c>
      <c r="K17" s="117"/>
    </row>
    <row r="18" spans="1:11" s="115" customFormat="1" x14ac:dyDescent="0.25">
      <c r="A18" s="134" t="s">
        <v>83</v>
      </c>
      <c r="B18" s="133"/>
      <c r="C18" s="133"/>
      <c r="D18" s="133"/>
      <c r="E18" s="133"/>
      <c r="F18" s="132"/>
      <c r="G18" s="132"/>
      <c r="H18" s="185"/>
      <c r="I18" s="185"/>
      <c r="J18" s="132">
        <f t="shared" si="0"/>
        <v>0</v>
      </c>
      <c r="K18" s="117"/>
    </row>
    <row r="19" spans="1:11" s="115" customFormat="1" x14ac:dyDescent="0.25">
      <c r="A19" s="134" t="s">
        <v>72</v>
      </c>
      <c r="B19" s="133"/>
      <c r="C19" s="133"/>
      <c r="D19" s="133"/>
      <c r="E19" s="133"/>
      <c r="F19" s="132">
        <v>1437942486.7100003</v>
      </c>
      <c r="G19" s="132">
        <v>185967275.47999996</v>
      </c>
      <c r="H19" s="185">
        <v>496553.53</v>
      </c>
      <c r="I19" s="185"/>
      <c r="J19" s="132">
        <f t="shared" si="0"/>
        <v>1623413208.6600003</v>
      </c>
      <c r="K19" s="19"/>
    </row>
    <row r="20" spans="1:11" s="115" customFormat="1" ht="17.25" x14ac:dyDescent="0.25">
      <c r="A20" s="134" t="s">
        <v>220</v>
      </c>
      <c r="B20" s="133"/>
      <c r="C20" s="133"/>
      <c r="D20" s="133"/>
      <c r="E20" s="133"/>
      <c r="F20" s="132">
        <v>7845963344.4200001</v>
      </c>
      <c r="G20" s="132">
        <v>1475590935.1599998</v>
      </c>
      <c r="H20" s="185">
        <v>846888690.13</v>
      </c>
      <c r="I20" s="185"/>
      <c r="J20" s="132">
        <f t="shared" si="0"/>
        <v>8474665589.4499998</v>
      </c>
      <c r="K20" s="117"/>
    </row>
    <row r="21" spans="1:11" s="115" customFormat="1" ht="17.25" x14ac:dyDescent="0.25">
      <c r="A21" s="134" t="s">
        <v>221</v>
      </c>
      <c r="B21" s="133"/>
      <c r="C21" s="133"/>
      <c r="D21" s="133"/>
      <c r="E21" s="133"/>
      <c r="F21" s="132">
        <v>76753582679.970001</v>
      </c>
      <c r="G21" s="132">
        <v>940137992.61000001</v>
      </c>
      <c r="H21" s="185">
        <v>34997798.939999998</v>
      </c>
      <c r="I21" s="185"/>
      <c r="J21" s="132">
        <f t="shared" si="0"/>
        <v>77658722873.639999</v>
      </c>
      <c r="K21" s="117"/>
    </row>
    <row r="22" spans="1:11" s="115" customFormat="1" ht="14.25" x14ac:dyDescent="0.2">
      <c r="A22" s="135"/>
      <c r="B22" s="135"/>
      <c r="C22" s="135"/>
      <c r="D22" s="135"/>
      <c r="E22" s="135"/>
      <c r="F22" s="132"/>
      <c r="G22" s="132"/>
      <c r="H22" s="185"/>
      <c r="I22" s="185"/>
      <c r="J22" s="132"/>
      <c r="K22" s="117"/>
    </row>
    <row r="23" spans="1:11" s="115" customFormat="1" x14ac:dyDescent="0.25">
      <c r="A23" s="133" t="s">
        <v>11</v>
      </c>
      <c r="B23" s="133"/>
      <c r="C23" s="133"/>
      <c r="D23" s="133"/>
      <c r="E23" s="133"/>
      <c r="F23" s="132"/>
      <c r="G23" s="132"/>
      <c r="H23" s="185"/>
      <c r="I23" s="185"/>
      <c r="J23" s="132"/>
      <c r="K23" s="117"/>
    </row>
    <row r="24" spans="1:11" s="115" customFormat="1" ht="14.25" x14ac:dyDescent="0.2">
      <c r="A24" s="186" t="s">
        <v>73</v>
      </c>
      <c r="B24" s="186"/>
      <c r="C24" s="186"/>
      <c r="D24" s="186"/>
      <c r="E24" s="186"/>
      <c r="F24" s="132">
        <v>200577833.48999998</v>
      </c>
      <c r="G24" s="132">
        <v>9250221.3690000009</v>
      </c>
      <c r="H24" s="185"/>
      <c r="I24" s="185"/>
      <c r="J24" s="132">
        <f t="shared" ref="J24:J32" si="1">F24+G24-H24</f>
        <v>209828054.85899997</v>
      </c>
      <c r="K24" s="117"/>
    </row>
    <row r="25" spans="1:11" s="115" customFormat="1" ht="14.25" x14ac:dyDescent="0.2">
      <c r="A25" s="186" t="s">
        <v>74</v>
      </c>
      <c r="B25" s="186"/>
      <c r="C25" s="186"/>
      <c r="D25" s="186"/>
      <c r="E25" s="186"/>
      <c r="F25" s="132"/>
      <c r="G25" s="132"/>
      <c r="H25" s="185"/>
      <c r="I25" s="185"/>
      <c r="J25" s="132">
        <f t="shared" si="1"/>
        <v>0</v>
      </c>
      <c r="K25" s="117"/>
    </row>
    <row r="26" spans="1:11" s="115" customFormat="1" ht="14.25" x14ac:dyDescent="0.2">
      <c r="A26" s="186" t="s">
        <v>75</v>
      </c>
      <c r="B26" s="186"/>
      <c r="C26" s="186"/>
      <c r="D26" s="186"/>
      <c r="E26" s="186"/>
      <c r="F26" s="132">
        <v>374638.98</v>
      </c>
      <c r="G26" s="132"/>
      <c r="H26" s="185"/>
      <c r="I26" s="185"/>
      <c r="J26" s="132">
        <f t="shared" si="1"/>
        <v>374638.98</v>
      </c>
      <c r="K26" s="117"/>
    </row>
    <row r="27" spans="1:11" s="115" customFormat="1" ht="14.25" x14ac:dyDescent="0.2">
      <c r="A27" s="186" t="s">
        <v>76</v>
      </c>
      <c r="B27" s="186"/>
      <c r="C27" s="186"/>
      <c r="D27" s="186"/>
      <c r="E27" s="186"/>
      <c r="F27" s="132"/>
      <c r="G27" s="132"/>
      <c r="H27" s="185"/>
      <c r="I27" s="185"/>
      <c r="J27" s="132">
        <f t="shared" si="1"/>
        <v>0</v>
      </c>
      <c r="K27" s="117"/>
    </row>
    <row r="28" spans="1:11" s="115" customFormat="1" ht="14.25" x14ac:dyDescent="0.2">
      <c r="A28" s="186" t="s">
        <v>77</v>
      </c>
      <c r="B28" s="186"/>
      <c r="C28" s="186"/>
      <c r="D28" s="186"/>
      <c r="E28" s="186"/>
      <c r="F28" s="132"/>
      <c r="G28" s="132"/>
      <c r="H28" s="185"/>
      <c r="I28" s="185"/>
      <c r="J28" s="132">
        <f t="shared" si="1"/>
        <v>0</v>
      </c>
      <c r="K28" s="117"/>
    </row>
    <row r="29" spans="1:11" s="115" customFormat="1" ht="14.25" x14ac:dyDescent="0.2">
      <c r="A29" s="186" t="s">
        <v>78</v>
      </c>
      <c r="B29" s="186"/>
      <c r="C29" s="186"/>
      <c r="D29" s="186"/>
      <c r="E29" s="186"/>
      <c r="F29" s="132">
        <v>91516504.789999992</v>
      </c>
      <c r="G29" s="132">
        <v>22460939</v>
      </c>
      <c r="H29" s="185">
        <v>7311305</v>
      </c>
      <c r="I29" s="185"/>
      <c r="J29" s="132">
        <f t="shared" si="1"/>
        <v>106666138.78999999</v>
      </c>
      <c r="K29" s="117"/>
    </row>
    <row r="30" spans="1:11" s="115" customFormat="1" ht="14.25" x14ac:dyDescent="0.2">
      <c r="A30" s="186" t="s">
        <v>79</v>
      </c>
      <c r="B30" s="186"/>
      <c r="C30" s="186"/>
      <c r="D30" s="186"/>
      <c r="E30" s="186"/>
      <c r="F30" s="132"/>
      <c r="G30" s="132"/>
      <c r="H30" s="185"/>
      <c r="I30" s="185"/>
      <c r="J30" s="132">
        <f t="shared" si="1"/>
        <v>0</v>
      </c>
      <c r="K30" s="117"/>
    </row>
    <row r="31" spans="1:11" s="115" customFormat="1" ht="29.1" customHeight="1" x14ac:dyDescent="0.2">
      <c r="A31" s="188" t="s">
        <v>80</v>
      </c>
      <c r="B31" s="188"/>
      <c r="C31" s="188"/>
      <c r="D31" s="188"/>
      <c r="E31" s="188"/>
      <c r="F31" s="132">
        <v>8479526.7599999998</v>
      </c>
      <c r="G31" s="132">
        <v>1696224.8923715339</v>
      </c>
      <c r="H31" s="185">
        <v>2870666.7710938016</v>
      </c>
      <c r="I31" s="185"/>
      <c r="J31" s="132">
        <f t="shared" si="1"/>
        <v>7305084.8812777316</v>
      </c>
      <c r="K31" s="117"/>
    </row>
    <row r="32" spans="1:11" s="115" customFormat="1" x14ac:dyDescent="0.25">
      <c r="A32" s="134" t="s">
        <v>81</v>
      </c>
      <c r="B32" s="133"/>
      <c r="C32" s="133"/>
      <c r="D32" s="133"/>
      <c r="E32" s="133"/>
      <c r="F32" s="132"/>
      <c r="G32" s="132"/>
      <c r="H32" s="132"/>
      <c r="I32" s="132"/>
      <c r="J32" s="132">
        <f t="shared" si="1"/>
        <v>0</v>
      </c>
      <c r="K32" s="117"/>
    </row>
    <row r="33" spans="1:11" s="115" customFormat="1" ht="14.25" x14ac:dyDescent="0.2">
      <c r="A33" s="124"/>
      <c r="B33" s="124"/>
      <c r="C33" s="124"/>
      <c r="D33" s="124"/>
      <c r="E33" s="124"/>
      <c r="F33" s="131"/>
      <c r="G33" s="131"/>
      <c r="H33" s="131"/>
      <c r="I33" s="131"/>
      <c r="J33" s="131"/>
      <c r="K33" s="117"/>
    </row>
    <row r="34" spans="1:11" s="115" customFormat="1" ht="15.75" customHeight="1" x14ac:dyDescent="0.2">
      <c r="A34" s="130"/>
      <c r="B34" s="130"/>
      <c r="C34" s="130"/>
      <c r="D34" s="130"/>
      <c r="E34" s="130"/>
      <c r="F34" s="129"/>
      <c r="G34" s="129"/>
      <c r="H34" s="129"/>
      <c r="I34" s="129"/>
      <c r="J34" s="129"/>
    </row>
    <row r="35" spans="1:11" s="115" customFormat="1" ht="46.5" customHeight="1" x14ac:dyDescent="0.2">
      <c r="A35" s="128" t="s">
        <v>3</v>
      </c>
      <c r="B35" s="189" t="s">
        <v>62</v>
      </c>
      <c r="C35" s="190"/>
      <c r="D35" s="190"/>
      <c r="F35" s="127">
        <f>SUM(F16:F34)</f>
        <v>102723109200.65999</v>
      </c>
      <c r="G35" s="127">
        <f>SUM(G16:G34)</f>
        <v>2759156325.4713717</v>
      </c>
      <c r="H35" s="191">
        <f>SUM(H16:H34)</f>
        <v>902330422.20109391</v>
      </c>
      <c r="I35" s="191"/>
      <c r="J35" s="127">
        <f>SUM(J16:J34)</f>
        <v>104579935103.93025</v>
      </c>
    </row>
    <row r="36" spans="1:11" s="115" customFormat="1" ht="14.25" x14ac:dyDescent="0.2">
      <c r="A36" s="128"/>
      <c r="B36" s="192"/>
      <c r="C36" s="192"/>
      <c r="D36" s="192"/>
      <c r="E36" s="127"/>
      <c r="F36" s="127"/>
      <c r="G36" s="127"/>
      <c r="H36" s="127"/>
      <c r="I36" s="127"/>
      <c r="J36" s="127"/>
    </row>
    <row r="37" spans="1:11" s="115" customFormat="1" ht="14.25" x14ac:dyDescent="0.2">
      <c r="A37" s="46" t="s">
        <v>35</v>
      </c>
    </row>
    <row r="38" spans="1:11" s="115" customFormat="1" ht="14.25" x14ac:dyDescent="0.2">
      <c r="A38" s="49"/>
      <c r="F38" s="126" t="s">
        <v>12</v>
      </c>
      <c r="G38" s="126" t="s">
        <v>7</v>
      </c>
      <c r="H38" s="193" t="s">
        <v>8</v>
      </c>
      <c r="I38" s="193"/>
      <c r="J38" s="126" t="s">
        <v>12</v>
      </c>
    </row>
    <row r="39" spans="1:11" s="115" customFormat="1" ht="14.25" x14ac:dyDescent="0.2">
      <c r="A39" s="175" t="s">
        <v>63</v>
      </c>
      <c r="B39" s="175"/>
      <c r="C39" s="175"/>
      <c r="D39" s="175"/>
      <c r="E39" s="175"/>
      <c r="F39" s="123">
        <v>117804433</v>
      </c>
      <c r="G39" s="123">
        <v>2590694</v>
      </c>
      <c r="H39" s="194">
        <v>2963759</v>
      </c>
      <c r="I39" s="194"/>
      <c r="J39" s="123">
        <f t="shared" ref="J39:J44" si="2">F39+G39-H39</f>
        <v>117431368</v>
      </c>
      <c r="K39" s="117"/>
    </row>
    <row r="40" spans="1:11" s="115" customFormat="1" ht="14.25" x14ac:dyDescent="0.2">
      <c r="A40" s="175" t="s">
        <v>64</v>
      </c>
      <c r="B40" s="175"/>
      <c r="C40" s="175"/>
      <c r="D40" s="175"/>
      <c r="E40" s="175"/>
      <c r="F40" s="123">
        <v>45936</v>
      </c>
      <c r="G40" s="125"/>
      <c r="H40" s="195"/>
      <c r="I40" s="195"/>
      <c r="J40" s="123">
        <f t="shared" si="2"/>
        <v>45936</v>
      </c>
      <c r="K40" s="117"/>
    </row>
    <row r="41" spans="1:11" s="115" customFormat="1" ht="14.25" x14ac:dyDescent="0.2">
      <c r="A41" s="175" t="s">
        <v>37</v>
      </c>
      <c r="B41" s="175"/>
      <c r="C41" s="175"/>
      <c r="D41" s="175"/>
      <c r="E41" s="175"/>
      <c r="F41" s="123">
        <v>62974265.770000003</v>
      </c>
      <c r="G41" s="118">
        <v>716392.57</v>
      </c>
      <c r="H41" s="195"/>
      <c r="I41" s="195"/>
      <c r="J41" s="123">
        <f t="shared" si="2"/>
        <v>63690658.340000004</v>
      </c>
      <c r="K41" s="117"/>
    </row>
    <row r="42" spans="1:11" s="115" customFormat="1" ht="14.25" x14ac:dyDescent="0.2">
      <c r="A42" s="175" t="s">
        <v>65</v>
      </c>
      <c r="B42" s="175"/>
      <c r="C42" s="175"/>
      <c r="D42" s="175"/>
      <c r="E42" s="175"/>
      <c r="F42" s="123">
        <v>1991250</v>
      </c>
      <c r="G42" s="118"/>
      <c r="H42" s="195"/>
      <c r="I42" s="195"/>
      <c r="J42" s="123">
        <f t="shared" si="2"/>
        <v>1991250</v>
      </c>
      <c r="K42" s="117"/>
    </row>
    <row r="43" spans="1:11" s="115" customFormat="1" ht="14.45" customHeight="1" x14ac:dyDescent="0.2">
      <c r="A43" s="175" t="s">
        <v>222</v>
      </c>
      <c r="B43" s="175"/>
      <c r="C43" s="175"/>
      <c r="D43" s="175"/>
      <c r="E43" s="175"/>
      <c r="F43" s="123">
        <v>13266295673.58</v>
      </c>
      <c r="G43" s="118">
        <v>58321705.140000001</v>
      </c>
      <c r="H43" s="185">
        <v>6801648.8300000001</v>
      </c>
      <c r="I43" s="185"/>
      <c r="J43" s="123">
        <f t="shared" si="2"/>
        <v>13317815729.889999</v>
      </c>
      <c r="K43" s="117"/>
    </row>
    <row r="44" spans="1:11" s="115" customFormat="1" ht="14.25" x14ac:dyDescent="0.2">
      <c r="A44" s="175" t="s">
        <v>66</v>
      </c>
      <c r="B44" s="175"/>
      <c r="C44" s="175"/>
      <c r="D44" s="175"/>
      <c r="E44" s="175"/>
      <c r="F44" s="118">
        <v>1519897433.7299998</v>
      </c>
      <c r="G44" s="118">
        <v>19822271.77</v>
      </c>
      <c r="H44" s="185"/>
      <c r="I44" s="185"/>
      <c r="J44" s="123">
        <f t="shared" si="2"/>
        <v>1539719705.4999998</v>
      </c>
      <c r="K44" s="117"/>
    </row>
    <row r="45" spans="1:11" s="115" customFormat="1" ht="14.25" x14ac:dyDescent="0.2">
      <c r="A45" s="49"/>
      <c r="F45" s="117"/>
      <c r="G45" s="117"/>
      <c r="H45" s="117"/>
      <c r="I45" s="117"/>
      <c r="J45" s="117"/>
      <c r="K45" s="117"/>
    </row>
    <row r="46" spans="1:11" s="115" customFormat="1" ht="14.25" x14ac:dyDescent="0.2">
      <c r="A46" s="50" t="s">
        <v>38</v>
      </c>
      <c r="F46" s="121">
        <f>SUM(F39:F45)</f>
        <v>14969008992.08</v>
      </c>
      <c r="G46" s="122">
        <f>SUM(G39:G45)</f>
        <v>81451063.480000004</v>
      </c>
      <c r="H46" s="196">
        <f>SUM(H39:I44)</f>
        <v>9765407.8300000001</v>
      </c>
      <c r="I46" s="196"/>
      <c r="J46" s="121">
        <f>SUM(J39:J45)</f>
        <v>15040694647.73</v>
      </c>
      <c r="K46" s="117"/>
    </row>
    <row r="47" spans="1:11" x14ac:dyDescent="0.25">
      <c r="J47" s="120"/>
    </row>
    <row r="48" spans="1:11" x14ac:dyDescent="0.25">
      <c r="A48" s="50" t="s">
        <v>36</v>
      </c>
      <c r="J48" s="120"/>
    </row>
    <row r="49" spans="1:10" x14ac:dyDescent="0.25">
      <c r="J49" s="120"/>
    </row>
    <row r="50" spans="1:10" s="115" customFormat="1" ht="14.25" x14ac:dyDescent="0.2">
      <c r="A50" s="143" t="s">
        <v>278</v>
      </c>
      <c r="B50" s="143"/>
      <c r="C50" s="143"/>
      <c r="D50" s="143"/>
      <c r="E50" s="143"/>
      <c r="F50" s="143"/>
      <c r="G50" s="143"/>
      <c r="H50" s="143"/>
      <c r="I50" s="143"/>
      <c r="J50" s="143"/>
    </row>
    <row r="51" spans="1:10" s="115" customFormat="1" ht="14.25" x14ac:dyDescent="0.2">
      <c r="A51" s="61"/>
      <c r="B51" s="61"/>
      <c r="C51" s="61"/>
      <c r="D51" s="61"/>
      <c r="E51" s="61"/>
      <c r="F51" s="61"/>
      <c r="G51" s="61"/>
      <c r="H51" s="61"/>
      <c r="I51" s="61"/>
      <c r="J51" s="61"/>
    </row>
    <row r="52" spans="1:10" s="115" customFormat="1" ht="14.45" customHeight="1" x14ac:dyDescent="0.2">
      <c r="A52" s="61"/>
      <c r="B52" s="61"/>
      <c r="C52" s="61"/>
      <c r="D52" s="163" t="s">
        <v>262</v>
      </c>
      <c r="E52" s="163"/>
      <c r="F52" s="163"/>
      <c r="G52" s="163"/>
      <c r="H52" s="163"/>
      <c r="I52" s="163"/>
      <c r="J52" s="72">
        <v>1805530</v>
      </c>
    </row>
    <row r="53" spans="1:10" s="115" customFormat="1" ht="14.45" customHeight="1" x14ac:dyDescent="0.2">
      <c r="A53" s="61"/>
      <c r="B53" s="61"/>
      <c r="C53" s="61"/>
      <c r="D53" s="163" t="s">
        <v>263</v>
      </c>
      <c r="E53" s="163"/>
      <c r="F53" s="163"/>
      <c r="G53" s="163"/>
      <c r="H53" s="163"/>
      <c r="I53" s="163"/>
      <c r="J53" s="72">
        <v>851525</v>
      </c>
    </row>
    <row r="54" spans="1:10" s="115" customFormat="1" ht="14.45" customHeight="1" x14ac:dyDescent="0.2">
      <c r="A54" s="61"/>
      <c r="B54" s="61"/>
      <c r="C54" s="61"/>
      <c r="D54" s="163" t="s">
        <v>264</v>
      </c>
      <c r="E54" s="163"/>
      <c r="F54" s="163"/>
      <c r="G54" s="163"/>
      <c r="H54" s="163"/>
      <c r="I54" s="163"/>
      <c r="J54" s="72">
        <v>306704</v>
      </c>
    </row>
    <row r="55" spans="1:10" s="115" customFormat="1" thickBot="1" x14ac:dyDescent="0.25">
      <c r="A55" s="61"/>
      <c r="B55" s="61"/>
      <c r="C55" s="61"/>
      <c r="D55" s="61"/>
      <c r="E55" s="61"/>
      <c r="F55" s="61"/>
      <c r="G55" s="61"/>
      <c r="H55" s="61"/>
      <c r="I55" s="61"/>
      <c r="J55" s="73">
        <f>SUM(J52:J54)</f>
        <v>2963759</v>
      </c>
    </row>
    <row r="56" spans="1:10" s="115" customFormat="1" thickTop="1" x14ac:dyDescent="0.2">
      <c r="A56" s="119"/>
      <c r="B56" s="119"/>
      <c r="C56" s="119"/>
      <c r="D56" s="119"/>
      <c r="E56" s="119"/>
      <c r="F56" s="119"/>
      <c r="G56" s="119"/>
      <c r="H56" s="119"/>
      <c r="I56" s="119"/>
      <c r="J56" s="118"/>
    </row>
    <row r="57" spans="1:10" s="115" customFormat="1" ht="14.45" customHeight="1" x14ac:dyDescent="0.2">
      <c r="A57" s="143" t="s">
        <v>279</v>
      </c>
      <c r="B57" s="143"/>
      <c r="C57" s="143"/>
      <c r="D57" s="143"/>
      <c r="E57" s="143"/>
      <c r="F57" s="143"/>
      <c r="G57" s="143"/>
      <c r="H57" s="143"/>
      <c r="I57" s="143"/>
      <c r="J57" s="143"/>
    </row>
    <row r="58" spans="1:10" s="115" customFormat="1" ht="14.25" x14ac:dyDescent="0.2">
      <c r="A58" s="66"/>
      <c r="B58" s="66"/>
      <c r="C58" s="66"/>
      <c r="D58" s="66"/>
      <c r="E58" s="66"/>
      <c r="F58" s="66"/>
      <c r="G58" s="119"/>
      <c r="H58" s="119"/>
      <c r="I58" s="119"/>
      <c r="J58" s="118"/>
    </row>
    <row r="59" spans="1:10" s="115" customFormat="1" ht="14.45" customHeight="1" x14ac:dyDescent="0.2">
      <c r="A59" s="143" t="s">
        <v>280</v>
      </c>
      <c r="B59" s="143"/>
      <c r="C59" s="143"/>
      <c r="D59" s="143"/>
      <c r="E59" s="143"/>
      <c r="F59" s="143"/>
      <c r="G59" s="143"/>
      <c r="H59" s="143"/>
      <c r="I59" s="143"/>
      <c r="J59" s="143"/>
    </row>
    <row r="60" spans="1:10" s="115" customFormat="1" ht="14.25" x14ac:dyDescent="0.2">
      <c r="A60" s="143"/>
      <c r="B60" s="143"/>
      <c r="C60" s="143"/>
      <c r="D60" s="143"/>
      <c r="E60" s="143"/>
      <c r="F60" s="143"/>
      <c r="G60" s="143"/>
      <c r="H60" s="143"/>
      <c r="I60" s="143"/>
      <c r="J60" s="143"/>
    </row>
    <row r="61" spans="1:10" s="115" customFormat="1" ht="14.25" x14ac:dyDescent="0.2">
      <c r="A61" s="66"/>
      <c r="B61" s="66"/>
      <c r="C61" s="66"/>
      <c r="D61" s="66"/>
      <c r="E61" s="66"/>
      <c r="F61" s="66"/>
      <c r="G61" s="119"/>
      <c r="H61" s="119"/>
      <c r="I61" s="119"/>
      <c r="J61" s="118"/>
    </row>
    <row r="62" spans="1:10" s="115" customFormat="1" ht="14.45" customHeight="1" x14ac:dyDescent="0.2">
      <c r="A62" s="143" t="s">
        <v>281</v>
      </c>
      <c r="B62" s="143"/>
      <c r="C62" s="143"/>
      <c r="D62" s="143"/>
      <c r="E62" s="143"/>
      <c r="F62" s="143"/>
      <c r="G62" s="143"/>
      <c r="H62" s="143"/>
      <c r="I62" s="143"/>
      <c r="J62" s="143"/>
    </row>
    <row r="63" spans="1:10" s="115" customFormat="1" ht="14.25" x14ac:dyDescent="0.2">
      <c r="A63" s="61"/>
      <c r="B63" s="61"/>
      <c r="C63" s="61"/>
      <c r="D63" s="61"/>
      <c r="E63" s="61"/>
      <c r="F63" s="61"/>
      <c r="J63" s="117"/>
    </row>
    <row r="64" spans="1:10" s="115" customFormat="1" ht="14.45" customHeight="1" x14ac:dyDescent="0.2">
      <c r="A64" s="143" t="s">
        <v>282</v>
      </c>
      <c r="B64" s="143"/>
      <c r="C64" s="143"/>
      <c r="D64" s="143"/>
      <c r="E64" s="143"/>
      <c r="F64" s="143"/>
      <c r="G64" s="143"/>
      <c r="H64" s="143"/>
      <c r="I64" s="143"/>
      <c r="J64" s="143"/>
    </row>
    <row r="65" spans="1:10" s="115" customFormat="1" ht="14.45" customHeight="1" x14ac:dyDescent="0.2">
      <c r="A65" s="143"/>
      <c r="B65" s="143"/>
      <c r="C65" s="143"/>
      <c r="D65" s="143"/>
      <c r="E65" s="143"/>
      <c r="F65" s="143"/>
      <c r="G65" s="143"/>
      <c r="H65" s="143"/>
      <c r="I65" s="143"/>
      <c r="J65" s="143"/>
    </row>
    <row r="66" spans="1:10" s="115" customFormat="1" ht="14.25" x14ac:dyDescent="0.2">
      <c r="A66" s="66"/>
      <c r="B66" s="66"/>
      <c r="C66" s="66"/>
      <c r="D66" s="66"/>
      <c r="E66" s="66"/>
      <c r="F66" s="66"/>
      <c r="J66" s="117"/>
    </row>
    <row r="67" spans="1:10" s="115" customFormat="1" ht="28.5" customHeight="1" x14ac:dyDescent="0.2">
      <c r="A67" s="143" t="s">
        <v>283</v>
      </c>
      <c r="B67" s="143"/>
      <c r="C67" s="143"/>
      <c r="D67" s="143"/>
      <c r="E67" s="143"/>
      <c r="F67" s="143"/>
      <c r="G67" s="143"/>
      <c r="H67" s="143"/>
      <c r="I67" s="143"/>
      <c r="J67" s="143"/>
    </row>
    <row r="68" spans="1:10" s="115" customFormat="1" ht="14.25" x14ac:dyDescent="0.2">
      <c r="A68" s="66"/>
      <c r="B68" s="66"/>
      <c r="C68" s="66"/>
      <c r="D68" s="66"/>
      <c r="E68" s="66"/>
      <c r="F68" s="66"/>
      <c r="J68" s="117"/>
    </row>
    <row r="69" spans="1:10" s="115" customFormat="1" ht="14.45" customHeight="1" x14ac:dyDescent="0.2">
      <c r="A69" s="143" t="s">
        <v>266</v>
      </c>
      <c r="B69" s="143"/>
      <c r="C69" s="143"/>
      <c r="D69" s="143"/>
      <c r="E69" s="143"/>
      <c r="F69" s="143"/>
      <c r="G69" s="143"/>
      <c r="H69" s="143"/>
      <c r="I69" s="143"/>
      <c r="J69" s="143"/>
    </row>
    <row r="70" spans="1:10" s="115" customFormat="1" ht="14.45" customHeight="1" x14ac:dyDescent="0.2">
      <c r="A70" s="66"/>
      <c r="B70" s="66"/>
      <c r="C70" s="66"/>
      <c r="D70" s="66"/>
      <c r="E70" s="66"/>
      <c r="F70" s="66"/>
      <c r="G70" s="66"/>
      <c r="H70" s="66"/>
      <c r="I70" s="66"/>
      <c r="J70" s="66"/>
    </row>
    <row r="71" spans="1:10" s="115" customFormat="1" ht="30.6" customHeight="1" x14ac:dyDescent="0.2">
      <c r="A71" s="143" t="s">
        <v>349</v>
      </c>
      <c r="B71" s="143"/>
      <c r="C71" s="143"/>
      <c r="D71" s="143"/>
      <c r="E71" s="143"/>
      <c r="F71" s="143"/>
      <c r="G71" s="143"/>
      <c r="H71" s="143"/>
      <c r="I71" s="143"/>
      <c r="J71" s="143"/>
    </row>
    <row r="72" spans="1:10" s="115" customFormat="1" ht="14.25" x14ac:dyDescent="0.2">
      <c r="A72" s="66"/>
      <c r="B72" s="66"/>
      <c r="C72" s="66"/>
      <c r="D72" s="66"/>
      <c r="E72" s="66"/>
      <c r="F72" s="66"/>
      <c r="J72" s="117"/>
    </row>
    <row r="73" spans="1:10" s="115" customFormat="1" ht="14.45" customHeight="1" x14ac:dyDescent="0.2">
      <c r="A73" s="143" t="s">
        <v>30</v>
      </c>
      <c r="B73" s="143"/>
      <c r="C73" s="143"/>
      <c r="D73" s="143"/>
      <c r="E73" s="143"/>
      <c r="F73" s="143"/>
      <c r="G73" s="143"/>
      <c r="H73" s="143"/>
      <c r="I73" s="143"/>
      <c r="J73" s="143"/>
    </row>
    <row r="74" spans="1:10" s="115" customFormat="1" ht="14.25" x14ac:dyDescent="0.2">
      <c r="A74" s="143"/>
      <c r="B74" s="143"/>
      <c r="C74" s="143"/>
      <c r="D74" s="143"/>
      <c r="E74" s="143"/>
      <c r="F74" s="143"/>
      <c r="G74" s="143"/>
      <c r="H74" s="143"/>
      <c r="I74" s="143"/>
      <c r="J74" s="143"/>
    </row>
    <row r="75" spans="1:10" s="115" customFormat="1" ht="14.25" x14ac:dyDescent="0.2">
      <c r="A75" s="143"/>
      <c r="B75" s="143"/>
      <c r="C75" s="143"/>
      <c r="D75" s="143"/>
      <c r="E75" s="143"/>
      <c r="F75" s="143"/>
      <c r="G75" s="143"/>
      <c r="H75" s="143"/>
      <c r="I75" s="143"/>
      <c r="J75" s="143"/>
    </row>
    <row r="76" spans="1:10" s="115" customFormat="1" ht="14.25" x14ac:dyDescent="0.2">
      <c r="A76" s="143"/>
      <c r="B76" s="143"/>
      <c r="C76" s="143"/>
      <c r="D76" s="143"/>
      <c r="E76" s="143"/>
      <c r="F76" s="143"/>
      <c r="G76" s="143"/>
      <c r="H76" s="143"/>
      <c r="I76" s="143"/>
      <c r="J76" s="143"/>
    </row>
    <row r="77" spans="1:10" s="115" customFormat="1" ht="14.25" x14ac:dyDescent="0.2"/>
    <row r="78" spans="1:10" s="115" customFormat="1" ht="14.25" x14ac:dyDescent="0.2">
      <c r="A78" s="115" t="str">
        <f>[1]Date!A10</f>
        <v>Subscribed and executed this 30th day of August, 2024 at Sacramento, California.</v>
      </c>
    </row>
    <row r="79" spans="1:10" s="115" customFormat="1" ht="14.25" x14ac:dyDescent="0.2">
      <c r="A79" s="143"/>
      <c r="B79" s="143"/>
      <c r="C79" s="143"/>
      <c r="D79" s="143"/>
      <c r="E79" s="143"/>
      <c r="F79" s="143"/>
      <c r="G79" s="143"/>
      <c r="H79" s="143"/>
      <c r="I79" s="143"/>
      <c r="J79" s="143"/>
    </row>
    <row r="80" spans="1:10" s="115" customFormat="1" ht="14.25" x14ac:dyDescent="0.2">
      <c r="A80" s="116"/>
      <c r="B80" s="116"/>
      <c r="C80" s="116"/>
      <c r="D80" s="116"/>
      <c r="E80" s="116"/>
      <c r="F80" s="116"/>
      <c r="G80" s="116"/>
      <c r="H80" s="116"/>
      <c r="I80" s="116"/>
      <c r="J80" s="116"/>
    </row>
    <row r="81" spans="1:10" s="115" customFormat="1" ht="14.25" x14ac:dyDescent="0.2">
      <c r="A81" s="116"/>
      <c r="B81" s="116"/>
      <c r="C81" s="116"/>
      <c r="D81" s="116"/>
      <c r="E81" s="116"/>
      <c r="F81" s="116"/>
      <c r="G81" s="116"/>
      <c r="H81" s="116"/>
      <c r="I81" s="116"/>
      <c r="J81" s="116"/>
    </row>
    <row r="82" spans="1:10" s="115" customFormat="1" ht="14.25" x14ac:dyDescent="0.2">
      <c r="A82" s="116"/>
      <c r="B82" s="116"/>
      <c r="C82" s="116"/>
      <c r="D82" s="116"/>
      <c r="E82" s="116"/>
      <c r="F82" s="116"/>
      <c r="G82" s="116"/>
      <c r="H82" s="116"/>
      <c r="I82" s="116"/>
      <c r="J82" s="116"/>
    </row>
    <row r="83" spans="1:10" s="115" customFormat="1" ht="14.25" x14ac:dyDescent="0.2"/>
    <row r="84" spans="1:10" s="115" customFormat="1" ht="14.25" x14ac:dyDescent="0.2">
      <c r="I84" s="76" t="s">
        <v>31</v>
      </c>
      <c r="J84" s="77"/>
    </row>
    <row r="85" spans="1:10" s="115" customFormat="1" ht="14.25" x14ac:dyDescent="0.2">
      <c r="I85" s="50" t="s">
        <v>32</v>
      </c>
      <c r="J85" s="47"/>
    </row>
    <row r="86" spans="1:10" s="115" customFormat="1" ht="14.25" x14ac:dyDescent="0.2">
      <c r="I86" s="50" t="s">
        <v>33</v>
      </c>
      <c r="J86" s="47"/>
    </row>
  </sheetData>
  <mergeCells count="77">
    <mergeCell ref="A69:J69"/>
    <mergeCell ref="A71:J71"/>
    <mergeCell ref="A73:J76"/>
    <mergeCell ref="A79:J79"/>
    <mergeCell ref="D54:I54"/>
    <mergeCell ref="A57:J57"/>
    <mergeCell ref="A59:J60"/>
    <mergeCell ref="A62:J62"/>
    <mergeCell ref="A64:J65"/>
    <mergeCell ref="A67:J67"/>
    <mergeCell ref="D53:I53"/>
    <mergeCell ref="A41:E41"/>
    <mergeCell ref="H41:I41"/>
    <mergeCell ref="A42:E42"/>
    <mergeCell ref="H42:I42"/>
    <mergeCell ref="A43:E43"/>
    <mergeCell ref="H43:I43"/>
    <mergeCell ref="A44:E44"/>
    <mergeCell ref="H44:I44"/>
    <mergeCell ref="H46:I46"/>
    <mergeCell ref="A50:J50"/>
    <mergeCell ref="D52:I52"/>
    <mergeCell ref="B36:D36"/>
    <mergeCell ref="H38:I38"/>
    <mergeCell ref="A39:E39"/>
    <mergeCell ref="H39:I39"/>
    <mergeCell ref="A40:E40"/>
    <mergeCell ref="H40:I40"/>
    <mergeCell ref="A30:E30"/>
    <mergeCell ref="H30:I30"/>
    <mergeCell ref="A31:E31"/>
    <mergeCell ref="H31:I31"/>
    <mergeCell ref="B35:D35"/>
    <mergeCell ref="H35:I35"/>
    <mergeCell ref="A27:E27"/>
    <mergeCell ref="H27:I27"/>
    <mergeCell ref="A28:E28"/>
    <mergeCell ref="H28:I28"/>
    <mergeCell ref="A29:E29"/>
    <mergeCell ref="H29:I29"/>
    <mergeCell ref="A26:E26"/>
    <mergeCell ref="H26:I26"/>
    <mergeCell ref="H17:I17"/>
    <mergeCell ref="H18:I18"/>
    <mergeCell ref="H19:I19"/>
    <mergeCell ref="H20:I20"/>
    <mergeCell ref="H21:I21"/>
    <mergeCell ref="H22:I22"/>
    <mergeCell ref="H23:I23"/>
    <mergeCell ref="A24:E24"/>
    <mergeCell ref="H24:I24"/>
    <mergeCell ref="A25:E25"/>
    <mergeCell ref="H25:I25"/>
    <mergeCell ref="H16:I16"/>
    <mergeCell ref="A9:B9"/>
    <mergeCell ref="C9:H9"/>
    <mergeCell ref="A10:B10"/>
    <mergeCell ref="C10:H10"/>
    <mergeCell ref="I10:J10"/>
    <mergeCell ref="A11:J11"/>
    <mergeCell ref="A12:J12"/>
    <mergeCell ref="A13:J13"/>
    <mergeCell ref="A14:E14"/>
    <mergeCell ref="H14:I14"/>
    <mergeCell ref="A15:J15"/>
    <mergeCell ref="C8:H8"/>
    <mergeCell ref="A4:J4"/>
    <mergeCell ref="A1:C1"/>
    <mergeCell ref="D1:H1"/>
    <mergeCell ref="I1:J1"/>
    <mergeCell ref="A2:J2"/>
    <mergeCell ref="A3:J3"/>
    <mergeCell ref="A5:J5"/>
    <mergeCell ref="A6:J6"/>
    <mergeCell ref="A7:B7"/>
    <mergeCell ref="C7:H7"/>
    <mergeCell ref="A8:B8"/>
  </mergeCells>
  <pageMargins left="0.25" right="0.25" top="0.75" bottom="0.75" header="0.3" footer="0.3"/>
  <pageSetup paperSize="5" scale="54" orientation="portrait"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FBB21-6828-4AD5-9146-AF55856D5821}">
  <sheetPr>
    <pageSetUpPr fitToPage="1"/>
  </sheetPr>
  <dimension ref="A1:V39"/>
  <sheetViews>
    <sheetView tabSelected="1" zoomScale="76" zoomScaleNormal="76" workbookViewId="0">
      <pane ySplit="9" topLeftCell="A10" activePane="bottomLeft" state="frozen"/>
      <selection pane="bottomLeft" activeCell="V27" sqref="V27"/>
    </sheetView>
  </sheetViews>
  <sheetFormatPr defaultColWidth="9.140625" defaultRowHeight="15" x14ac:dyDescent="0.25"/>
  <cols>
    <col min="1" max="1" width="1.7109375" style="227" customWidth="1"/>
    <col min="2" max="2" width="50.42578125" style="227" bestFit="1" customWidth="1"/>
    <col min="3" max="3" width="1" style="227" customWidth="1"/>
    <col min="4" max="4" width="1.7109375" style="227" customWidth="1"/>
    <col min="5" max="5" width="19.5703125" style="228" bestFit="1" customWidth="1"/>
    <col min="6" max="6" width="1.7109375" style="228" customWidth="1"/>
    <col min="7" max="7" width="20.140625" style="228" bestFit="1" customWidth="1"/>
    <col min="8" max="8" width="1.7109375" style="228" customWidth="1"/>
    <col min="9" max="9" width="16.7109375" style="228" customWidth="1"/>
    <col min="10" max="10" width="1.7109375" style="228" customWidth="1"/>
    <col min="11" max="11" width="10.7109375" style="228" bestFit="1" customWidth="1"/>
    <col min="12" max="12" width="1.7109375" style="227" customWidth="1"/>
    <col min="13" max="13" width="15.28515625" style="227" bestFit="1" customWidth="1"/>
    <col min="14" max="14" width="1.7109375" style="227" customWidth="1"/>
    <col min="15" max="15" width="15.7109375" style="227" customWidth="1"/>
    <col min="16" max="16" width="1.7109375" style="227" customWidth="1"/>
    <col min="17" max="17" width="27.85546875" style="227" customWidth="1"/>
    <col min="18" max="18" width="1.7109375" style="227" customWidth="1"/>
    <col min="19" max="20" width="17.5703125" style="227" bestFit="1" customWidth="1"/>
    <col min="21" max="21" width="1.7109375" style="227" customWidth="1"/>
    <col min="22" max="22" width="16.28515625" style="227" bestFit="1" customWidth="1"/>
    <col min="23" max="16384" width="9.140625" style="227"/>
  </cols>
  <sheetData>
    <row r="1" spans="1:22" x14ac:dyDescent="0.25">
      <c r="A1" s="250" t="s">
        <v>340</v>
      </c>
      <c r="B1" s="250"/>
      <c r="C1" s="250"/>
      <c r="D1" s="250"/>
      <c r="E1" s="250"/>
      <c r="F1" s="250"/>
      <c r="G1" s="250"/>
      <c r="H1" s="250"/>
      <c r="I1" s="250"/>
      <c r="J1" s="250"/>
      <c r="K1" s="250"/>
      <c r="L1" s="250"/>
      <c r="M1" s="250"/>
      <c r="N1" s="250"/>
      <c r="O1" s="250"/>
      <c r="P1" s="250"/>
      <c r="Q1" s="250"/>
      <c r="R1" s="250"/>
      <c r="S1" s="250"/>
      <c r="T1" s="250"/>
      <c r="U1" s="250"/>
      <c r="V1" s="250"/>
    </row>
    <row r="2" spans="1:22" x14ac:dyDescent="0.25">
      <c r="A2" s="250" t="s">
        <v>339</v>
      </c>
      <c r="B2" s="250"/>
      <c r="C2" s="250"/>
      <c r="D2" s="250"/>
      <c r="E2" s="250"/>
      <c r="F2" s="250"/>
      <c r="G2" s="250"/>
      <c r="H2" s="250"/>
      <c r="I2" s="250"/>
      <c r="J2" s="250"/>
      <c r="K2" s="250"/>
      <c r="L2" s="250"/>
      <c r="M2" s="250"/>
      <c r="N2" s="250"/>
      <c r="O2" s="250"/>
      <c r="P2" s="250"/>
      <c r="Q2" s="250"/>
      <c r="R2" s="250"/>
      <c r="S2" s="250"/>
      <c r="T2" s="250"/>
      <c r="U2" s="250"/>
      <c r="V2" s="250"/>
    </row>
    <row r="3" spans="1:22" x14ac:dyDescent="0.25">
      <c r="A3" s="250" t="s">
        <v>338</v>
      </c>
      <c r="B3" s="250"/>
      <c r="C3" s="250"/>
      <c r="D3" s="250"/>
      <c r="E3" s="250"/>
      <c r="F3" s="250"/>
      <c r="G3" s="250"/>
      <c r="H3" s="250"/>
      <c r="I3" s="250"/>
      <c r="J3" s="250"/>
      <c r="K3" s="250"/>
      <c r="L3" s="250"/>
      <c r="M3" s="250"/>
      <c r="N3" s="250"/>
      <c r="O3" s="250"/>
      <c r="P3" s="250"/>
      <c r="Q3" s="250"/>
      <c r="R3" s="250"/>
      <c r="S3" s="250"/>
      <c r="T3" s="250"/>
      <c r="U3" s="250"/>
      <c r="V3" s="250"/>
    </row>
    <row r="4" spans="1:22" x14ac:dyDescent="0.25">
      <c r="A4" s="250" t="s">
        <v>337</v>
      </c>
      <c r="B4" s="250"/>
      <c r="C4" s="250"/>
      <c r="D4" s="250"/>
      <c r="E4" s="250"/>
      <c r="F4" s="250"/>
      <c r="G4" s="250"/>
      <c r="H4" s="250"/>
      <c r="I4" s="250"/>
      <c r="J4" s="250"/>
      <c r="K4" s="250"/>
      <c r="L4" s="250"/>
      <c r="M4" s="250"/>
      <c r="N4" s="250"/>
      <c r="O4" s="250"/>
      <c r="P4" s="250"/>
      <c r="Q4" s="250"/>
      <c r="R4" s="250"/>
      <c r="S4" s="250"/>
      <c r="T4" s="250"/>
      <c r="U4" s="250"/>
      <c r="V4" s="250"/>
    </row>
    <row r="5" spans="1:22" x14ac:dyDescent="0.25">
      <c r="A5" s="250" t="s">
        <v>351</v>
      </c>
      <c r="B5" s="250"/>
      <c r="C5" s="250"/>
      <c r="D5" s="250"/>
      <c r="E5" s="250"/>
      <c r="F5" s="250"/>
      <c r="G5" s="250"/>
      <c r="H5" s="250"/>
      <c r="I5" s="250"/>
      <c r="J5" s="250"/>
      <c r="K5" s="250"/>
      <c r="L5" s="250"/>
      <c r="M5" s="250"/>
      <c r="N5" s="250"/>
      <c r="O5" s="250"/>
      <c r="P5" s="250"/>
      <c r="Q5" s="250"/>
      <c r="R5" s="250"/>
      <c r="S5" s="250"/>
      <c r="T5" s="250"/>
      <c r="U5" s="250"/>
      <c r="V5" s="250"/>
    </row>
    <row r="6" spans="1:22" x14ac:dyDescent="0.25">
      <c r="A6" s="229"/>
      <c r="B6" s="229"/>
      <c r="C6" s="229"/>
      <c r="D6" s="229"/>
      <c r="E6" s="230"/>
      <c r="F6" s="230"/>
      <c r="G6" s="230"/>
      <c r="H6" s="230"/>
      <c r="I6" s="230"/>
      <c r="J6" s="230"/>
      <c r="K6" s="230"/>
      <c r="L6" s="229"/>
      <c r="M6" s="229"/>
      <c r="N6" s="229"/>
      <c r="O6" s="229"/>
      <c r="P6" s="229"/>
      <c r="Q6" s="229"/>
      <c r="R6" s="229"/>
      <c r="S6" s="229"/>
      <c r="T6" s="229"/>
      <c r="U6" s="229"/>
      <c r="V6" s="229"/>
    </row>
    <row r="7" spans="1:22" x14ac:dyDescent="0.25">
      <c r="A7" s="229"/>
      <c r="B7" s="229"/>
      <c r="C7" s="229"/>
      <c r="D7" s="229"/>
      <c r="E7" s="230"/>
      <c r="F7" s="230"/>
      <c r="G7" s="230"/>
      <c r="H7" s="230"/>
      <c r="I7" s="230"/>
      <c r="J7" s="234"/>
      <c r="K7" s="249" t="s">
        <v>335</v>
      </c>
      <c r="L7" s="249"/>
      <c r="M7" s="249"/>
      <c r="N7" s="249"/>
      <c r="O7" s="249"/>
      <c r="P7" s="249"/>
      <c r="Q7" s="249"/>
      <c r="R7" s="249"/>
      <c r="S7" s="249"/>
      <c r="T7" s="249"/>
      <c r="U7" s="229"/>
      <c r="V7" s="229"/>
    </row>
    <row r="8" spans="1:22" x14ac:dyDescent="0.25">
      <c r="A8" s="229"/>
      <c r="B8" s="229"/>
      <c r="C8" s="229"/>
      <c r="D8" s="229"/>
      <c r="E8" s="246" t="s">
        <v>334</v>
      </c>
      <c r="F8" s="247"/>
      <c r="G8" s="246" t="s">
        <v>333</v>
      </c>
      <c r="H8" s="247"/>
      <c r="I8" s="246" t="s">
        <v>332</v>
      </c>
      <c r="J8" s="248"/>
      <c r="K8" s="246" t="s">
        <v>331</v>
      </c>
      <c r="L8" s="229"/>
      <c r="M8" s="246" t="s">
        <v>330</v>
      </c>
      <c r="N8" s="247"/>
      <c r="O8" s="246" t="s">
        <v>329</v>
      </c>
      <c r="P8" s="247"/>
      <c r="Q8" s="246" t="s">
        <v>328</v>
      </c>
      <c r="R8" s="247"/>
      <c r="S8" s="246" t="s">
        <v>327</v>
      </c>
      <c r="T8" s="246" t="s">
        <v>326</v>
      </c>
      <c r="U8" s="247"/>
      <c r="V8" s="246" t="s">
        <v>325</v>
      </c>
    </row>
    <row r="9" spans="1:22" ht="124.5" customHeight="1" x14ac:dyDescent="0.25">
      <c r="A9" s="237"/>
      <c r="B9" s="229"/>
      <c r="C9" s="229"/>
      <c r="D9" s="229"/>
      <c r="E9" s="238" t="s">
        <v>324</v>
      </c>
      <c r="F9" s="243"/>
      <c r="G9" s="238" t="s">
        <v>323</v>
      </c>
      <c r="H9" s="243"/>
      <c r="I9" s="245" t="s">
        <v>322</v>
      </c>
      <c r="J9" s="244"/>
      <c r="K9" s="238" t="s">
        <v>321</v>
      </c>
      <c r="L9" s="243"/>
      <c r="M9" s="238" t="s">
        <v>320</v>
      </c>
      <c r="N9" s="239"/>
      <c r="O9" s="238" t="s">
        <v>319</v>
      </c>
      <c r="P9" s="239"/>
      <c r="Q9" s="240" t="s">
        <v>318</v>
      </c>
      <c r="R9" s="242"/>
      <c r="S9" s="241" t="s">
        <v>317</v>
      </c>
      <c r="T9" s="240" t="s">
        <v>316</v>
      </c>
      <c r="U9" s="239"/>
      <c r="V9" s="238" t="s">
        <v>315</v>
      </c>
    </row>
    <row r="10" spans="1:22" x14ac:dyDescent="0.25">
      <c r="A10" s="229"/>
      <c r="B10" s="229"/>
      <c r="C10" s="229"/>
      <c r="D10" s="229"/>
      <c r="E10" s="230"/>
      <c r="F10" s="230"/>
      <c r="G10" s="230"/>
      <c r="H10" s="230"/>
      <c r="I10" s="230"/>
      <c r="J10" s="234"/>
      <c r="K10" s="230"/>
      <c r="L10" s="230"/>
      <c r="M10" s="230"/>
      <c r="N10" s="230"/>
      <c r="O10" s="230"/>
      <c r="P10" s="230"/>
      <c r="Q10" s="230"/>
      <c r="R10" s="230"/>
      <c r="S10" s="230"/>
      <c r="T10" s="230"/>
      <c r="U10" s="230"/>
      <c r="V10" s="230"/>
    </row>
    <row r="11" spans="1:22" x14ac:dyDescent="0.25">
      <c r="A11" s="237" t="s">
        <v>10</v>
      </c>
      <c r="B11" s="229"/>
      <c r="C11" s="229"/>
      <c r="D11" s="229"/>
      <c r="E11" s="230"/>
      <c r="F11" s="230"/>
      <c r="G11" s="230"/>
      <c r="H11" s="230"/>
      <c r="I11" s="230"/>
      <c r="J11" s="234"/>
      <c r="K11" s="230"/>
      <c r="L11" s="230"/>
      <c r="M11" s="230"/>
      <c r="N11" s="230"/>
      <c r="O11" s="230"/>
      <c r="P11" s="230"/>
      <c r="Q11" s="230"/>
      <c r="R11" s="230"/>
      <c r="S11" s="230"/>
      <c r="T11" s="230"/>
      <c r="U11" s="230"/>
      <c r="V11" s="230"/>
    </row>
    <row r="12" spans="1:22" x14ac:dyDescent="0.25">
      <c r="A12" s="229"/>
      <c r="B12" s="229" t="s">
        <v>314</v>
      </c>
      <c r="C12" s="229"/>
      <c r="D12" s="229"/>
      <c r="E12" s="235">
        <v>14962723669.459999</v>
      </c>
      <c r="F12" s="230"/>
      <c r="G12" s="235">
        <v>14969008992.08</v>
      </c>
      <c r="H12" s="230"/>
      <c r="I12" s="228">
        <f>G12-E12</f>
        <v>6285322.6200008392</v>
      </c>
      <c r="J12" s="234"/>
      <c r="K12" s="230"/>
      <c r="L12" s="230"/>
      <c r="M12" s="230"/>
      <c r="N12" s="230"/>
      <c r="O12" s="230"/>
      <c r="P12" s="230"/>
      <c r="Q12" s="230">
        <v>6285322.6200027466</v>
      </c>
      <c r="R12" s="230"/>
      <c r="S12" s="230"/>
      <c r="T12" s="230"/>
      <c r="U12" s="230"/>
      <c r="V12" s="228">
        <f>SUM(K12:T12)</f>
        <v>6285322.6200027466</v>
      </c>
    </row>
    <row r="13" spans="1:22" x14ac:dyDescent="0.25">
      <c r="A13" s="229"/>
      <c r="B13" s="229" t="s">
        <v>313</v>
      </c>
      <c r="C13" s="229"/>
      <c r="D13" s="229"/>
      <c r="E13" s="235">
        <v>1415663193.4600005</v>
      </c>
      <c r="F13" s="230"/>
      <c r="G13" s="235">
        <v>1415663193.4600005</v>
      </c>
      <c r="H13" s="230"/>
      <c r="I13" s="228">
        <f>G13-E13</f>
        <v>0</v>
      </c>
      <c r="J13" s="234"/>
      <c r="K13" s="230"/>
      <c r="L13" s="230"/>
      <c r="M13" s="230"/>
      <c r="N13" s="230"/>
      <c r="O13" s="230"/>
      <c r="P13" s="230"/>
      <c r="Q13" s="230"/>
      <c r="R13" s="230"/>
      <c r="S13" s="230"/>
      <c r="T13" s="230"/>
      <c r="U13" s="230"/>
      <c r="V13" s="228">
        <f>SUM(K13:T13)</f>
        <v>0</v>
      </c>
    </row>
    <row r="14" spans="1:22" x14ac:dyDescent="0.25">
      <c r="A14" s="229"/>
      <c r="B14" s="229" t="s">
        <v>312</v>
      </c>
      <c r="C14" s="229"/>
      <c r="D14" s="229"/>
      <c r="E14" s="235"/>
      <c r="F14" s="230"/>
      <c r="G14" s="235"/>
      <c r="H14" s="230"/>
      <c r="I14" s="228">
        <f>G14-E14</f>
        <v>0</v>
      </c>
      <c r="J14" s="234"/>
      <c r="K14" s="230"/>
      <c r="L14" s="230"/>
      <c r="M14" s="230"/>
      <c r="N14" s="230"/>
      <c r="O14" s="230"/>
      <c r="P14" s="230"/>
      <c r="Q14" s="230"/>
      <c r="R14" s="230"/>
      <c r="S14" s="230"/>
      <c r="T14" s="230"/>
      <c r="U14" s="230"/>
      <c r="V14" s="228">
        <f>SUM(K14:T14)</f>
        <v>0</v>
      </c>
    </row>
    <row r="15" spans="1:22" x14ac:dyDescent="0.25">
      <c r="A15" s="229"/>
      <c r="B15" s="229" t="s">
        <v>311</v>
      </c>
      <c r="C15" s="229"/>
      <c r="D15" s="229"/>
      <c r="E15" s="235">
        <v>1437942486.7100003</v>
      </c>
      <c r="F15" s="230"/>
      <c r="G15" s="235">
        <v>1437942486.7100003</v>
      </c>
      <c r="H15" s="230"/>
      <c r="I15" s="228">
        <f>G15-E15</f>
        <v>0</v>
      </c>
      <c r="J15" s="234"/>
      <c r="K15" s="230"/>
      <c r="L15" s="230"/>
      <c r="M15" s="230"/>
      <c r="N15" s="230"/>
      <c r="O15" s="230"/>
      <c r="P15" s="230"/>
      <c r="Q15" s="230"/>
      <c r="R15" s="230"/>
      <c r="S15" s="230"/>
      <c r="T15" s="230"/>
      <c r="U15" s="230"/>
      <c r="V15" s="228">
        <f>SUM(K15:T15)</f>
        <v>0</v>
      </c>
    </row>
    <row r="16" spans="1:22" x14ac:dyDescent="0.25">
      <c r="A16" s="229"/>
      <c r="B16" s="229" t="s">
        <v>310</v>
      </c>
      <c r="C16" s="229"/>
      <c r="D16" s="229"/>
      <c r="E16" s="235">
        <v>7859028024.0099993</v>
      </c>
      <c r="F16" s="230"/>
      <c r="G16" s="235">
        <v>7845963344.4200001</v>
      </c>
      <c r="H16" s="230"/>
      <c r="I16" s="228">
        <f>G16-E16</f>
        <v>-13064679.589999199</v>
      </c>
      <c r="J16" s="234"/>
      <c r="K16" s="230"/>
      <c r="L16" s="230"/>
      <c r="M16" s="230"/>
      <c r="N16" s="230"/>
      <c r="O16" s="230"/>
      <c r="P16" s="230"/>
      <c r="Q16" s="230">
        <v>3027102.19</v>
      </c>
      <c r="R16" s="230"/>
      <c r="S16" s="230"/>
      <c r="T16" s="230">
        <v>-16091781.779999999</v>
      </c>
      <c r="U16" s="230"/>
      <c r="V16" s="228">
        <f>SUM(K16:T16)</f>
        <v>-13064679.59</v>
      </c>
    </row>
    <row r="17" spans="1:22" x14ac:dyDescent="0.25">
      <c r="A17" s="229"/>
      <c r="B17" s="229" t="s">
        <v>309</v>
      </c>
      <c r="C17" s="229"/>
      <c r="D17" s="229"/>
      <c r="E17" s="235">
        <v>76625089431.169998</v>
      </c>
      <c r="F17" s="230"/>
      <c r="G17" s="235">
        <v>76753582679.970001</v>
      </c>
      <c r="H17" s="230"/>
      <c r="I17" s="228">
        <f>G17-E17</f>
        <v>128493248.80000305</v>
      </c>
      <c r="J17" s="234"/>
      <c r="K17" s="230"/>
      <c r="L17" s="230"/>
      <c r="M17" s="230"/>
      <c r="N17" s="230"/>
      <c r="O17" s="230"/>
      <c r="P17" s="230"/>
      <c r="Q17" s="230">
        <v>120478085.61</v>
      </c>
      <c r="R17" s="230"/>
      <c r="S17" s="230"/>
      <c r="T17" s="230">
        <v>8015163.1900000004</v>
      </c>
      <c r="U17" s="230"/>
      <c r="V17" s="228">
        <f>SUM(K17:T17)</f>
        <v>128493248.8</v>
      </c>
    </row>
    <row r="18" spans="1:22" x14ac:dyDescent="0.25">
      <c r="A18" s="237" t="s">
        <v>11</v>
      </c>
      <c r="B18" s="229"/>
      <c r="C18" s="229"/>
      <c r="D18" s="229"/>
      <c r="E18" s="230"/>
      <c r="F18" s="230"/>
      <c r="G18" s="230"/>
      <c r="H18" s="230"/>
      <c r="J18" s="234"/>
      <c r="K18" s="230"/>
      <c r="L18" s="230"/>
      <c r="M18" s="230"/>
      <c r="N18" s="230"/>
      <c r="O18" s="230"/>
      <c r="P18" s="230"/>
      <c r="Q18" s="230"/>
      <c r="R18" s="230"/>
      <c r="S18" s="230"/>
      <c r="T18" s="230"/>
      <c r="U18" s="230"/>
      <c r="V18" s="228">
        <f>SUM(K18:T18)</f>
        <v>0</v>
      </c>
    </row>
    <row r="19" spans="1:22" x14ac:dyDescent="0.25">
      <c r="A19" s="229"/>
      <c r="B19" s="229" t="s">
        <v>308</v>
      </c>
      <c r="C19" s="229"/>
      <c r="D19" s="229"/>
      <c r="E19" s="235">
        <v>200577833.48999998</v>
      </c>
      <c r="F19" s="230"/>
      <c r="G19" s="230">
        <v>200577833.48999998</v>
      </c>
      <c r="H19" s="230"/>
      <c r="I19" s="228">
        <f>G19-E19</f>
        <v>0</v>
      </c>
      <c r="J19" s="234"/>
      <c r="K19" s="230"/>
      <c r="L19" s="230"/>
      <c r="M19" s="230"/>
      <c r="N19" s="230"/>
      <c r="O19" s="230"/>
      <c r="P19" s="230"/>
      <c r="Q19" s="230"/>
      <c r="R19" s="230"/>
      <c r="S19" s="230"/>
      <c r="T19" s="230"/>
      <c r="U19" s="230"/>
      <c r="V19" s="228">
        <f>SUM(K19:T19)</f>
        <v>0</v>
      </c>
    </row>
    <row r="20" spans="1:22" x14ac:dyDescent="0.25">
      <c r="A20" s="229"/>
      <c r="B20" s="229" t="s">
        <v>307</v>
      </c>
      <c r="C20" s="229"/>
      <c r="D20" s="229"/>
      <c r="E20" s="235"/>
      <c r="F20" s="230"/>
      <c r="G20" s="230"/>
      <c r="H20" s="230"/>
      <c r="J20" s="234"/>
      <c r="K20" s="230"/>
      <c r="L20" s="230"/>
      <c r="M20" s="230"/>
      <c r="N20" s="230"/>
      <c r="O20" s="230"/>
      <c r="P20" s="230"/>
      <c r="Q20" s="230"/>
      <c r="R20" s="230"/>
      <c r="S20" s="230"/>
      <c r="T20" s="230"/>
      <c r="U20" s="230"/>
      <c r="V20" s="228">
        <f>SUM(K20:T20)</f>
        <v>0</v>
      </c>
    </row>
    <row r="21" spans="1:22" x14ac:dyDescent="0.25">
      <c r="A21" s="229"/>
      <c r="B21" s="229" t="s">
        <v>306</v>
      </c>
      <c r="C21" s="229"/>
      <c r="D21" s="229"/>
      <c r="E21" s="235">
        <v>374638.98</v>
      </c>
      <c r="F21" s="230"/>
      <c r="G21" s="230">
        <v>374638.98</v>
      </c>
      <c r="H21" s="230"/>
      <c r="I21" s="228">
        <f>G21-E21</f>
        <v>0</v>
      </c>
      <c r="J21" s="234"/>
      <c r="K21" s="230"/>
      <c r="L21" s="230"/>
      <c r="M21" s="230"/>
      <c r="N21" s="230"/>
      <c r="O21" s="230"/>
      <c r="P21" s="230"/>
      <c r="Q21" s="230"/>
      <c r="R21" s="230"/>
      <c r="S21" s="230"/>
      <c r="T21" s="230"/>
      <c r="U21" s="230"/>
      <c r="V21" s="228">
        <f>SUM(K21:T21)</f>
        <v>0</v>
      </c>
    </row>
    <row r="22" spans="1:22" x14ac:dyDescent="0.25">
      <c r="A22" s="229"/>
      <c r="B22" s="229" t="s">
        <v>305</v>
      </c>
      <c r="C22" s="229"/>
      <c r="D22" s="229"/>
      <c r="E22" s="235"/>
      <c r="F22" s="230"/>
      <c r="G22" s="230"/>
      <c r="H22" s="230"/>
      <c r="J22" s="234"/>
      <c r="K22" s="230"/>
      <c r="L22" s="230"/>
      <c r="M22" s="230"/>
      <c r="N22" s="230"/>
      <c r="O22" s="230"/>
      <c r="P22" s="230"/>
      <c r="Q22" s="230"/>
      <c r="R22" s="230"/>
      <c r="S22" s="230"/>
      <c r="T22" s="230"/>
      <c r="U22" s="230"/>
      <c r="V22" s="228">
        <f>SUM(K22:T22)</f>
        <v>0</v>
      </c>
    </row>
    <row r="23" spans="1:22" x14ac:dyDescent="0.25">
      <c r="A23" s="229"/>
      <c r="B23" s="229" t="s">
        <v>304</v>
      </c>
      <c r="C23" s="229"/>
      <c r="D23" s="229"/>
      <c r="E23" s="235"/>
      <c r="F23" s="230"/>
      <c r="G23" s="230"/>
      <c r="H23" s="230"/>
      <c r="J23" s="234"/>
      <c r="K23" s="230"/>
      <c r="L23" s="230"/>
      <c r="M23" s="230"/>
      <c r="N23" s="230"/>
      <c r="O23" s="230"/>
      <c r="P23" s="230"/>
      <c r="Q23" s="230"/>
      <c r="R23" s="230"/>
      <c r="S23" s="230"/>
      <c r="T23" s="230"/>
      <c r="U23" s="230"/>
      <c r="V23" s="228">
        <f>SUM(K23:T23)</f>
        <v>0</v>
      </c>
    </row>
    <row r="24" spans="1:22" x14ac:dyDescent="0.25">
      <c r="A24" s="229"/>
      <c r="B24" s="229" t="s">
        <v>303</v>
      </c>
      <c r="C24" s="229"/>
      <c r="D24" s="229"/>
      <c r="E24" s="235">
        <v>91516504.789999992</v>
      </c>
      <c r="F24" s="230"/>
      <c r="G24" s="230">
        <v>91516504.789999992</v>
      </c>
      <c r="H24" s="230"/>
      <c r="I24" s="228">
        <f>G24-E24</f>
        <v>0</v>
      </c>
      <c r="J24" s="234"/>
      <c r="K24" s="230"/>
      <c r="L24" s="230"/>
      <c r="M24" s="230"/>
      <c r="N24" s="230"/>
      <c r="O24" s="230"/>
      <c r="P24" s="230"/>
      <c r="Q24" s="230"/>
      <c r="R24" s="230"/>
      <c r="S24" s="230"/>
      <c r="T24" s="230"/>
      <c r="U24" s="230"/>
      <c r="V24" s="228">
        <f>SUM(K24:T24)</f>
        <v>0</v>
      </c>
    </row>
    <row r="25" spans="1:22" x14ac:dyDescent="0.25">
      <c r="A25" s="229"/>
      <c r="B25" s="229" t="s">
        <v>14</v>
      </c>
      <c r="C25" s="229"/>
      <c r="D25" s="229"/>
      <c r="E25" s="235"/>
      <c r="F25" s="230"/>
      <c r="G25" s="230"/>
      <c r="H25" s="230"/>
      <c r="J25" s="234"/>
      <c r="K25" s="230"/>
      <c r="L25" s="230"/>
      <c r="M25" s="230"/>
      <c r="N25" s="230"/>
      <c r="O25" s="230"/>
      <c r="P25" s="230"/>
      <c r="Q25" s="230"/>
      <c r="R25" s="230"/>
      <c r="S25" s="230"/>
      <c r="T25" s="230"/>
      <c r="U25" s="230"/>
      <c r="V25" s="228">
        <f>SUM(K25:T25)</f>
        <v>0</v>
      </c>
    </row>
    <row r="26" spans="1:22" ht="45" x14ac:dyDescent="0.25">
      <c r="A26" s="229"/>
      <c r="B26" s="236" t="s">
        <v>302</v>
      </c>
      <c r="C26" s="229"/>
      <c r="D26" s="229"/>
      <c r="E26" s="235">
        <v>8479526.7599999998</v>
      </c>
      <c r="F26" s="230"/>
      <c r="G26" s="230">
        <v>8479526.7599999998</v>
      </c>
      <c r="H26" s="230"/>
      <c r="I26" s="228">
        <f>G26-E26</f>
        <v>0</v>
      </c>
      <c r="J26" s="234"/>
      <c r="K26" s="230"/>
      <c r="L26" s="230"/>
      <c r="M26" s="230"/>
      <c r="N26" s="230"/>
      <c r="O26" s="230"/>
      <c r="P26" s="230"/>
      <c r="Q26" s="230"/>
      <c r="R26" s="230"/>
      <c r="S26" s="230">
        <v>0</v>
      </c>
      <c r="T26" s="230"/>
      <c r="U26" s="230"/>
      <c r="V26" s="228">
        <f>SUM(K26:T26)</f>
        <v>0</v>
      </c>
    </row>
    <row r="27" spans="1:22" x14ac:dyDescent="0.25">
      <c r="A27" s="229"/>
      <c r="B27" s="229" t="s">
        <v>301</v>
      </c>
      <c r="C27" s="229"/>
      <c r="D27" s="229"/>
      <c r="E27" s="235"/>
      <c r="F27" s="230"/>
      <c r="G27" s="230"/>
      <c r="H27" s="230"/>
      <c r="J27" s="234"/>
      <c r="K27" s="230"/>
      <c r="L27" s="230"/>
      <c r="M27" s="230"/>
      <c r="N27" s="230"/>
      <c r="O27" s="230"/>
      <c r="P27" s="230"/>
      <c r="Q27" s="230"/>
      <c r="R27" s="230"/>
      <c r="S27" s="230"/>
      <c r="T27" s="230"/>
      <c r="U27" s="230"/>
      <c r="V27" s="228">
        <f>SUM(K27:T27)</f>
        <v>0</v>
      </c>
    </row>
    <row r="28" spans="1:22" x14ac:dyDescent="0.25">
      <c r="A28" s="229"/>
      <c r="B28" s="229" t="s">
        <v>300</v>
      </c>
      <c r="C28" s="229"/>
      <c r="D28" s="229"/>
      <c r="E28" s="235"/>
      <c r="F28" s="230"/>
      <c r="G28" s="230"/>
      <c r="H28" s="230"/>
      <c r="I28" s="228">
        <f>G28-E28</f>
        <v>0</v>
      </c>
      <c r="J28" s="234"/>
      <c r="K28" s="230"/>
      <c r="L28" s="230"/>
      <c r="M28" s="230"/>
      <c r="N28" s="230"/>
      <c r="O28" s="230"/>
      <c r="P28" s="230"/>
      <c r="Q28" s="230"/>
      <c r="R28" s="230"/>
      <c r="S28" s="230"/>
      <c r="T28" s="230"/>
      <c r="U28" s="230"/>
      <c r="V28" s="228">
        <f>SUM(K28:T28)</f>
        <v>0</v>
      </c>
    </row>
    <row r="29" spans="1:22" ht="15.75" thickBot="1" x14ac:dyDescent="0.3">
      <c r="A29" s="233" t="s">
        <v>12</v>
      </c>
      <c r="E29" s="231">
        <f>SUM(E12:E28)</f>
        <v>102601395308.82999</v>
      </c>
      <c r="G29" s="231">
        <f>SUM(G12:G28)</f>
        <v>102723109200.65999</v>
      </c>
      <c r="I29" s="231">
        <f>SUM(I12:I28)</f>
        <v>121713891.83000469</v>
      </c>
      <c r="J29" s="232"/>
      <c r="K29" s="231">
        <f>SUM(K12:K28)</f>
        <v>0</v>
      </c>
      <c r="L29" s="228"/>
      <c r="M29" s="231">
        <f>SUM(M12:M28)</f>
        <v>0</v>
      </c>
      <c r="N29" s="228"/>
      <c r="O29" s="231">
        <f>SUM(O12:O28)</f>
        <v>0</v>
      </c>
      <c r="P29" s="228"/>
      <c r="Q29" s="231">
        <f>SUM(Q12:Q28)</f>
        <v>129790510.42000274</v>
      </c>
      <c r="R29" s="228"/>
      <c r="S29" s="231">
        <f>SUM(S12:S28)</f>
        <v>0</v>
      </c>
      <c r="T29" s="231">
        <f>SUM(T12:T28)</f>
        <v>-8076618.5899999989</v>
      </c>
      <c r="U29" s="228"/>
      <c r="V29" s="231">
        <f>SUM(V12:V28)</f>
        <v>121713891.83000274</v>
      </c>
    </row>
    <row r="30" spans="1:22" ht="15.75" thickTop="1" x14ac:dyDescent="0.25">
      <c r="A30" s="229"/>
      <c r="B30" s="229"/>
      <c r="C30" s="229"/>
      <c r="D30" s="229"/>
      <c r="E30" s="230"/>
      <c r="F30" s="230"/>
      <c r="G30" s="230"/>
      <c r="H30" s="230"/>
      <c r="I30" s="230"/>
      <c r="J30" s="230"/>
      <c r="K30" s="230"/>
      <c r="L30" s="230"/>
      <c r="M30" s="230"/>
      <c r="N30" s="230"/>
      <c r="O30" s="230"/>
      <c r="P30" s="230"/>
      <c r="Q30" s="230"/>
      <c r="R30" s="230"/>
      <c r="S30" s="230"/>
      <c r="T30" s="230"/>
      <c r="U30" s="230"/>
      <c r="V30" s="230"/>
    </row>
    <row r="31" spans="1:22" x14ac:dyDescent="0.25">
      <c r="A31" s="229"/>
      <c r="B31" s="229"/>
      <c r="C31" s="229"/>
      <c r="D31" s="229"/>
      <c r="E31" s="230"/>
      <c r="F31" s="230"/>
      <c r="G31" s="230"/>
      <c r="H31" s="230"/>
      <c r="I31" s="230"/>
      <c r="J31" s="230"/>
      <c r="K31" s="230"/>
      <c r="L31" s="229"/>
      <c r="M31" s="229"/>
      <c r="N31" s="229"/>
      <c r="O31" s="229"/>
      <c r="P31" s="229"/>
      <c r="Q31" s="229"/>
      <c r="R31" s="229"/>
      <c r="S31" s="229"/>
      <c r="T31" s="229"/>
      <c r="U31" s="229"/>
      <c r="V31" s="229"/>
    </row>
    <row r="32" spans="1:22" x14ac:dyDescent="0.25">
      <c r="A32" s="229" t="s">
        <v>299</v>
      </c>
      <c r="B32" s="229"/>
      <c r="C32" s="229"/>
      <c r="D32" s="229"/>
      <c r="E32" s="230"/>
      <c r="F32" s="230"/>
      <c r="G32" s="230"/>
      <c r="H32" s="230"/>
      <c r="I32" s="230"/>
      <c r="J32" s="230"/>
      <c r="K32" s="230"/>
      <c r="L32" s="229"/>
      <c r="M32" s="229"/>
      <c r="N32" s="229"/>
      <c r="O32" s="229"/>
      <c r="P32" s="229"/>
      <c r="Q32" s="229"/>
      <c r="R32" s="229"/>
      <c r="S32" s="229"/>
      <c r="T32" s="229"/>
      <c r="U32" s="229"/>
      <c r="V32" s="229"/>
    </row>
    <row r="33" spans="1:22" x14ac:dyDescent="0.25">
      <c r="A33" s="229" t="s">
        <v>298</v>
      </c>
      <c r="B33" s="229"/>
      <c r="C33" s="229" t="s">
        <v>297</v>
      </c>
      <c r="D33" s="229"/>
      <c r="E33" s="230"/>
      <c r="F33" s="230"/>
      <c r="G33" s="230"/>
      <c r="H33" s="230"/>
      <c r="I33" s="230"/>
      <c r="J33" s="230"/>
      <c r="K33" s="230"/>
      <c r="L33" s="229"/>
      <c r="M33" s="229"/>
      <c r="N33" s="229"/>
      <c r="O33" s="229"/>
      <c r="P33" s="229"/>
      <c r="Q33" s="229"/>
      <c r="R33" s="229"/>
      <c r="S33" s="229"/>
      <c r="T33" s="229"/>
      <c r="U33" s="229"/>
      <c r="V33" s="229"/>
    </row>
    <row r="34" spans="1:22" x14ac:dyDescent="0.25">
      <c r="A34" s="229" t="s">
        <v>296</v>
      </c>
      <c r="B34" s="229"/>
      <c r="C34" s="229" t="s">
        <v>295</v>
      </c>
      <c r="D34" s="229"/>
      <c r="E34" s="230"/>
      <c r="F34" s="230"/>
      <c r="G34" s="230"/>
      <c r="H34" s="230"/>
      <c r="I34" s="230"/>
      <c r="J34" s="230"/>
      <c r="K34" s="230"/>
      <c r="L34" s="229"/>
      <c r="M34" s="229"/>
      <c r="N34" s="229"/>
      <c r="O34" s="229"/>
      <c r="P34" s="229"/>
      <c r="Q34" s="229"/>
      <c r="R34" s="229"/>
      <c r="S34" s="229"/>
      <c r="T34" s="229"/>
      <c r="U34" s="229"/>
      <c r="V34" s="229"/>
    </row>
    <row r="35" spans="1:22" x14ac:dyDescent="0.25">
      <c r="A35" s="229" t="s">
        <v>294</v>
      </c>
      <c r="B35" s="229"/>
      <c r="C35" s="229" t="s">
        <v>293</v>
      </c>
      <c r="D35" s="229"/>
      <c r="E35" s="230"/>
      <c r="F35" s="230"/>
      <c r="G35" s="230"/>
      <c r="H35" s="230"/>
      <c r="I35" s="230"/>
      <c r="J35" s="230"/>
      <c r="K35" s="230"/>
      <c r="L35" s="229"/>
      <c r="M35" s="229"/>
      <c r="N35" s="229"/>
      <c r="O35" s="229"/>
      <c r="P35" s="229"/>
      <c r="Q35" s="229"/>
      <c r="R35" s="229"/>
      <c r="S35" s="229"/>
      <c r="T35" s="229"/>
      <c r="U35" s="229"/>
      <c r="V35" s="229"/>
    </row>
    <row r="36" spans="1:22" x14ac:dyDescent="0.25">
      <c r="A36" s="229"/>
      <c r="B36" s="229"/>
      <c r="C36" s="229" t="s">
        <v>292</v>
      </c>
      <c r="D36" s="229"/>
      <c r="E36" s="230"/>
      <c r="F36" s="230"/>
      <c r="G36" s="230"/>
      <c r="H36" s="230"/>
      <c r="I36" s="230"/>
      <c r="J36" s="230"/>
      <c r="K36" s="230"/>
      <c r="L36" s="229"/>
      <c r="M36" s="229"/>
      <c r="N36" s="229"/>
      <c r="O36" s="229"/>
      <c r="P36" s="229"/>
      <c r="Q36" s="229"/>
      <c r="R36" s="229"/>
      <c r="S36" s="229"/>
      <c r="T36" s="229"/>
      <c r="U36" s="229"/>
      <c r="V36" s="229"/>
    </row>
    <row r="37" spans="1:22" x14ac:dyDescent="0.25">
      <c r="A37" s="229" t="s">
        <v>291</v>
      </c>
      <c r="B37" s="229"/>
      <c r="C37" s="229" t="s">
        <v>290</v>
      </c>
      <c r="D37" s="229"/>
      <c r="E37" s="230"/>
      <c r="F37" s="230"/>
      <c r="G37" s="230"/>
      <c r="H37" s="230"/>
      <c r="I37" s="230"/>
      <c r="J37" s="230"/>
      <c r="K37" s="230"/>
      <c r="L37" s="229"/>
      <c r="M37" s="229"/>
      <c r="N37" s="229"/>
      <c r="O37" s="229"/>
      <c r="P37" s="229"/>
      <c r="Q37" s="229"/>
      <c r="R37" s="229"/>
      <c r="S37" s="229"/>
      <c r="T37" s="229"/>
      <c r="U37" s="229"/>
      <c r="V37" s="229"/>
    </row>
    <row r="38" spans="1:22" x14ac:dyDescent="0.25">
      <c r="A38" s="229" t="s">
        <v>289</v>
      </c>
      <c r="B38" s="229"/>
      <c r="C38" s="229" t="s">
        <v>288</v>
      </c>
      <c r="D38" s="229"/>
      <c r="E38" s="230"/>
      <c r="F38" s="230"/>
      <c r="G38" s="230"/>
      <c r="H38" s="230"/>
      <c r="I38" s="230"/>
      <c r="J38" s="230"/>
      <c r="K38" s="230"/>
      <c r="L38" s="229"/>
      <c r="M38" s="229"/>
      <c r="N38" s="229"/>
      <c r="O38" s="229"/>
      <c r="P38" s="229"/>
      <c r="Q38" s="229"/>
      <c r="R38" s="229"/>
      <c r="S38" s="229"/>
      <c r="T38" s="229"/>
      <c r="U38" s="229"/>
      <c r="V38" s="229"/>
    </row>
    <row r="39" spans="1:22" x14ac:dyDescent="0.25">
      <c r="A39" s="229"/>
      <c r="B39" s="229"/>
      <c r="C39" s="229"/>
      <c r="D39" s="229"/>
      <c r="E39" s="230"/>
      <c r="F39" s="230"/>
      <c r="G39" s="230"/>
      <c r="H39" s="230"/>
      <c r="I39" s="230"/>
      <c r="J39" s="230"/>
      <c r="K39" s="230"/>
      <c r="L39" s="229"/>
      <c r="M39" s="229"/>
      <c r="N39" s="229"/>
      <c r="O39" s="229"/>
      <c r="P39" s="229"/>
      <c r="Q39" s="229"/>
      <c r="R39" s="229"/>
      <c r="S39" s="229"/>
      <c r="T39" s="229"/>
      <c r="U39" s="229"/>
      <c r="V39" s="229"/>
    </row>
  </sheetData>
  <printOptions horizontalCentered="1"/>
  <pageMargins left="0" right="0" top="0.75" bottom="0.75" header="0.3" footer="0.3"/>
  <pageSetup scale="55" orientation="landscape"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F071D-C48E-4673-B084-647BA5E8F48E}">
  <sheetPr>
    <pageSetUpPr fitToPage="1"/>
  </sheetPr>
  <dimension ref="A1:K54"/>
  <sheetViews>
    <sheetView zoomScaleNormal="100" workbookViewId="0">
      <pane ySplit="14" topLeftCell="A31"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26.140625" customWidth="1"/>
    <col min="5" max="5" width="19" customWidth="1"/>
    <col min="6" max="6" width="17.42578125" customWidth="1"/>
    <col min="7" max="7" width="16.7109375" customWidth="1"/>
    <col min="8" max="8" width="3.140625" customWidth="1"/>
    <col min="9" max="9" width="10.140625" customWidth="1"/>
    <col min="10" max="10" width="15.85546875" bestFit="1" customWidth="1"/>
  </cols>
  <sheetData>
    <row r="1" spans="1:11" x14ac:dyDescent="0.25">
      <c r="A1" s="161"/>
      <c r="B1" s="161"/>
      <c r="C1" s="161"/>
      <c r="D1" s="161"/>
      <c r="E1" s="161"/>
      <c r="F1" s="161"/>
      <c r="G1" s="161"/>
      <c r="H1" s="161"/>
      <c r="I1" s="146" t="s">
        <v>84</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6" t="s">
        <v>69</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6" t="s">
        <v>70</v>
      </c>
      <c r="D8" s="147"/>
      <c r="E8" s="147"/>
      <c r="F8" s="147"/>
      <c r="G8" s="147"/>
      <c r="H8" s="147"/>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c r="G16" s="53"/>
      <c r="H16" s="148"/>
      <c r="I16" s="148"/>
      <c r="J16" s="53">
        <f t="shared" ref="J16:J21" si="0">F16+G16-H16</f>
        <v>0</v>
      </c>
      <c r="K16" s="41"/>
    </row>
    <row r="17" spans="1:11" s="37" customFormat="1" x14ac:dyDescent="0.25">
      <c r="A17" s="39" t="s">
        <v>71</v>
      </c>
      <c r="B17" s="40"/>
      <c r="C17" s="40"/>
      <c r="D17" s="40"/>
      <c r="E17" s="40"/>
      <c r="F17" s="53"/>
      <c r="G17" s="53"/>
      <c r="H17" s="148"/>
      <c r="I17" s="148"/>
      <c r="J17" s="53">
        <f t="shared" si="0"/>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v>40064932.170000002</v>
      </c>
      <c r="G19" s="53">
        <v>1267363.17</v>
      </c>
      <c r="H19" s="148"/>
      <c r="I19" s="148"/>
      <c r="J19" s="53">
        <f t="shared" si="0"/>
        <v>41332295.340000004</v>
      </c>
      <c r="K19" s="41"/>
    </row>
    <row r="20" spans="1:11" s="37" customFormat="1" ht="17.25" x14ac:dyDescent="0.25">
      <c r="A20" s="39" t="s">
        <v>220</v>
      </c>
      <c r="B20" s="40"/>
      <c r="C20" s="40"/>
      <c r="D20" s="40"/>
      <c r="E20" s="40"/>
      <c r="F20" s="53"/>
      <c r="G20" s="53"/>
      <c r="H20" s="148"/>
      <c r="I20" s="148"/>
      <c r="J20" s="53">
        <f t="shared" si="0"/>
        <v>0</v>
      </c>
      <c r="K20" s="41"/>
    </row>
    <row r="21" spans="1:11" s="37" customFormat="1" x14ac:dyDescent="0.25">
      <c r="A21" s="67" t="s">
        <v>269</v>
      </c>
      <c r="B21" s="40"/>
      <c r="C21" s="40"/>
      <c r="D21" s="40"/>
      <c r="E21" s="40"/>
      <c r="F21" s="53">
        <v>7120136.4699999997</v>
      </c>
      <c r="G21" s="53"/>
      <c r="H21" s="148"/>
      <c r="I21" s="148"/>
      <c r="J21" s="53">
        <f t="shared" si="0"/>
        <v>7120136.4699999997</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v>2193840.4300000002</v>
      </c>
      <c r="G24" s="53">
        <v>432271.49999999988</v>
      </c>
      <c r="H24" s="148"/>
      <c r="I24" s="148"/>
      <c r="J24" s="53">
        <f>F24+G24-H24</f>
        <v>2626111.9300000002</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v>17089707.534362476</v>
      </c>
      <c r="G30" s="53"/>
      <c r="H30" s="148"/>
      <c r="I30" s="148"/>
      <c r="J30" s="53">
        <f t="shared" si="1"/>
        <v>17089707.534362476</v>
      </c>
      <c r="K30" s="41"/>
    </row>
    <row r="31" spans="1:11" s="37" customFormat="1" ht="29.1" customHeight="1" x14ac:dyDescent="0.2">
      <c r="A31" s="150" t="s">
        <v>80</v>
      </c>
      <c r="B31" s="150"/>
      <c r="C31" s="150"/>
      <c r="D31" s="150"/>
      <c r="E31" s="150"/>
      <c r="F31" s="53">
        <v>135390.59999999998</v>
      </c>
      <c r="G31" s="53">
        <v>27869.27553913973</v>
      </c>
      <c r="H31" s="148">
        <v>45732.921748605739</v>
      </c>
      <c r="I31" s="148"/>
      <c r="J31" s="53">
        <f t="shared" si="1"/>
        <v>117526.95379053397</v>
      </c>
      <c r="K31" s="41"/>
    </row>
    <row r="32" spans="1:11" s="37" customFormat="1" x14ac:dyDescent="0.25">
      <c r="A32" s="39" t="s">
        <v>81</v>
      </c>
      <c r="B32" s="40"/>
      <c r="C32" s="40"/>
      <c r="D32" s="40"/>
      <c r="E32" s="40"/>
      <c r="F32" s="53"/>
      <c r="G32" s="53"/>
      <c r="H32" s="53"/>
      <c r="I32" s="53"/>
      <c r="J32" s="53">
        <f t="shared" si="1"/>
        <v>0</v>
      </c>
      <c r="K32" s="41"/>
    </row>
    <row r="33" spans="1:11" x14ac:dyDescent="0.25">
      <c r="A33" s="3"/>
      <c r="B33" s="3"/>
      <c r="C33" s="3"/>
      <c r="D33" s="3"/>
      <c r="E33" s="3"/>
      <c r="F33" s="21"/>
      <c r="G33" s="21"/>
      <c r="H33" s="21"/>
      <c r="I33" s="21"/>
      <c r="J33" s="21"/>
      <c r="K33" s="15"/>
    </row>
    <row r="34" spans="1:11" ht="15.75" customHeight="1" x14ac:dyDescent="0.25">
      <c r="A34" s="1"/>
      <c r="B34" s="1"/>
      <c r="C34" s="1"/>
      <c r="D34" s="1"/>
      <c r="E34" s="1"/>
      <c r="F34" s="2"/>
      <c r="G34" s="2"/>
      <c r="H34" s="2"/>
      <c r="I34" s="2"/>
      <c r="J34" s="2"/>
    </row>
    <row r="35" spans="1:11" x14ac:dyDescent="0.25">
      <c r="A35" s="4" t="s">
        <v>3</v>
      </c>
      <c r="B35" s="140" t="s">
        <v>82</v>
      </c>
      <c r="C35" s="199"/>
      <c r="D35" s="199"/>
      <c r="F35" s="57">
        <f>SUM(F16:F34)</f>
        <v>66604007.204362474</v>
      </c>
      <c r="G35" s="57">
        <f>SUM(G16:G33)</f>
        <v>1727503.9455391397</v>
      </c>
      <c r="H35" s="200">
        <f>SUM(H16:H33)</f>
        <v>45732.921748605739</v>
      </c>
      <c r="I35" s="200"/>
      <c r="J35" s="57">
        <f>SUM(J16:J33)</f>
        <v>68285778.228153005</v>
      </c>
    </row>
    <row r="36" spans="1:11" x14ac:dyDescent="0.25">
      <c r="A36" s="4"/>
      <c r="B36" s="198"/>
      <c r="C36" s="198"/>
      <c r="D36" s="198"/>
      <c r="E36" s="57"/>
      <c r="F36" s="57"/>
      <c r="G36" s="57"/>
      <c r="H36" s="57"/>
      <c r="I36" s="57"/>
      <c r="J36" s="57"/>
    </row>
    <row r="37" spans="1:11" x14ac:dyDescent="0.25">
      <c r="A37" s="13" t="s">
        <v>35</v>
      </c>
    </row>
    <row r="38" spans="1:11" s="7" customFormat="1" x14ac:dyDescent="0.25">
      <c r="A38" s="7" t="s">
        <v>86</v>
      </c>
    </row>
    <row r="39" spans="1:11" s="7" customFormat="1" x14ac:dyDescent="0.25"/>
    <row r="41" spans="1:11" s="64" customFormat="1" ht="14.45" customHeight="1" x14ac:dyDescent="0.2">
      <c r="A41" s="143" t="s">
        <v>30</v>
      </c>
      <c r="B41" s="143"/>
      <c r="C41" s="143"/>
      <c r="D41" s="143"/>
      <c r="E41" s="143"/>
      <c r="F41" s="143"/>
      <c r="G41" s="143"/>
      <c r="H41" s="143"/>
      <c r="I41" s="143"/>
      <c r="J41" s="143"/>
    </row>
    <row r="42" spans="1:11" s="64" customFormat="1" ht="14.25" x14ac:dyDescent="0.2">
      <c r="A42" s="143"/>
      <c r="B42" s="143"/>
      <c r="C42" s="143"/>
      <c r="D42" s="143"/>
      <c r="E42" s="143"/>
      <c r="F42" s="143"/>
      <c r="G42" s="143"/>
      <c r="H42" s="143"/>
      <c r="I42" s="143"/>
      <c r="J42" s="143"/>
    </row>
    <row r="43" spans="1:11" s="64" customFormat="1" ht="14.25" x14ac:dyDescent="0.2">
      <c r="A43" s="143"/>
      <c r="B43" s="143"/>
      <c r="C43" s="143"/>
      <c r="D43" s="143"/>
      <c r="E43" s="143"/>
      <c r="F43" s="143"/>
      <c r="G43" s="143"/>
      <c r="H43" s="143"/>
      <c r="I43" s="143"/>
      <c r="J43" s="143"/>
    </row>
    <row r="44" spans="1:11" s="64" customFormat="1" ht="14.25" x14ac:dyDescent="0.2">
      <c r="A44" s="143"/>
      <c r="B44" s="143"/>
      <c r="C44" s="143"/>
      <c r="D44" s="143"/>
      <c r="E44" s="143"/>
      <c r="F44" s="143"/>
      <c r="G44" s="143"/>
      <c r="H44" s="143"/>
      <c r="I44" s="143"/>
      <c r="J44" s="143"/>
    </row>
    <row r="45" spans="1:11" s="64" customFormat="1" ht="14.25" x14ac:dyDescent="0.2"/>
    <row r="46" spans="1:11" s="64" customFormat="1" ht="14.25" x14ac:dyDescent="0.2">
      <c r="A46" s="64" t="s">
        <v>28</v>
      </c>
    </row>
    <row r="47" spans="1:11" s="64" customFormat="1" ht="14.25" x14ac:dyDescent="0.2">
      <c r="A47" s="143"/>
      <c r="B47" s="143"/>
      <c r="C47" s="143"/>
      <c r="D47" s="143"/>
      <c r="E47" s="143"/>
      <c r="F47" s="143"/>
      <c r="G47" s="143"/>
      <c r="H47" s="143"/>
      <c r="I47" s="143"/>
      <c r="J47" s="143"/>
    </row>
    <row r="48" spans="1:11" s="64" customFormat="1" ht="14.25" x14ac:dyDescent="0.2">
      <c r="A48" s="74"/>
      <c r="B48" s="74"/>
      <c r="C48" s="74"/>
      <c r="D48" s="74"/>
      <c r="E48" s="74"/>
      <c r="F48" s="74"/>
      <c r="G48" s="74"/>
      <c r="H48" s="74"/>
      <c r="I48" s="74"/>
      <c r="J48" s="74"/>
    </row>
    <row r="49" spans="1:10" s="64" customFormat="1" ht="14.25" x14ac:dyDescent="0.2">
      <c r="A49" s="74"/>
      <c r="B49" s="74"/>
      <c r="C49" s="74"/>
      <c r="D49" s="74"/>
      <c r="E49" s="74"/>
      <c r="F49" s="74"/>
      <c r="G49" s="74"/>
      <c r="H49" s="74"/>
      <c r="I49" s="74"/>
      <c r="J49" s="74"/>
    </row>
    <row r="50" spans="1:10" s="64" customFormat="1" ht="14.25" x14ac:dyDescent="0.2">
      <c r="A50" s="74"/>
      <c r="B50" s="74"/>
      <c r="C50" s="74"/>
      <c r="D50" s="74"/>
      <c r="E50" s="74"/>
      <c r="F50" s="74"/>
      <c r="G50" s="74"/>
      <c r="H50" s="74"/>
      <c r="I50" s="74"/>
      <c r="J50" s="74"/>
    </row>
    <row r="51" spans="1:10" s="64" customFormat="1" ht="14.25" x14ac:dyDescent="0.2"/>
    <row r="52" spans="1:10" s="64" customFormat="1" ht="14.25" x14ac:dyDescent="0.2">
      <c r="I52" s="76" t="s">
        <v>31</v>
      </c>
      <c r="J52" s="77"/>
    </row>
    <row r="53" spans="1:10" s="64" customFormat="1" ht="14.25" x14ac:dyDescent="0.2">
      <c r="I53" s="50" t="s">
        <v>32</v>
      </c>
      <c r="J53" s="47"/>
    </row>
    <row r="54" spans="1:10" s="64" customFormat="1" ht="14.25" x14ac:dyDescent="0.2">
      <c r="I54" s="50" t="s">
        <v>33</v>
      </c>
      <c r="J54" s="47"/>
    </row>
  </sheetData>
  <mergeCells count="52">
    <mergeCell ref="A47:J47"/>
    <mergeCell ref="H26:I26"/>
    <mergeCell ref="H27:I27"/>
    <mergeCell ref="H28:I28"/>
    <mergeCell ref="H29:I29"/>
    <mergeCell ref="H30:I30"/>
    <mergeCell ref="A29:E29"/>
    <mergeCell ref="A30:E30"/>
    <mergeCell ref="A31:E31"/>
    <mergeCell ref="B36:D36"/>
    <mergeCell ref="B35:D35"/>
    <mergeCell ref="H31:I31"/>
    <mergeCell ref="H35:I35"/>
    <mergeCell ref="A41:J44"/>
    <mergeCell ref="H21:I21"/>
    <mergeCell ref="H22:I22"/>
    <mergeCell ref="H23:I23"/>
    <mergeCell ref="H24:I24"/>
    <mergeCell ref="H25:I25"/>
    <mergeCell ref="H16:I16"/>
    <mergeCell ref="H17:I17"/>
    <mergeCell ref="H18:I18"/>
    <mergeCell ref="H19:I19"/>
    <mergeCell ref="H20:I20"/>
    <mergeCell ref="A24:E24"/>
    <mergeCell ref="A25:E25"/>
    <mergeCell ref="A26:E26"/>
    <mergeCell ref="A27:E27"/>
    <mergeCell ref="A28:E28"/>
    <mergeCell ref="A11:J11"/>
    <mergeCell ref="A12:J12"/>
    <mergeCell ref="A13:J13"/>
    <mergeCell ref="A14:E14"/>
    <mergeCell ref="A15:J15"/>
    <mergeCell ref="H14:I14"/>
    <mergeCell ref="A9:B9"/>
    <mergeCell ref="C9:H9"/>
    <mergeCell ref="A10:B10"/>
    <mergeCell ref="C10:H10"/>
    <mergeCell ref="I10:J10"/>
    <mergeCell ref="A8:B8"/>
    <mergeCell ref="C8:H8"/>
    <mergeCell ref="A1:C1"/>
    <mergeCell ref="D1:H1"/>
    <mergeCell ref="I1:J1"/>
    <mergeCell ref="A2:J2"/>
    <mergeCell ref="A3:J3"/>
    <mergeCell ref="A4:J4"/>
    <mergeCell ref="A5:J5"/>
    <mergeCell ref="A6:J6"/>
    <mergeCell ref="A7:B7"/>
    <mergeCell ref="C7:H7"/>
  </mergeCells>
  <pageMargins left="0.25" right="0.25" top="0.75" bottom="0.75" header="0.3" footer="0.3"/>
  <pageSetup scale="76" orientation="portrait"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2BE3F-0789-43A5-AB77-6EB2676DA4C4}">
  <sheetPr>
    <pageSetUpPr fitToPage="1"/>
  </sheetPr>
  <dimension ref="A1:K57"/>
  <sheetViews>
    <sheetView zoomScale="98" zoomScaleNormal="98" workbookViewId="0">
      <pane ySplit="14" topLeftCell="A21"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8" customWidth="1"/>
    <col min="5" max="5" width="14.7109375" customWidth="1"/>
    <col min="6" max="6" width="17.42578125" customWidth="1"/>
    <col min="7" max="7" width="10.140625" customWidth="1"/>
    <col min="8" max="8" width="3.7109375" customWidth="1"/>
    <col min="9" max="9" width="10.85546875" customWidth="1"/>
    <col min="10" max="10" width="17.85546875" customWidth="1"/>
  </cols>
  <sheetData>
    <row r="1" spans="1:11" x14ac:dyDescent="0.25">
      <c r="A1" s="161"/>
      <c r="B1" s="161"/>
      <c r="C1" s="161"/>
      <c r="D1" s="161"/>
      <c r="E1" s="161"/>
      <c r="F1" s="161"/>
      <c r="G1" s="161"/>
      <c r="H1" s="161"/>
      <c r="I1" s="146" t="s">
        <v>85</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7" t="s">
        <v>246</v>
      </c>
      <c r="B4" s="156"/>
      <c r="C4" s="156"/>
      <c r="D4" s="156"/>
      <c r="E4" s="156"/>
      <c r="F4" s="156"/>
      <c r="G4" s="156"/>
      <c r="H4" s="156"/>
      <c r="I4" s="156"/>
      <c r="J4" s="156"/>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7" t="s">
        <v>247</v>
      </c>
      <c r="D8" s="147"/>
      <c r="E8" s="147"/>
      <c r="F8" s="147"/>
      <c r="G8" s="147"/>
      <c r="H8" s="147"/>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c r="G16" s="53"/>
      <c r="H16" s="148"/>
      <c r="I16" s="148"/>
      <c r="J16" s="53">
        <f t="shared" ref="J16:J21" si="0">F16+G16-H16</f>
        <v>0</v>
      </c>
      <c r="K16" s="41"/>
    </row>
    <row r="17" spans="1:11" s="37" customFormat="1" x14ac:dyDescent="0.25">
      <c r="A17" s="39" t="s">
        <v>71</v>
      </c>
      <c r="B17" s="40"/>
      <c r="C17" s="40"/>
      <c r="D17" s="40"/>
      <c r="E17" s="40"/>
      <c r="F17" s="53"/>
      <c r="G17" s="53"/>
      <c r="H17" s="148"/>
      <c r="I17" s="148"/>
      <c r="J17" s="53">
        <f t="shared" si="0"/>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c r="G19" s="53"/>
      <c r="H19" s="148"/>
      <c r="I19" s="148"/>
      <c r="J19" s="53">
        <f t="shared" si="0"/>
        <v>0</v>
      </c>
      <c r="K19" s="41"/>
    </row>
    <row r="20" spans="1:11" s="37" customFormat="1" ht="17.25" x14ac:dyDescent="0.25">
      <c r="A20" s="39" t="s">
        <v>220</v>
      </c>
      <c r="B20" s="40"/>
      <c r="C20" s="40"/>
      <c r="D20" s="40"/>
      <c r="E20" s="40"/>
      <c r="F20" s="53">
        <v>61012094.340000004</v>
      </c>
      <c r="G20" s="53"/>
      <c r="H20" s="148"/>
      <c r="I20" s="148"/>
      <c r="J20" s="53">
        <f t="shared" si="0"/>
        <v>61012094.340000004</v>
      </c>
      <c r="K20" s="41"/>
    </row>
    <row r="21" spans="1:11" s="37" customFormat="1" ht="17.25" x14ac:dyDescent="0.25">
      <c r="A21" s="67" t="s">
        <v>268</v>
      </c>
      <c r="B21" s="40"/>
      <c r="C21" s="40"/>
      <c r="D21" s="40"/>
      <c r="E21" s="40"/>
      <c r="F21" s="53">
        <v>1657162.12</v>
      </c>
      <c r="G21" s="53"/>
      <c r="H21" s="148"/>
      <c r="I21" s="148"/>
      <c r="J21" s="53">
        <f t="shared" si="0"/>
        <v>1657162.12</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c r="G24" s="53"/>
      <c r="H24" s="148"/>
      <c r="I24" s="148"/>
      <c r="J24" s="53">
        <f>F24+G24-H24</f>
        <v>0</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c r="G31" s="53"/>
      <c r="H31" s="148"/>
      <c r="I31" s="148"/>
      <c r="J31" s="53">
        <f t="shared" si="1"/>
        <v>0</v>
      </c>
      <c r="K31" s="41"/>
    </row>
    <row r="32" spans="1:11" s="37" customFormat="1" x14ac:dyDescent="0.25">
      <c r="A32" s="39" t="s">
        <v>81</v>
      </c>
      <c r="B32" s="40"/>
      <c r="C32" s="40"/>
      <c r="D32" s="40"/>
      <c r="E32" s="40"/>
      <c r="F32" s="53"/>
      <c r="G32" s="53"/>
      <c r="H32" s="148"/>
      <c r="I32" s="148"/>
      <c r="J32" s="53">
        <f t="shared" si="1"/>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87</v>
      </c>
      <c r="C35" s="141"/>
      <c r="D35" s="141"/>
      <c r="F35" s="56">
        <f>SUM(F16:F34)</f>
        <v>62669256.460000001</v>
      </c>
      <c r="G35" s="56">
        <f>SUM(G16:G34)</f>
        <v>0</v>
      </c>
      <c r="H35" s="162">
        <f>SUM(H16:H34)</f>
        <v>0</v>
      </c>
      <c r="I35" s="162"/>
      <c r="J35" s="56">
        <f>SUM(J16:J34)</f>
        <v>62669256.460000001</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ht="14.45" customHeight="1" x14ac:dyDescent="0.25">
      <c r="A40" s="143" t="s">
        <v>30</v>
      </c>
      <c r="B40" s="143"/>
      <c r="C40" s="143"/>
      <c r="D40" s="143"/>
      <c r="E40" s="143"/>
      <c r="F40" s="143"/>
      <c r="G40" s="143"/>
      <c r="H40" s="143"/>
      <c r="I40" s="143"/>
      <c r="J40" s="143"/>
    </row>
    <row r="41" spans="1:11" x14ac:dyDescent="0.25">
      <c r="A41" s="143"/>
      <c r="B41" s="143"/>
      <c r="C41" s="143"/>
      <c r="D41" s="143"/>
      <c r="E41" s="143"/>
      <c r="F41" s="143"/>
      <c r="G41" s="143"/>
      <c r="H41" s="143"/>
      <c r="I41" s="143"/>
      <c r="J41" s="143"/>
    </row>
    <row r="42" spans="1:11" x14ac:dyDescent="0.25">
      <c r="A42" s="143"/>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4"/>
      <c r="B44" s="64"/>
      <c r="C44" s="64"/>
      <c r="D44" s="64"/>
      <c r="E44" s="64"/>
      <c r="F44" s="64"/>
      <c r="G44" s="64"/>
      <c r="H44" s="64"/>
      <c r="I44" s="64"/>
      <c r="J44" s="64"/>
    </row>
    <row r="45" spans="1:11" x14ac:dyDescent="0.25">
      <c r="A45" s="64"/>
      <c r="B45" s="64"/>
      <c r="C45" s="64"/>
      <c r="D45" s="64"/>
      <c r="E45" s="64"/>
      <c r="F45" s="64"/>
      <c r="G45" s="64"/>
      <c r="H45" s="64"/>
      <c r="I45" s="64"/>
      <c r="J45" s="64"/>
    </row>
    <row r="46" spans="1:11" ht="14.45" customHeight="1" x14ac:dyDescent="0.25">
      <c r="A46" s="144" t="s">
        <v>28</v>
      </c>
      <c r="B46" s="144"/>
      <c r="C46" s="144"/>
      <c r="D46" s="144"/>
      <c r="E46" s="144"/>
      <c r="F46" s="144"/>
      <c r="G46" s="144"/>
      <c r="H46" s="144"/>
      <c r="I46" s="144"/>
      <c r="J46" s="144"/>
    </row>
    <row r="47" spans="1:11" x14ac:dyDescent="0.25">
      <c r="A47" s="144"/>
      <c r="B47" s="144"/>
      <c r="C47" s="144"/>
      <c r="D47" s="144"/>
      <c r="E47" s="144"/>
      <c r="F47" s="144"/>
      <c r="G47" s="144"/>
      <c r="H47" s="144"/>
      <c r="I47" s="144"/>
      <c r="J47" s="144"/>
    </row>
    <row r="48" spans="1:11" x14ac:dyDescent="0.25">
      <c r="A48" s="144"/>
      <c r="B48" s="144"/>
      <c r="C48" s="144"/>
      <c r="D48" s="144"/>
      <c r="E48" s="144"/>
      <c r="F48" s="144"/>
      <c r="G48" s="144"/>
      <c r="H48" s="144"/>
      <c r="I48" s="144"/>
      <c r="J48" s="144"/>
    </row>
    <row r="49" spans="1:10" x14ac:dyDescent="0.25">
      <c r="A49" s="144"/>
      <c r="B49" s="144"/>
      <c r="C49" s="144"/>
      <c r="D49" s="144"/>
      <c r="E49" s="144"/>
      <c r="F49" s="144"/>
      <c r="G49" s="144"/>
      <c r="H49" s="144"/>
      <c r="I49" s="144"/>
      <c r="J49" s="144"/>
    </row>
    <row r="50" spans="1:10" x14ac:dyDescent="0.25">
      <c r="A50" s="74"/>
      <c r="B50" s="74"/>
      <c r="C50" s="74"/>
      <c r="D50" s="74"/>
      <c r="E50" s="74"/>
      <c r="F50" s="74"/>
      <c r="G50" s="74"/>
      <c r="H50" s="74"/>
      <c r="I50" s="74"/>
      <c r="J50" s="74"/>
    </row>
    <row r="51" spans="1:10" x14ac:dyDescent="0.25">
      <c r="A51" s="74"/>
      <c r="B51" s="74"/>
      <c r="C51" s="74"/>
      <c r="D51" s="74"/>
      <c r="E51" s="74"/>
      <c r="F51" s="74"/>
      <c r="G51" s="74"/>
      <c r="H51" s="74"/>
      <c r="I51" s="74"/>
      <c r="J51" s="74"/>
    </row>
    <row r="52" spans="1:10" x14ac:dyDescent="0.25">
      <c r="A52" s="74"/>
      <c r="B52" s="74"/>
      <c r="C52" s="74"/>
      <c r="D52" s="74"/>
      <c r="E52" s="74"/>
      <c r="F52" s="74"/>
      <c r="G52" s="74"/>
      <c r="H52" s="74"/>
      <c r="I52" s="74"/>
      <c r="J52" s="74"/>
    </row>
    <row r="53" spans="1:10" x14ac:dyDescent="0.25">
      <c r="A53" s="64"/>
      <c r="B53" s="64"/>
      <c r="C53" s="64"/>
      <c r="D53" s="64"/>
      <c r="E53" s="64"/>
      <c r="F53" s="64"/>
      <c r="G53" s="64"/>
      <c r="H53" s="64"/>
      <c r="I53" s="64"/>
      <c r="J53" s="64"/>
    </row>
    <row r="54" spans="1:10" x14ac:dyDescent="0.25">
      <c r="A54" s="64"/>
      <c r="B54" s="64"/>
      <c r="C54" s="64"/>
      <c r="D54" s="64"/>
      <c r="E54" s="64"/>
      <c r="F54" s="64"/>
      <c r="G54" s="64"/>
      <c r="H54" s="64"/>
      <c r="I54" s="75"/>
      <c r="J54" s="75"/>
    </row>
    <row r="55" spans="1:10" ht="14.45" customHeight="1" x14ac:dyDescent="0.25">
      <c r="A55" s="64"/>
      <c r="B55" s="64"/>
      <c r="C55" s="64"/>
      <c r="D55" s="64"/>
      <c r="E55" s="64"/>
      <c r="F55" s="64"/>
      <c r="G55" s="64"/>
      <c r="H55" s="64"/>
      <c r="I55" s="50" t="s">
        <v>31</v>
      </c>
      <c r="J55" s="47"/>
    </row>
    <row r="56" spans="1:10" ht="14.45" customHeight="1" x14ac:dyDescent="0.25">
      <c r="A56" s="64"/>
      <c r="B56" s="64"/>
      <c r="C56" s="64"/>
      <c r="D56" s="64"/>
      <c r="E56" s="64"/>
      <c r="F56" s="64"/>
      <c r="G56" s="64"/>
      <c r="H56" s="64"/>
      <c r="I56" s="50" t="s">
        <v>32</v>
      </c>
      <c r="J56" s="47"/>
    </row>
    <row r="57" spans="1:10" ht="14.45" customHeight="1" x14ac:dyDescent="0.25">
      <c r="A57" s="64"/>
      <c r="B57" s="64"/>
      <c r="C57" s="64"/>
      <c r="D57" s="64"/>
      <c r="E57" s="64"/>
      <c r="F57" s="64"/>
      <c r="G57" s="64"/>
      <c r="H57" s="64"/>
      <c r="I57" s="50" t="s">
        <v>33</v>
      </c>
      <c r="J57" s="47"/>
    </row>
  </sheetData>
  <mergeCells count="53">
    <mergeCell ref="H35:I35"/>
    <mergeCell ref="H28:I28"/>
    <mergeCell ref="H29:I29"/>
    <mergeCell ref="H30:I30"/>
    <mergeCell ref="H31:I31"/>
    <mergeCell ref="H32:I32"/>
    <mergeCell ref="H23:I23"/>
    <mergeCell ref="H24:I24"/>
    <mergeCell ref="H25:I25"/>
    <mergeCell ref="H26:I26"/>
    <mergeCell ref="H27:I27"/>
    <mergeCell ref="A40:J43"/>
    <mergeCell ref="A8:B8"/>
    <mergeCell ref="C8:H8"/>
    <mergeCell ref="A9:B9"/>
    <mergeCell ref="C9:H9"/>
    <mergeCell ref="A10:B10"/>
    <mergeCell ref="C10:H10"/>
    <mergeCell ref="I10:J10"/>
    <mergeCell ref="H14:I14"/>
    <mergeCell ref="H16:I16"/>
    <mergeCell ref="H17:I17"/>
    <mergeCell ref="H18:I18"/>
    <mergeCell ref="H19:I19"/>
    <mergeCell ref="H20:I20"/>
    <mergeCell ref="H21:I21"/>
    <mergeCell ref="H22:I22"/>
    <mergeCell ref="A46:J49"/>
    <mergeCell ref="A11:J11"/>
    <mergeCell ref="A12:J12"/>
    <mergeCell ref="A13:J13"/>
    <mergeCell ref="A14:E14"/>
    <mergeCell ref="A15:J15"/>
    <mergeCell ref="A24:E24"/>
    <mergeCell ref="A25:E25"/>
    <mergeCell ref="A26:E26"/>
    <mergeCell ref="A27:E27"/>
    <mergeCell ref="A28:E28"/>
    <mergeCell ref="B36:D36"/>
    <mergeCell ref="A29:E29"/>
    <mergeCell ref="B35:D35"/>
    <mergeCell ref="A30:E30"/>
    <mergeCell ref="A31:E31"/>
    <mergeCell ref="A1:C1"/>
    <mergeCell ref="D1:H1"/>
    <mergeCell ref="A6:J6"/>
    <mergeCell ref="A7:B7"/>
    <mergeCell ref="C7:H7"/>
    <mergeCell ref="I1:J1"/>
    <mergeCell ref="A2:J2"/>
    <mergeCell ref="A3:J3"/>
    <mergeCell ref="A4:J4"/>
    <mergeCell ref="A5:J5"/>
  </mergeCells>
  <pageMargins left="0.25" right="0.25" top="0.75" bottom="0.75" header="0.3" footer="0.3"/>
  <pageSetup scale="77"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9C9E-32F5-42FC-B165-32778387B905}">
  <sheetPr>
    <pageSetUpPr fitToPage="1"/>
  </sheetPr>
  <dimension ref="A1:K54"/>
  <sheetViews>
    <sheetView zoomScaleNormal="100" workbookViewId="0">
      <pane ySplit="14" topLeftCell="A39"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42578125" customWidth="1"/>
    <col min="7" max="7" width="11.42578125" customWidth="1"/>
    <col min="8" max="8" width="4.28515625" customWidth="1"/>
    <col min="9" max="9" width="10.85546875" customWidth="1"/>
    <col min="10" max="10" width="18.140625" customWidth="1"/>
  </cols>
  <sheetData>
    <row r="1" spans="1:11" x14ac:dyDescent="0.25">
      <c r="A1" s="161"/>
      <c r="B1" s="161"/>
      <c r="C1" s="161"/>
      <c r="D1" s="161"/>
      <c r="E1" s="161"/>
      <c r="F1" s="161"/>
      <c r="G1" s="161"/>
      <c r="H1" s="161"/>
      <c r="I1" s="146" t="s">
        <v>88</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6" t="s">
        <v>89</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6" t="s">
        <v>90</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5.6" customHeight="1" x14ac:dyDescent="0.25">
      <c r="A16" s="39" t="s">
        <v>219</v>
      </c>
      <c r="B16" s="40"/>
      <c r="C16" s="40"/>
      <c r="D16" s="40"/>
      <c r="E16" s="40"/>
      <c r="F16" s="53">
        <v>8000000</v>
      </c>
      <c r="G16" s="53"/>
      <c r="H16" s="148"/>
      <c r="I16" s="148"/>
      <c r="J16" s="53">
        <f t="shared" ref="J16:J21" si="0">F16+G16-H16</f>
        <v>8000000</v>
      </c>
      <c r="K16" s="41"/>
    </row>
    <row r="17" spans="1:11" s="37" customFormat="1" x14ac:dyDescent="0.25">
      <c r="A17" s="39" t="s">
        <v>71</v>
      </c>
      <c r="B17" s="40"/>
      <c r="C17" s="40"/>
      <c r="D17" s="40"/>
      <c r="E17" s="40"/>
      <c r="F17" s="53">
        <v>285275906.63</v>
      </c>
      <c r="G17" s="53"/>
      <c r="H17" s="148"/>
      <c r="I17" s="148"/>
      <c r="J17" s="53">
        <f t="shared" si="0"/>
        <v>285275906.63</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c r="G19" s="53"/>
      <c r="H19" s="148"/>
      <c r="I19" s="148"/>
      <c r="J19" s="53">
        <f t="shared" si="0"/>
        <v>0</v>
      </c>
      <c r="K19" s="41"/>
    </row>
    <row r="20" spans="1:11" s="37" customFormat="1" ht="17.25" x14ac:dyDescent="0.25">
      <c r="A20" s="39" t="s">
        <v>220</v>
      </c>
      <c r="B20" s="40"/>
      <c r="C20" s="40"/>
      <c r="D20" s="40"/>
      <c r="E20" s="40"/>
      <c r="F20" s="53"/>
      <c r="G20" s="53"/>
      <c r="H20" s="148"/>
      <c r="I20" s="148"/>
      <c r="J20" s="53">
        <f t="shared" si="0"/>
        <v>0</v>
      </c>
      <c r="K20" s="41"/>
    </row>
    <row r="21" spans="1:11" s="37" customFormat="1" ht="17.25" x14ac:dyDescent="0.25">
      <c r="A21" s="67" t="s">
        <v>268</v>
      </c>
      <c r="B21" s="40"/>
      <c r="C21" s="40"/>
      <c r="D21" s="40"/>
      <c r="E21" s="40"/>
      <c r="F21" s="53"/>
      <c r="G21" s="53"/>
      <c r="H21" s="148"/>
      <c r="I21" s="148"/>
      <c r="J21" s="53">
        <f t="shared" si="0"/>
        <v>0</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c r="G24" s="53"/>
      <c r="H24" s="148"/>
      <c r="I24" s="148"/>
      <c r="J24" s="53">
        <f>F24+G24-H24</f>
        <v>0</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c r="G31" s="53"/>
      <c r="H31" s="148"/>
      <c r="I31" s="148"/>
      <c r="J31" s="53">
        <f t="shared" si="1"/>
        <v>0</v>
      </c>
      <c r="K31" s="41"/>
    </row>
    <row r="32" spans="1:11" s="37" customFormat="1" x14ac:dyDescent="0.25">
      <c r="A32" s="39" t="s">
        <v>81</v>
      </c>
      <c r="B32" s="40"/>
      <c r="C32" s="40"/>
      <c r="D32" s="40"/>
      <c r="E32" s="40"/>
      <c r="F32" s="53"/>
      <c r="G32" s="53"/>
      <c r="H32" s="148"/>
      <c r="I32" s="148"/>
      <c r="J32" s="53">
        <f t="shared" si="1"/>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91</v>
      </c>
      <c r="C35" s="141"/>
      <c r="D35" s="141"/>
      <c r="F35" s="56">
        <f>SUM(F16:F34)</f>
        <v>293275906.63</v>
      </c>
      <c r="G35" s="56">
        <f>SUM(G16:G34)</f>
        <v>0</v>
      </c>
      <c r="H35" s="162">
        <f>SUM(H16:H34)</f>
        <v>0</v>
      </c>
      <c r="I35" s="162"/>
      <c r="J35" s="56">
        <f>SUM(J16:J34)</f>
        <v>293275906.63</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ht="14.45" customHeight="1" x14ac:dyDescent="0.25">
      <c r="A40" s="143" t="s">
        <v>30</v>
      </c>
      <c r="B40" s="143"/>
      <c r="C40" s="143"/>
      <c r="D40" s="143"/>
      <c r="E40" s="143"/>
      <c r="F40" s="143"/>
      <c r="G40" s="143"/>
      <c r="H40" s="143"/>
      <c r="I40" s="143"/>
      <c r="J40" s="143"/>
    </row>
    <row r="41" spans="1:11" x14ac:dyDescent="0.25">
      <c r="A41" s="143"/>
      <c r="B41" s="143"/>
      <c r="C41" s="143"/>
      <c r="D41" s="143"/>
      <c r="E41" s="143"/>
      <c r="F41" s="143"/>
      <c r="G41" s="143"/>
      <c r="H41" s="143"/>
      <c r="I41" s="143"/>
      <c r="J41" s="143"/>
    </row>
    <row r="42" spans="1:11" x14ac:dyDescent="0.25">
      <c r="A42" s="143"/>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4"/>
      <c r="B44" s="64"/>
      <c r="C44" s="64"/>
      <c r="D44" s="64"/>
      <c r="E44" s="64"/>
      <c r="F44" s="64"/>
      <c r="G44" s="64"/>
      <c r="H44" s="64"/>
      <c r="I44" s="64"/>
      <c r="J44" s="64"/>
    </row>
    <row r="45" spans="1:11" x14ac:dyDescent="0.25">
      <c r="A45" s="64"/>
      <c r="B45" s="64"/>
      <c r="C45" s="64"/>
      <c r="D45" s="64"/>
      <c r="E45" s="64"/>
      <c r="F45" s="64"/>
      <c r="G45" s="64"/>
      <c r="H45" s="64"/>
      <c r="I45" s="64"/>
      <c r="J45" s="64"/>
    </row>
    <row r="46" spans="1:11" x14ac:dyDescent="0.25">
      <c r="A46" s="144" t="s">
        <v>28</v>
      </c>
      <c r="B46" s="144"/>
      <c r="C46" s="144"/>
      <c r="D46" s="144"/>
      <c r="E46" s="144"/>
      <c r="F46" s="144"/>
      <c r="G46" s="144"/>
      <c r="H46" s="144"/>
      <c r="I46" s="144"/>
      <c r="J46" s="144"/>
    </row>
    <row r="47" spans="1:11" x14ac:dyDescent="0.25">
      <c r="A47" s="74"/>
      <c r="B47" s="74"/>
      <c r="C47" s="74"/>
      <c r="D47" s="74"/>
      <c r="E47" s="74"/>
      <c r="F47" s="74"/>
      <c r="G47" s="74"/>
      <c r="H47" s="74"/>
      <c r="I47" s="74"/>
      <c r="J47" s="74"/>
    </row>
    <row r="48" spans="1:11" x14ac:dyDescent="0.25">
      <c r="A48" s="74"/>
      <c r="B48" s="74"/>
      <c r="C48" s="74"/>
      <c r="D48" s="74"/>
      <c r="E48" s="74"/>
      <c r="F48" s="74"/>
      <c r="G48" s="74"/>
      <c r="H48" s="74"/>
      <c r="I48" s="74"/>
      <c r="J48" s="74"/>
    </row>
    <row r="49" spans="1:10" x14ac:dyDescent="0.25">
      <c r="A49" s="74"/>
      <c r="B49" s="74"/>
      <c r="C49" s="74"/>
      <c r="D49" s="74"/>
      <c r="E49" s="74"/>
      <c r="F49" s="74"/>
      <c r="G49" s="74"/>
      <c r="H49" s="74"/>
      <c r="I49" s="74"/>
      <c r="J49" s="74"/>
    </row>
    <row r="50" spans="1:10" x14ac:dyDescent="0.25">
      <c r="A50" s="64"/>
      <c r="B50" s="64"/>
      <c r="C50" s="64"/>
      <c r="D50" s="64"/>
      <c r="E50" s="64"/>
      <c r="F50" s="64"/>
      <c r="G50" s="64"/>
      <c r="H50" s="64"/>
      <c r="I50" s="64"/>
      <c r="J50" s="64"/>
    </row>
    <row r="51" spans="1:10" x14ac:dyDescent="0.25">
      <c r="A51" s="64"/>
      <c r="B51" s="64"/>
      <c r="C51" s="64"/>
      <c r="D51" s="64"/>
      <c r="E51" s="64"/>
      <c r="F51" s="64"/>
      <c r="G51" s="64"/>
      <c r="H51" s="64"/>
      <c r="I51" s="75"/>
      <c r="J51" s="75"/>
    </row>
    <row r="52" spans="1:10" x14ac:dyDescent="0.25">
      <c r="A52" s="64"/>
      <c r="B52" s="64"/>
      <c r="C52" s="64"/>
      <c r="D52" s="64"/>
      <c r="E52" s="64"/>
      <c r="F52" s="64"/>
      <c r="G52" s="64"/>
      <c r="H52" s="64"/>
      <c r="I52" s="50" t="s">
        <v>31</v>
      </c>
      <c r="J52" s="47"/>
    </row>
    <row r="53" spans="1:10" x14ac:dyDescent="0.25">
      <c r="A53" s="64"/>
      <c r="B53" s="64"/>
      <c r="C53" s="64"/>
      <c r="D53" s="64"/>
      <c r="E53" s="64"/>
      <c r="F53" s="64"/>
      <c r="G53" s="64"/>
      <c r="H53" s="64"/>
      <c r="I53" s="50" t="s">
        <v>32</v>
      </c>
      <c r="J53" s="47"/>
    </row>
    <row r="54" spans="1:10" x14ac:dyDescent="0.25">
      <c r="A54" s="64"/>
      <c r="B54" s="64"/>
      <c r="C54" s="64"/>
      <c r="D54" s="64"/>
      <c r="E54" s="64"/>
      <c r="F54" s="64"/>
      <c r="G54" s="64"/>
      <c r="H54" s="64"/>
      <c r="I54" s="50" t="s">
        <v>33</v>
      </c>
      <c r="J54" s="47"/>
    </row>
  </sheetData>
  <mergeCells count="53">
    <mergeCell ref="H14:I14"/>
    <mergeCell ref="H29:I29"/>
    <mergeCell ref="H30:I30"/>
    <mergeCell ref="H31:I31"/>
    <mergeCell ref="H32:I32"/>
    <mergeCell ref="H35:I35"/>
    <mergeCell ref="H24:I24"/>
    <mergeCell ref="H25:I25"/>
    <mergeCell ref="H26:I26"/>
    <mergeCell ref="H27:I27"/>
    <mergeCell ref="H28:I28"/>
    <mergeCell ref="A40:J43"/>
    <mergeCell ref="A8:B8"/>
    <mergeCell ref="C8:H8"/>
    <mergeCell ref="A9:B9"/>
    <mergeCell ref="C9:H9"/>
    <mergeCell ref="A10:B10"/>
    <mergeCell ref="C10:H10"/>
    <mergeCell ref="I10:J10"/>
    <mergeCell ref="H16:I16"/>
    <mergeCell ref="H17:I17"/>
    <mergeCell ref="H18:I18"/>
    <mergeCell ref="H19:I19"/>
    <mergeCell ref="H20:I20"/>
    <mergeCell ref="H21:I21"/>
    <mergeCell ref="H22:I22"/>
    <mergeCell ref="H23:I23"/>
    <mergeCell ref="A46:J46"/>
    <mergeCell ref="A11:J11"/>
    <mergeCell ref="A12:J12"/>
    <mergeCell ref="A13:J13"/>
    <mergeCell ref="A14:E14"/>
    <mergeCell ref="A15:J15"/>
    <mergeCell ref="A24:E24"/>
    <mergeCell ref="A25:E25"/>
    <mergeCell ref="A26:E26"/>
    <mergeCell ref="A27:E27"/>
    <mergeCell ref="A28:E28"/>
    <mergeCell ref="B36:D36"/>
    <mergeCell ref="A29:E29"/>
    <mergeCell ref="B35:D35"/>
    <mergeCell ref="A30:E30"/>
    <mergeCell ref="A31:E31"/>
    <mergeCell ref="A1:C1"/>
    <mergeCell ref="D1:H1"/>
    <mergeCell ref="A6:J6"/>
    <mergeCell ref="A7:B7"/>
    <mergeCell ref="C7:H7"/>
    <mergeCell ref="I1:J1"/>
    <mergeCell ref="A2:J2"/>
    <mergeCell ref="A3:J3"/>
    <mergeCell ref="A4:J4"/>
    <mergeCell ref="A5:J5"/>
  </mergeCells>
  <pageMargins left="0.25" right="0.25" top="0.75" bottom="0.75" header="0.3" footer="0.3"/>
  <pageSetup scale="81"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0C0C8-F061-4884-8300-FD5D81B0D51F}">
  <sheetPr>
    <pageSetUpPr fitToPage="1"/>
  </sheetPr>
  <dimension ref="A1:K54"/>
  <sheetViews>
    <sheetView zoomScale="99" zoomScaleNormal="99" workbookViewId="0">
      <pane ySplit="14" topLeftCell="A39"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42578125" customWidth="1"/>
    <col min="7" max="7" width="12.85546875" customWidth="1"/>
    <col min="8" max="8" width="4" customWidth="1"/>
    <col min="9" max="9" width="11.140625" customWidth="1"/>
    <col min="10" max="10" width="18.5703125" customWidth="1"/>
  </cols>
  <sheetData>
    <row r="1" spans="1:11" x14ac:dyDescent="0.25">
      <c r="A1" s="161"/>
      <c r="B1" s="161"/>
      <c r="C1" s="161"/>
      <c r="D1" s="161"/>
      <c r="E1" s="161"/>
      <c r="F1" s="161"/>
      <c r="G1" s="161"/>
      <c r="H1" s="161"/>
      <c r="I1" s="146" t="s">
        <v>92</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6" t="s">
        <v>93</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6" t="s">
        <v>94</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c r="G16" s="53"/>
      <c r="H16" s="148"/>
      <c r="I16" s="148"/>
      <c r="J16" s="53">
        <f t="shared" ref="J16:J21" si="0">F16+G16-H16</f>
        <v>0</v>
      </c>
      <c r="K16" s="41"/>
    </row>
    <row r="17" spans="1:11" s="37" customFormat="1" x14ac:dyDescent="0.25">
      <c r="A17" s="39" t="s">
        <v>71</v>
      </c>
      <c r="B17" s="40"/>
      <c r="C17" s="40"/>
      <c r="D17" s="40"/>
      <c r="E17" s="40"/>
      <c r="F17" s="53">
        <v>56772760.979999997</v>
      </c>
      <c r="G17" s="53"/>
      <c r="H17" s="148"/>
      <c r="I17" s="148"/>
      <c r="J17" s="53">
        <f t="shared" si="0"/>
        <v>56772760.979999997</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c r="G19" s="53"/>
      <c r="H19" s="148"/>
      <c r="I19" s="148"/>
      <c r="J19" s="53">
        <f t="shared" si="0"/>
        <v>0</v>
      </c>
      <c r="K19" s="41"/>
    </row>
    <row r="20" spans="1:11" s="37" customFormat="1" ht="17.25" x14ac:dyDescent="0.25">
      <c r="A20" s="39" t="s">
        <v>220</v>
      </c>
      <c r="B20" s="40"/>
      <c r="C20" s="40"/>
      <c r="D20" s="40"/>
      <c r="E20" s="40"/>
      <c r="F20" s="53"/>
      <c r="G20" s="53"/>
      <c r="H20" s="148"/>
      <c r="I20" s="148"/>
      <c r="J20" s="53">
        <f t="shared" si="0"/>
        <v>0</v>
      </c>
      <c r="K20" s="41"/>
    </row>
    <row r="21" spans="1:11" s="37" customFormat="1" ht="17.25" x14ac:dyDescent="0.25">
      <c r="A21" s="67" t="s">
        <v>268</v>
      </c>
      <c r="B21" s="40"/>
      <c r="C21" s="40"/>
      <c r="D21" s="40"/>
      <c r="E21" s="40"/>
      <c r="F21" s="53"/>
      <c r="G21" s="53"/>
      <c r="H21" s="148"/>
      <c r="I21" s="148"/>
      <c r="J21" s="53">
        <f t="shared" si="0"/>
        <v>0</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c r="G24" s="53"/>
      <c r="H24" s="148"/>
      <c r="I24" s="148"/>
      <c r="J24" s="53">
        <f>F24+G24-H24</f>
        <v>0</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c r="G31" s="53"/>
      <c r="H31" s="148"/>
      <c r="I31" s="148"/>
      <c r="J31" s="53">
        <f t="shared" si="1"/>
        <v>0</v>
      </c>
      <c r="K31" s="41"/>
    </row>
    <row r="32" spans="1:11" s="37" customFormat="1" x14ac:dyDescent="0.25">
      <c r="A32" s="39" t="s">
        <v>81</v>
      </c>
      <c r="B32" s="40"/>
      <c r="C32" s="40"/>
      <c r="D32" s="40"/>
      <c r="E32" s="40"/>
      <c r="F32" s="53"/>
      <c r="G32" s="53"/>
      <c r="H32" s="148"/>
      <c r="I32" s="148"/>
      <c r="J32" s="53">
        <f t="shared" si="1"/>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95</v>
      </c>
      <c r="C35" s="141"/>
      <c r="D35" s="141"/>
      <c r="F35" s="56">
        <f>SUM(F16:F34)</f>
        <v>56772760.979999997</v>
      </c>
      <c r="G35" s="56">
        <f>SUM(G16:G34)</f>
        <v>0</v>
      </c>
      <c r="H35" s="162">
        <f>SUM(H16:H34)</f>
        <v>0</v>
      </c>
      <c r="I35" s="162"/>
      <c r="J35" s="56">
        <f>SUM(J16:J34)</f>
        <v>56772760.979999997</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ht="14.45" customHeight="1" x14ac:dyDescent="0.25">
      <c r="A40" s="143" t="s">
        <v>30</v>
      </c>
      <c r="B40" s="143"/>
      <c r="C40" s="143"/>
      <c r="D40" s="143"/>
      <c r="E40" s="143"/>
      <c r="F40" s="143"/>
      <c r="G40" s="143"/>
      <c r="H40" s="143"/>
      <c r="I40" s="143"/>
      <c r="J40" s="143"/>
    </row>
    <row r="41" spans="1:11" x14ac:dyDescent="0.25">
      <c r="A41" s="143"/>
      <c r="B41" s="143"/>
      <c r="C41" s="143"/>
      <c r="D41" s="143"/>
      <c r="E41" s="143"/>
      <c r="F41" s="143"/>
      <c r="G41" s="143"/>
      <c r="H41" s="143"/>
      <c r="I41" s="143"/>
      <c r="J41" s="143"/>
    </row>
    <row r="42" spans="1:11" x14ac:dyDescent="0.25">
      <c r="A42" s="143"/>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4"/>
      <c r="B44" s="64"/>
      <c r="C44" s="64"/>
      <c r="D44" s="64"/>
      <c r="E44" s="64"/>
      <c r="F44" s="64"/>
      <c r="G44" s="64"/>
      <c r="H44" s="64"/>
      <c r="I44" s="64"/>
      <c r="J44" s="64"/>
    </row>
    <row r="45" spans="1:11" x14ac:dyDescent="0.25">
      <c r="A45" s="64"/>
      <c r="B45" s="64"/>
      <c r="C45" s="64"/>
      <c r="D45" s="64"/>
      <c r="E45" s="64"/>
      <c r="F45" s="64"/>
      <c r="G45" s="64"/>
      <c r="H45" s="64"/>
      <c r="I45" s="64"/>
      <c r="J45" s="64"/>
    </row>
    <row r="46" spans="1:11" x14ac:dyDescent="0.25">
      <c r="A46" s="144" t="s">
        <v>28</v>
      </c>
      <c r="B46" s="144"/>
      <c r="C46" s="144"/>
      <c r="D46" s="144"/>
      <c r="E46" s="144"/>
      <c r="F46" s="144"/>
      <c r="G46" s="144"/>
      <c r="H46" s="144"/>
      <c r="I46" s="144"/>
      <c r="J46" s="144"/>
    </row>
    <row r="47" spans="1:11" x14ac:dyDescent="0.25">
      <c r="A47" s="74"/>
      <c r="B47" s="74"/>
      <c r="C47" s="74"/>
      <c r="D47" s="74"/>
      <c r="E47" s="74"/>
      <c r="F47" s="74"/>
      <c r="G47" s="74"/>
      <c r="H47" s="74"/>
      <c r="I47" s="74"/>
      <c r="J47" s="74"/>
    </row>
    <row r="48" spans="1:11" x14ac:dyDescent="0.25">
      <c r="A48" s="74"/>
      <c r="B48" s="74"/>
      <c r="C48" s="74"/>
      <c r="D48" s="74"/>
      <c r="E48" s="74"/>
      <c r="F48" s="74"/>
      <c r="G48" s="74"/>
      <c r="H48" s="74"/>
      <c r="I48" s="74"/>
      <c r="J48" s="74"/>
    </row>
    <row r="49" spans="1:10" x14ac:dyDescent="0.25">
      <c r="A49" s="74"/>
      <c r="B49" s="74"/>
      <c r="C49" s="74"/>
      <c r="D49" s="74"/>
      <c r="E49" s="74"/>
      <c r="F49" s="74"/>
      <c r="G49" s="74"/>
      <c r="H49" s="74"/>
      <c r="I49" s="74"/>
      <c r="J49" s="74"/>
    </row>
    <row r="50" spans="1:10" x14ac:dyDescent="0.25">
      <c r="A50" s="64"/>
      <c r="B50" s="64"/>
      <c r="C50" s="64"/>
      <c r="D50" s="64"/>
      <c r="E50" s="64"/>
      <c r="F50" s="64"/>
      <c r="G50" s="64"/>
      <c r="H50" s="64"/>
      <c r="I50" s="64"/>
      <c r="J50" s="64"/>
    </row>
    <row r="51" spans="1:10" x14ac:dyDescent="0.25">
      <c r="A51" s="64"/>
      <c r="B51" s="64"/>
      <c r="C51" s="64"/>
      <c r="D51" s="64"/>
      <c r="E51" s="64"/>
      <c r="F51" s="64"/>
      <c r="G51" s="64"/>
      <c r="H51" s="64"/>
      <c r="I51" s="75"/>
      <c r="J51" s="75"/>
    </row>
    <row r="52" spans="1:10" x14ac:dyDescent="0.25">
      <c r="A52" s="64"/>
      <c r="B52" s="64"/>
      <c r="C52" s="64"/>
      <c r="D52" s="64"/>
      <c r="E52" s="64"/>
      <c r="F52" s="64"/>
      <c r="G52" s="64"/>
      <c r="H52" s="64"/>
      <c r="I52" s="50" t="s">
        <v>31</v>
      </c>
      <c r="J52" s="47"/>
    </row>
    <row r="53" spans="1:10" x14ac:dyDescent="0.25">
      <c r="A53" s="64"/>
      <c r="B53" s="64"/>
      <c r="C53" s="64"/>
      <c r="D53" s="64"/>
      <c r="E53" s="64"/>
      <c r="F53" s="64"/>
      <c r="G53" s="64"/>
      <c r="H53" s="64"/>
      <c r="I53" s="50" t="s">
        <v>32</v>
      </c>
      <c r="J53" s="47"/>
    </row>
    <row r="54" spans="1:10" x14ac:dyDescent="0.25">
      <c r="A54" s="64"/>
      <c r="B54" s="64"/>
      <c r="C54" s="64"/>
      <c r="D54" s="64"/>
      <c r="E54" s="64"/>
      <c r="F54" s="64"/>
      <c r="G54" s="64"/>
      <c r="H54" s="64"/>
      <c r="I54" s="50" t="s">
        <v>33</v>
      </c>
      <c r="J54" s="47"/>
    </row>
  </sheetData>
  <mergeCells count="53">
    <mergeCell ref="H35:I35"/>
    <mergeCell ref="H16:I16"/>
    <mergeCell ref="H17:I17"/>
    <mergeCell ref="H18:I18"/>
    <mergeCell ref="H19:I19"/>
    <mergeCell ref="H20:I20"/>
    <mergeCell ref="H21:I21"/>
    <mergeCell ref="H22:I22"/>
    <mergeCell ref="H23:I23"/>
    <mergeCell ref="H24:I24"/>
    <mergeCell ref="H25:I25"/>
    <mergeCell ref="H26:I26"/>
    <mergeCell ref="H27:I27"/>
    <mergeCell ref="H28:I28"/>
    <mergeCell ref="H29:I29"/>
    <mergeCell ref="A40:J43"/>
    <mergeCell ref="A46:J46"/>
    <mergeCell ref="A15:J15"/>
    <mergeCell ref="B35:D35"/>
    <mergeCell ref="B36:D36"/>
    <mergeCell ref="A29:E29"/>
    <mergeCell ref="A30:E30"/>
    <mergeCell ref="A31:E31"/>
    <mergeCell ref="A24:E24"/>
    <mergeCell ref="A25:E25"/>
    <mergeCell ref="A26:E26"/>
    <mergeCell ref="A27:E27"/>
    <mergeCell ref="A28:E28"/>
    <mergeCell ref="H30:I30"/>
    <mergeCell ref="H31:I31"/>
    <mergeCell ref="H32:I32"/>
    <mergeCell ref="A9:B9"/>
    <mergeCell ref="C9:H9"/>
    <mergeCell ref="A10:B10"/>
    <mergeCell ref="C10:H10"/>
    <mergeCell ref="I10:J10"/>
    <mergeCell ref="A11:J11"/>
    <mergeCell ref="A12:J12"/>
    <mergeCell ref="A13:J13"/>
    <mergeCell ref="A14:E14"/>
    <mergeCell ref="H14:I14"/>
    <mergeCell ref="A8:B8"/>
    <mergeCell ref="C8:H8"/>
    <mergeCell ref="A1:C1"/>
    <mergeCell ref="D1:H1"/>
    <mergeCell ref="I1:J1"/>
    <mergeCell ref="A2:J2"/>
    <mergeCell ref="A3:J3"/>
    <mergeCell ref="A4:J4"/>
    <mergeCell ref="A5:J5"/>
    <mergeCell ref="A6:J6"/>
    <mergeCell ref="A7:B7"/>
    <mergeCell ref="C7:H7"/>
  </mergeCells>
  <pageMargins left="0.25" right="0.25" top="0.75" bottom="0.75" header="0.3" footer="0.3"/>
  <pageSetup scale="81"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23072-9839-40C3-A0AA-083881864639}">
  <sheetPr>
    <pageSetUpPr fitToPage="1"/>
  </sheetPr>
  <dimension ref="A1:K54"/>
  <sheetViews>
    <sheetView zoomScaleNormal="100" workbookViewId="0">
      <pane ySplit="14" topLeftCell="A39"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42578125" customWidth="1"/>
    <col min="7" max="7" width="16.7109375" customWidth="1"/>
    <col min="8" max="8" width="2.5703125" customWidth="1"/>
    <col min="9" max="9" width="12.140625" customWidth="1"/>
    <col min="10" max="10" width="15.140625" bestFit="1" customWidth="1"/>
  </cols>
  <sheetData>
    <row r="1" spans="1:11" x14ac:dyDescent="0.25">
      <c r="A1" s="161"/>
      <c r="B1" s="161"/>
      <c r="C1" s="161"/>
      <c r="D1" s="161"/>
      <c r="E1" s="161"/>
      <c r="F1" s="161"/>
      <c r="G1" s="161"/>
      <c r="H1" s="161"/>
      <c r="I1" s="146" t="s">
        <v>96</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6" t="s">
        <v>98</v>
      </c>
      <c r="B4" s="156"/>
      <c r="C4" s="156"/>
      <c r="D4" s="156"/>
      <c r="E4" s="156"/>
      <c r="F4" s="156"/>
      <c r="G4" s="156"/>
      <c r="H4" s="156"/>
      <c r="I4" s="156"/>
      <c r="J4" s="156"/>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6" t="s">
        <v>99</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v>300093.58999999997</v>
      </c>
      <c r="G16" s="53"/>
      <c r="H16" s="148"/>
      <c r="I16" s="148"/>
      <c r="J16" s="53">
        <f t="shared" ref="J16:J21" si="0">F16+G16-H16</f>
        <v>300093.58999999997</v>
      </c>
      <c r="K16" s="41"/>
    </row>
    <row r="17" spans="1:11" s="37" customFormat="1" x14ac:dyDescent="0.25">
      <c r="A17" s="39" t="s">
        <v>71</v>
      </c>
      <c r="B17" s="40"/>
      <c r="C17" s="40"/>
      <c r="D17" s="40"/>
      <c r="E17" s="40"/>
      <c r="F17" s="53">
        <v>13055909.689999999</v>
      </c>
      <c r="G17" s="53"/>
      <c r="H17" s="148"/>
      <c r="I17" s="148"/>
      <c r="J17" s="53">
        <f t="shared" si="0"/>
        <v>13055909.689999999</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v>267582.18</v>
      </c>
      <c r="G19" s="53"/>
      <c r="H19" s="148"/>
      <c r="I19" s="148"/>
      <c r="J19" s="53">
        <f t="shared" si="0"/>
        <v>267582.18</v>
      </c>
      <c r="K19" s="41"/>
    </row>
    <row r="20" spans="1:11" s="37" customFormat="1" ht="17.25" x14ac:dyDescent="0.25">
      <c r="A20" s="39" t="s">
        <v>220</v>
      </c>
      <c r="B20" s="40"/>
      <c r="C20" s="40"/>
      <c r="D20" s="40"/>
      <c r="E20" s="40"/>
      <c r="F20" s="53">
        <v>1743959.1500000001</v>
      </c>
      <c r="G20" s="53"/>
      <c r="H20" s="148"/>
      <c r="I20" s="148"/>
      <c r="J20" s="53">
        <f t="shared" si="0"/>
        <v>1743959.1500000001</v>
      </c>
      <c r="K20" s="41"/>
    </row>
    <row r="21" spans="1:11" s="37" customFormat="1" ht="17.25" x14ac:dyDescent="0.25">
      <c r="A21" s="67" t="s">
        <v>268</v>
      </c>
      <c r="B21" s="40"/>
      <c r="C21" s="40"/>
      <c r="D21" s="40"/>
      <c r="E21" s="40"/>
      <c r="F21" s="53">
        <v>61523709.200000003</v>
      </c>
      <c r="G21" s="53"/>
      <c r="H21" s="148"/>
      <c r="I21" s="148"/>
      <c r="J21" s="53">
        <f t="shared" si="0"/>
        <v>61523709.200000003</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c r="G24" s="53"/>
      <c r="H24" s="148"/>
      <c r="I24" s="148"/>
      <c r="J24" s="53">
        <f>F24+G24-H24</f>
        <v>0</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c r="G31" s="53"/>
      <c r="H31" s="148"/>
      <c r="I31" s="148"/>
      <c r="J31" s="53">
        <f t="shared" si="1"/>
        <v>0</v>
      </c>
      <c r="K31" s="41"/>
    </row>
    <row r="32" spans="1:11" s="37" customFormat="1" x14ac:dyDescent="0.25">
      <c r="A32" s="39" t="s">
        <v>81</v>
      </c>
      <c r="B32" s="40"/>
      <c r="C32" s="40"/>
      <c r="D32" s="40"/>
      <c r="E32" s="40"/>
      <c r="F32" s="53"/>
      <c r="G32" s="53"/>
      <c r="H32" s="148"/>
      <c r="I32" s="148"/>
      <c r="J32" s="53">
        <f t="shared" si="1"/>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97</v>
      </c>
      <c r="C35" s="141"/>
      <c r="D35" s="141"/>
      <c r="F35" s="56">
        <f>SUM(F16:F34)</f>
        <v>76891253.810000002</v>
      </c>
      <c r="G35" s="56">
        <f>SUM(G16:G34)</f>
        <v>0</v>
      </c>
      <c r="H35" s="162">
        <f>SUM(H16:H34)</f>
        <v>0</v>
      </c>
      <c r="I35" s="162"/>
      <c r="J35" s="56">
        <f>SUM(J16:J34)</f>
        <v>76891253.810000002</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ht="14.45" customHeight="1" x14ac:dyDescent="0.25">
      <c r="A40" s="143" t="s">
        <v>30</v>
      </c>
      <c r="B40" s="143"/>
      <c r="C40" s="143"/>
      <c r="D40" s="143"/>
      <c r="E40" s="143"/>
      <c r="F40" s="143"/>
      <c r="G40" s="143"/>
      <c r="H40" s="143"/>
      <c r="I40" s="143"/>
      <c r="J40" s="143"/>
    </row>
    <row r="41" spans="1:11" x14ac:dyDescent="0.25">
      <c r="A41" s="143"/>
      <c r="B41" s="143"/>
      <c r="C41" s="143"/>
      <c r="D41" s="143"/>
      <c r="E41" s="143"/>
      <c r="F41" s="143"/>
      <c r="G41" s="143"/>
      <c r="H41" s="143"/>
      <c r="I41" s="143"/>
      <c r="J41" s="143"/>
    </row>
    <row r="42" spans="1:11" x14ac:dyDescent="0.25">
      <c r="A42" s="143"/>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4"/>
      <c r="B44" s="64"/>
      <c r="C44" s="64"/>
      <c r="D44" s="64"/>
      <c r="E44" s="64"/>
      <c r="F44" s="64"/>
      <c r="G44" s="64"/>
      <c r="H44" s="64"/>
      <c r="I44" s="64"/>
      <c r="J44" s="64"/>
    </row>
    <row r="45" spans="1:11" x14ac:dyDescent="0.25">
      <c r="A45" s="64"/>
      <c r="B45" s="64"/>
      <c r="C45" s="64"/>
      <c r="D45" s="64"/>
      <c r="E45" s="64"/>
      <c r="F45" s="64"/>
      <c r="G45" s="64"/>
      <c r="H45" s="64"/>
      <c r="I45" s="64"/>
      <c r="J45" s="64"/>
    </row>
    <row r="46" spans="1:11" x14ac:dyDescent="0.25">
      <c r="A46" s="144" t="s">
        <v>28</v>
      </c>
      <c r="B46" s="144"/>
      <c r="C46" s="144"/>
      <c r="D46" s="144"/>
      <c r="E46" s="144"/>
      <c r="F46" s="144"/>
      <c r="G46" s="144"/>
      <c r="H46" s="144"/>
      <c r="I46" s="144"/>
      <c r="J46" s="144"/>
    </row>
    <row r="47" spans="1:11" x14ac:dyDescent="0.25">
      <c r="A47" s="74"/>
      <c r="B47" s="74"/>
      <c r="C47" s="74"/>
      <c r="D47" s="74"/>
      <c r="E47" s="74"/>
      <c r="F47" s="74"/>
      <c r="G47" s="74"/>
      <c r="H47" s="74"/>
      <c r="I47" s="74"/>
      <c r="J47" s="74"/>
    </row>
    <row r="48" spans="1:11" x14ac:dyDescent="0.25">
      <c r="A48" s="74"/>
      <c r="B48" s="74"/>
      <c r="C48" s="74"/>
      <c r="D48" s="74"/>
      <c r="E48" s="74"/>
      <c r="F48" s="74"/>
      <c r="G48" s="74"/>
      <c r="H48" s="74"/>
      <c r="I48" s="74"/>
      <c r="J48" s="74"/>
    </row>
    <row r="49" spans="1:10" x14ac:dyDescent="0.25">
      <c r="A49" s="74"/>
      <c r="B49" s="74"/>
      <c r="C49" s="74"/>
      <c r="D49" s="74"/>
      <c r="E49" s="74"/>
      <c r="F49" s="74"/>
      <c r="G49" s="74"/>
      <c r="H49" s="74"/>
      <c r="I49" s="74"/>
      <c r="J49" s="74"/>
    </row>
    <row r="50" spans="1:10" x14ac:dyDescent="0.25">
      <c r="A50" s="64"/>
      <c r="B50" s="64"/>
      <c r="C50" s="64"/>
      <c r="D50" s="64"/>
      <c r="E50" s="64"/>
      <c r="F50" s="64"/>
      <c r="G50" s="64"/>
      <c r="H50" s="64"/>
      <c r="I50" s="64"/>
      <c r="J50" s="64"/>
    </row>
    <row r="51" spans="1:10" x14ac:dyDescent="0.25">
      <c r="A51" s="64"/>
      <c r="B51" s="64"/>
      <c r="C51" s="64"/>
      <c r="D51" s="64"/>
      <c r="E51" s="64"/>
      <c r="F51" s="64"/>
      <c r="G51" s="64"/>
      <c r="H51" s="64"/>
      <c r="I51" s="75"/>
      <c r="J51" s="75"/>
    </row>
    <row r="52" spans="1:10" x14ac:dyDescent="0.25">
      <c r="A52" s="64"/>
      <c r="B52" s="64"/>
      <c r="C52" s="64"/>
      <c r="D52" s="64"/>
      <c r="E52" s="64"/>
      <c r="F52" s="64"/>
      <c r="G52" s="64"/>
      <c r="H52" s="64"/>
      <c r="I52" s="50" t="s">
        <v>31</v>
      </c>
      <c r="J52" s="47"/>
    </row>
    <row r="53" spans="1:10" x14ac:dyDescent="0.25">
      <c r="A53" s="64"/>
      <c r="B53" s="64"/>
      <c r="C53" s="64"/>
      <c r="D53" s="64"/>
      <c r="E53" s="64"/>
      <c r="F53" s="64"/>
      <c r="G53" s="64"/>
      <c r="H53" s="64"/>
      <c r="I53" s="50" t="s">
        <v>32</v>
      </c>
      <c r="J53" s="47"/>
    </row>
    <row r="54" spans="1:10" x14ac:dyDescent="0.25">
      <c r="A54" s="64"/>
      <c r="B54" s="64"/>
      <c r="C54" s="64"/>
      <c r="D54" s="64"/>
      <c r="E54" s="64"/>
      <c r="F54" s="64"/>
      <c r="G54" s="64"/>
      <c r="H54" s="64"/>
      <c r="I54" s="50" t="s">
        <v>33</v>
      </c>
      <c r="J54" s="47"/>
    </row>
  </sheetData>
  <mergeCells count="53">
    <mergeCell ref="H31:I31"/>
    <mergeCell ref="H32:I32"/>
    <mergeCell ref="H35:I35"/>
    <mergeCell ref="H26:I26"/>
    <mergeCell ref="H27:I27"/>
    <mergeCell ref="H28:I28"/>
    <mergeCell ref="H29:I29"/>
    <mergeCell ref="H30:I30"/>
    <mergeCell ref="H21:I21"/>
    <mergeCell ref="H22:I22"/>
    <mergeCell ref="H23:I23"/>
    <mergeCell ref="H24:I24"/>
    <mergeCell ref="H25:I25"/>
    <mergeCell ref="H16:I16"/>
    <mergeCell ref="H17:I17"/>
    <mergeCell ref="H18:I18"/>
    <mergeCell ref="H19:I19"/>
    <mergeCell ref="H20:I20"/>
    <mergeCell ref="A40:J43"/>
    <mergeCell ref="A46:J46"/>
    <mergeCell ref="A15:J15"/>
    <mergeCell ref="A9:B9"/>
    <mergeCell ref="C9:H9"/>
    <mergeCell ref="A10:B10"/>
    <mergeCell ref="C10:H10"/>
    <mergeCell ref="I10:J10"/>
    <mergeCell ref="A11:J11"/>
    <mergeCell ref="A12:J12"/>
    <mergeCell ref="A13:J13"/>
    <mergeCell ref="A14:E14"/>
    <mergeCell ref="H14:I14"/>
    <mergeCell ref="A24:E24"/>
    <mergeCell ref="A25:E25"/>
    <mergeCell ref="A26:E26"/>
    <mergeCell ref="A8:B8"/>
    <mergeCell ref="C8:H8"/>
    <mergeCell ref="A1:C1"/>
    <mergeCell ref="D1:H1"/>
    <mergeCell ref="I1:J1"/>
    <mergeCell ref="A2:J2"/>
    <mergeCell ref="A3:J3"/>
    <mergeCell ref="A4:J4"/>
    <mergeCell ref="A5:J5"/>
    <mergeCell ref="A6:J6"/>
    <mergeCell ref="A7:B7"/>
    <mergeCell ref="C7:H7"/>
    <mergeCell ref="A27:E27"/>
    <mergeCell ref="A28:E28"/>
    <mergeCell ref="B36:D36"/>
    <mergeCell ref="A29:E29"/>
    <mergeCell ref="A30:E30"/>
    <mergeCell ref="A31:E31"/>
    <mergeCell ref="B35:D35"/>
  </mergeCells>
  <pageMargins left="0.25" right="0.25" top="0.75" bottom="0.75" header="0.3" footer="0.3"/>
  <pageSetup scale="81"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B0C4A-22E3-4DAC-87D0-62B20191D9B8}">
  <sheetPr>
    <pageSetUpPr fitToPage="1"/>
  </sheetPr>
  <dimension ref="A1:K54"/>
  <sheetViews>
    <sheetView workbookViewId="0">
      <pane ySplit="15" topLeftCell="A41"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42578125" customWidth="1"/>
    <col min="7" max="7" width="16.7109375" customWidth="1"/>
    <col min="8" max="8" width="5.5703125" customWidth="1"/>
    <col min="9" max="9" width="7.140625" customWidth="1"/>
    <col min="10" max="10" width="25.42578125" customWidth="1"/>
  </cols>
  <sheetData>
    <row r="1" spans="1:11" x14ac:dyDescent="0.25">
      <c r="A1" s="161"/>
      <c r="B1" s="161"/>
      <c r="C1" s="161"/>
      <c r="D1" s="161"/>
      <c r="E1" s="161"/>
      <c r="F1" s="161"/>
      <c r="G1" s="161"/>
      <c r="H1" s="161"/>
      <c r="I1" s="146" t="s">
        <v>101</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6" t="s">
        <v>102</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6" t="s">
        <v>103</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c r="G16" s="53"/>
      <c r="H16" s="148"/>
      <c r="I16" s="148"/>
      <c r="J16" s="53">
        <f t="shared" ref="J16:J21" si="0">F16+G16-H16</f>
        <v>0</v>
      </c>
      <c r="K16" s="41"/>
    </row>
    <row r="17" spans="1:11" s="37" customFormat="1" x14ac:dyDescent="0.25">
      <c r="A17" s="39" t="s">
        <v>71</v>
      </c>
      <c r="B17" s="40"/>
      <c r="C17" s="40"/>
      <c r="D17" s="40"/>
      <c r="E17" s="40"/>
      <c r="F17" s="53"/>
      <c r="G17" s="53"/>
      <c r="H17" s="148"/>
      <c r="I17" s="148"/>
      <c r="J17" s="53">
        <f t="shared" si="0"/>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v>6674000</v>
      </c>
      <c r="G19" s="53"/>
      <c r="H19" s="148"/>
      <c r="I19" s="148"/>
      <c r="J19" s="53">
        <f t="shared" si="0"/>
        <v>6674000</v>
      </c>
      <c r="K19" s="41"/>
    </row>
    <row r="20" spans="1:11" s="37" customFormat="1" ht="17.25" x14ac:dyDescent="0.25">
      <c r="A20" s="39" t="s">
        <v>220</v>
      </c>
      <c r="B20" s="40"/>
      <c r="C20" s="40"/>
      <c r="D20" s="40"/>
      <c r="E20" s="40"/>
      <c r="F20" s="53"/>
      <c r="G20" s="53"/>
      <c r="H20" s="148"/>
      <c r="I20" s="148"/>
      <c r="J20" s="53">
        <f t="shared" si="0"/>
        <v>0</v>
      </c>
      <c r="K20" s="41"/>
    </row>
    <row r="21" spans="1:11" s="37" customFormat="1" ht="17.25" x14ac:dyDescent="0.25">
      <c r="A21" s="67" t="s">
        <v>268</v>
      </c>
      <c r="B21" s="40"/>
      <c r="C21" s="40"/>
      <c r="D21" s="40"/>
      <c r="E21" s="40"/>
      <c r="F21" s="53"/>
      <c r="G21" s="53"/>
      <c r="H21" s="148"/>
      <c r="I21" s="148"/>
      <c r="J21" s="53">
        <f t="shared" si="0"/>
        <v>0</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c r="G24" s="53"/>
      <c r="H24" s="148"/>
      <c r="I24" s="148"/>
      <c r="J24" s="53">
        <f>F24+G24-H24</f>
        <v>0</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c r="G31" s="53"/>
      <c r="H31" s="148"/>
      <c r="I31" s="148"/>
      <c r="J31" s="53">
        <f t="shared" si="1"/>
        <v>0</v>
      </c>
      <c r="K31" s="41"/>
    </row>
    <row r="32" spans="1:11" s="37" customFormat="1" x14ac:dyDescent="0.25">
      <c r="A32" s="39" t="s">
        <v>81</v>
      </c>
      <c r="B32" s="40"/>
      <c r="C32" s="40"/>
      <c r="D32" s="40"/>
      <c r="E32" s="40"/>
      <c r="F32" s="53"/>
      <c r="G32" s="53"/>
      <c r="H32" s="148"/>
      <c r="I32" s="148"/>
      <c r="J32" s="53">
        <f t="shared" si="1"/>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100</v>
      </c>
      <c r="C35" s="141"/>
      <c r="D35" s="141"/>
      <c r="F35" s="56">
        <f>SUM(F16:F34)</f>
        <v>6674000</v>
      </c>
      <c r="G35" s="56">
        <f>SUM(G16:G34)</f>
        <v>0</v>
      </c>
      <c r="H35" s="162">
        <f>SUM(H16:H34)</f>
        <v>0</v>
      </c>
      <c r="I35" s="162"/>
      <c r="J35" s="56">
        <f>SUM(J16:J34)</f>
        <v>6674000</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ht="14.45" customHeight="1" x14ac:dyDescent="0.25">
      <c r="A40" s="143" t="s">
        <v>30</v>
      </c>
      <c r="B40" s="143"/>
      <c r="C40" s="143"/>
      <c r="D40" s="143"/>
      <c r="E40" s="143"/>
      <c r="F40" s="143"/>
      <c r="G40" s="143"/>
      <c r="H40" s="143"/>
      <c r="I40" s="143"/>
      <c r="J40" s="143"/>
    </row>
    <row r="41" spans="1:11" x14ac:dyDescent="0.25">
      <c r="A41" s="143"/>
      <c r="B41" s="143"/>
      <c r="C41" s="143"/>
      <c r="D41" s="143"/>
      <c r="E41" s="143"/>
      <c r="F41" s="143"/>
      <c r="G41" s="143"/>
      <c r="H41" s="143"/>
      <c r="I41" s="143"/>
      <c r="J41" s="143"/>
    </row>
    <row r="42" spans="1:11" x14ac:dyDescent="0.25">
      <c r="A42" s="143"/>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4"/>
      <c r="B44" s="64"/>
      <c r="C44" s="64"/>
      <c r="D44" s="64"/>
      <c r="E44" s="64"/>
      <c r="F44" s="64"/>
      <c r="G44" s="64"/>
      <c r="H44" s="64"/>
      <c r="I44" s="64"/>
      <c r="J44" s="64"/>
    </row>
    <row r="45" spans="1:11" x14ac:dyDescent="0.25">
      <c r="A45" s="64"/>
      <c r="B45" s="64"/>
      <c r="C45" s="64"/>
      <c r="D45" s="64"/>
      <c r="E45" s="64"/>
      <c r="F45" s="64"/>
      <c r="G45" s="64"/>
      <c r="H45" s="64"/>
      <c r="I45" s="64"/>
      <c r="J45" s="64"/>
    </row>
    <row r="46" spans="1:11" x14ac:dyDescent="0.25">
      <c r="A46" s="144" t="s">
        <v>28</v>
      </c>
      <c r="B46" s="144"/>
      <c r="C46" s="144"/>
      <c r="D46" s="144"/>
      <c r="E46" s="144"/>
      <c r="F46" s="144"/>
      <c r="G46" s="144"/>
      <c r="H46" s="144"/>
      <c r="I46" s="144"/>
      <c r="J46" s="144"/>
    </row>
    <row r="47" spans="1:11" x14ac:dyDescent="0.25">
      <c r="A47" s="74"/>
      <c r="B47" s="74"/>
      <c r="C47" s="74"/>
      <c r="D47" s="74"/>
      <c r="E47" s="74"/>
      <c r="F47" s="74"/>
      <c r="G47" s="74"/>
      <c r="H47" s="74"/>
      <c r="I47" s="74"/>
      <c r="J47" s="74"/>
    </row>
    <row r="48" spans="1:11" x14ac:dyDescent="0.25">
      <c r="A48" s="74"/>
      <c r="B48" s="74"/>
      <c r="C48" s="74"/>
      <c r="D48" s="74"/>
      <c r="E48" s="74"/>
      <c r="F48" s="74"/>
      <c r="G48" s="74"/>
      <c r="H48" s="74"/>
      <c r="I48" s="74"/>
      <c r="J48" s="74"/>
    </row>
    <row r="49" spans="1:10" x14ac:dyDescent="0.25">
      <c r="A49" s="74"/>
      <c r="B49" s="74"/>
      <c r="C49" s="74"/>
      <c r="D49" s="74"/>
      <c r="E49" s="74"/>
      <c r="F49" s="74"/>
      <c r="G49" s="74"/>
      <c r="H49" s="74"/>
      <c r="I49" s="74"/>
      <c r="J49" s="74"/>
    </row>
    <row r="50" spans="1:10" x14ac:dyDescent="0.25">
      <c r="A50" s="64"/>
      <c r="B50" s="64"/>
      <c r="C50" s="64"/>
      <c r="D50" s="64"/>
      <c r="E50" s="64"/>
      <c r="F50" s="64"/>
      <c r="G50" s="64"/>
      <c r="H50" s="64"/>
      <c r="I50" s="64"/>
      <c r="J50" s="64"/>
    </row>
    <row r="51" spans="1:10" x14ac:dyDescent="0.25">
      <c r="A51" s="64"/>
      <c r="B51" s="64"/>
      <c r="C51" s="64"/>
      <c r="D51" s="64"/>
      <c r="E51" s="64"/>
      <c r="F51" s="64"/>
      <c r="G51" s="64"/>
      <c r="H51" s="64"/>
      <c r="I51" s="75"/>
      <c r="J51" s="75"/>
    </row>
    <row r="52" spans="1:10" x14ac:dyDescent="0.25">
      <c r="A52" s="64"/>
      <c r="B52" s="64"/>
      <c r="C52" s="64"/>
      <c r="D52" s="64"/>
      <c r="E52" s="64"/>
      <c r="F52" s="64"/>
      <c r="G52" s="64"/>
      <c r="H52" s="64"/>
      <c r="I52" s="50" t="s">
        <v>31</v>
      </c>
      <c r="J52" s="47"/>
    </row>
    <row r="53" spans="1:10" x14ac:dyDescent="0.25">
      <c r="A53" s="64"/>
      <c r="B53" s="64"/>
      <c r="C53" s="64"/>
      <c r="D53" s="64"/>
      <c r="E53" s="64"/>
      <c r="F53" s="64"/>
      <c r="G53" s="64"/>
      <c r="H53" s="64"/>
      <c r="I53" s="50" t="s">
        <v>32</v>
      </c>
      <c r="J53" s="47"/>
    </row>
    <row r="54" spans="1:10" x14ac:dyDescent="0.25">
      <c r="A54" s="64"/>
      <c r="B54" s="64"/>
      <c r="C54" s="64"/>
      <c r="D54" s="64"/>
      <c r="E54" s="64"/>
      <c r="F54" s="64"/>
      <c r="G54" s="64"/>
      <c r="H54" s="64"/>
      <c r="I54" s="50" t="s">
        <v>33</v>
      </c>
      <c r="J54" s="47"/>
    </row>
  </sheetData>
  <mergeCells count="53">
    <mergeCell ref="H31:I31"/>
    <mergeCell ref="H32:I32"/>
    <mergeCell ref="H35:I35"/>
    <mergeCell ref="H26:I26"/>
    <mergeCell ref="H27:I27"/>
    <mergeCell ref="H28:I28"/>
    <mergeCell ref="H29:I29"/>
    <mergeCell ref="H30:I30"/>
    <mergeCell ref="H21:I21"/>
    <mergeCell ref="H22:I22"/>
    <mergeCell ref="H23:I23"/>
    <mergeCell ref="H24:I24"/>
    <mergeCell ref="H25:I25"/>
    <mergeCell ref="H16:I16"/>
    <mergeCell ref="H17:I17"/>
    <mergeCell ref="H18:I18"/>
    <mergeCell ref="H19:I19"/>
    <mergeCell ref="H20:I20"/>
    <mergeCell ref="A40:J43"/>
    <mergeCell ref="A46:J46"/>
    <mergeCell ref="A15:J15"/>
    <mergeCell ref="A9:B9"/>
    <mergeCell ref="C9:H9"/>
    <mergeCell ref="A10:B10"/>
    <mergeCell ref="C10:H10"/>
    <mergeCell ref="I10:J10"/>
    <mergeCell ref="A11:J11"/>
    <mergeCell ref="A12:J12"/>
    <mergeCell ref="A13:J13"/>
    <mergeCell ref="A14:E14"/>
    <mergeCell ref="H14:I14"/>
    <mergeCell ref="A24:E24"/>
    <mergeCell ref="A25:E25"/>
    <mergeCell ref="A26:E26"/>
    <mergeCell ref="A8:B8"/>
    <mergeCell ref="C8:H8"/>
    <mergeCell ref="A1:C1"/>
    <mergeCell ref="D1:H1"/>
    <mergeCell ref="I1:J1"/>
    <mergeCell ref="A2:J2"/>
    <mergeCell ref="A3:J3"/>
    <mergeCell ref="A4:J4"/>
    <mergeCell ref="A5:J5"/>
    <mergeCell ref="A6:J6"/>
    <mergeCell ref="A7:B7"/>
    <mergeCell ref="C7:H7"/>
    <mergeCell ref="A27:E27"/>
    <mergeCell ref="A28:E28"/>
    <mergeCell ref="B36:D36"/>
    <mergeCell ref="A29:E29"/>
    <mergeCell ref="A30:E30"/>
    <mergeCell ref="A31:E31"/>
    <mergeCell ref="B35:D35"/>
  </mergeCells>
  <pageMargins left="0.25" right="0.25" top="0.75" bottom="0.75" header="0.3" footer="0.3"/>
  <pageSetup scale="77" orientation="portrait" horizontalDpi="360" verticalDpi="36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31230-7CD2-4BE2-AA57-461ED3016606}">
  <sheetPr>
    <pageSetUpPr fitToPage="1"/>
  </sheetPr>
  <dimension ref="A1:K54"/>
  <sheetViews>
    <sheetView workbookViewId="0">
      <pane ySplit="14" topLeftCell="A40"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 bestFit="1" customWidth="1"/>
    <col min="7" max="7" width="12.85546875" customWidth="1"/>
    <col min="8" max="8" width="2.7109375" customWidth="1"/>
    <col min="9" max="9" width="14.5703125" customWidth="1"/>
    <col min="10" max="10" width="15.140625" bestFit="1" customWidth="1"/>
  </cols>
  <sheetData>
    <row r="1" spans="1:11" x14ac:dyDescent="0.25">
      <c r="A1" s="161"/>
      <c r="B1" s="161"/>
      <c r="C1" s="161"/>
      <c r="D1" s="161"/>
      <c r="E1" s="161"/>
      <c r="F1" s="161"/>
      <c r="G1" s="161"/>
      <c r="H1" s="161"/>
      <c r="I1" s="146" t="s">
        <v>105</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7" t="s">
        <v>249</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7" t="s">
        <v>248</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c r="G16" s="53"/>
      <c r="H16" s="148"/>
      <c r="I16" s="148"/>
      <c r="J16" s="53">
        <f t="shared" ref="J16:J21" si="0">F16+G16-H16</f>
        <v>0</v>
      </c>
      <c r="K16" s="41"/>
    </row>
    <row r="17" spans="1:11" s="37" customFormat="1" x14ac:dyDescent="0.25">
      <c r="A17" s="39" t="s">
        <v>71</v>
      </c>
      <c r="B17" s="40"/>
      <c r="C17" s="40"/>
      <c r="D17" s="40"/>
      <c r="E17" s="40"/>
      <c r="F17" s="53"/>
      <c r="G17" s="53"/>
      <c r="H17" s="148"/>
      <c r="I17" s="148"/>
      <c r="J17" s="53">
        <f t="shared" si="0"/>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v>70479745.319999993</v>
      </c>
      <c r="G19" s="53"/>
      <c r="H19" s="148"/>
      <c r="I19" s="148"/>
      <c r="J19" s="53">
        <f t="shared" si="0"/>
        <v>70479745.319999993</v>
      </c>
      <c r="K19" s="41"/>
    </row>
    <row r="20" spans="1:11" s="37" customFormat="1" ht="17.25" x14ac:dyDescent="0.25">
      <c r="A20" s="39" t="s">
        <v>220</v>
      </c>
      <c r="B20" s="40"/>
      <c r="C20" s="40"/>
      <c r="D20" s="40"/>
      <c r="E20" s="40"/>
      <c r="F20" s="53"/>
      <c r="G20" s="53"/>
      <c r="H20" s="148"/>
      <c r="I20" s="148"/>
      <c r="J20" s="53">
        <f t="shared" si="0"/>
        <v>0</v>
      </c>
      <c r="K20" s="41"/>
    </row>
    <row r="21" spans="1:11" s="37" customFormat="1" ht="17.25" x14ac:dyDescent="0.25">
      <c r="A21" s="67" t="s">
        <v>268</v>
      </c>
      <c r="B21" s="40"/>
      <c r="C21" s="40"/>
      <c r="D21" s="40"/>
      <c r="E21" s="40"/>
      <c r="F21" s="53"/>
      <c r="G21" s="53"/>
      <c r="H21" s="148"/>
      <c r="I21" s="148"/>
      <c r="J21" s="53">
        <f t="shared" si="0"/>
        <v>0</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c r="G24" s="53"/>
      <c r="H24" s="148"/>
      <c r="I24" s="148"/>
      <c r="J24" s="53">
        <f>F24+G24-H24</f>
        <v>0</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c r="G31" s="53"/>
      <c r="H31" s="148"/>
      <c r="I31" s="148"/>
      <c r="J31" s="53">
        <f t="shared" si="1"/>
        <v>0</v>
      </c>
      <c r="K31" s="41"/>
    </row>
    <row r="32" spans="1:11" s="37" customFormat="1" x14ac:dyDescent="0.25">
      <c r="A32" s="39" t="s">
        <v>81</v>
      </c>
      <c r="B32" s="40"/>
      <c r="C32" s="40"/>
      <c r="D32" s="40"/>
      <c r="E32" s="40"/>
      <c r="F32" s="53"/>
      <c r="G32" s="53"/>
      <c r="H32" s="148"/>
      <c r="I32" s="148"/>
      <c r="J32" s="53">
        <f t="shared" si="1"/>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104</v>
      </c>
      <c r="C35" s="141"/>
      <c r="D35" s="141"/>
      <c r="F35" s="56">
        <f>SUM(F16:F34)</f>
        <v>70479745.319999993</v>
      </c>
      <c r="G35" s="56">
        <f>SUM(G16:G34)</f>
        <v>0</v>
      </c>
      <c r="H35" s="162">
        <f>SUM(H16:H34)</f>
        <v>0</v>
      </c>
      <c r="I35" s="162"/>
      <c r="J35" s="56">
        <f>SUM(J16:J34)</f>
        <v>70479745.319999993</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ht="14.45" customHeight="1" x14ac:dyDescent="0.25">
      <c r="A40" s="143" t="s">
        <v>30</v>
      </c>
      <c r="B40" s="143"/>
      <c r="C40" s="143"/>
      <c r="D40" s="143"/>
      <c r="E40" s="143"/>
      <c r="F40" s="143"/>
      <c r="G40" s="143"/>
      <c r="H40" s="143"/>
      <c r="I40" s="143"/>
      <c r="J40" s="143"/>
    </row>
    <row r="41" spans="1:11" x14ac:dyDescent="0.25">
      <c r="A41" s="143"/>
      <c r="B41" s="143"/>
      <c r="C41" s="143"/>
      <c r="D41" s="143"/>
      <c r="E41" s="143"/>
      <c r="F41" s="143"/>
      <c r="G41" s="143"/>
      <c r="H41" s="143"/>
      <c r="I41" s="143"/>
      <c r="J41" s="143"/>
    </row>
    <row r="42" spans="1:11" x14ac:dyDescent="0.25">
      <c r="A42" s="143"/>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4"/>
      <c r="B44" s="64"/>
      <c r="C44" s="64"/>
      <c r="D44" s="64"/>
      <c r="E44" s="64"/>
      <c r="F44" s="64"/>
      <c r="G44" s="64"/>
      <c r="H44" s="64"/>
      <c r="I44" s="64"/>
      <c r="J44" s="64"/>
    </row>
    <row r="45" spans="1:11" x14ac:dyDescent="0.25">
      <c r="A45" s="64"/>
      <c r="B45" s="64"/>
      <c r="C45" s="64"/>
      <c r="D45" s="64"/>
      <c r="E45" s="64"/>
      <c r="F45" s="64"/>
      <c r="G45" s="64"/>
      <c r="H45" s="64"/>
      <c r="I45" s="64"/>
      <c r="J45" s="64"/>
    </row>
    <row r="46" spans="1:11" x14ac:dyDescent="0.25">
      <c r="A46" s="144" t="s">
        <v>28</v>
      </c>
      <c r="B46" s="144"/>
      <c r="C46" s="144"/>
      <c r="D46" s="144"/>
      <c r="E46" s="144"/>
      <c r="F46" s="144"/>
      <c r="G46" s="144"/>
      <c r="H46" s="144"/>
      <c r="I46" s="144"/>
      <c r="J46" s="144"/>
    </row>
    <row r="47" spans="1:11" x14ac:dyDescent="0.25">
      <c r="A47" s="74"/>
      <c r="B47" s="74"/>
      <c r="C47" s="74"/>
      <c r="D47" s="74"/>
      <c r="E47" s="74"/>
      <c r="F47" s="74"/>
      <c r="G47" s="74"/>
      <c r="H47" s="74"/>
      <c r="I47" s="74"/>
      <c r="J47" s="74"/>
    </row>
    <row r="48" spans="1:11" x14ac:dyDescent="0.25">
      <c r="A48" s="74"/>
      <c r="B48" s="74"/>
      <c r="C48" s="74"/>
      <c r="D48" s="74"/>
      <c r="E48" s="74"/>
      <c r="F48" s="74"/>
      <c r="G48" s="74"/>
      <c r="H48" s="74"/>
      <c r="I48" s="74"/>
      <c r="J48" s="74"/>
    </row>
    <row r="49" spans="1:10" x14ac:dyDescent="0.25">
      <c r="A49" s="74"/>
      <c r="B49" s="74"/>
      <c r="C49" s="74"/>
      <c r="D49" s="74"/>
      <c r="E49" s="74"/>
      <c r="F49" s="74"/>
      <c r="G49" s="74"/>
      <c r="H49" s="74"/>
      <c r="I49" s="74"/>
      <c r="J49" s="74"/>
    </row>
    <row r="50" spans="1:10" x14ac:dyDescent="0.25">
      <c r="A50" s="64"/>
      <c r="B50" s="64"/>
      <c r="C50" s="64"/>
      <c r="D50" s="64"/>
      <c r="E50" s="64"/>
      <c r="F50" s="64"/>
      <c r="G50" s="64"/>
      <c r="H50" s="64"/>
      <c r="I50" s="64"/>
      <c r="J50" s="64"/>
    </row>
    <row r="51" spans="1:10" x14ac:dyDescent="0.25">
      <c r="A51" s="64"/>
      <c r="B51" s="64"/>
      <c r="C51" s="64"/>
      <c r="D51" s="64"/>
      <c r="E51" s="64"/>
      <c r="F51" s="64"/>
      <c r="G51" s="64"/>
      <c r="H51" s="64"/>
      <c r="I51" s="75"/>
      <c r="J51" s="75"/>
    </row>
    <row r="52" spans="1:10" x14ac:dyDescent="0.25">
      <c r="A52" s="64"/>
      <c r="B52" s="64"/>
      <c r="C52" s="64"/>
      <c r="D52" s="64"/>
      <c r="E52" s="64"/>
      <c r="F52" s="64"/>
      <c r="G52" s="64"/>
      <c r="H52" s="64"/>
      <c r="I52" s="50" t="s">
        <v>31</v>
      </c>
      <c r="J52" s="47"/>
    </row>
    <row r="53" spans="1:10" x14ac:dyDescent="0.25">
      <c r="A53" s="64"/>
      <c r="B53" s="64"/>
      <c r="C53" s="64"/>
      <c r="D53" s="64"/>
      <c r="E53" s="64"/>
      <c r="F53" s="64"/>
      <c r="G53" s="64"/>
      <c r="H53" s="64"/>
      <c r="I53" s="50" t="s">
        <v>32</v>
      </c>
      <c r="J53" s="47"/>
    </row>
    <row r="54" spans="1:10" x14ac:dyDescent="0.25">
      <c r="A54" s="64"/>
      <c r="B54" s="64"/>
      <c r="C54" s="64"/>
      <c r="D54" s="64"/>
      <c r="E54" s="64"/>
      <c r="F54" s="64"/>
      <c r="G54" s="64"/>
      <c r="H54" s="64"/>
      <c r="I54" s="50" t="s">
        <v>33</v>
      </c>
      <c r="J54" s="47"/>
    </row>
  </sheetData>
  <mergeCells count="53">
    <mergeCell ref="H31:I31"/>
    <mergeCell ref="H32:I32"/>
    <mergeCell ref="H35:I35"/>
    <mergeCell ref="H26:I26"/>
    <mergeCell ref="H27:I27"/>
    <mergeCell ref="H28:I28"/>
    <mergeCell ref="H29:I29"/>
    <mergeCell ref="H30:I30"/>
    <mergeCell ref="H21:I21"/>
    <mergeCell ref="H22:I22"/>
    <mergeCell ref="H23:I23"/>
    <mergeCell ref="H24:I24"/>
    <mergeCell ref="H25:I25"/>
    <mergeCell ref="H16:I16"/>
    <mergeCell ref="H17:I17"/>
    <mergeCell ref="H18:I18"/>
    <mergeCell ref="H19:I19"/>
    <mergeCell ref="H20:I20"/>
    <mergeCell ref="A40:J43"/>
    <mergeCell ref="A46:J46"/>
    <mergeCell ref="A15:J15"/>
    <mergeCell ref="A9:B9"/>
    <mergeCell ref="C9:H9"/>
    <mergeCell ref="A10:B10"/>
    <mergeCell ref="C10:H10"/>
    <mergeCell ref="I10:J10"/>
    <mergeCell ref="A11:J11"/>
    <mergeCell ref="A12:J12"/>
    <mergeCell ref="A13:J13"/>
    <mergeCell ref="A14:E14"/>
    <mergeCell ref="H14:I14"/>
    <mergeCell ref="A24:E24"/>
    <mergeCell ref="A25:E25"/>
    <mergeCell ref="A26:E26"/>
    <mergeCell ref="A8:B8"/>
    <mergeCell ref="C8:H8"/>
    <mergeCell ref="A1:C1"/>
    <mergeCell ref="D1:H1"/>
    <mergeCell ref="I1:J1"/>
    <mergeCell ref="A2:J2"/>
    <mergeCell ref="A3:J3"/>
    <mergeCell ref="A4:J4"/>
    <mergeCell ref="A5:J5"/>
    <mergeCell ref="A6:J6"/>
    <mergeCell ref="A7:B7"/>
    <mergeCell ref="C7:H7"/>
    <mergeCell ref="A27:E27"/>
    <mergeCell ref="A28:E28"/>
    <mergeCell ref="B36:D36"/>
    <mergeCell ref="A29:E29"/>
    <mergeCell ref="A30:E30"/>
    <mergeCell ref="A31:E31"/>
    <mergeCell ref="B35:D35"/>
  </mergeCells>
  <pageMargins left="0.25" right="0.25" top="0.75" bottom="0.75" header="0.3" footer="0.3"/>
  <pageSetup scale="81" orientation="portrait" horizontalDpi="360" verticalDpi="36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5FC55-1760-404C-ACBC-04A7485185E9}">
  <sheetPr>
    <pageSetUpPr fitToPage="1"/>
  </sheetPr>
  <dimension ref="A1:K54"/>
  <sheetViews>
    <sheetView workbookViewId="0">
      <pane ySplit="14" topLeftCell="A39"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42578125" customWidth="1"/>
    <col min="7" max="7" width="16.7109375" customWidth="1"/>
    <col min="8" max="8" width="4.5703125" customWidth="1"/>
    <col min="9" max="9" width="11.85546875" customWidth="1"/>
    <col min="10" max="10" width="16.140625" bestFit="1" customWidth="1"/>
  </cols>
  <sheetData>
    <row r="1" spans="1:11" x14ac:dyDescent="0.25">
      <c r="A1" s="161"/>
      <c r="B1" s="161"/>
      <c r="C1" s="161"/>
      <c r="D1" s="161"/>
      <c r="E1" s="161"/>
      <c r="F1" s="161"/>
      <c r="G1" s="161"/>
      <c r="H1" s="161"/>
      <c r="I1" s="146" t="s">
        <v>109</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6" t="s">
        <v>107</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6" t="s">
        <v>108</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c r="G16" s="53"/>
      <c r="H16" s="148"/>
      <c r="I16" s="148"/>
      <c r="J16" s="53">
        <f t="shared" ref="J16:J21" si="0">F16+G16-H16</f>
        <v>0</v>
      </c>
      <c r="K16" s="41"/>
    </row>
    <row r="17" spans="1:11" s="37" customFormat="1" x14ac:dyDescent="0.25">
      <c r="A17" s="39" t="s">
        <v>71</v>
      </c>
      <c r="B17" s="40"/>
      <c r="C17" s="40"/>
      <c r="D17" s="40"/>
      <c r="E17" s="40"/>
      <c r="F17" s="53"/>
      <c r="G17" s="53"/>
      <c r="H17" s="148"/>
      <c r="I17" s="148"/>
      <c r="J17" s="53">
        <f t="shared" si="0"/>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v>101756037.84</v>
      </c>
      <c r="G19" s="53"/>
      <c r="H19" s="148"/>
      <c r="I19" s="148"/>
      <c r="J19" s="53">
        <f t="shared" si="0"/>
        <v>101756037.84</v>
      </c>
      <c r="K19" s="41"/>
    </row>
    <row r="20" spans="1:11" s="37" customFormat="1" ht="17.25" x14ac:dyDescent="0.25">
      <c r="A20" s="39" t="s">
        <v>220</v>
      </c>
      <c r="B20" s="40"/>
      <c r="C20" s="40"/>
      <c r="D20" s="40"/>
      <c r="E20" s="40"/>
      <c r="F20" s="53"/>
      <c r="G20" s="53"/>
      <c r="H20" s="148"/>
      <c r="I20" s="148"/>
      <c r="J20" s="53">
        <f t="shared" si="0"/>
        <v>0</v>
      </c>
      <c r="K20" s="41"/>
    </row>
    <row r="21" spans="1:11" s="37" customFormat="1" ht="17.25" x14ac:dyDescent="0.25">
      <c r="A21" s="67" t="s">
        <v>268</v>
      </c>
      <c r="B21" s="40"/>
      <c r="C21" s="40"/>
      <c r="D21" s="40"/>
      <c r="E21" s="40"/>
      <c r="F21" s="53"/>
      <c r="G21" s="53"/>
      <c r="H21" s="148"/>
      <c r="I21" s="148"/>
      <c r="J21" s="53">
        <f t="shared" si="0"/>
        <v>0</v>
      </c>
      <c r="K21" s="41"/>
    </row>
    <row r="22" spans="1:11" s="37" customFormat="1" ht="14.25" x14ac:dyDescent="0.2">
      <c r="A22" s="42"/>
      <c r="B22" s="42"/>
      <c r="C22" s="42"/>
      <c r="D22" s="42"/>
      <c r="E22" s="42"/>
      <c r="F22" s="53"/>
      <c r="G22" s="53"/>
      <c r="H22" s="53"/>
      <c r="I22" s="53"/>
      <c r="J22" s="53"/>
      <c r="K22" s="41"/>
    </row>
    <row r="23" spans="1:11" s="37" customFormat="1" x14ac:dyDescent="0.25">
      <c r="A23" s="40" t="s">
        <v>11</v>
      </c>
      <c r="B23" s="40"/>
      <c r="C23" s="40"/>
      <c r="D23" s="40"/>
      <c r="E23" s="40"/>
      <c r="F23" s="53"/>
      <c r="G23" s="53"/>
      <c r="H23" s="53"/>
      <c r="I23" s="53"/>
      <c r="J23" s="53"/>
      <c r="K23" s="41"/>
    </row>
    <row r="24" spans="1:11" s="37" customFormat="1" ht="14.25" x14ac:dyDescent="0.2">
      <c r="A24" s="155" t="s">
        <v>73</v>
      </c>
      <c r="B24" s="155"/>
      <c r="C24" s="155"/>
      <c r="D24" s="155"/>
      <c r="E24" s="155"/>
      <c r="F24" s="53"/>
      <c r="G24" s="53"/>
      <c r="H24" s="148"/>
      <c r="I24" s="148"/>
      <c r="J24" s="53">
        <f>F24+G24-H24</f>
        <v>0</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c r="G31" s="53"/>
      <c r="H31" s="148"/>
      <c r="I31" s="148"/>
      <c r="J31" s="53">
        <f t="shared" si="1"/>
        <v>0</v>
      </c>
      <c r="K31" s="41"/>
    </row>
    <row r="32" spans="1:11" s="37" customFormat="1" x14ac:dyDescent="0.25">
      <c r="A32" s="39" t="s">
        <v>81</v>
      </c>
      <c r="B32" s="40"/>
      <c r="C32" s="40"/>
      <c r="D32" s="40"/>
      <c r="E32" s="40"/>
      <c r="F32" s="53"/>
      <c r="G32" s="53"/>
      <c r="H32" s="148"/>
      <c r="I32" s="148"/>
      <c r="J32" s="53">
        <f t="shared" si="1"/>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106</v>
      </c>
      <c r="C35" s="141"/>
      <c r="D35" s="141"/>
      <c r="F35" s="56">
        <f>SUM(F16:F34)</f>
        <v>101756037.84</v>
      </c>
      <c r="G35" s="56">
        <f>SUM(G16:G34)</f>
        <v>0</v>
      </c>
      <c r="H35" s="162">
        <f>SUM(H16:H34)</f>
        <v>0</v>
      </c>
      <c r="I35" s="162"/>
      <c r="J35" s="56">
        <f>SUM(J16:J34)</f>
        <v>101756037.84</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ht="14.45" customHeight="1" x14ac:dyDescent="0.25">
      <c r="A40" s="143" t="s">
        <v>30</v>
      </c>
      <c r="B40" s="143"/>
      <c r="C40" s="143"/>
      <c r="D40" s="143"/>
      <c r="E40" s="143"/>
      <c r="F40" s="143"/>
      <c r="G40" s="143"/>
      <c r="H40" s="143"/>
      <c r="I40" s="143"/>
      <c r="J40" s="143"/>
    </row>
    <row r="41" spans="1:11" x14ac:dyDescent="0.25">
      <c r="A41" s="143"/>
      <c r="B41" s="143"/>
      <c r="C41" s="143"/>
      <c r="D41" s="143"/>
      <c r="E41" s="143"/>
      <c r="F41" s="143"/>
      <c r="G41" s="143"/>
      <c r="H41" s="143"/>
      <c r="I41" s="143"/>
      <c r="J41" s="143"/>
    </row>
    <row r="42" spans="1:11" x14ac:dyDescent="0.25">
      <c r="A42" s="143"/>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4"/>
      <c r="B44" s="64"/>
      <c r="C44" s="64"/>
      <c r="D44" s="64"/>
      <c r="E44" s="64"/>
      <c r="F44" s="64"/>
      <c r="G44" s="64"/>
      <c r="H44" s="64"/>
      <c r="I44" s="64"/>
      <c r="J44" s="64"/>
    </row>
    <row r="45" spans="1:11" x14ac:dyDescent="0.25">
      <c r="A45" s="64"/>
      <c r="B45" s="64"/>
      <c r="C45" s="64"/>
      <c r="D45" s="64"/>
      <c r="E45" s="64"/>
      <c r="F45" s="64"/>
      <c r="G45" s="64"/>
      <c r="H45" s="64"/>
      <c r="I45" s="64"/>
      <c r="J45" s="64"/>
    </row>
    <row r="46" spans="1:11" x14ac:dyDescent="0.25">
      <c r="A46" s="144" t="s">
        <v>28</v>
      </c>
      <c r="B46" s="144"/>
      <c r="C46" s="144"/>
      <c r="D46" s="144"/>
      <c r="E46" s="144"/>
      <c r="F46" s="144"/>
      <c r="G46" s="144"/>
      <c r="H46" s="144"/>
      <c r="I46" s="144"/>
      <c r="J46" s="144"/>
    </row>
    <row r="47" spans="1:11" x14ac:dyDescent="0.25">
      <c r="A47" s="74"/>
      <c r="B47" s="74"/>
      <c r="C47" s="74"/>
      <c r="D47" s="74"/>
      <c r="E47" s="74"/>
      <c r="F47" s="74"/>
      <c r="G47" s="74"/>
      <c r="H47" s="74"/>
      <c r="I47" s="74"/>
      <c r="J47" s="74"/>
    </row>
    <row r="48" spans="1:11" x14ac:dyDescent="0.25">
      <c r="A48" s="74"/>
      <c r="B48" s="74"/>
      <c r="C48" s="74"/>
      <c r="D48" s="74"/>
      <c r="E48" s="74"/>
      <c r="F48" s="74"/>
      <c r="G48" s="74"/>
      <c r="H48" s="74"/>
      <c r="I48" s="74"/>
      <c r="J48" s="74"/>
    </row>
    <row r="49" spans="1:10" x14ac:dyDescent="0.25">
      <c r="A49" s="74"/>
      <c r="B49" s="74"/>
      <c r="C49" s="74"/>
      <c r="D49" s="74"/>
      <c r="E49" s="74"/>
      <c r="F49" s="74"/>
      <c r="G49" s="74"/>
      <c r="H49" s="74"/>
      <c r="I49" s="74"/>
      <c r="J49" s="74"/>
    </row>
    <row r="50" spans="1:10" x14ac:dyDescent="0.25">
      <c r="A50" s="64"/>
      <c r="B50" s="64"/>
      <c r="C50" s="64"/>
      <c r="D50" s="64"/>
      <c r="E50" s="64"/>
      <c r="F50" s="64"/>
      <c r="G50" s="64"/>
      <c r="H50" s="64"/>
      <c r="I50" s="64"/>
      <c r="J50" s="64"/>
    </row>
    <row r="51" spans="1:10" x14ac:dyDescent="0.25">
      <c r="A51" s="64"/>
      <c r="B51" s="64"/>
      <c r="C51" s="64"/>
      <c r="D51" s="64"/>
      <c r="E51" s="64"/>
      <c r="F51" s="64"/>
      <c r="G51" s="64"/>
      <c r="H51" s="64"/>
      <c r="I51" s="75"/>
      <c r="J51" s="75"/>
    </row>
    <row r="52" spans="1:10" x14ac:dyDescent="0.25">
      <c r="A52" s="64"/>
      <c r="B52" s="64"/>
      <c r="C52" s="64"/>
      <c r="D52" s="64"/>
      <c r="E52" s="64"/>
      <c r="F52" s="64"/>
      <c r="G52" s="64"/>
      <c r="H52" s="64"/>
      <c r="I52" s="50" t="s">
        <v>31</v>
      </c>
      <c r="J52" s="47"/>
    </row>
    <row r="53" spans="1:10" x14ac:dyDescent="0.25">
      <c r="A53" s="64"/>
      <c r="B53" s="64"/>
      <c r="C53" s="64"/>
      <c r="D53" s="64"/>
      <c r="E53" s="64"/>
      <c r="F53" s="64"/>
      <c r="G53" s="64"/>
      <c r="H53" s="64"/>
      <c r="I53" s="50" t="s">
        <v>32</v>
      </c>
      <c r="J53" s="47"/>
    </row>
    <row r="54" spans="1:10" x14ac:dyDescent="0.25">
      <c r="A54" s="64"/>
      <c r="B54" s="64"/>
      <c r="C54" s="64"/>
      <c r="D54" s="64"/>
      <c r="E54" s="64"/>
      <c r="F54" s="64"/>
      <c r="G54" s="64"/>
      <c r="H54" s="64"/>
      <c r="I54" s="50" t="s">
        <v>33</v>
      </c>
      <c r="J54" s="47"/>
    </row>
  </sheetData>
  <mergeCells count="51">
    <mergeCell ref="H35:I35"/>
    <mergeCell ref="H28:I28"/>
    <mergeCell ref="H29:I29"/>
    <mergeCell ref="H30:I30"/>
    <mergeCell ref="H31:I31"/>
    <mergeCell ref="H32:I32"/>
    <mergeCell ref="H21:I21"/>
    <mergeCell ref="H24:I24"/>
    <mergeCell ref="H25:I25"/>
    <mergeCell ref="H26:I26"/>
    <mergeCell ref="H27:I27"/>
    <mergeCell ref="H16:I16"/>
    <mergeCell ref="H17:I17"/>
    <mergeCell ref="H18:I18"/>
    <mergeCell ref="H19:I19"/>
    <mergeCell ref="H20:I20"/>
    <mergeCell ref="A40:J43"/>
    <mergeCell ref="A46:J46"/>
    <mergeCell ref="A15:J15"/>
    <mergeCell ref="A9:B9"/>
    <mergeCell ref="C9:H9"/>
    <mergeCell ref="A10:B10"/>
    <mergeCell ref="C10:H10"/>
    <mergeCell ref="I10:J10"/>
    <mergeCell ref="A11:J11"/>
    <mergeCell ref="A12:J12"/>
    <mergeCell ref="A13:J13"/>
    <mergeCell ref="A14:E14"/>
    <mergeCell ref="H14:I14"/>
    <mergeCell ref="A24:E24"/>
    <mergeCell ref="A25:E25"/>
    <mergeCell ref="A26:E26"/>
    <mergeCell ref="A8:B8"/>
    <mergeCell ref="C8:H8"/>
    <mergeCell ref="A1:C1"/>
    <mergeCell ref="D1:H1"/>
    <mergeCell ref="I1:J1"/>
    <mergeCell ref="A2:J2"/>
    <mergeCell ref="A3:J3"/>
    <mergeCell ref="A4:J4"/>
    <mergeCell ref="A5:J5"/>
    <mergeCell ref="A6:J6"/>
    <mergeCell ref="A7:B7"/>
    <mergeCell ref="C7:H7"/>
    <mergeCell ref="A27:E27"/>
    <mergeCell ref="A28:E28"/>
    <mergeCell ref="B36:D36"/>
    <mergeCell ref="A29:E29"/>
    <mergeCell ref="A30:E30"/>
    <mergeCell ref="A31:E31"/>
    <mergeCell ref="B35:D35"/>
  </mergeCells>
  <pageMargins left="0.25" right="0.25" top="0.75" bottom="0.75" header="0.3" footer="0.3"/>
  <pageSetup scale="81" orientation="portrait" horizontalDpi="360" verticalDpi="36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23DD1-1948-45A8-95B0-522E847DB7DC}">
  <sheetPr>
    <pageSetUpPr fitToPage="1"/>
  </sheetPr>
  <dimension ref="A1:K54"/>
  <sheetViews>
    <sheetView workbookViewId="0">
      <pane ySplit="14" topLeftCell="A33"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 bestFit="1" customWidth="1"/>
    <col min="7" max="7" width="13.85546875" customWidth="1"/>
    <col min="8" max="8" width="3.28515625" customWidth="1"/>
    <col min="9" max="9" width="10.5703125" customWidth="1"/>
    <col min="10" max="10" width="17.28515625" customWidth="1"/>
  </cols>
  <sheetData>
    <row r="1" spans="1:11" x14ac:dyDescent="0.25">
      <c r="A1" s="161"/>
      <c r="B1" s="161"/>
      <c r="C1" s="161"/>
      <c r="D1" s="161"/>
      <c r="E1" s="161"/>
      <c r="F1" s="161"/>
      <c r="G1" s="161"/>
      <c r="H1" s="161"/>
      <c r="I1" s="146" t="s">
        <v>113</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6" t="s">
        <v>111</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6" t="s">
        <v>112</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c r="G16" s="53"/>
      <c r="H16" s="148"/>
      <c r="I16" s="148"/>
      <c r="J16" s="53">
        <f t="shared" ref="J16:J21" si="0">F16+G16-H16</f>
        <v>0</v>
      </c>
      <c r="K16" s="41"/>
    </row>
    <row r="17" spans="1:11" s="37" customFormat="1" x14ac:dyDescent="0.25">
      <c r="A17" s="39" t="s">
        <v>71</v>
      </c>
      <c r="B17" s="40"/>
      <c r="C17" s="40"/>
      <c r="D17" s="40"/>
      <c r="E17" s="40"/>
      <c r="F17" s="53"/>
      <c r="G17" s="53"/>
      <c r="H17" s="148"/>
      <c r="I17" s="148"/>
      <c r="J17" s="53">
        <f t="shared" si="0"/>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c r="G19" s="53"/>
      <c r="H19" s="148"/>
      <c r="I19" s="148"/>
      <c r="J19" s="53">
        <f t="shared" si="0"/>
        <v>0</v>
      </c>
      <c r="K19" s="41"/>
    </row>
    <row r="20" spans="1:11" s="37" customFormat="1" ht="17.25" x14ac:dyDescent="0.25">
      <c r="A20" s="39" t="s">
        <v>220</v>
      </c>
      <c r="B20" s="40"/>
      <c r="C20" s="40"/>
      <c r="D20" s="40"/>
      <c r="E20" s="40"/>
      <c r="F20" s="53">
        <v>56384988.329999998</v>
      </c>
      <c r="G20" s="53">
        <v>30051.7</v>
      </c>
      <c r="H20" s="148">
        <v>0</v>
      </c>
      <c r="I20" s="148"/>
      <c r="J20" s="53">
        <f t="shared" si="0"/>
        <v>56415040.030000001</v>
      </c>
      <c r="K20" s="41"/>
    </row>
    <row r="21" spans="1:11" s="37" customFormat="1" ht="17.25" x14ac:dyDescent="0.25">
      <c r="A21" s="67" t="s">
        <v>268</v>
      </c>
      <c r="B21" s="40"/>
      <c r="C21" s="40"/>
      <c r="D21" s="40"/>
      <c r="E21" s="40"/>
      <c r="F21" s="53"/>
      <c r="G21" s="53"/>
      <c r="H21" s="53"/>
      <c r="I21" s="53"/>
      <c r="J21" s="53">
        <f t="shared" si="0"/>
        <v>0</v>
      </c>
      <c r="K21" s="41"/>
    </row>
    <row r="22" spans="1:11" s="37" customFormat="1" ht="14.25" x14ac:dyDescent="0.2">
      <c r="A22" s="42"/>
      <c r="B22" s="42"/>
      <c r="C22" s="42"/>
      <c r="D22" s="42"/>
      <c r="E22" s="42"/>
      <c r="F22" s="53"/>
      <c r="G22" s="53"/>
      <c r="H22" s="53"/>
      <c r="I22" s="53"/>
      <c r="J22" s="53"/>
      <c r="K22" s="41"/>
    </row>
    <row r="23" spans="1:11" s="37" customFormat="1" x14ac:dyDescent="0.25">
      <c r="A23" s="40" t="s">
        <v>11</v>
      </c>
      <c r="B23" s="40"/>
      <c r="C23" s="40"/>
      <c r="D23" s="40"/>
      <c r="E23" s="40"/>
      <c r="F23" s="53"/>
      <c r="G23" s="53"/>
      <c r="H23" s="53"/>
      <c r="I23" s="53"/>
      <c r="J23" s="53"/>
      <c r="K23" s="41"/>
    </row>
    <row r="24" spans="1:11" s="37" customFormat="1" ht="14.25" x14ac:dyDescent="0.2">
      <c r="A24" s="155" t="s">
        <v>73</v>
      </c>
      <c r="B24" s="155"/>
      <c r="C24" s="155"/>
      <c r="D24" s="155"/>
      <c r="E24" s="155"/>
      <c r="F24" s="53"/>
      <c r="G24" s="53"/>
      <c r="H24" s="148"/>
      <c r="I24" s="148"/>
      <c r="J24" s="53">
        <f>F24+G24-H24</f>
        <v>0</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c r="G31" s="53"/>
      <c r="H31" s="148"/>
      <c r="I31" s="148"/>
      <c r="J31" s="53">
        <f t="shared" si="1"/>
        <v>0</v>
      </c>
      <c r="K31" s="41"/>
    </row>
    <row r="32" spans="1:11" s="37" customFormat="1" x14ac:dyDescent="0.25">
      <c r="A32" s="39" t="s">
        <v>81</v>
      </c>
      <c r="B32" s="40"/>
      <c r="C32" s="40"/>
      <c r="D32" s="40"/>
      <c r="E32" s="40"/>
      <c r="F32" s="53"/>
      <c r="G32" s="53"/>
      <c r="H32" s="148"/>
      <c r="I32" s="148"/>
      <c r="J32" s="53">
        <f t="shared" si="1"/>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110</v>
      </c>
      <c r="C35" s="141"/>
      <c r="D35" s="141"/>
      <c r="F35" s="56">
        <f>SUM(F16:F34)</f>
        <v>56384988.329999998</v>
      </c>
      <c r="G35" s="56">
        <f>SUM(G16:G34)</f>
        <v>30051.7</v>
      </c>
      <c r="H35" s="162">
        <f>SUM(H16:H34)</f>
        <v>0</v>
      </c>
      <c r="I35" s="162"/>
      <c r="J35" s="56">
        <f>SUM(J16:J34)</f>
        <v>56415040.030000001</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x14ac:dyDescent="0.25">
      <c r="A40" s="143" t="s">
        <v>30</v>
      </c>
      <c r="B40" s="143"/>
      <c r="C40" s="143"/>
      <c r="D40" s="143"/>
      <c r="E40" s="143"/>
      <c r="F40" s="143"/>
      <c r="G40" s="143"/>
      <c r="H40" s="143"/>
      <c r="I40" s="143"/>
      <c r="J40" s="143"/>
    </row>
    <row r="41" spans="1:11" s="7" customFormat="1" x14ac:dyDescent="0.25">
      <c r="A41" s="143"/>
      <c r="B41" s="143"/>
      <c r="C41" s="143"/>
      <c r="D41" s="143"/>
      <c r="E41" s="143"/>
      <c r="F41" s="143"/>
      <c r="G41" s="143"/>
      <c r="H41" s="143"/>
      <c r="I41" s="143"/>
      <c r="J41" s="143"/>
    </row>
    <row r="42" spans="1:11" x14ac:dyDescent="0.25">
      <c r="A42" s="143"/>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4"/>
      <c r="B44" s="64"/>
      <c r="C44" s="64"/>
      <c r="D44" s="64"/>
      <c r="E44" s="64"/>
      <c r="F44" s="64"/>
      <c r="G44" s="64"/>
      <c r="H44" s="64"/>
      <c r="I44" s="64"/>
      <c r="J44" s="64"/>
    </row>
    <row r="45" spans="1:11" x14ac:dyDescent="0.25">
      <c r="A45" s="64"/>
      <c r="B45" s="64"/>
      <c r="C45" s="64"/>
      <c r="D45" s="64"/>
      <c r="E45" s="64"/>
      <c r="F45" s="64"/>
      <c r="G45" s="64"/>
      <c r="H45" s="64"/>
      <c r="I45" s="64"/>
      <c r="J45" s="64"/>
    </row>
    <row r="46" spans="1:11" x14ac:dyDescent="0.25">
      <c r="A46" s="144" t="s">
        <v>28</v>
      </c>
      <c r="B46" s="144"/>
      <c r="C46" s="144"/>
      <c r="D46" s="144"/>
      <c r="E46" s="144"/>
      <c r="F46" s="144"/>
      <c r="G46" s="144"/>
      <c r="H46" s="144"/>
      <c r="I46" s="144"/>
      <c r="J46" s="144"/>
    </row>
    <row r="47" spans="1:11" x14ac:dyDescent="0.25">
      <c r="A47" s="74"/>
      <c r="B47" s="74"/>
      <c r="C47" s="74"/>
      <c r="D47" s="74"/>
      <c r="E47" s="74"/>
      <c r="F47" s="74"/>
      <c r="G47" s="74"/>
      <c r="H47" s="74"/>
      <c r="I47" s="74"/>
      <c r="J47" s="74"/>
    </row>
    <row r="48" spans="1:11" x14ac:dyDescent="0.25">
      <c r="A48" s="74"/>
      <c r="B48" s="74"/>
      <c r="C48" s="74"/>
      <c r="D48" s="74"/>
      <c r="E48" s="74"/>
      <c r="F48" s="74"/>
      <c r="G48" s="74"/>
      <c r="H48" s="74"/>
      <c r="I48" s="74"/>
      <c r="J48" s="74"/>
    </row>
    <row r="49" spans="1:10" x14ac:dyDescent="0.25">
      <c r="A49" s="74"/>
      <c r="B49" s="74"/>
      <c r="C49" s="74"/>
      <c r="D49" s="74"/>
      <c r="E49" s="74"/>
      <c r="F49" s="74"/>
      <c r="G49" s="74"/>
      <c r="H49" s="74"/>
      <c r="I49" s="74"/>
      <c r="J49" s="74"/>
    </row>
    <row r="50" spans="1:10" x14ac:dyDescent="0.25">
      <c r="A50" s="64"/>
      <c r="B50" s="64"/>
      <c r="C50" s="64"/>
      <c r="D50" s="64"/>
      <c r="E50" s="64"/>
      <c r="F50" s="64"/>
      <c r="G50" s="64"/>
      <c r="H50" s="64"/>
      <c r="I50" s="64"/>
      <c r="J50" s="64"/>
    </row>
    <row r="51" spans="1:10" x14ac:dyDescent="0.25">
      <c r="A51" s="64"/>
      <c r="B51" s="64"/>
      <c r="C51" s="64"/>
      <c r="D51" s="64"/>
      <c r="E51" s="64"/>
      <c r="F51" s="64"/>
      <c r="G51" s="64"/>
      <c r="H51" s="64"/>
      <c r="I51" s="75"/>
      <c r="J51" s="75"/>
    </row>
    <row r="52" spans="1:10" x14ac:dyDescent="0.25">
      <c r="A52" s="64"/>
      <c r="B52" s="64"/>
      <c r="C52" s="64"/>
      <c r="D52" s="64"/>
      <c r="E52" s="64"/>
      <c r="F52" s="64"/>
      <c r="G52" s="64"/>
      <c r="H52" s="64"/>
      <c r="I52" s="50" t="s">
        <v>31</v>
      </c>
      <c r="J52" s="47"/>
    </row>
    <row r="53" spans="1:10" x14ac:dyDescent="0.25">
      <c r="A53" s="64"/>
      <c r="B53" s="64"/>
      <c r="C53" s="64"/>
      <c r="D53" s="64"/>
      <c r="E53" s="64"/>
      <c r="F53" s="64"/>
      <c r="G53" s="64"/>
      <c r="H53" s="64"/>
      <c r="I53" s="50" t="s">
        <v>32</v>
      </c>
      <c r="J53" s="47"/>
    </row>
    <row r="54" spans="1:10" x14ac:dyDescent="0.25">
      <c r="A54" s="64"/>
      <c r="B54" s="64"/>
      <c r="C54" s="64"/>
      <c r="D54" s="64"/>
      <c r="E54" s="64"/>
      <c r="F54" s="64"/>
      <c r="G54" s="64"/>
      <c r="H54" s="64"/>
      <c r="I54" s="50" t="s">
        <v>33</v>
      </c>
      <c r="J54" s="47"/>
    </row>
  </sheetData>
  <mergeCells count="50">
    <mergeCell ref="H29:I29"/>
    <mergeCell ref="H30:I30"/>
    <mergeCell ref="H31:I31"/>
    <mergeCell ref="H32:I32"/>
    <mergeCell ref="H35:I35"/>
    <mergeCell ref="H24:I24"/>
    <mergeCell ref="H25:I25"/>
    <mergeCell ref="H26:I26"/>
    <mergeCell ref="H27:I27"/>
    <mergeCell ref="H28:I28"/>
    <mergeCell ref="H20:I20"/>
    <mergeCell ref="H16:I16"/>
    <mergeCell ref="H17:I17"/>
    <mergeCell ref="H18:I18"/>
    <mergeCell ref="H19:I19"/>
    <mergeCell ref="A40:J43"/>
    <mergeCell ref="A46:J46"/>
    <mergeCell ref="A15:J15"/>
    <mergeCell ref="A9:B9"/>
    <mergeCell ref="C9:H9"/>
    <mergeCell ref="A10:B10"/>
    <mergeCell ref="C10:H10"/>
    <mergeCell ref="I10:J10"/>
    <mergeCell ref="A11:J11"/>
    <mergeCell ref="A12:J12"/>
    <mergeCell ref="A13:J13"/>
    <mergeCell ref="A14:E14"/>
    <mergeCell ref="H14:I14"/>
    <mergeCell ref="A24:E24"/>
    <mergeCell ref="A25:E25"/>
    <mergeCell ref="A26:E26"/>
    <mergeCell ref="A8:B8"/>
    <mergeCell ref="C8:H8"/>
    <mergeCell ref="A1:C1"/>
    <mergeCell ref="D1:H1"/>
    <mergeCell ref="I1:J1"/>
    <mergeCell ref="A2:J2"/>
    <mergeCell ref="A3:J3"/>
    <mergeCell ref="A4:J4"/>
    <mergeCell ref="A5:J5"/>
    <mergeCell ref="A6:J6"/>
    <mergeCell ref="A7:B7"/>
    <mergeCell ref="C7:H7"/>
    <mergeCell ref="A27:E27"/>
    <mergeCell ref="A28:E28"/>
    <mergeCell ref="B36:D36"/>
    <mergeCell ref="A29:E29"/>
    <mergeCell ref="A30:E30"/>
    <mergeCell ref="A31:E31"/>
    <mergeCell ref="B35:D35"/>
  </mergeCells>
  <pageMargins left="0.25" right="0.25" top="0.75" bottom="0.75" header="0.3" footer="0.3"/>
  <pageSetup scale="81" orientation="portrait" horizontalDpi="360" verticalDpi="36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0CF9A-4186-4A78-AFF4-AB46FB75B55D}">
  <sheetPr>
    <pageSetUpPr fitToPage="1"/>
  </sheetPr>
  <dimension ref="A1:K54"/>
  <sheetViews>
    <sheetView workbookViewId="0">
      <pane ySplit="14" topLeftCell="A15" activePane="bottomLeft" state="frozen"/>
      <selection activeCell="O34" sqref="O34"/>
      <selection pane="bottomLeft" activeCell="J26" sqref="J26"/>
    </sheetView>
  </sheetViews>
  <sheetFormatPr defaultColWidth="9.140625" defaultRowHeight="15" x14ac:dyDescent="0.25"/>
  <cols>
    <col min="1" max="1" width="12.140625" customWidth="1"/>
    <col min="2" max="2" width="5.28515625" customWidth="1"/>
    <col min="3" max="3" width="7.5703125" customWidth="1"/>
    <col min="4" max="4" width="14.85546875" customWidth="1"/>
    <col min="5" max="5" width="19" customWidth="1"/>
    <col min="6" max="6" width="17.42578125" customWidth="1"/>
    <col min="7" max="7" width="16.7109375" customWidth="1"/>
    <col min="8" max="8" width="5.5703125" customWidth="1"/>
    <col min="9" max="9" width="8.85546875" customWidth="1"/>
    <col min="10" max="10" width="14.28515625" bestFit="1" customWidth="1"/>
  </cols>
  <sheetData>
    <row r="1" spans="1:11" x14ac:dyDescent="0.25">
      <c r="A1" s="161"/>
      <c r="B1" s="161"/>
      <c r="C1" s="161"/>
      <c r="D1" s="161"/>
      <c r="E1" s="161"/>
      <c r="F1" s="161"/>
      <c r="G1" s="161"/>
      <c r="H1" s="161"/>
      <c r="I1" s="147" t="s">
        <v>230</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7" t="s">
        <v>228</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s="37" customFormat="1" ht="14.45" customHeight="1" x14ac:dyDescent="0.2">
      <c r="A7" s="159" t="s">
        <v>2</v>
      </c>
      <c r="B7" s="159"/>
      <c r="C7" s="146" t="s">
        <v>23</v>
      </c>
      <c r="D7" s="146"/>
      <c r="E7" s="146"/>
      <c r="F7" s="146"/>
      <c r="G7" s="146"/>
      <c r="H7" s="146"/>
      <c r="I7" s="8" t="s">
        <v>29</v>
      </c>
      <c r="J7" s="8" t="s">
        <v>216</v>
      </c>
    </row>
    <row r="8" spans="1:11" s="37" customFormat="1" ht="14.45" customHeight="1" x14ac:dyDescent="0.2">
      <c r="A8" s="159" t="s">
        <v>3</v>
      </c>
      <c r="B8" s="159"/>
      <c r="C8" s="147" t="s">
        <v>244</v>
      </c>
      <c r="D8" s="146"/>
      <c r="E8" s="146"/>
      <c r="F8" s="146"/>
      <c r="G8" s="146"/>
      <c r="H8" s="146"/>
      <c r="I8" s="8" t="s">
        <v>217</v>
      </c>
      <c r="J8" s="26">
        <f ca="1">TODAY()</f>
        <v>45723</v>
      </c>
    </row>
    <row r="9" spans="1:11" s="37" customFormat="1" ht="14.45" customHeight="1" x14ac:dyDescent="0.2">
      <c r="A9" s="159"/>
      <c r="B9" s="159"/>
      <c r="C9" s="160"/>
      <c r="D9" s="160"/>
      <c r="E9" s="160"/>
      <c r="F9" s="160"/>
      <c r="G9" s="160"/>
      <c r="H9" s="160"/>
      <c r="I9" s="8" t="s">
        <v>218</v>
      </c>
      <c r="J9" s="38">
        <f ca="1">NOW()</f>
        <v>45723.507627430554</v>
      </c>
    </row>
    <row r="10" spans="1:11" s="37" customFormat="1" ht="14.25" x14ac:dyDescent="0.2">
      <c r="A10" s="146"/>
      <c r="B10" s="146"/>
      <c r="C10" s="146"/>
      <c r="D10" s="146"/>
      <c r="E10" s="146"/>
      <c r="F10" s="146"/>
      <c r="G10" s="146"/>
      <c r="H10" s="146"/>
      <c r="I10" s="146"/>
      <c r="J10" s="146"/>
    </row>
    <row r="11" spans="1:11" s="37" customFormat="1" ht="14.25" x14ac:dyDescent="0.2">
      <c r="A11" s="152"/>
      <c r="B11" s="152"/>
      <c r="C11" s="152"/>
      <c r="D11" s="152"/>
      <c r="E11" s="152"/>
      <c r="F11" s="152"/>
      <c r="G11" s="152"/>
      <c r="H11" s="152"/>
      <c r="I11" s="152"/>
      <c r="J11" s="152"/>
    </row>
    <row r="12" spans="1:11" s="37" customFormat="1" ht="14.25" x14ac:dyDescent="0.2">
      <c r="A12" s="151" t="s">
        <v>4</v>
      </c>
      <c r="B12" s="151"/>
      <c r="C12" s="151"/>
      <c r="D12" s="151"/>
      <c r="E12" s="151"/>
      <c r="F12" s="151"/>
      <c r="G12" s="151"/>
      <c r="H12" s="151"/>
      <c r="I12" s="151"/>
      <c r="J12" s="151"/>
    </row>
    <row r="13" spans="1:11" s="37" customFormat="1" ht="14.25" x14ac:dyDescent="0.2">
      <c r="A13" s="152"/>
      <c r="B13" s="152"/>
      <c r="C13" s="152"/>
      <c r="D13" s="152"/>
      <c r="E13" s="152"/>
      <c r="F13" s="152"/>
      <c r="G13" s="152"/>
      <c r="H13" s="152"/>
      <c r="I13" s="152"/>
      <c r="J13" s="152"/>
    </row>
    <row r="14" spans="1:11" s="37" customFormat="1" ht="24.75" customHeight="1" x14ac:dyDescent="0.2">
      <c r="A14" s="153" t="s">
        <v>5</v>
      </c>
      <c r="B14" s="153"/>
      <c r="C14" s="153"/>
      <c r="D14" s="153"/>
      <c r="E14" s="153"/>
      <c r="F14" s="14" t="s">
        <v>6</v>
      </c>
      <c r="G14" s="14" t="s">
        <v>7</v>
      </c>
      <c r="H14" s="145" t="s">
        <v>8</v>
      </c>
      <c r="I14" s="145"/>
      <c r="J14" s="14"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c r="G16" s="53"/>
      <c r="H16" s="148"/>
      <c r="I16" s="148"/>
      <c r="J16" s="53">
        <f t="shared" ref="J16:J21" si="0">F16+G16-H16</f>
        <v>0</v>
      </c>
      <c r="K16" s="41"/>
    </row>
    <row r="17" spans="1:11" s="37" customFormat="1" x14ac:dyDescent="0.25">
      <c r="A17" s="39" t="s">
        <v>71</v>
      </c>
      <c r="B17" s="40"/>
      <c r="C17" s="40"/>
      <c r="D17" s="40"/>
      <c r="E17" s="40"/>
      <c r="F17" s="53"/>
      <c r="G17" s="53"/>
      <c r="H17" s="148"/>
      <c r="I17" s="148"/>
      <c r="J17" s="53">
        <f t="shared" si="0"/>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c r="G19" s="53"/>
      <c r="H19" s="148"/>
      <c r="I19" s="148"/>
      <c r="J19" s="53">
        <f t="shared" si="0"/>
        <v>0</v>
      </c>
      <c r="K19" s="41"/>
    </row>
    <row r="20" spans="1:11" s="37" customFormat="1" ht="17.25" x14ac:dyDescent="0.25">
      <c r="A20" s="39" t="s">
        <v>220</v>
      </c>
      <c r="B20" s="40"/>
      <c r="C20" s="40"/>
      <c r="D20" s="40"/>
      <c r="E20" s="40"/>
      <c r="F20" s="53"/>
      <c r="G20" s="53"/>
      <c r="H20" s="148"/>
      <c r="I20" s="148"/>
      <c r="J20" s="53">
        <f t="shared" si="0"/>
        <v>0</v>
      </c>
      <c r="K20" s="41"/>
    </row>
    <row r="21" spans="1:11" s="37" customFormat="1" ht="17.25" x14ac:dyDescent="0.25">
      <c r="A21" s="67" t="s">
        <v>268</v>
      </c>
      <c r="B21" s="40"/>
      <c r="C21" s="40"/>
      <c r="D21" s="40"/>
      <c r="E21" s="40"/>
      <c r="F21" s="53"/>
      <c r="G21" s="53"/>
      <c r="H21" s="148"/>
      <c r="I21" s="148"/>
      <c r="J21" s="53">
        <f t="shared" si="0"/>
        <v>0</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c r="G24" s="53"/>
      <c r="H24" s="148"/>
      <c r="I24" s="148"/>
      <c r="J24" s="53">
        <f>F24+G24-H24</f>
        <v>0</v>
      </c>
      <c r="K24" s="41"/>
    </row>
    <row r="25" spans="1:11" s="37" customFormat="1" ht="14.25" x14ac:dyDescent="0.2">
      <c r="A25" s="155" t="s">
        <v>74</v>
      </c>
      <c r="B25" s="155"/>
      <c r="C25" s="155"/>
      <c r="D25" s="155"/>
      <c r="E25" s="155"/>
      <c r="F25" s="53">
        <v>0</v>
      </c>
      <c r="G25" s="53"/>
      <c r="H25" s="148">
        <v>0</v>
      </c>
      <c r="I25" s="148"/>
      <c r="J25" s="53">
        <f t="shared" ref="J25:J32" si="1">F25+G25-H25</f>
        <v>0</v>
      </c>
      <c r="K25" s="41"/>
    </row>
    <row r="26" spans="1:11" s="37" customFormat="1" ht="14.25" x14ac:dyDescent="0.2">
      <c r="A26" s="155" t="s">
        <v>75</v>
      </c>
      <c r="B26" s="155"/>
      <c r="C26" s="155"/>
      <c r="D26" s="155"/>
      <c r="E26" s="155"/>
      <c r="F26" s="53"/>
      <c r="G26" s="53">
        <v>3187845</v>
      </c>
      <c r="H26" s="148"/>
      <c r="I26" s="148"/>
      <c r="J26" s="53">
        <f t="shared" si="1"/>
        <v>3187845</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c r="G31" s="53"/>
      <c r="H31" s="148"/>
      <c r="I31" s="148"/>
      <c r="J31" s="53">
        <f t="shared" si="1"/>
        <v>0</v>
      </c>
      <c r="K31" s="41"/>
    </row>
    <row r="32" spans="1:11" s="37" customFormat="1" x14ac:dyDescent="0.25">
      <c r="A32" s="39" t="s">
        <v>81</v>
      </c>
      <c r="B32" s="40"/>
      <c r="C32" s="40"/>
      <c r="D32" s="40"/>
      <c r="E32" s="40"/>
      <c r="F32" s="53"/>
      <c r="G32" s="53"/>
      <c r="H32" s="148"/>
      <c r="I32" s="148"/>
      <c r="J32" s="53">
        <f t="shared" si="1"/>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229</v>
      </c>
      <c r="C35" s="140"/>
      <c r="D35" s="140"/>
      <c r="F35" s="56">
        <f>SUM(F23:F34)</f>
        <v>0</v>
      </c>
      <c r="G35" s="56">
        <f>SUM(G23:G34)</f>
        <v>3187845</v>
      </c>
      <c r="H35" s="162">
        <f>SUM(H23:H34)</f>
        <v>0</v>
      </c>
      <c r="I35" s="162"/>
      <c r="J35" s="56">
        <f>SUM(J23:J34)</f>
        <v>3187845</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ht="14.45" customHeight="1" x14ac:dyDescent="0.25">
      <c r="A40" s="143" t="s">
        <v>30</v>
      </c>
      <c r="B40" s="143"/>
      <c r="C40" s="143"/>
      <c r="D40" s="143"/>
      <c r="E40" s="143"/>
      <c r="F40" s="143"/>
      <c r="G40" s="143"/>
      <c r="H40" s="143"/>
      <c r="I40" s="143"/>
      <c r="J40" s="143"/>
    </row>
    <row r="41" spans="1:11" x14ac:dyDescent="0.25">
      <c r="A41" s="143"/>
      <c r="B41" s="143"/>
      <c r="C41" s="143"/>
      <c r="D41" s="143"/>
      <c r="E41" s="143"/>
      <c r="F41" s="143"/>
      <c r="G41" s="143"/>
      <c r="H41" s="143"/>
      <c r="I41" s="143"/>
      <c r="J41" s="143"/>
    </row>
    <row r="42" spans="1:11" x14ac:dyDescent="0.25">
      <c r="A42" s="143"/>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4"/>
      <c r="B44" s="64"/>
      <c r="C44" s="64"/>
      <c r="D44" s="64"/>
      <c r="E44" s="64"/>
      <c r="F44" s="64"/>
      <c r="G44" s="64"/>
      <c r="H44" s="64"/>
      <c r="I44" s="64"/>
      <c r="J44" s="64"/>
    </row>
    <row r="45" spans="1:11" x14ac:dyDescent="0.25">
      <c r="A45" s="64"/>
      <c r="B45" s="64"/>
      <c r="C45" s="64"/>
      <c r="D45" s="64"/>
      <c r="E45" s="64"/>
      <c r="F45" s="64"/>
      <c r="G45" s="64"/>
      <c r="H45" s="64"/>
      <c r="I45" s="64"/>
      <c r="J45" s="64"/>
    </row>
    <row r="46" spans="1:11" x14ac:dyDescent="0.25">
      <c r="A46" s="144" t="s">
        <v>28</v>
      </c>
      <c r="B46" s="144"/>
      <c r="C46" s="144"/>
      <c r="D46" s="144"/>
      <c r="E46" s="144"/>
      <c r="F46" s="144"/>
      <c r="G46" s="144"/>
      <c r="H46" s="144"/>
      <c r="I46" s="144"/>
      <c r="J46" s="144"/>
    </row>
    <row r="47" spans="1:11" x14ac:dyDescent="0.25">
      <c r="A47" s="74"/>
      <c r="B47" s="74"/>
      <c r="C47" s="74"/>
      <c r="D47" s="74"/>
      <c r="E47" s="74"/>
      <c r="F47" s="74"/>
      <c r="G47" s="74"/>
      <c r="H47" s="74"/>
      <c r="I47" s="74"/>
      <c r="J47" s="74"/>
    </row>
    <row r="48" spans="1:11" x14ac:dyDescent="0.25">
      <c r="A48" s="74"/>
      <c r="B48" s="74"/>
      <c r="C48" s="74"/>
      <c r="D48" s="74"/>
      <c r="E48" s="74"/>
      <c r="F48" s="74"/>
      <c r="G48" s="74"/>
      <c r="H48" s="74"/>
      <c r="I48" s="74"/>
      <c r="J48" s="74"/>
    </row>
    <row r="49" spans="1:10" x14ac:dyDescent="0.25">
      <c r="A49" s="74"/>
      <c r="B49" s="74"/>
      <c r="C49" s="74"/>
      <c r="D49" s="74"/>
      <c r="E49" s="74"/>
      <c r="F49" s="74"/>
      <c r="G49" s="74"/>
      <c r="H49" s="74"/>
      <c r="I49" s="74"/>
      <c r="J49" s="74"/>
    </row>
    <row r="50" spans="1:10" x14ac:dyDescent="0.25">
      <c r="A50" s="64"/>
      <c r="B50" s="64"/>
      <c r="C50" s="64"/>
      <c r="D50" s="64"/>
      <c r="E50" s="64"/>
      <c r="F50" s="64"/>
      <c r="G50" s="64"/>
      <c r="H50" s="64"/>
      <c r="I50" s="64"/>
      <c r="J50" s="64"/>
    </row>
    <row r="51" spans="1:10" x14ac:dyDescent="0.25">
      <c r="A51" s="64"/>
      <c r="B51" s="64"/>
      <c r="C51" s="64"/>
      <c r="D51" s="64"/>
      <c r="E51" s="64"/>
      <c r="F51" s="64"/>
      <c r="G51" s="64"/>
      <c r="H51" s="64"/>
      <c r="I51" s="75"/>
      <c r="J51" s="75"/>
    </row>
    <row r="52" spans="1:10" x14ac:dyDescent="0.25">
      <c r="A52" s="64"/>
      <c r="B52" s="64"/>
      <c r="C52" s="64"/>
      <c r="D52" s="64"/>
      <c r="E52" s="64"/>
      <c r="F52" s="64"/>
      <c r="G52" s="64"/>
      <c r="H52" s="64"/>
      <c r="I52" s="50" t="s">
        <v>31</v>
      </c>
      <c r="J52" s="47"/>
    </row>
    <row r="53" spans="1:10" x14ac:dyDescent="0.25">
      <c r="A53" s="64"/>
      <c r="B53" s="64"/>
      <c r="C53" s="64"/>
      <c r="D53" s="64"/>
      <c r="E53" s="64"/>
      <c r="F53" s="64"/>
      <c r="G53" s="64"/>
      <c r="H53" s="64"/>
      <c r="I53" s="50" t="s">
        <v>32</v>
      </c>
      <c r="J53" s="47"/>
    </row>
    <row r="54" spans="1:10" x14ac:dyDescent="0.25">
      <c r="A54" s="64"/>
      <c r="B54" s="64"/>
      <c r="C54" s="64"/>
      <c r="D54" s="64"/>
      <c r="E54" s="64"/>
      <c r="F54" s="64"/>
      <c r="G54" s="64"/>
      <c r="H54" s="64"/>
      <c r="I54" s="50" t="s">
        <v>33</v>
      </c>
      <c r="J54" s="47"/>
    </row>
  </sheetData>
  <mergeCells count="53">
    <mergeCell ref="H14:I14"/>
    <mergeCell ref="H26:I26"/>
    <mergeCell ref="H27:I27"/>
    <mergeCell ref="H28:I28"/>
    <mergeCell ref="H29:I29"/>
    <mergeCell ref="H21:I21"/>
    <mergeCell ref="H22:I22"/>
    <mergeCell ref="H23:I23"/>
    <mergeCell ref="H24:I24"/>
    <mergeCell ref="H25:I25"/>
    <mergeCell ref="H16:I16"/>
    <mergeCell ref="H17:I17"/>
    <mergeCell ref="H20:I20"/>
    <mergeCell ref="H19:I19"/>
    <mergeCell ref="B35:D35"/>
    <mergeCell ref="B36:D36"/>
    <mergeCell ref="H31:I31"/>
    <mergeCell ref="H32:I32"/>
    <mergeCell ref="H35:I35"/>
    <mergeCell ref="H30:I30"/>
    <mergeCell ref="A40:J43"/>
    <mergeCell ref="A46:J46"/>
    <mergeCell ref="A12:J12"/>
    <mergeCell ref="A13:J13"/>
    <mergeCell ref="A14:E14"/>
    <mergeCell ref="A24:E24"/>
    <mergeCell ref="A25:E25"/>
    <mergeCell ref="A26:E26"/>
    <mergeCell ref="A27:E27"/>
    <mergeCell ref="A28:E28"/>
    <mergeCell ref="A29:E29"/>
    <mergeCell ref="A30:E30"/>
    <mergeCell ref="A31:E31"/>
    <mergeCell ref="A15:J15"/>
    <mergeCell ref="H18:I18"/>
    <mergeCell ref="A11:J11"/>
    <mergeCell ref="A5:J5"/>
    <mergeCell ref="A6:J6"/>
    <mergeCell ref="A7:B7"/>
    <mergeCell ref="C7:H7"/>
    <mergeCell ref="A8:B8"/>
    <mergeCell ref="C8:H8"/>
    <mergeCell ref="A9:B9"/>
    <mergeCell ref="C9:H9"/>
    <mergeCell ref="A10:B10"/>
    <mergeCell ref="C10:H10"/>
    <mergeCell ref="I10:J10"/>
    <mergeCell ref="A4:J4"/>
    <mergeCell ref="A1:C1"/>
    <mergeCell ref="D1:H1"/>
    <mergeCell ref="I1:J1"/>
    <mergeCell ref="A2:J2"/>
    <mergeCell ref="A3:J3"/>
  </mergeCells>
  <pageMargins left="0.25" right="0.25" top="0.75" bottom="0.75" header="0.3" footer="0.3"/>
  <pageSetup scale="81" orientation="portrait" horizontalDpi="360" verticalDpi="36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A337-A90F-4B7C-9A20-17E881ABECC9}">
  <sheetPr>
    <pageSetUpPr fitToPage="1"/>
  </sheetPr>
  <dimension ref="A1:K58"/>
  <sheetViews>
    <sheetView workbookViewId="0">
      <pane ySplit="14" topLeftCell="A31"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42578125" customWidth="1"/>
    <col min="7" max="7" width="16.7109375" customWidth="1"/>
    <col min="8" max="8" width="5.7109375" customWidth="1"/>
    <col min="9" max="9" width="12.28515625" customWidth="1"/>
    <col min="10" max="10" width="22.140625" customWidth="1"/>
  </cols>
  <sheetData>
    <row r="1" spans="1:11" x14ac:dyDescent="0.25">
      <c r="A1" s="161"/>
      <c r="B1" s="161"/>
      <c r="C1" s="161"/>
      <c r="D1" s="161"/>
      <c r="E1" s="161"/>
      <c r="F1" s="161"/>
      <c r="G1" s="161"/>
      <c r="H1" s="161"/>
      <c r="I1" s="147" t="s">
        <v>231</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6" t="s">
        <v>115</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6" t="s">
        <v>116</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100000000000001" customHeight="1" x14ac:dyDescent="0.25">
      <c r="A16" s="39" t="s">
        <v>219</v>
      </c>
      <c r="B16" s="40"/>
      <c r="C16" s="40"/>
      <c r="D16" s="40"/>
      <c r="E16" s="40"/>
      <c r="F16" s="53">
        <v>324817817.91000003</v>
      </c>
      <c r="G16" s="53">
        <v>2630.83</v>
      </c>
      <c r="H16" s="148">
        <v>0</v>
      </c>
      <c r="I16" s="148"/>
      <c r="J16" s="53">
        <f>F16+G16-H16</f>
        <v>324820448.74000001</v>
      </c>
      <c r="K16" s="41"/>
    </row>
    <row r="17" spans="1:11" s="37" customFormat="1" x14ac:dyDescent="0.25">
      <c r="A17" s="39" t="s">
        <v>71</v>
      </c>
      <c r="B17" s="40"/>
      <c r="C17" s="40"/>
      <c r="D17" s="40"/>
      <c r="E17" s="40"/>
      <c r="F17" s="53"/>
      <c r="G17" s="53"/>
      <c r="H17" s="148"/>
      <c r="I17" s="148"/>
      <c r="J17" s="53">
        <f t="shared" ref="J17:J32" si="0">F17+G17-H17</f>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v>122733.78</v>
      </c>
      <c r="G19" s="53"/>
      <c r="H19" s="148"/>
      <c r="I19" s="148"/>
      <c r="J19" s="53">
        <f t="shared" si="0"/>
        <v>122733.78</v>
      </c>
      <c r="K19" s="41"/>
    </row>
    <row r="20" spans="1:11" s="37" customFormat="1" ht="17.100000000000001" customHeight="1" x14ac:dyDescent="0.25">
      <c r="A20" s="39" t="s">
        <v>220</v>
      </c>
      <c r="B20" s="40"/>
      <c r="C20" s="40"/>
      <c r="D20" s="40"/>
      <c r="E20" s="40"/>
      <c r="F20" s="53">
        <v>306646239.75</v>
      </c>
      <c r="G20" s="53">
        <v>0</v>
      </c>
      <c r="H20" s="148">
        <v>0</v>
      </c>
      <c r="I20" s="148"/>
      <c r="J20" s="53">
        <f t="shared" si="0"/>
        <v>306646239.75</v>
      </c>
      <c r="K20" s="41"/>
    </row>
    <row r="21" spans="1:11" s="37" customFormat="1" ht="17.100000000000001" customHeight="1" x14ac:dyDescent="0.25">
      <c r="A21" s="67" t="s">
        <v>268</v>
      </c>
      <c r="B21" s="40"/>
      <c r="C21" s="40"/>
      <c r="D21" s="40"/>
      <c r="E21" s="40"/>
      <c r="F21" s="53">
        <v>556977377.15999997</v>
      </c>
      <c r="G21" s="53">
        <v>46709.760000000002</v>
      </c>
      <c r="H21" s="148">
        <v>0</v>
      </c>
      <c r="I21" s="148"/>
      <c r="J21" s="53">
        <f t="shared" si="0"/>
        <v>557024086.91999996</v>
      </c>
      <c r="K21" s="41"/>
    </row>
    <row r="22" spans="1:11" s="37" customFormat="1" ht="14.25" x14ac:dyDescent="0.2">
      <c r="A22" s="42"/>
      <c r="B22" s="42"/>
      <c r="C22" s="42"/>
      <c r="D22" s="42"/>
      <c r="E22" s="42"/>
      <c r="F22" s="53"/>
      <c r="G22" s="53"/>
      <c r="H22" s="148"/>
      <c r="I22" s="148"/>
      <c r="J22" s="53">
        <f t="shared" si="0"/>
        <v>0</v>
      </c>
      <c r="K22" s="41"/>
    </row>
    <row r="23" spans="1:11" s="37" customFormat="1" x14ac:dyDescent="0.25">
      <c r="A23" s="40" t="s">
        <v>11</v>
      </c>
      <c r="B23" s="40"/>
      <c r="C23" s="40"/>
      <c r="D23" s="40"/>
      <c r="E23" s="40"/>
      <c r="F23" s="53"/>
      <c r="G23" s="53"/>
      <c r="H23" s="148"/>
      <c r="I23" s="148"/>
      <c r="J23" s="53">
        <f t="shared" si="0"/>
        <v>0</v>
      </c>
      <c r="K23" s="41"/>
    </row>
    <row r="24" spans="1:11" s="37" customFormat="1" ht="14.25" x14ac:dyDescent="0.2">
      <c r="A24" s="155" t="s">
        <v>73</v>
      </c>
      <c r="B24" s="155"/>
      <c r="C24" s="155"/>
      <c r="D24" s="155"/>
      <c r="E24" s="155"/>
      <c r="F24" s="53"/>
      <c r="G24" s="53"/>
      <c r="H24" s="148"/>
      <c r="I24" s="148"/>
      <c r="J24" s="53">
        <f t="shared" si="0"/>
        <v>0</v>
      </c>
      <c r="K24" s="41"/>
    </row>
    <row r="25" spans="1:11" s="37" customFormat="1" ht="14.25" x14ac:dyDescent="0.2">
      <c r="A25" s="155" t="s">
        <v>74</v>
      </c>
      <c r="B25" s="155"/>
      <c r="C25" s="155"/>
      <c r="D25" s="155"/>
      <c r="E25" s="155"/>
      <c r="F25" s="53"/>
      <c r="G25" s="53"/>
      <c r="H25" s="148"/>
      <c r="I25" s="148"/>
      <c r="J25" s="53">
        <f t="shared" si="0"/>
        <v>0</v>
      </c>
      <c r="K25" s="41"/>
    </row>
    <row r="26" spans="1:11" s="37" customFormat="1" ht="14.25" x14ac:dyDescent="0.2">
      <c r="A26" s="155" t="s">
        <v>75</v>
      </c>
      <c r="B26" s="155"/>
      <c r="C26" s="155"/>
      <c r="D26" s="155"/>
      <c r="E26" s="155"/>
      <c r="F26" s="53"/>
      <c r="G26" s="53"/>
      <c r="H26" s="148"/>
      <c r="I26" s="148"/>
      <c r="J26" s="53">
        <f t="shared" si="0"/>
        <v>0</v>
      </c>
      <c r="K26" s="41"/>
    </row>
    <row r="27" spans="1:11" s="37" customFormat="1" ht="14.25" x14ac:dyDescent="0.2">
      <c r="A27" s="155" t="s">
        <v>76</v>
      </c>
      <c r="B27" s="155"/>
      <c r="C27" s="155"/>
      <c r="D27" s="155"/>
      <c r="E27" s="155"/>
      <c r="F27" s="53"/>
      <c r="G27" s="53"/>
      <c r="H27" s="148"/>
      <c r="I27" s="148"/>
      <c r="J27" s="53">
        <f t="shared" si="0"/>
        <v>0</v>
      </c>
      <c r="K27" s="41"/>
    </row>
    <row r="28" spans="1:11" s="37" customFormat="1" ht="14.25" x14ac:dyDescent="0.2">
      <c r="A28" s="155" t="s">
        <v>77</v>
      </c>
      <c r="B28" s="155"/>
      <c r="C28" s="155"/>
      <c r="D28" s="155"/>
      <c r="E28" s="155"/>
      <c r="F28" s="53"/>
      <c r="G28" s="53"/>
      <c r="H28" s="148"/>
      <c r="I28" s="148"/>
      <c r="J28" s="53">
        <f t="shared" si="0"/>
        <v>0</v>
      </c>
      <c r="K28" s="41"/>
    </row>
    <row r="29" spans="1:11" s="37" customFormat="1" ht="14.25" x14ac:dyDescent="0.2">
      <c r="A29" s="155" t="s">
        <v>78</v>
      </c>
      <c r="B29" s="155"/>
      <c r="C29" s="155"/>
      <c r="D29" s="155"/>
      <c r="E29" s="155"/>
      <c r="F29" s="53"/>
      <c r="G29" s="53"/>
      <c r="H29" s="148"/>
      <c r="I29" s="148"/>
      <c r="J29" s="53">
        <f t="shared" si="0"/>
        <v>0</v>
      </c>
      <c r="K29" s="41"/>
    </row>
    <row r="30" spans="1:11" s="37" customFormat="1" ht="14.25" x14ac:dyDescent="0.2">
      <c r="A30" s="155" t="s">
        <v>79</v>
      </c>
      <c r="B30" s="155"/>
      <c r="C30" s="155"/>
      <c r="D30" s="155"/>
      <c r="E30" s="155"/>
      <c r="F30" s="53"/>
      <c r="G30" s="53"/>
      <c r="H30" s="148"/>
      <c r="I30" s="148"/>
      <c r="J30" s="53">
        <f t="shared" si="0"/>
        <v>0</v>
      </c>
      <c r="K30" s="41"/>
    </row>
    <row r="31" spans="1:11" s="37" customFormat="1" ht="29.1" customHeight="1" x14ac:dyDescent="0.2">
      <c r="A31" s="150" t="s">
        <v>80</v>
      </c>
      <c r="B31" s="150"/>
      <c r="C31" s="150"/>
      <c r="D31" s="150"/>
      <c r="E31" s="150"/>
      <c r="F31" s="53"/>
      <c r="G31" s="53"/>
      <c r="H31" s="148"/>
      <c r="I31" s="148"/>
      <c r="J31" s="53">
        <f t="shared" si="0"/>
        <v>0</v>
      </c>
      <c r="K31" s="41"/>
    </row>
    <row r="32" spans="1:11" s="37" customFormat="1" x14ac:dyDescent="0.25">
      <c r="A32" s="39" t="s">
        <v>81</v>
      </c>
      <c r="B32" s="40"/>
      <c r="C32" s="40"/>
      <c r="D32" s="40"/>
      <c r="E32" s="40"/>
      <c r="F32" s="53"/>
      <c r="G32" s="53"/>
      <c r="H32" s="148"/>
      <c r="I32" s="148"/>
      <c r="J32" s="53">
        <f t="shared" si="0"/>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114</v>
      </c>
      <c r="C35" s="141"/>
      <c r="D35" s="141"/>
      <c r="F35" s="56">
        <f>SUM(F16:F34)</f>
        <v>1188564168.5999999</v>
      </c>
      <c r="G35" s="56">
        <f>SUM(G16:G34)</f>
        <v>49340.590000000004</v>
      </c>
      <c r="H35" s="162">
        <f>SUM(H16:H34)</f>
        <v>0</v>
      </c>
      <c r="I35" s="162"/>
      <c r="J35" s="56">
        <f>SUM(J16:J34)</f>
        <v>1188613509.1900001</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ht="14.45" customHeight="1" x14ac:dyDescent="0.25">
      <c r="A40" s="201" t="s">
        <v>275</v>
      </c>
      <c r="B40" s="201"/>
      <c r="C40" s="201"/>
      <c r="D40" s="201"/>
      <c r="E40" s="201"/>
      <c r="F40" s="201"/>
      <c r="G40" s="201"/>
      <c r="H40" s="201"/>
      <c r="I40" s="201"/>
      <c r="J40" s="201"/>
    </row>
    <row r="41" spans="1:11" ht="14.45" customHeight="1" x14ac:dyDescent="0.25">
      <c r="A41" s="71"/>
      <c r="B41" s="71"/>
      <c r="C41" s="71"/>
      <c r="D41" s="71"/>
      <c r="E41" s="71"/>
      <c r="F41" s="71"/>
      <c r="G41" s="71"/>
      <c r="H41" s="71"/>
      <c r="I41" s="71"/>
      <c r="J41" s="71"/>
    </row>
    <row r="42" spans="1:11" ht="14.45" customHeight="1" x14ac:dyDescent="0.25">
      <c r="A42" s="143" t="s">
        <v>274</v>
      </c>
      <c r="B42" s="143"/>
      <c r="C42" s="143"/>
      <c r="D42" s="143"/>
      <c r="E42" s="143"/>
      <c r="F42" s="143"/>
      <c r="G42" s="143"/>
      <c r="H42" s="143"/>
      <c r="I42" s="143"/>
      <c r="J42" s="143"/>
    </row>
    <row r="44" spans="1:11" ht="14.45" customHeight="1" x14ac:dyDescent="0.25">
      <c r="A44" s="143" t="s">
        <v>30</v>
      </c>
      <c r="B44" s="143"/>
      <c r="C44" s="143"/>
      <c r="D44" s="143"/>
      <c r="E44" s="143"/>
      <c r="F44" s="143"/>
      <c r="G44" s="143"/>
      <c r="H44" s="143"/>
      <c r="I44" s="143"/>
      <c r="J44" s="143"/>
    </row>
    <row r="45" spans="1:11" x14ac:dyDescent="0.25">
      <c r="A45" s="143"/>
      <c r="B45" s="143"/>
      <c r="C45" s="143"/>
      <c r="D45" s="143"/>
      <c r="E45" s="143"/>
      <c r="F45" s="143"/>
      <c r="G45" s="143"/>
      <c r="H45" s="143"/>
      <c r="I45" s="143"/>
      <c r="J45" s="143"/>
    </row>
    <row r="46" spans="1:11" x14ac:dyDescent="0.25">
      <c r="A46" s="143"/>
      <c r="B46" s="143"/>
      <c r="C46" s="143"/>
      <c r="D46" s="143"/>
      <c r="E46" s="143"/>
      <c r="F46" s="143"/>
      <c r="G46" s="143"/>
      <c r="H46" s="143"/>
      <c r="I46" s="143"/>
      <c r="J46" s="143"/>
    </row>
    <row r="47" spans="1:11" x14ac:dyDescent="0.25">
      <c r="A47" s="143"/>
      <c r="B47" s="143"/>
      <c r="C47" s="143"/>
      <c r="D47" s="143"/>
      <c r="E47" s="143"/>
      <c r="F47" s="143"/>
      <c r="G47" s="143"/>
      <c r="H47" s="143"/>
      <c r="I47" s="143"/>
      <c r="J47" s="143"/>
    </row>
    <row r="48" spans="1:11" x14ac:dyDescent="0.25">
      <c r="A48" s="64"/>
      <c r="B48" s="64"/>
      <c r="C48" s="64"/>
      <c r="D48" s="64"/>
      <c r="E48" s="64"/>
      <c r="F48" s="64"/>
      <c r="G48" s="64"/>
      <c r="H48" s="64"/>
      <c r="I48" s="64"/>
      <c r="J48" s="64"/>
    </row>
    <row r="49" spans="1:10" x14ac:dyDescent="0.25">
      <c r="A49" s="64"/>
      <c r="B49" s="64"/>
      <c r="C49" s="64"/>
      <c r="D49" s="64"/>
      <c r="E49" s="64"/>
      <c r="F49" s="64"/>
      <c r="G49" s="64"/>
      <c r="H49" s="64"/>
      <c r="I49" s="64"/>
      <c r="J49" s="64"/>
    </row>
    <row r="50" spans="1:10" x14ac:dyDescent="0.25">
      <c r="A50" s="144" t="s">
        <v>28</v>
      </c>
      <c r="B50" s="144"/>
      <c r="C50" s="144"/>
      <c r="D50" s="144"/>
      <c r="E50" s="144"/>
      <c r="F50" s="144"/>
      <c r="G50" s="144"/>
      <c r="H50" s="144"/>
      <c r="I50" s="144"/>
      <c r="J50" s="144"/>
    </row>
    <row r="51" spans="1:10" x14ac:dyDescent="0.25">
      <c r="A51" s="74"/>
      <c r="B51" s="74"/>
      <c r="C51" s="74"/>
      <c r="D51" s="74"/>
      <c r="E51" s="74"/>
      <c r="F51" s="74"/>
      <c r="G51" s="74"/>
      <c r="H51" s="74"/>
      <c r="I51" s="74"/>
      <c r="J51" s="74"/>
    </row>
    <row r="52" spans="1:10" x14ac:dyDescent="0.25">
      <c r="A52" s="74"/>
      <c r="B52" s="74"/>
      <c r="C52" s="74"/>
      <c r="D52" s="74"/>
      <c r="E52" s="74"/>
      <c r="F52" s="74"/>
      <c r="G52" s="74"/>
      <c r="H52" s="74"/>
      <c r="I52" s="74"/>
      <c r="J52" s="74"/>
    </row>
    <row r="53" spans="1:10" x14ac:dyDescent="0.25">
      <c r="A53" s="74"/>
      <c r="B53" s="74"/>
      <c r="C53" s="74"/>
      <c r="D53" s="74"/>
      <c r="E53" s="74"/>
      <c r="F53" s="74"/>
      <c r="G53" s="74"/>
      <c r="H53" s="74"/>
      <c r="I53" s="74"/>
      <c r="J53" s="74"/>
    </row>
    <row r="54" spans="1:10" x14ac:dyDescent="0.25">
      <c r="A54" s="64"/>
      <c r="B54" s="64"/>
      <c r="C54" s="64"/>
      <c r="D54" s="64"/>
      <c r="E54" s="64"/>
      <c r="F54" s="64"/>
      <c r="G54" s="64"/>
      <c r="H54" s="64"/>
      <c r="I54" s="64"/>
      <c r="J54" s="64"/>
    </row>
    <row r="55" spans="1:10" x14ac:dyDescent="0.25">
      <c r="A55" s="64"/>
      <c r="B55" s="64"/>
      <c r="C55" s="64"/>
      <c r="D55" s="64"/>
      <c r="E55" s="64"/>
      <c r="F55" s="64"/>
      <c r="G55" s="64"/>
      <c r="H55" s="64"/>
      <c r="I55" s="75"/>
      <c r="J55" s="75"/>
    </row>
    <row r="56" spans="1:10" x14ac:dyDescent="0.25">
      <c r="A56" s="64"/>
      <c r="B56" s="64"/>
      <c r="C56" s="64"/>
      <c r="D56" s="64"/>
      <c r="E56" s="64"/>
      <c r="F56" s="64"/>
      <c r="G56" s="64"/>
      <c r="H56" s="64"/>
      <c r="I56" s="50" t="s">
        <v>31</v>
      </c>
      <c r="J56" s="47"/>
    </row>
    <row r="57" spans="1:10" x14ac:dyDescent="0.25">
      <c r="A57" s="64"/>
      <c r="B57" s="64"/>
      <c r="C57" s="64"/>
      <c r="D57" s="64"/>
      <c r="E57" s="64"/>
      <c r="F57" s="64"/>
      <c r="G57" s="64"/>
      <c r="H57" s="64"/>
      <c r="I57" s="50" t="s">
        <v>32</v>
      </c>
      <c r="J57" s="47"/>
    </row>
    <row r="58" spans="1:10" x14ac:dyDescent="0.25">
      <c r="A58" s="64"/>
      <c r="B58" s="64"/>
      <c r="C58" s="64"/>
      <c r="D58" s="64"/>
      <c r="E58" s="64"/>
      <c r="F58" s="64"/>
      <c r="G58" s="64"/>
      <c r="H58" s="64"/>
      <c r="I58" s="50" t="s">
        <v>33</v>
      </c>
      <c r="J58" s="47"/>
    </row>
  </sheetData>
  <mergeCells count="55">
    <mergeCell ref="H24:I24"/>
    <mergeCell ref="H25:I25"/>
    <mergeCell ref="H26:I26"/>
    <mergeCell ref="H27:I27"/>
    <mergeCell ref="H28:I28"/>
    <mergeCell ref="H16:I16"/>
    <mergeCell ref="H20:I20"/>
    <mergeCell ref="H21:I21"/>
    <mergeCell ref="H22:I22"/>
    <mergeCell ref="H23:I23"/>
    <mergeCell ref="H19:I19"/>
    <mergeCell ref="H17:I17"/>
    <mergeCell ref="H18:I18"/>
    <mergeCell ref="A44:J47"/>
    <mergeCell ref="A50:J50"/>
    <mergeCell ref="A15:J15"/>
    <mergeCell ref="A9:B9"/>
    <mergeCell ref="C9:H9"/>
    <mergeCell ref="A10:B10"/>
    <mergeCell ref="C10:H10"/>
    <mergeCell ref="I10:J10"/>
    <mergeCell ref="A11:J11"/>
    <mergeCell ref="A12:J12"/>
    <mergeCell ref="A13:J13"/>
    <mergeCell ref="A14:E14"/>
    <mergeCell ref="H14:I14"/>
    <mergeCell ref="A24:E24"/>
    <mergeCell ref="A25:E25"/>
    <mergeCell ref="A26:E26"/>
    <mergeCell ref="A8:B8"/>
    <mergeCell ref="C8:H8"/>
    <mergeCell ref="A1:C1"/>
    <mergeCell ref="D1:H1"/>
    <mergeCell ref="I1:J1"/>
    <mergeCell ref="A2:J2"/>
    <mergeCell ref="A3:J3"/>
    <mergeCell ref="A4:J4"/>
    <mergeCell ref="A5:J5"/>
    <mergeCell ref="A6:J6"/>
    <mergeCell ref="A7:B7"/>
    <mergeCell ref="C7:H7"/>
    <mergeCell ref="A42:J42"/>
    <mergeCell ref="A27:E27"/>
    <mergeCell ref="A28:E28"/>
    <mergeCell ref="B36:D36"/>
    <mergeCell ref="A29:E29"/>
    <mergeCell ref="A30:E30"/>
    <mergeCell ref="A31:E31"/>
    <mergeCell ref="B35:D35"/>
    <mergeCell ref="A40:J40"/>
    <mergeCell ref="H29:I29"/>
    <mergeCell ref="H30:I30"/>
    <mergeCell ref="H31:I31"/>
    <mergeCell ref="H32:I32"/>
    <mergeCell ref="H35:I35"/>
  </mergeCells>
  <pageMargins left="0.25" right="0.25" top="0.75" bottom="0.75" header="0.3" footer="0.3"/>
  <pageSetup scale="75" orientation="portrait" horizontalDpi="360" verticalDpi="36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DC5F-D8FA-4E3B-8DC3-2AC8ED9BD992}">
  <sheetPr>
    <pageSetUpPr fitToPage="1"/>
  </sheetPr>
  <dimension ref="A1:V39"/>
  <sheetViews>
    <sheetView zoomScale="76" zoomScaleNormal="76" workbookViewId="0">
      <pane ySplit="9" topLeftCell="A10" activePane="bottomLeft" state="frozen"/>
      <selection pane="bottomLeft" activeCell="Q21" sqref="Q21"/>
    </sheetView>
  </sheetViews>
  <sheetFormatPr defaultColWidth="9.140625" defaultRowHeight="15" x14ac:dyDescent="0.25"/>
  <cols>
    <col min="1" max="1" width="1.7109375" style="84" customWidth="1"/>
    <col min="2" max="2" width="50.42578125" style="84" bestFit="1" customWidth="1"/>
    <col min="3" max="3" width="1" style="84" customWidth="1"/>
    <col min="4" max="4" width="1.7109375" style="84" customWidth="1"/>
    <col min="5" max="5" width="17.28515625" style="85" bestFit="1" customWidth="1"/>
    <col min="6" max="6" width="1.7109375" style="85" customWidth="1"/>
    <col min="7" max="7" width="20.140625" style="85" bestFit="1" customWidth="1"/>
    <col min="8" max="8" width="1.7109375" style="85" customWidth="1"/>
    <col min="9" max="9" width="15.28515625" style="85" bestFit="1" customWidth="1"/>
    <col min="10" max="10" width="1.7109375" style="85" customWidth="1"/>
    <col min="11" max="11" width="10.7109375" style="85" bestFit="1" customWidth="1"/>
    <col min="12" max="12" width="1.7109375" style="84" customWidth="1"/>
    <col min="13" max="13" width="11.140625" style="84" customWidth="1"/>
    <col min="14" max="14" width="1.7109375" style="84" customWidth="1"/>
    <col min="15" max="15" width="15.7109375" style="84" customWidth="1"/>
    <col min="16" max="16" width="1.7109375" style="84" customWidth="1"/>
    <col min="17" max="17" width="21.85546875" style="84" customWidth="1"/>
    <col min="18" max="18" width="1.7109375" style="84" customWidth="1"/>
    <col min="19" max="20" width="17.5703125" style="84" bestFit="1" customWidth="1"/>
    <col min="21" max="21" width="1.7109375" style="84" customWidth="1"/>
    <col min="22" max="22" width="16.28515625" style="84" bestFit="1" customWidth="1"/>
    <col min="23" max="16384" width="9.140625" style="84"/>
  </cols>
  <sheetData>
    <row r="1" spans="1:22" x14ac:dyDescent="0.25">
      <c r="A1" s="107" t="s">
        <v>340</v>
      </c>
      <c r="B1" s="107"/>
      <c r="C1" s="107"/>
      <c r="D1" s="107"/>
      <c r="E1" s="107"/>
      <c r="F1" s="107"/>
      <c r="G1" s="107"/>
      <c r="H1" s="107"/>
      <c r="I1" s="107"/>
      <c r="J1" s="107"/>
      <c r="K1" s="107"/>
      <c r="L1" s="107"/>
      <c r="M1" s="107"/>
      <c r="N1" s="107"/>
      <c r="O1" s="107"/>
      <c r="P1" s="107"/>
      <c r="Q1" s="107"/>
      <c r="R1" s="107"/>
      <c r="S1" s="107"/>
      <c r="T1" s="107"/>
      <c r="U1" s="107"/>
      <c r="V1" s="107"/>
    </row>
    <row r="2" spans="1:22" x14ac:dyDescent="0.25">
      <c r="A2" s="107" t="s">
        <v>339</v>
      </c>
      <c r="B2" s="107"/>
      <c r="C2" s="107"/>
      <c r="D2" s="107"/>
      <c r="E2" s="107"/>
      <c r="F2" s="107"/>
      <c r="G2" s="107"/>
      <c r="H2" s="107"/>
      <c r="I2" s="107"/>
      <c r="J2" s="107"/>
      <c r="K2" s="107"/>
      <c r="L2" s="107"/>
      <c r="M2" s="107"/>
      <c r="N2" s="107"/>
      <c r="O2" s="107"/>
      <c r="P2" s="107"/>
      <c r="Q2" s="107"/>
      <c r="R2" s="107"/>
      <c r="S2" s="107"/>
      <c r="T2" s="107"/>
      <c r="U2" s="107"/>
      <c r="V2" s="107"/>
    </row>
    <row r="3" spans="1:22" x14ac:dyDescent="0.25">
      <c r="A3" s="107" t="s">
        <v>338</v>
      </c>
      <c r="B3" s="107"/>
      <c r="C3" s="107"/>
      <c r="D3" s="107"/>
      <c r="E3" s="107"/>
      <c r="F3" s="107"/>
      <c r="G3" s="107"/>
      <c r="H3" s="107"/>
      <c r="I3" s="107"/>
      <c r="J3" s="107"/>
      <c r="K3" s="107"/>
      <c r="L3" s="107"/>
      <c r="M3" s="107"/>
      <c r="N3" s="107"/>
      <c r="O3" s="107"/>
      <c r="P3" s="107"/>
      <c r="Q3" s="107"/>
      <c r="R3" s="107"/>
      <c r="S3" s="107"/>
      <c r="T3" s="107"/>
      <c r="U3" s="107"/>
      <c r="V3" s="107"/>
    </row>
    <row r="4" spans="1:22" x14ac:dyDescent="0.25">
      <c r="A4" s="107" t="s">
        <v>343</v>
      </c>
      <c r="B4" s="107"/>
      <c r="C4" s="107"/>
      <c r="D4" s="107"/>
      <c r="E4" s="107"/>
      <c r="F4" s="107"/>
      <c r="G4" s="107"/>
      <c r="H4" s="107"/>
      <c r="I4" s="107"/>
      <c r="J4" s="107"/>
      <c r="K4" s="107"/>
      <c r="L4" s="107"/>
      <c r="M4" s="107"/>
      <c r="N4" s="107"/>
      <c r="O4" s="107"/>
      <c r="P4" s="107"/>
      <c r="Q4" s="107"/>
      <c r="R4" s="107"/>
      <c r="S4" s="107"/>
      <c r="T4" s="107"/>
      <c r="U4" s="107"/>
      <c r="V4" s="107"/>
    </row>
    <row r="5" spans="1:22" x14ac:dyDescent="0.25">
      <c r="A5" s="107" t="s">
        <v>336</v>
      </c>
      <c r="B5" s="107"/>
      <c r="C5" s="107"/>
      <c r="D5" s="107"/>
      <c r="E5" s="107"/>
      <c r="F5" s="107"/>
      <c r="G5" s="107"/>
      <c r="H5" s="107"/>
      <c r="I5" s="107"/>
      <c r="J5" s="107"/>
      <c r="K5" s="107"/>
      <c r="L5" s="107"/>
      <c r="M5" s="107"/>
      <c r="N5" s="107"/>
      <c r="O5" s="107"/>
      <c r="P5" s="107"/>
      <c r="Q5" s="107"/>
      <c r="R5" s="107"/>
      <c r="S5" s="107"/>
      <c r="T5" s="107"/>
      <c r="U5" s="107"/>
      <c r="V5" s="107"/>
    </row>
    <row r="6" spans="1:22" x14ac:dyDescent="0.25">
      <c r="A6" s="86"/>
      <c r="B6" s="86"/>
      <c r="C6" s="86"/>
      <c r="D6" s="86"/>
      <c r="E6" s="87"/>
      <c r="F6" s="87"/>
      <c r="G6" s="87"/>
      <c r="H6" s="87"/>
      <c r="I6" s="87"/>
      <c r="J6" s="87"/>
      <c r="K6" s="87"/>
      <c r="L6" s="86"/>
      <c r="M6" s="86"/>
      <c r="N6" s="86"/>
      <c r="O6" s="86"/>
      <c r="P6" s="86"/>
      <c r="Q6" s="86"/>
      <c r="R6" s="86"/>
      <c r="S6" s="86"/>
      <c r="T6" s="86"/>
      <c r="U6" s="86"/>
      <c r="V6" s="86"/>
    </row>
    <row r="7" spans="1:22" x14ac:dyDescent="0.25">
      <c r="A7" s="86"/>
      <c r="B7" s="86"/>
      <c r="C7" s="86"/>
      <c r="D7" s="86"/>
      <c r="E7" s="87"/>
      <c r="F7" s="87"/>
      <c r="G7" s="87"/>
      <c r="H7" s="87"/>
      <c r="I7" s="87"/>
      <c r="J7" s="91"/>
      <c r="K7" s="106" t="s">
        <v>335</v>
      </c>
      <c r="L7" s="106"/>
      <c r="M7" s="106"/>
      <c r="N7" s="106"/>
      <c r="O7" s="106"/>
      <c r="P7" s="106"/>
      <c r="Q7" s="106"/>
      <c r="R7" s="106"/>
      <c r="S7" s="106"/>
      <c r="T7" s="106"/>
      <c r="U7" s="86"/>
      <c r="V7" s="86"/>
    </row>
    <row r="8" spans="1:22" x14ac:dyDescent="0.25">
      <c r="A8" s="86"/>
      <c r="B8" s="86"/>
      <c r="C8" s="86"/>
      <c r="D8" s="86"/>
      <c r="E8" s="103" t="s">
        <v>334</v>
      </c>
      <c r="F8" s="104"/>
      <c r="G8" s="103" t="s">
        <v>333</v>
      </c>
      <c r="H8" s="104"/>
      <c r="I8" s="103" t="s">
        <v>332</v>
      </c>
      <c r="J8" s="105"/>
      <c r="K8" s="103" t="s">
        <v>331</v>
      </c>
      <c r="L8" s="86"/>
      <c r="M8" s="103" t="s">
        <v>330</v>
      </c>
      <c r="N8" s="104"/>
      <c r="O8" s="103" t="s">
        <v>329</v>
      </c>
      <c r="P8" s="104"/>
      <c r="Q8" s="103" t="s">
        <v>328</v>
      </c>
      <c r="R8" s="104"/>
      <c r="S8" s="103" t="s">
        <v>327</v>
      </c>
      <c r="T8" s="103" t="s">
        <v>326</v>
      </c>
      <c r="U8" s="104"/>
      <c r="V8" s="103" t="s">
        <v>325</v>
      </c>
    </row>
    <row r="9" spans="1:22" ht="120" x14ac:dyDescent="0.25">
      <c r="A9" s="94"/>
      <c r="B9" s="86"/>
      <c r="C9" s="86"/>
      <c r="D9" s="86"/>
      <c r="E9" s="95" t="s">
        <v>324</v>
      </c>
      <c r="F9" s="100"/>
      <c r="G9" s="95" t="s">
        <v>323</v>
      </c>
      <c r="H9" s="100"/>
      <c r="I9" s="102" t="s">
        <v>322</v>
      </c>
      <c r="J9" s="101"/>
      <c r="K9" s="95" t="s">
        <v>321</v>
      </c>
      <c r="L9" s="100"/>
      <c r="M9" s="95" t="s">
        <v>320</v>
      </c>
      <c r="N9" s="96"/>
      <c r="O9" s="95" t="s">
        <v>319</v>
      </c>
      <c r="P9" s="96"/>
      <c r="Q9" s="109" t="s">
        <v>318</v>
      </c>
      <c r="R9" s="108"/>
      <c r="S9" s="95" t="s">
        <v>342</v>
      </c>
      <c r="T9" s="95" t="s">
        <v>341</v>
      </c>
      <c r="U9" s="96"/>
      <c r="V9" s="95" t="s">
        <v>315</v>
      </c>
    </row>
    <row r="10" spans="1:22" x14ac:dyDescent="0.25">
      <c r="A10" s="86"/>
      <c r="B10" s="86"/>
      <c r="C10" s="86"/>
      <c r="D10" s="86"/>
      <c r="E10" s="87"/>
      <c r="F10" s="87"/>
      <c r="G10" s="87"/>
      <c r="H10" s="87"/>
      <c r="I10" s="87"/>
      <c r="J10" s="91"/>
      <c r="K10" s="87"/>
      <c r="L10" s="87"/>
      <c r="M10" s="87"/>
      <c r="N10" s="87"/>
      <c r="O10" s="87"/>
      <c r="P10" s="87"/>
      <c r="Q10" s="87"/>
      <c r="R10" s="87"/>
      <c r="S10" s="87"/>
      <c r="T10" s="87"/>
      <c r="U10" s="87"/>
      <c r="V10" s="87"/>
    </row>
    <row r="11" spans="1:22" x14ac:dyDescent="0.25">
      <c r="A11" s="94" t="s">
        <v>10</v>
      </c>
      <c r="B11" s="86"/>
      <c r="C11" s="86"/>
      <c r="D11" s="86"/>
      <c r="E11" s="87"/>
      <c r="F11" s="87"/>
      <c r="G11" s="87"/>
      <c r="H11" s="87"/>
      <c r="I11" s="87"/>
      <c r="J11" s="91"/>
      <c r="K11" s="87"/>
      <c r="L11" s="87"/>
      <c r="M11" s="87"/>
      <c r="N11" s="87"/>
      <c r="O11" s="87"/>
      <c r="P11" s="87"/>
      <c r="Q11" s="87"/>
      <c r="R11" s="87"/>
      <c r="S11" s="87"/>
      <c r="T11" s="87"/>
      <c r="U11" s="87"/>
      <c r="V11" s="87"/>
    </row>
    <row r="12" spans="1:22" x14ac:dyDescent="0.25">
      <c r="A12" s="86"/>
      <c r="B12" s="86" t="s">
        <v>314</v>
      </c>
      <c r="C12" s="86"/>
      <c r="D12" s="86"/>
      <c r="E12" s="92">
        <v>324817817.91000003</v>
      </c>
      <c r="F12" s="87"/>
      <c r="G12" s="92">
        <v>324817817.91000003</v>
      </c>
      <c r="H12" s="87"/>
      <c r="I12" s="85">
        <f t="shared" ref="I12:I17" si="0">G12-E12</f>
        <v>0</v>
      </c>
      <c r="J12" s="91"/>
      <c r="K12" s="87"/>
      <c r="L12" s="87"/>
      <c r="M12" s="87"/>
      <c r="N12" s="87"/>
      <c r="O12" s="87"/>
      <c r="P12" s="87"/>
      <c r="Q12" s="87"/>
      <c r="R12" s="87"/>
      <c r="S12" s="87"/>
      <c r="T12" s="87"/>
      <c r="U12" s="87"/>
      <c r="V12" s="85">
        <f t="shared" ref="V12:V28" si="1">SUM(K12:T12)</f>
        <v>0</v>
      </c>
    </row>
    <row r="13" spans="1:22" x14ac:dyDescent="0.25">
      <c r="A13" s="86"/>
      <c r="B13" s="86" t="s">
        <v>313</v>
      </c>
      <c r="C13" s="86"/>
      <c r="D13" s="86"/>
      <c r="E13" s="92">
        <v>0</v>
      </c>
      <c r="F13" s="87"/>
      <c r="G13" s="92">
        <v>0</v>
      </c>
      <c r="H13" s="87"/>
      <c r="I13" s="85">
        <f t="shared" si="0"/>
        <v>0</v>
      </c>
      <c r="J13" s="91"/>
      <c r="K13" s="87"/>
      <c r="L13" s="87"/>
      <c r="M13" s="87"/>
      <c r="N13" s="87"/>
      <c r="O13" s="87"/>
      <c r="P13" s="87"/>
      <c r="Q13" s="87"/>
      <c r="R13" s="87"/>
      <c r="S13" s="87"/>
      <c r="T13" s="87"/>
      <c r="U13" s="87"/>
      <c r="V13" s="85">
        <f t="shared" si="1"/>
        <v>0</v>
      </c>
    </row>
    <row r="14" spans="1:22" x14ac:dyDescent="0.25">
      <c r="A14" s="86"/>
      <c r="B14" s="86" t="s">
        <v>312</v>
      </c>
      <c r="C14" s="86"/>
      <c r="D14" s="86"/>
      <c r="E14" s="92"/>
      <c r="F14" s="87"/>
      <c r="G14" s="92"/>
      <c r="H14" s="87"/>
      <c r="I14" s="85">
        <f t="shared" si="0"/>
        <v>0</v>
      </c>
      <c r="J14" s="91"/>
      <c r="K14" s="87"/>
      <c r="L14" s="87"/>
      <c r="M14" s="87"/>
      <c r="N14" s="87"/>
      <c r="O14" s="87"/>
      <c r="P14" s="87"/>
      <c r="Q14" s="87"/>
      <c r="R14" s="87"/>
      <c r="S14" s="87"/>
      <c r="T14" s="87"/>
      <c r="U14" s="87"/>
      <c r="V14" s="85">
        <f t="shared" si="1"/>
        <v>0</v>
      </c>
    </row>
    <row r="15" spans="1:22" x14ac:dyDescent="0.25">
      <c r="A15" s="86"/>
      <c r="B15" s="86" t="s">
        <v>311</v>
      </c>
      <c r="C15" s="86"/>
      <c r="D15" s="86"/>
      <c r="E15" s="92">
        <v>122733.78</v>
      </c>
      <c r="F15" s="87"/>
      <c r="G15" s="92">
        <v>122733.78</v>
      </c>
      <c r="H15" s="87"/>
      <c r="I15" s="85">
        <f t="shared" si="0"/>
        <v>0</v>
      </c>
      <c r="J15" s="91"/>
      <c r="K15" s="87"/>
      <c r="L15" s="87"/>
      <c r="M15" s="87"/>
      <c r="N15" s="87"/>
      <c r="O15" s="87"/>
      <c r="P15" s="87"/>
      <c r="Q15" s="87"/>
      <c r="R15" s="87"/>
      <c r="S15" s="87"/>
      <c r="T15" s="87"/>
      <c r="U15" s="87"/>
      <c r="V15" s="85">
        <f t="shared" si="1"/>
        <v>0</v>
      </c>
    </row>
    <row r="16" spans="1:22" x14ac:dyDescent="0.25">
      <c r="A16" s="86"/>
      <c r="B16" s="86" t="s">
        <v>310</v>
      </c>
      <c r="C16" s="86"/>
      <c r="D16" s="86"/>
      <c r="E16" s="92">
        <v>307628416.55000001</v>
      </c>
      <c r="F16" s="87"/>
      <c r="G16" s="92">
        <v>306646239.75</v>
      </c>
      <c r="H16" s="87"/>
      <c r="I16" s="85">
        <f t="shared" si="0"/>
        <v>-982176.80000001192</v>
      </c>
      <c r="J16" s="91"/>
      <c r="K16" s="87"/>
      <c r="L16" s="87"/>
      <c r="M16" s="87"/>
      <c r="N16" s="87"/>
      <c r="O16" s="87"/>
      <c r="P16" s="87"/>
      <c r="Q16" s="87">
        <v>-982176.79999999981</v>
      </c>
      <c r="R16" s="87"/>
      <c r="S16" s="87"/>
      <c r="T16" s="87"/>
      <c r="U16" s="87"/>
      <c r="V16" s="85">
        <f t="shared" si="1"/>
        <v>-982176.79999999981</v>
      </c>
    </row>
    <row r="17" spans="1:22" x14ac:dyDescent="0.25">
      <c r="A17" s="86"/>
      <c r="B17" s="86" t="s">
        <v>309</v>
      </c>
      <c r="C17" s="86"/>
      <c r="D17" s="86"/>
      <c r="E17" s="92">
        <v>555199977.15999997</v>
      </c>
      <c r="F17" s="87"/>
      <c r="G17" s="92">
        <v>556977377.15999997</v>
      </c>
      <c r="H17" s="87"/>
      <c r="I17" s="85">
        <f t="shared" si="0"/>
        <v>1777400</v>
      </c>
      <c r="J17" s="91"/>
      <c r="K17" s="87"/>
      <c r="L17" s="87"/>
      <c r="M17" s="87"/>
      <c r="N17" s="87"/>
      <c r="O17" s="87"/>
      <c r="P17" s="87"/>
      <c r="Q17" s="87">
        <v>1777400</v>
      </c>
      <c r="R17" s="87"/>
      <c r="S17" s="87"/>
      <c r="T17" s="87"/>
      <c r="U17" s="87"/>
      <c r="V17" s="85">
        <f t="shared" si="1"/>
        <v>1777400</v>
      </c>
    </row>
    <row r="18" spans="1:22" x14ac:dyDescent="0.25">
      <c r="A18" s="94" t="s">
        <v>11</v>
      </c>
      <c r="B18" s="86"/>
      <c r="C18" s="86"/>
      <c r="D18" s="86"/>
      <c r="E18" s="87"/>
      <c r="F18" s="87"/>
      <c r="G18" s="87"/>
      <c r="H18" s="87"/>
      <c r="J18" s="91"/>
      <c r="K18" s="87"/>
      <c r="L18" s="87"/>
      <c r="M18" s="87"/>
      <c r="N18" s="87"/>
      <c r="O18" s="87"/>
      <c r="P18" s="87"/>
      <c r="Q18" s="87"/>
      <c r="R18" s="87"/>
      <c r="S18" s="87"/>
      <c r="T18" s="87"/>
      <c r="U18" s="87"/>
      <c r="V18" s="85">
        <f t="shared" si="1"/>
        <v>0</v>
      </c>
    </row>
    <row r="19" spans="1:22" x14ac:dyDescent="0.25">
      <c r="A19" s="86"/>
      <c r="B19" s="86" t="s">
        <v>308</v>
      </c>
      <c r="C19" s="86"/>
      <c r="D19" s="86"/>
      <c r="E19" s="92">
        <v>0</v>
      </c>
      <c r="F19" s="87"/>
      <c r="G19" s="87">
        <v>0</v>
      </c>
      <c r="H19" s="87"/>
      <c r="I19" s="85">
        <f>G19-E19</f>
        <v>0</v>
      </c>
      <c r="J19" s="91"/>
      <c r="K19" s="87"/>
      <c r="L19" s="87"/>
      <c r="M19" s="87"/>
      <c r="N19" s="87"/>
      <c r="O19" s="87"/>
      <c r="P19" s="87"/>
      <c r="Q19" s="87"/>
      <c r="R19" s="87"/>
      <c r="S19" s="87"/>
      <c r="T19" s="87"/>
      <c r="U19" s="87"/>
      <c r="V19" s="85">
        <f t="shared" si="1"/>
        <v>0</v>
      </c>
    </row>
    <row r="20" spans="1:22" x14ac:dyDescent="0.25">
      <c r="A20" s="86"/>
      <c r="B20" s="86" t="s">
        <v>307</v>
      </c>
      <c r="C20" s="86"/>
      <c r="D20" s="86"/>
      <c r="E20" s="92"/>
      <c r="F20" s="87"/>
      <c r="G20" s="87"/>
      <c r="H20" s="87"/>
      <c r="J20" s="91"/>
      <c r="K20" s="87"/>
      <c r="L20" s="87"/>
      <c r="M20" s="87"/>
      <c r="N20" s="87"/>
      <c r="O20" s="87"/>
      <c r="P20" s="87"/>
      <c r="Q20" s="87"/>
      <c r="R20" s="87"/>
      <c r="S20" s="87"/>
      <c r="T20" s="87"/>
      <c r="U20" s="87"/>
      <c r="V20" s="85">
        <f t="shared" si="1"/>
        <v>0</v>
      </c>
    </row>
    <row r="21" spans="1:22" x14ac:dyDescent="0.25">
      <c r="A21" s="86"/>
      <c r="B21" s="86" t="s">
        <v>306</v>
      </c>
      <c r="C21" s="86"/>
      <c r="D21" s="86"/>
      <c r="E21" s="92">
        <v>0</v>
      </c>
      <c r="F21" s="87"/>
      <c r="G21" s="87">
        <v>0</v>
      </c>
      <c r="H21" s="87"/>
      <c r="I21" s="85">
        <f>G21-E21</f>
        <v>0</v>
      </c>
      <c r="J21" s="91"/>
      <c r="K21" s="87"/>
      <c r="L21" s="87"/>
      <c r="M21" s="87"/>
      <c r="N21" s="87"/>
      <c r="O21" s="87"/>
      <c r="P21" s="87"/>
      <c r="Q21" s="87"/>
      <c r="R21" s="87"/>
      <c r="S21" s="87"/>
      <c r="T21" s="87"/>
      <c r="U21" s="87"/>
      <c r="V21" s="85">
        <f t="shared" si="1"/>
        <v>0</v>
      </c>
    </row>
    <row r="22" spans="1:22" x14ac:dyDescent="0.25">
      <c r="A22" s="86"/>
      <c r="B22" s="86" t="s">
        <v>305</v>
      </c>
      <c r="C22" s="86"/>
      <c r="D22" s="86"/>
      <c r="E22" s="92"/>
      <c r="F22" s="87"/>
      <c r="G22" s="87"/>
      <c r="H22" s="87"/>
      <c r="J22" s="91"/>
      <c r="K22" s="87"/>
      <c r="L22" s="87"/>
      <c r="M22" s="87"/>
      <c r="N22" s="87"/>
      <c r="O22" s="87"/>
      <c r="P22" s="87"/>
      <c r="Q22" s="87"/>
      <c r="R22" s="87"/>
      <c r="S22" s="87"/>
      <c r="T22" s="87"/>
      <c r="U22" s="87"/>
      <c r="V22" s="85">
        <f t="shared" si="1"/>
        <v>0</v>
      </c>
    </row>
    <row r="23" spans="1:22" x14ac:dyDescent="0.25">
      <c r="A23" s="86"/>
      <c r="B23" s="86" t="s">
        <v>304</v>
      </c>
      <c r="C23" s="86"/>
      <c r="D23" s="86"/>
      <c r="E23" s="92"/>
      <c r="F23" s="87"/>
      <c r="G23" s="87"/>
      <c r="H23" s="87"/>
      <c r="J23" s="91"/>
      <c r="K23" s="87"/>
      <c r="L23" s="87"/>
      <c r="M23" s="87"/>
      <c r="N23" s="87"/>
      <c r="O23" s="87"/>
      <c r="P23" s="87"/>
      <c r="Q23" s="87"/>
      <c r="R23" s="87"/>
      <c r="S23" s="87"/>
      <c r="T23" s="87"/>
      <c r="U23" s="87"/>
      <c r="V23" s="85">
        <f t="shared" si="1"/>
        <v>0</v>
      </c>
    </row>
    <row r="24" spans="1:22" x14ac:dyDescent="0.25">
      <c r="A24" s="86"/>
      <c r="B24" s="86" t="s">
        <v>303</v>
      </c>
      <c r="C24" s="86"/>
      <c r="D24" s="86"/>
      <c r="E24" s="92">
        <v>0</v>
      </c>
      <c r="F24" s="87"/>
      <c r="G24" s="87">
        <v>0</v>
      </c>
      <c r="H24" s="87"/>
      <c r="I24" s="85">
        <f>G24-E24</f>
        <v>0</v>
      </c>
      <c r="J24" s="91"/>
      <c r="K24" s="87"/>
      <c r="L24" s="87"/>
      <c r="M24" s="87"/>
      <c r="N24" s="87"/>
      <c r="O24" s="87"/>
      <c r="P24" s="87"/>
      <c r="Q24" s="87"/>
      <c r="R24" s="87"/>
      <c r="S24" s="87"/>
      <c r="T24" s="87"/>
      <c r="U24" s="87"/>
      <c r="V24" s="85">
        <f t="shared" si="1"/>
        <v>0</v>
      </c>
    </row>
    <row r="25" spans="1:22" x14ac:dyDescent="0.25">
      <c r="A25" s="86"/>
      <c r="B25" s="86" t="s">
        <v>14</v>
      </c>
      <c r="C25" s="86"/>
      <c r="D25" s="86"/>
      <c r="E25" s="92"/>
      <c r="F25" s="87"/>
      <c r="G25" s="87"/>
      <c r="H25" s="87"/>
      <c r="J25" s="91"/>
      <c r="K25" s="87"/>
      <c r="L25" s="87"/>
      <c r="M25" s="87"/>
      <c r="N25" s="87"/>
      <c r="O25" s="87"/>
      <c r="P25" s="87"/>
      <c r="Q25" s="87"/>
      <c r="R25" s="87"/>
      <c r="S25" s="87"/>
      <c r="T25" s="87"/>
      <c r="U25" s="87"/>
      <c r="V25" s="85">
        <f t="shared" si="1"/>
        <v>0</v>
      </c>
    </row>
    <row r="26" spans="1:22" ht="45" x14ac:dyDescent="0.25">
      <c r="A26" s="86"/>
      <c r="B26" s="93" t="s">
        <v>302</v>
      </c>
      <c r="C26" s="86"/>
      <c r="D26" s="86"/>
      <c r="E26" s="92">
        <v>0</v>
      </c>
      <c r="F26" s="87"/>
      <c r="G26" s="87">
        <v>0</v>
      </c>
      <c r="H26" s="87"/>
      <c r="I26" s="85">
        <f>G26-E26</f>
        <v>0</v>
      </c>
      <c r="J26" s="91"/>
      <c r="K26" s="87"/>
      <c r="L26" s="87"/>
      <c r="M26" s="87"/>
      <c r="N26" s="87"/>
      <c r="O26" s="87"/>
      <c r="P26" s="87"/>
      <c r="Q26" s="87"/>
      <c r="R26" s="87"/>
      <c r="S26" s="87">
        <v>0</v>
      </c>
      <c r="T26" s="87"/>
      <c r="U26" s="87"/>
      <c r="V26" s="85">
        <f t="shared" si="1"/>
        <v>0</v>
      </c>
    </row>
    <row r="27" spans="1:22" x14ac:dyDescent="0.25">
      <c r="A27" s="86"/>
      <c r="B27" s="86" t="s">
        <v>301</v>
      </c>
      <c r="C27" s="86"/>
      <c r="D27" s="86"/>
      <c r="E27" s="92"/>
      <c r="F27" s="87"/>
      <c r="G27" s="87"/>
      <c r="H27" s="87"/>
      <c r="J27" s="91"/>
      <c r="K27" s="87"/>
      <c r="L27" s="87"/>
      <c r="M27" s="87"/>
      <c r="N27" s="87"/>
      <c r="O27" s="87"/>
      <c r="P27" s="87"/>
      <c r="Q27" s="87"/>
      <c r="R27" s="87"/>
      <c r="S27" s="87"/>
      <c r="T27" s="87"/>
      <c r="U27" s="87"/>
      <c r="V27" s="85">
        <f t="shared" si="1"/>
        <v>0</v>
      </c>
    </row>
    <row r="28" spans="1:22" x14ac:dyDescent="0.25">
      <c r="A28" s="86"/>
      <c r="B28" s="86" t="s">
        <v>300</v>
      </c>
      <c r="C28" s="86"/>
      <c r="D28" s="86"/>
      <c r="E28" s="92"/>
      <c r="F28" s="87"/>
      <c r="G28" s="87"/>
      <c r="H28" s="87"/>
      <c r="I28" s="85">
        <f>G28-E28</f>
        <v>0</v>
      </c>
      <c r="J28" s="91"/>
      <c r="K28" s="87"/>
      <c r="L28" s="87"/>
      <c r="M28" s="87"/>
      <c r="N28" s="87"/>
      <c r="O28" s="87"/>
      <c r="P28" s="87"/>
      <c r="Q28" s="87"/>
      <c r="R28" s="87"/>
      <c r="S28" s="87"/>
      <c r="T28" s="87"/>
      <c r="U28" s="87"/>
      <c r="V28" s="85">
        <f t="shared" si="1"/>
        <v>0</v>
      </c>
    </row>
    <row r="29" spans="1:22" ht="15.75" thickBot="1" x14ac:dyDescent="0.3">
      <c r="A29" s="90" t="s">
        <v>12</v>
      </c>
      <c r="E29" s="88">
        <f>SUM(E12:E28)</f>
        <v>1187768945.4000001</v>
      </c>
      <c r="G29" s="88">
        <f>SUM(G12:G28)</f>
        <v>1188564168.5999999</v>
      </c>
      <c r="I29" s="88">
        <f>SUM(I12:I28)</f>
        <v>795223.19999998808</v>
      </c>
      <c r="J29" s="89"/>
      <c r="K29" s="88">
        <f>SUM(K12:K28)</f>
        <v>0</v>
      </c>
      <c r="L29" s="85"/>
      <c r="M29" s="88">
        <f>SUM(M12:M28)</f>
        <v>0</v>
      </c>
      <c r="N29" s="85"/>
      <c r="O29" s="88">
        <f>SUM(O12:O28)</f>
        <v>0</v>
      </c>
      <c r="P29" s="85"/>
      <c r="Q29" s="88">
        <f>SUM(Q12:Q28)</f>
        <v>795223.20000000019</v>
      </c>
      <c r="R29" s="85"/>
      <c r="S29" s="88">
        <f>SUM(S12:S28)</f>
        <v>0</v>
      </c>
      <c r="T29" s="88">
        <f>SUM(T12:T28)</f>
        <v>0</v>
      </c>
      <c r="U29" s="85"/>
      <c r="V29" s="88">
        <f>SUM(V12:V28)</f>
        <v>795223.20000000019</v>
      </c>
    </row>
    <row r="30" spans="1:22" ht="15.75" thickTop="1" x14ac:dyDescent="0.25">
      <c r="A30" s="86"/>
      <c r="B30" s="86"/>
      <c r="C30" s="86"/>
      <c r="D30" s="86"/>
      <c r="E30" s="87"/>
      <c r="F30" s="87"/>
      <c r="G30" s="87"/>
      <c r="H30" s="87"/>
      <c r="I30" s="87"/>
      <c r="J30" s="87"/>
      <c r="K30" s="87"/>
      <c r="L30" s="87"/>
      <c r="M30" s="87"/>
      <c r="N30" s="87"/>
      <c r="O30" s="87"/>
      <c r="P30" s="87"/>
      <c r="Q30" s="87"/>
      <c r="R30" s="87"/>
      <c r="S30" s="87"/>
      <c r="T30" s="87"/>
      <c r="U30" s="87"/>
      <c r="V30" s="87"/>
    </row>
    <row r="31" spans="1:22" x14ac:dyDescent="0.25">
      <c r="A31" s="86"/>
      <c r="B31" s="86"/>
      <c r="C31" s="86"/>
      <c r="D31" s="86"/>
      <c r="E31" s="87"/>
      <c r="F31" s="87"/>
      <c r="G31" s="87"/>
      <c r="H31" s="87"/>
      <c r="I31" s="87"/>
      <c r="J31" s="87"/>
      <c r="K31" s="87"/>
      <c r="L31" s="86"/>
      <c r="M31" s="86"/>
      <c r="N31" s="86"/>
      <c r="O31" s="86"/>
      <c r="P31" s="86"/>
      <c r="Q31" s="86"/>
      <c r="R31" s="86"/>
      <c r="S31" s="86"/>
      <c r="T31" s="86"/>
      <c r="U31" s="86"/>
      <c r="V31" s="86"/>
    </row>
    <row r="32" spans="1:22" x14ac:dyDescent="0.25">
      <c r="A32" s="86" t="s">
        <v>299</v>
      </c>
      <c r="B32" s="86"/>
      <c r="C32" s="86"/>
      <c r="D32" s="86"/>
      <c r="E32" s="87"/>
      <c r="F32" s="87"/>
      <c r="G32" s="87"/>
      <c r="H32" s="87"/>
      <c r="I32" s="87"/>
      <c r="J32" s="87"/>
      <c r="K32" s="87"/>
      <c r="L32" s="86"/>
      <c r="M32" s="86"/>
      <c r="N32" s="86"/>
      <c r="O32" s="86"/>
      <c r="P32" s="86"/>
      <c r="Q32" s="86"/>
      <c r="R32" s="86"/>
      <c r="S32" s="86"/>
      <c r="T32" s="86"/>
      <c r="U32" s="86"/>
      <c r="V32" s="86"/>
    </row>
    <row r="33" spans="1:22" x14ac:dyDescent="0.25">
      <c r="A33" s="86" t="s">
        <v>298</v>
      </c>
      <c r="B33" s="86"/>
      <c r="C33" s="86" t="s">
        <v>297</v>
      </c>
      <c r="D33" s="86"/>
      <c r="E33" s="87"/>
      <c r="F33" s="87"/>
      <c r="G33" s="87"/>
      <c r="H33" s="87"/>
      <c r="I33" s="87"/>
      <c r="J33" s="87"/>
      <c r="K33" s="87"/>
      <c r="L33" s="86"/>
      <c r="M33" s="86"/>
      <c r="N33" s="86"/>
      <c r="O33" s="86"/>
      <c r="P33" s="86"/>
      <c r="Q33" s="86"/>
      <c r="R33" s="86"/>
      <c r="S33" s="86"/>
      <c r="T33" s="86"/>
      <c r="U33" s="86"/>
      <c r="V33" s="86"/>
    </row>
    <row r="34" spans="1:22" x14ac:dyDescent="0.25">
      <c r="A34" s="86" t="s">
        <v>296</v>
      </c>
      <c r="B34" s="86"/>
      <c r="C34" s="86" t="s">
        <v>295</v>
      </c>
      <c r="D34" s="86"/>
      <c r="E34" s="87"/>
      <c r="F34" s="87"/>
      <c r="G34" s="87"/>
      <c r="H34" s="87"/>
      <c r="I34" s="87"/>
      <c r="J34" s="87"/>
      <c r="K34" s="87"/>
      <c r="L34" s="86"/>
      <c r="M34" s="86"/>
      <c r="N34" s="86"/>
      <c r="O34" s="86"/>
      <c r="P34" s="86"/>
      <c r="Q34" s="86"/>
      <c r="R34" s="86"/>
      <c r="S34" s="86"/>
      <c r="T34" s="86"/>
      <c r="U34" s="86"/>
      <c r="V34" s="86"/>
    </row>
    <row r="35" spans="1:22" x14ac:dyDescent="0.25">
      <c r="A35" s="86" t="s">
        <v>294</v>
      </c>
      <c r="B35" s="86"/>
      <c r="C35" s="86" t="s">
        <v>293</v>
      </c>
      <c r="D35" s="86"/>
      <c r="E35" s="87"/>
      <c r="F35" s="87"/>
      <c r="G35" s="87"/>
      <c r="H35" s="87"/>
      <c r="I35" s="87"/>
      <c r="J35" s="87"/>
      <c r="K35" s="87"/>
      <c r="L35" s="86"/>
      <c r="M35" s="86"/>
      <c r="N35" s="86"/>
      <c r="O35" s="86"/>
      <c r="P35" s="86"/>
      <c r="Q35" s="86"/>
      <c r="R35" s="86"/>
      <c r="S35" s="86"/>
      <c r="T35" s="86"/>
      <c r="U35" s="86"/>
      <c r="V35" s="86"/>
    </row>
    <row r="36" spans="1:22" x14ac:dyDescent="0.25">
      <c r="A36" s="86"/>
      <c r="B36" s="86"/>
      <c r="C36" s="86" t="s">
        <v>292</v>
      </c>
      <c r="D36" s="86"/>
      <c r="E36" s="87"/>
      <c r="F36" s="87"/>
      <c r="G36" s="87"/>
      <c r="H36" s="87"/>
      <c r="I36" s="87"/>
      <c r="J36" s="87"/>
      <c r="K36" s="87"/>
      <c r="L36" s="86"/>
      <c r="M36" s="86"/>
      <c r="N36" s="86"/>
      <c r="O36" s="86"/>
      <c r="P36" s="86"/>
      <c r="Q36" s="86"/>
      <c r="R36" s="86"/>
      <c r="S36" s="86"/>
      <c r="T36" s="86"/>
      <c r="U36" s="86"/>
      <c r="V36" s="86"/>
    </row>
    <row r="37" spans="1:22" x14ac:dyDescent="0.25">
      <c r="A37" s="86" t="s">
        <v>291</v>
      </c>
      <c r="B37" s="86"/>
      <c r="C37" s="86" t="s">
        <v>290</v>
      </c>
      <c r="D37" s="86"/>
      <c r="E37" s="87"/>
      <c r="F37" s="87"/>
      <c r="G37" s="87"/>
      <c r="H37" s="87"/>
      <c r="I37" s="87"/>
      <c r="J37" s="87"/>
      <c r="K37" s="87"/>
      <c r="L37" s="86"/>
      <c r="M37" s="86"/>
      <c r="N37" s="86"/>
      <c r="O37" s="86"/>
      <c r="P37" s="86"/>
      <c r="Q37" s="86"/>
      <c r="R37" s="86"/>
      <c r="S37" s="86"/>
      <c r="T37" s="86"/>
      <c r="U37" s="86"/>
      <c r="V37" s="86"/>
    </row>
    <row r="38" spans="1:22" x14ac:dyDescent="0.25">
      <c r="A38" s="86" t="s">
        <v>289</v>
      </c>
      <c r="B38" s="86"/>
      <c r="C38" s="86" t="s">
        <v>288</v>
      </c>
      <c r="D38" s="86"/>
      <c r="E38" s="87"/>
      <c r="F38" s="87"/>
      <c r="G38" s="87"/>
      <c r="H38" s="87"/>
      <c r="I38" s="87"/>
      <c r="J38" s="87"/>
      <c r="K38" s="87"/>
      <c r="L38" s="86"/>
      <c r="M38" s="86"/>
      <c r="N38" s="86"/>
      <c r="O38" s="86"/>
      <c r="P38" s="86"/>
      <c r="Q38" s="86"/>
      <c r="R38" s="86"/>
      <c r="S38" s="86"/>
      <c r="T38" s="86"/>
      <c r="U38" s="86"/>
      <c r="V38" s="86"/>
    </row>
    <row r="39" spans="1:22" x14ac:dyDescent="0.25">
      <c r="A39" s="86"/>
      <c r="B39" s="86"/>
      <c r="C39" s="86"/>
      <c r="D39" s="86"/>
      <c r="E39" s="87"/>
      <c r="F39" s="87"/>
      <c r="G39" s="87"/>
      <c r="H39" s="87"/>
      <c r="I39" s="87"/>
      <c r="J39" s="87"/>
      <c r="K39" s="87"/>
      <c r="L39" s="86"/>
      <c r="M39" s="86"/>
      <c r="N39" s="86"/>
      <c r="O39" s="86"/>
      <c r="P39" s="86"/>
      <c r="Q39" s="86"/>
      <c r="R39" s="86"/>
      <c r="S39" s="86"/>
      <c r="T39" s="86"/>
      <c r="U39" s="86"/>
      <c r="V39" s="86"/>
    </row>
  </sheetData>
  <printOptions horizontalCentered="1"/>
  <pageMargins left="0" right="0" top="0.75" bottom="0.75" header="0.3" footer="0.3"/>
  <pageSetup scale="58" orientation="landscape" horizontalDpi="4294967295" verticalDpi="4294967295"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CB80B-9A1B-471C-A2E6-1E6AC05F79E7}">
  <sheetPr>
    <pageSetUpPr fitToPage="1"/>
  </sheetPr>
  <dimension ref="A1:K64"/>
  <sheetViews>
    <sheetView zoomScale="98" zoomScaleNormal="98" workbookViewId="0">
      <pane ySplit="14" topLeftCell="A15" activePane="bottomLeft" state="frozen"/>
      <selection activeCell="O34" sqref="O34"/>
      <selection pane="bottomLeft" activeCell="T30" sqref="T30"/>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42578125" customWidth="1"/>
    <col min="7" max="7" width="16.7109375" customWidth="1"/>
    <col min="8" max="8" width="6.42578125" customWidth="1"/>
    <col min="9" max="9" width="10.85546875" customWidth="1"/>
    <col min="10" max="10" width="22.140625" customWidth="1"/>
    <col min="11" max="11" width="13.85546875" bestFit="1" customWidth="1"/>
  </cols>
  <sheetData>
    <row r="1" spans="1:11" x14ac:dyDescent="0.25">
      <c r="A1" s="161"/>
      <c r="B1" s="161"/>
      <c r="C1" s="161"/>
      <c r="D1" s="161"/>
      <c r="E1" s="161"/>
      <c r="F1" s="161"/>
      <c r="G1" s="161"/>
      <c r="H1" s="161"/>
      <c r="I1" s="147" t="s">
        <v>232</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6" t="s">
        <v>118</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6" t="s">
        <v>119</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67" t="s">
        <v>219</v>
      </c>
      <c r="B16" s="40"/>
      <c r="C16" s="40"/>
      <c r="D16" s="40"/>
      <c r="E16" s="40"/>
      <c r="F16" s="53">
        <v>18682475.57</v>
      </c>
      <c r="G16" s="53">
        <v>3384432.55</v>
      </c>
      <c r="H16" s="148"/>
      <c r="I16" s="148"/>
      <c r="J16" s="53">
        <f t="shared" ref="J16:J21" si="0">F16+G16-H16</f>
        <v>22066908.120000001</v>
      </c>
      <c r="K16" s="41"/>
    </row>
    <row r="17" spans="1:11" s="37" customFormat="1" x14ac:dyDescent="0.25">
      <c r="A17" s="39" t="s">
        <v>71</v>
      </c>
      <c r="B17" s="40"/>
      <c r="C17" s="40"/>
      <c r="D17" s="40"/>
      <c r="E17" s="40"/>
      <c r="F17" s="53">
        <v>0</v>
      </c>
      <c r="G17" s="53">
        <v>9485.68</v>
      </c>
      <c r="H17" s="148"/>
      <c r="I17" s="148"/>
      <c r="J17" s="53">
        <f t="shared" si="0"/>
        <v>9485.68</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v>1608024.93</v>
      </c>
      <c r="G19" s="53">
        <v>267420.37</v>
      </c>
      <c r="H19" s="148">
        <v>358620.74</v>
      </c>
      <c r="I19" s="148"/>
      <c r="J19" s="53">
        <f t="shared" si="0"/>
        <v>1516824.5599999998</v>
      </c>
      <c r="K19" s="41"/>
    </row>
    <row r="20" spans="1:11" s="37" customFormat="1" ht="17.25" x14ac:dyDescent="0.25">
      <c r="A20" s="39" t="s">
        <v>220</v>
      </c>
      <c r="B20" s="40"/>
      <c r="C20" s="40"/>
      <c r="D20" s="40"/>
      <c r="E20" s="40"/>
      <c r="F20" s="53">
        <v>514057708.53000003</v>
      </c>
      <c r="G20" s="53">
        <v>141601371.78999999</v>
      </c>
      <c r="H20" s="148">
        <v>243754951.19</v>
      </c>
      <c r="I20" s="148"/>
      <c r="J20" s="53">
        <f t="shared" si="0"/>
        <v>411904129.13000005</v>
      </c>
      <c r="K20" s="41"/>
    </row>
    <row r="21" spans="1:11" s="37" customFormat="1" ht="17.25" x14ac:dyDescent="0.25">
      <c r="A21" s="39" t="s">
        <v>221</v>
      </c>
      <c r="B21" s="40"/>
      <c r="C21" s="40"/>
      <c r="D21" s="40"/>
      <c r="E21" s="40"/>
      <c r="F21" s="53">
        <v>207642810.62</v>
      </c>
      <c r="G21" s="53">
        <v>267485120.61000001</v>
      </c>
      <c r="H21" s="148">
        <v>0</v>
      </c>
      <c r="I21" s="148"/>
      <c r="J21" s="53">
        <f t="shared" si="0"/>
        <v>475127931.23000002</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v>1140915.55</v>
      </c>
      <c r="G24" s="53">
        <v>7891.3</v>
      </c>
      <c r="H24" s="148"/>
      <c r="I24" s="148"/>
      <c r="J24" s="53">
        <f>F24+G24-H24</f>
        <v>1148806.8500000001</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v>9654616</v>
      </c>
      <c r="G29" s="53">
        <v>3564523.11</v>
      </c>
      <c r="H29" s="148">
        <v>1104181.1100000001</v>
      </c>
      <c r="I29" s="148"/>
      <c r="J29" s="53">
        <f t="shared" si="1"/>
        <v>12114958</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v>41712.959999999999</v>
      </c>
      <c r="G31" s="53">
        <v>8849.98</v>
      </c>
      <c r="H31" s="148">
        <v>14112.76</v>
      </c>
      <c r="I31" s="148"/>
      <c r="J31" s="53">
        <f t="shared" si="1"/>
        <v>36450.18</v>
      </c>
      <c r="K31" s="41"/>
    </row>
    <row r="32" spans="1:11" s="37" customFormat="1" x14ac:dyDescent="0.25">
      <c r="A32" s="39" t="s">
        <v>81</v>
      </c>
      <c r="B32" s="40"/>
      <c r="C32" s="40"/>
      <c r="D32" s="40"/>
      <c r="E32" s="40"/>
      <c r="F32" s="53"/>
      <c r="G32" s="53"/>
      <c r="H32" s="148"/>
      <c r="I32" s="148"/>
      <c r="J32" s="53">
        <f t="shared" si="1"/>
        <v>0</v>
      </c>
      <c r="K32" s="41"/>
    </row>
    <row r="33" spans="1:11" s="37" customFormat="1" ht="14.25" x14ac:dyDescent="0.2">
      <c r="A33" s="6"/>
      <c r="B33" s="6"/>
      <c r="C33" s="6"/>
      <c r="D33" s="6"/>
      <c r="E33" s="6"/>
      <c r="F33" s="21"/>
      <c r="G33" s="21"/>
      <c r="H33" s="148"/>
      <c r="I33" s="148"/>
      <c r="J33" s="21"/>
      <c r="K33" s="41"/>
    </row>
    <row r="34" spans="1:11" s="37" customFormat="1" ht="15.75" customHeight="1" x14ac:dyDescent="0.2">
      <c r="A34" s="43"/>
      <c r="B34" s="43"/>
      <c r="C34" s="43"/>
      <c r="D34" s="43"/>
      <c r="E34" s="43"/>
      <c r="F34" s="44"/>
      <c r="G34" s="44"/>
      <c r="H34" s="148"/>
      <c r="I34" s="148"/>
      <c r="J34" s="44"/>
    </row>
    <row r="35" spans="1:11" s="37" customFormat="1" ht="46.5" customHeight="1" x14ac:dyDescent="0.2">
      <c r="A35" s="45" t="s">
        <v>3</v>
      </c>
      <c r="B35" s="140" t="s">
        <v>117</v>
      </c>
      <c r="C35" s="141"/>
      <c r="D35" s="141"/>
      <c r="F35" s="56">
        <f>SUM(F16:F34)</f>
        <v>752828264.16000009</v>
      </c>
      <c r="G35" s="56">
        <f>SUM(G16:G34)</f>
        <v>416329095.39000005</v>
      </c>
      <c r="H35" s="162">
        <f>SUM(H16:H34)</f>
        <v>245231865.80000001</v>
      </c>
      <c r="I35" s="162"/>
      <c r="J35" s="56">
        <f>SUM(J16:J34)</f>
        <v>923925493.75</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s="47" customFormat="1" ht="14.25" x14ac:dyDescent="0.2">
      <c r="A40" s="47" t="s">
        <v>36</v>
      </c>
      <c r="B40" s="48"/>
      <c r="C40" s="48"/>
      <c r="D40" s="48"/>
      <c r="E40" s="48"/>
    </row>
    <row r="41" spans="1:11" s="47" customFormat="1" ht="14.25" x14ac:dyDescent="0.2">
      <c r="B41" s="48"/>
      <c r="C41" s="48"/>
      <c r="D41" s="48"/>
      <c r="E41" s="48"/>
    </row>
    <row r="42" spans="1:11" s="47" customFormat="1" ht="14.25" x14ac:dyDescent="0.2">
      <c r="A42" s="143" t="s">
        <v>259</v>
      </c>
      <c r="B42" s="143"/>
      <c r="C42" s="143"/>
      <c r="D42" s="143"/>
      <c r="E42" s="143"/>
      <c r="F42" s="143"/>
      <c r="G42" s="143"/>
      <c r="H42" s="143"/>
      <c r="I42" s="143"/>
      <c r="J42" s="143"/>
    </row>
    <row r="43" spans="1:11" s="47" customFormat="1" ht="14.25" x14ac:dyDescent="0.2">
      <c r="A43" s="143"/>
      <c r="B43" s="143"/>
      <c r="C43" s="143"/>
      <c r="D43" s="143"/>
      <c r="E43" s="143"/>
      <c r="F43" s="143"/>
      <c r="G43" s="143"/>
      <c r="H43" s="143"/>
      <c r="I43" s="143"/>
      <c r="J43" s="143"/>
    </row>
    <row r="44" spans="1:11" s="47" customFormat="1" ht="14.25" x14ac:dyDescent="0.2">
      <c r="B44" s="48"/>
      <c r="C44" s="48"/>
      <c r="D44" s="48"/>
      <c r="E44" s="48"/>
    </row>
    <row r="45" spans="1:11" s="47" customFormat="1" ht="14.25" customHeight="1" x14ac:dyDescent="0.2">
      <c r="A45" s="202" t="s">
        <v>277</v>
      </c>
      <c r="B45" s="202"/>
      <c r="C45" s="202"/>
      <c r="D45" s="202"/>
      <c r="E45" s="202"/>
      <c r="F45" s="202"/>
      <c r="G45" s="202"/>
      <c r="H45" s="202"/>
      <c r="I45" s="202"/>
      <c r="J45" s="202"/>
    </row>
    <row r="46" spans="1:11" s="47" customFormat="1" ht="14.25" customHeight="1" x14ac:dyDescent="0.2">
      <c r="A46" s="202"/>
      <c r="B46" s="202"/>
      <c r="C46" s="202"/>
      <c r="D46" s="202"/>
      <c r="E46" s="202"/>
      <c r="F46" s="202"/>
      <c r="G46" s="202"/>
      <c r="H46" s="202"/>
      <c r="I46" s="202"/>
      <c r="J46" s="202"/>
    </row>
    <row r="47" spans="1:11" s="47" customFormat="1" ht="14.25" customHeight="1" x14ac:dyDescent="0.2">
      <c r="A47" s="60"/>
      <c r="B47" s="60"/>
      <c r="C47" s="60"/>
      <c r="D47" s="60"/>
      <c r="E47" s="60"/>
    </row>
    <row r="48" spans="1:11" ht="14.45" customHeight="1" x14ac:dyDescent="0.25">
      <c r="A48" s="143" t="s">
        <v>276</v>
      </c>
      <c r="B48" s="143"/>
      <c r="C48" s="143"/>
      <c r="D48" s="143"/>
      <c r="E48" s="143"/>
      <c r="F48" s="143"/>
      <c r="G48" s="143"/>
      <c r="H48" s="143"/>
      <c r="I48" s="143"/>
      <c r="J48" s="143"/>
    </row>
    <row r="50" spans="1:10" ht="14.45" customHeight="1" x14ac:dyDescent="0.25">
      <c r="A50" s="143" t="s">
        <v>30</v>
      </c>
      <c r="B50" s="143"/>
      <c r="C50" s="143"/>
      <c r="D50" s="143"/>
      <c r="E50" s="143"/>
      <c r="F50" s="143"/>
      <c r="G50" s="143"/>
      <c r="H50" s="143"/>
      <c r="I50" s="143"/>
      <c r="J50" s="143"/>
    </row>
    <row r="51" spans="1:10" x14ac:dyDescent="0.25">
      <c r="A51" s="143"/>
      <c r="B51" s="143"/>
      <c r="C51" s="143"/>
      <c r="D51" s="143"/>
      <c r="E51" s="143"/>
      <c r="F51" s="143"/>
      <c r="G51" s="143"/>
      <c r="H51" s="143"/>
      <c r="I51" s="143"/>
      <c r="J51" s="143"/>
    </row>
    <row r="52" spans="1:10" x14ac:dyDescent="0.25">
      <c r="A52" s="143"/>
      <c r="B52" s="143"/>
      <c r="C52" s="143"/>
      <c r="D52" s="143"/>
      <c r="E52" s="143"/>
      <c r="F52" s="143"/>
      <c r="G52" s="143"/>
      <c r="H52" s="143"/>
      <c r="I52" s="143"/>
      <c r="J52" s="143"/>
    </row>
    <row r="53" spans="1:10" x14ac:dyDescent="0.25">
      <c r="A53" s="143"/>
      <c r="B53" s="143"/>
      <c r="C53" s="143"/>
      <c r="D53" s="143"/>
      <c r="E53" s="143"/>
      <c r="F53" s="143"/>
      <c r="G53" s="143"/>
      <c r="H53" s="143"/>
      <c r="I53" s="143"/>
      <c r="J53" s="143"/>
    </row>
    <row r="54" spans="1:10" x14ac:dyDescent="0.25">
      <c r="A54" s="64"/>
      <c r="B54" s="64"/>
      <c r="C54" s="64"/>
      <c r="D54" s="64"/>
      <c r="E54" s="64"/>
      <c r="F54" s="64"/>
      <c r="G54" s="64"/>
      <c r="H54" s="64"/>
      <c r="I54" s="64"/>
      <c r="J54" s="64"/>
    </row>
    <row r="55" spans="1:10" x14ac:dyDescent="0.25">
      <c r="A55" s="64"/>
      <c r="B55" s="64"/>
      <c r="C55" s="64"/>
      <c r="D55" s="64"/>
      <c r="E55" s="64"/>
      <c r="F55" s="64"/>
      <c r="G55" s="64"/>
      <c r="H55" s="64"/>
      <c r="I55" s="64"/>
      <c r="J55" s="64"/>
    </row>
    <row r="56" spans="1:10" x14ac:dyDescent="0.25">
      <c r="A56" s="144" t="s">
        <v>28</v>
      </c>
      <c r="B56" s="144"/>
      <c r="C56" s="144"/>
      <c r="D56" s="144"/>
      <c r="E56" s="144"/>
      <c r="F56" s="144"/>
      <c r="G56" s="144"/>
      <c r="H56" s="144"/>
      <c r="I56" s="144"/>
      <c r="J56" s="144"/>
    </row>
    <row r="57" spans="1:10" x14ac:dyDescent="0.25">
      <c r="A57" s="74"/>
      <c r="B57" s="74"/>
      <c r="C57" s="74"/>
      <c r="D57" s="74"/>
      <c r="E57" s="74"/>
      <c r="F57" s="74"/>
      <c r="G57" s="74"/>
      <c r="H57" s="74"/>
      <c r="I57" s="74"/>
      <c r="J57" s="74"/>
    </row>
    <row r="58" spans="1:10" x14ac:dyDescent="0.25">
      <c r="A58" s="74"/>
      <c r="B58" s="74"/>
      <c r="C58" s="74"/>
      <c r="D58" s="74"/>
      <c r="E58" s="74"/>
      <c r="F58" s="74"/>
      <c r="G58" s="74"/>
      <c r="H58" s="74"/>
      <c r="I58" s="74"/>
      <c r="J58" s="74"/>
    </row>
    <row r="59" spans="1:10" x14ac:dyDescent="0.25">
      <c r="A59" s="74"/>
      <c r="B59" s="74"/>
      <c r="C59" s="74"/>
      <c r="D59" s="74"/>
      <c r="E59" s="74"/>
      <c r="F59" s="74"/>
      <c r="G59" s="74"/>
      <c r="H59" s="74"/>
      <c r="I59" s="74"/>
      <c r="J59" s="74"/>
    </row>
    <row r="60" spans="1:10" x14ac:dyDescent="0.25">
      <c r="A60" s="64"/>
      <c r="B60" s="64"/>
      <c r="C60" s="64"/>
      <c r="D60" s="64"/>
      <c r="E60" s="64"/>
      <c r="F60" s="64"/>
      <c r="G60" s="64"/>
      <c r="H60" s="64"/>
      <c r="I60" s="64"/>
      <c r="J60" s="64"/>
    </row>
    <row r="61" spans="1:10" x14ac:dyDescent="0.25">
      <c r="A61" s="64"/>
      <c r="B61" s="64"/>
      <c r="C61" s="64"/>
      <c r="D61" s="64"/>
      <c r="E61" s="64"/>
      <c r="F61" s="64"/>
      <c r="G61" s="64"/>
      <c r="H61" s="64"/>
      <c r="I61" s="75"/>
      <c r="J61" s="75"/>
    </row>
    <row r="62" spans="1:10" x14ac:dyDescent="0.25">
      <c r="A62" s="64"/>
      <c r="B62" s="64"/>
      <c r="C62" s="64"/>
      <c r="D62" s="64"/>
      <c r="E62" s="64"/>
      <c r="F62" s="64"/>
      <c r="G62" s="64"/>
      <c r="H62" s="64"/>
      <c r="I62" s="50" t="s">
        <v>31</v>
      </c>
      <c r="J62" s="47"/>
    </row>
    <row r="63" spans="1:10" x14ac:dyDescent="0.25">
      <c r="A63" s="64"/>
      <c r="B63" s="64"/>
      <c r="C63" s="64"/>
      <c r="D63" s="64"/>
      <c r="E63" s="64"/>
      <c r="F63" s="64"/>
      <c r="G63" s="64"/>
      <c r="H63" s="64"/>
      <c r="I63" s="50" t="s">
        <v>32</v>
      </c>
      <c r="J63" s="47"/>
    </row>
    <row r="64" spans="1:10" x14ac:dyDescent="0.25">
      <c r="A64" s="64"/>
      <c r="B64" s="64"/>
      <c r="C64" s="64"/>
      <c r="D64" s="64"/>
      <c r="E64" s="64"/>
      <c r="F64" s="64"/>
      <c r="G64" s="64"/>
      <c r="H64" s="64"/>
      <c r="I64" s="50" t="s">
        <v>33</v>
      </c>
      <c r="J64" s="47"/>
    </row>
  </sheetData>
  <mergeCells count="58">
    <mergeCell ref="H27:I27"/>
    <mergeCell ref="H28:I28"/>
    <mergeCell ref="H29:I29"/>
    <mergeCell ref="H30:I30"/>
    <mergeCell ref="H31:I31"/>
    <mergeCell ref="A56:J56"/>
    <mergeCell ref="A28:E28"/>
    <mergeCell ref="A29:E29"/>
    <mergeCell ref="A30:E30"/>
    <mergeCell ref="A31:E31"/>
    <mergeCell ref="A50:J53"/>
    <mergeCell ref="B35:D35"/>
    <mergeCell ref="B36:D36"/>
    <mergeCell ref="H32:I32"/>
    <mergeCell ref="H35:I35"/>
    <mergeCell ref="H33:I33"/>
    <mergeCell ref="H34:I34"/>
    <mergeCell ref="A42:J43"/>
    <mergeCell ref="A48:J48"/>
    <mergeCell ref="A45:J46"/>
    <mergeCell ref="A15:J15"/>
    <mergeCell ref="A24:E24"/>
    <mergeCell ref="A25:E25"/>
    <mergeCell ref="A26:E26"/>
    <mergeCell ref="A27:E27"/>
    <mergeCell ref="H16:I16"/>
    <mergeCell ref="H17:I17"/>
    <mergeCell ref="H18:I18"/>
    <mergeCell ref="H19:I19"/>
    <mergeCell ref="H20:I20"/>
    <mergeCell ref="H21:I21"/>
    <mergeCell ref="H22:I22"/>
    <mergeCell ref="H23:I23"/>
    <mergeCell ref="H24:I24"/>
    <mergeCell ref="H25:I25"/>
    <mergeCell ref="H26:I26"/>
    <mergeCell ref="A11:J11"/>
    <mergeCell ref="A12:J12"/>
    <mergeCell ref="A13:J13"/>
    <mergeCell ref="A14:E14"/>
    <mergeCell ref="H14:I14"/>
    <mergeCell ref="A9:B9"/>
    <mergeCell ref="C9:H9"/>
    <mergeCell ref="A10:B10"/>
    <mergeCell ref="C10:H10"/>
    <mergeCell ref="I10:J10"/>
    <mergeCell ref="A8:B8"/>
    <mergeCell ref="C8:H8"/>
    <mergeCell ref="A1:C1"/>
    <mergeCell ref="D1:H1"/>
    <mergeCell ref="I1:J1"/>
    <mergeCell ref="A2:J2"/>
    <mergeCell ref="A3:J3"/>
    <mergeCell ref="A4:J4"/>
    <mergeCell ref="A5:J5"/>
    <mergeCell ref="A6:J6"/>
    <mergeCell ref="A7:B7"/>
    <mergeCell ref="C7:H7"/>
  </mergeCells>
  <pageMargins left="0.25" right="0.25" top="0.75" bottom="0.75" header="0.3" footer="0.3"/>
  <pageSetup scale="69" orientation="portrait" horizontalDpi="360" verticalDpi="36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D8EF-6346-49B7-BB10-3D697F048EEC}">
  <sheetPr>
    <pageSetUpPr fitToPage="1"/>
  </sheetPr>
  <dimension ref="A1:V39"/>
  <sheetViews>
    <sheetView zoomScale="76" zoomScaleNormal="76" workbookViewId="0">
      <pane ySplit="9" topLeftCell="A10" activePane="bottomLeft" state="frozen"/>
      <selection pane="bottomLeft" activeCell="E9" sqref="E9:V9"/>
    </sheetView>
  </sheetViews>
  <sheetFormatPr defaultColWidth="9.140625" defaultRowHeight="15" x14ac:dyDescent="0.25"/>
  <cols>
    <col min="1" max="1" width="1.7109375" style="84" customWidth="1"/>
    <col min="2" max="2" width="50.42578125" style="84" bestFit="1" customWidth="1"/>
    <col min="3" max="3" width="1" style="84" customWidth="1"/>
    <col min="4" max="4" width="1.7109375" style="84" customWidth="1"/>
    <col min="5" max="5" width="18.140625" style="85" customWidth="1"/>
    <col min="6" max="6" width="1.7109375" style="85" customWidth="1"/>
    <col min="7" max="7" width="20.140625" style="85" bestFit="1" customWidth="1"/>
    <col min="8" max="8" width="1.7109375" style="85" customWidth="1"/>
    <col min="9" max="9" width="18.85546875" style="85" customWidth="1"/>
    <col min="10" max="10" width="1.7109375" style="85" customWidth="1"/>
    <col min="11" max="11" width="10.7109375" style="85" bestFit="1" customWidth="1"/>
    <col min="12" max="12" width="1.7109375" style="84" customWidth="1"/>
    <col min="13" max="13" width="11.140625" style="84" customWidth="1"/>
    <col min="14" max="14" width="1.7109375" style="84" customWidth="1"/>
    <col min="15" max="15" width="15.7109375" style="84" customWidth="1"/>
    <col min="16" max="16" width="1.7109375" style="84" customWidth="1"/>
    <col min="17" max="17" width="22.140625" style="84" customWidth="1"/>
    <col min="18" max="18" width="1.7109375" style="84" customWidth="1"/>
    <col min="19" max="19" width="20.42578125" style="84" customWidth="1"/>
    <col min="20" max="20" width="17.5703125" style="84" bestFit="1" customWidth="1"/>
    <col min="21" max="21" width="1.7109375" style="84" customWidth="1"/>
    <col min="22" max="22" width="16.28515625" style="84" bestFit="1" customWidth="1"/>
    <col min="23" max="16384" width="9.140625" style="84"/>
  </cols>
  <sheetData>
    <row r="1" spans="1:22" x14ac:dyDescent="0.25">
      <c r="A1" s="107" t="s">
        <v>340</v>
      </c>
      <c r="B1" s="107"/>
      <c r="C1" s="107"/>
      <c r="D1" s="107"/>
      <c r="E1" s="107"/>
      <c r="F1" s="107"/>
      <c r="G1" s="107"/>
      <c r="H1" s="107"/>
      <c r="I1" s="107"/>
      <c r="J1" s="107"/>
      <c r="K1" s="107"/>
      <c r="L1" s="107"/>
      <c r="M1" s="107"/>
      <c r="N1" s="107"/>
      <c r="O1" s="107"/>
      <c r="P1" s="107"/>
      <c r="Q1" s="107"/>
      <c r="R1" s="107"/>
      <c r="S1" s="107"/>
      <c r="T1" s="107"/>
      <c r="U1" s="107"/>
      <c r="V1" s="107"/>
    </row>
    <row r="2" spans="1:22" x14ac:dyDescent="0.25">
      <c r="A2" s="107" t="s">
        <v>339</v>
      </c>
      <c r="B2" s="107"/>
      <c r="C2" s="107"/>
      <c r="D2" s="107"/>
      <c r="E2" s="107"/>
      <c r="F2" s="107"/>
      <c r="G2" s="107"/>
      <c r="H2" s="107"/>
      <c r="I2" s="107"/>
      <c r="J2" s="107"/>
      <c r="K2" s="107"/>
      <c r="L2" s="107"/>
      <c r="M2" s="107"/>
      <c r="N2" s="107"/>
      <c r="O2" s="107"/>
      <c r="P2" s="107"/>
      <c r="Q2" s="107"/>
      <c r="R2" s="107"/>
      <c r="S2" s="107"/>
      <c r="T2" s="107"/>
      <c r="U2" s="107"/>
      <c r="V2" s="107"/>
    </row>
    <row r="3" spans="1:22" x14ac:dyDescent="0.25">
      <c r="A3" s="107" t="s">
        <v>338</v>
      </c>
      <c r="B3" s="107"/>
      <c r="C3" s="107"/>
      <c r="D3" s="107"/>
      <c r="E3" s="107"/>
      <c r="F3" s="107"/>
      <c r="G3" s="107"/>
      <c r="H3" s="107"/>
      <c r="I3" s="107"/>
      <c r="J3" s="107"/>
      <c r="K3" s="107"/>
      <c r="L3" s="107"/>
      <c r="M3" s="107"/>
      <c r="N3" s="107"/>
      <c r="O3" s="107"/>
      <c r="P3" s="107"/>
      <c r="Q3" s="107"/>
      <c r="R3" s="107"/>
      <c r="S3" s="107"/>
      <c r="T3" s="107"/>
      <c r="U3" s="107"/>
      <c r="V3" s="107"/>
    </row>
    <row r="4" spans="1:22" x14ac:dyDescent="0.25">
      <c r="A4" s="107" t="s">
        <v>345</v>
      </c>
      <c r="B4" s="107"/>
      <c r="C4" s="107"/>
      <c r="D4" s="107"/>
      <c r="E4" s="107"/>
      <c r="F4" s="107"/>
      <c r="G4" s="107"/>
      <c r="H4" s="107"/>
      <c r="I4" s="107"/>
      <c r="J4" s="107"/>
      <c r="K4" s="107"/>
      <c r="L4" s="107"/>
      <c r="M4" s="107"/>
      <c r="N4" s="107"/>
      <c r="O4" s="107"/>
      <c r="P4" s="107"/>
      <c r="Q4" s="107"/>
      <c r="R4" s="107"/>
      <c r="S4" s="107"/>
      <c r="T4" s="107"/>
      <c r="U4" s="107"/>
      <c r="V4" s="107"/>
    </row>
    <row r="5" spans="1:22" x14ac:dyDescent="0.25">
      <c r="A5" s="107" t="s">
        <v>336</v>
      </c>
      <c r="B5" s="107"/>
      <c r="C5" s="107"/>
      <c r="D5" s="107"/>
      <c r="E5" s="107"/>
      <c r="F5" s="107"/>
      <c r="G5" s="107"/>
      <c r="H5" s="107"/>
      <c r="I5" s="107"/>
      <c r="J5" s="107"/>
      <c r="K5" s="107"/>
      <c r="L5" s="107"/>
      <c r="M5" s="107"/>
      <c r="N5" s="107"/>
      <c r="O5" s="107"/>
      <c r="P5" s="107"/>
      <c r="Q5" s="107"/>
      <c r="R5" s="107"/>
      <c r="S5" s="107"/>
      <c r="T5" s="107"/>
      <c r="U5" s="107"/>
      <c r="V5" s="107"/>
    </row>
    <row r="6" spans="1:22" x14ac:dyDescent="0.25">
      <c r="A6" s="86"/>
      <c r="B6" s="86"/>
      <c r="C6" s="86"/>
      <c r="D6" s="86"/>
      <c r="E6" s="87"/>
      <c r="F6" s="87"/>
      <c r="G6" s="87"/>
      <c r="H6" s="87"/>
      <c r="I6" s="87"/>
      <c r="J6" s="87"/>
      <c r="K6" s="87"/>
      <c r="L6" s="86"/>
      <c r="M6" s="86"/>
      <c r="N6" s="86"/>
      <c r="O6" s="86"/>
      <c r="P6" s="86"/>
      <c r="Q6" s="86"/>
      <c r="R6" s="86"/>
      <c r="S6" s="86"/>
      <c r="T6" s="86"/>
      <c r="U6" s="86"/>
      <c r="V6" s="86"/>
    </row>
    <row r="7" spans="1:22" x14ac:dyDescent="0.25">
      <c r="A7" s="86"/>
      <c r="B7" s="86"/>
      <c r="C7" s="86"/>
      <c r="D7" s="86"/>
      <c r="E7" s="87"/>
      <c r="F7" s="87"/>
      <c r="G7" s="87"/>
      <c r="H7" s="87"/>
      <c r="I7" s="87"/>
      <c r="J7" s="91"/>
      <c r="K7" s="106" t="s">
        <v>335</v>
      </c>
      <c r="L7" s="106"/>
      <c r="M7" s="106"/>
      <c r="N7" s="106"/>
      <c r="O7" s="106"/>
      <c r="P7" s="106"/>
      <c r="Q7" s="106"/>
      <c r="R7" s="106"/>
      <c r="S7" s="106"/>
      <c r="T7" s="106"/>
      <c r="U7" s="86"/>
      <c r="V7" s="86"/>
    </row>
    <row r="8" spans="1:22" x14ac:dyDescent="0.25">
      <c r="A8" s="86"/>
      <c r="B8" s="86"/>
      <c r="C8" s="86"/>
      <c r="D8" s="86"/>
      <c r="E8" s="103" t="s">
        <v>334</v>
      </c>
      <c r="F8" s="104"/>
      <c r="G8" s="103" t="s">
        <v>333</v>
      </c>
      <c r="H8" s="104"/>
      <c r="I8" s="103" t="s">
        <v>332</v>
      </c>
      <c r="J8" s="105"/>
      <c r="K8" s="103" t="s">
        <v>331</v>
      </c>
      <c r="L8" s="86"/>
      <c r="M8" s="103" t="s">
        <v>330</v>
      </c>
      <c r="N8" s="104"/>
      <c r="O8" s="103" t="s">
        <v>329</v>
      </c>
      <c r="P8" s="104"/>
      <c r="Q8" s="103" t="s">
        <v>328</v>
      </c>
      <c r="R8" s="104"/>
      <c r="S8" s="103" t="s">
        <v>327</v>
      </c>
      <c r="T8" s="103" t="s">
        <v>326</v>
      </c>
      <c r="U8" s="104"/>
      <c r="V8" s="103" t="s">
        <v>325</v>
      </c>
    </row>
    <row r="9" spans="1:22" ht="120" x14ac:dyDescent="0.25">
      <c r="A9" s="94"/>
      <c r="B9" s="86"/>
      <c r="C9" s="86"/>
      <c r="D9" s="86"/>
      <c r="E9" s="95" t="s">
        <v>324</v>
      </c>
      <c r="F9" s="100"/>
      <c r="G9" s="95" t="s">
        <v>323</v>
      </c>
      <c r="H9" s="100"/>
      <c r="I9" s="102" t="s">
        <v>322</v>
      </c>
      <c r="J9" s="101"/>
      <c r="K9" s="95" t="s">
        <v>321</v>
      </c>
      <c r="L9" s="100"/>
      <c r="M9" s="95" t="s">
        <v>320</v>
      </c>
      <c r="N9" s="96"/>
      <c r="O9" s="95" t="s">
        <v>319</v>
      </c>
      <c r="P9" s="96"/>
      <c r="Q9" s="109" t="s">
        <v>318</v>
      </c>
      <c r="R9" s="96"/>
      <c r="S9" s="109" t="s">
        <v>344</v>
      </c>
      <c r="T9" s="109" t="s">
        <v>316</v>
      </c>
      <c r="U9" s="96"/>
      <c r="V9" s="95" t="s">
        <v>315</v>
      </c>
    </row>
    <row r="10" spans="1:22" x14ac:dyDescent="0.25">
      <c r="A10" s="86"/>
      <c r="B10" s="86"/>
      <c r="C10" s="86"/>
      <c r="D10" s="86"/>
      <c r="E10" s="87"/>
      <c r="F10" s="87"/>
      <c r="G10" s="87"/>
      <c r="H10" s="87"/>
      <c r="I10" s="87"/>
      <c r="J10" s="91"/>
      <c r="K10" s="87"/>
      <c r="L10" s="87"/>
      <c r="M10" s="87"/>
      <c r="N10" s="87"/>
      <c r="O10" s="87"/>
      <c r="P10" s="87"/>
      <c r="Q10" s="87"/>
      <c r="R10" s="87"/>
      <c r="S10" s="87"/>
      <c r="T10" s="87"/>
      <c r="U10" s="87"/>
      <c r="V10" s="87"/>
    </row>
    <row r="11" spans="1:22" x14ac:dyDescent="0.25">
      <c r="A11" s="94" t="s">
        <v>10</v>
      </c>
      <c r="B11" s="86"/>
      <c r="C11" s="86"/>
      <c r="D11" s="86"/>
      <c r="E11" s="87"/>
      <c r="F11" s="87"/>
      <c r="G11" s="87"/>
      <c r="H11" s="87"/>
      <c r="I11" s="87"/>
      <c r="J11" s="91"/>
      <c r="K11" s="87"/>
      <c r="L11" s="87"/>
      <c r="M11" s="87"/>
      <c r="N11" s="87"/>
      <c r="O11" s="87"/>
      <c r="P11" s="87"/>
      <c r="Q11" s="87"/>
      <c r="R11" s="87"/>
      <c r="S11" s="87"/>
      <c r="T11" s="87"/>
      <c r="U11" s="87"/>
      <c r="V11" s="87"/>
    </row>
    <row r="12" spans="1:22" x14ac:dyDescent="0.25">
      <c r="A12" s="86"/>
      <c r="B12" s="86" t="s">
        <v>314</v>
      </c>
      <c r="C12" s="86"/>
      <c r="D12" s="86"/>
      <c r="E12" s="92">
        <v>18207981.530000001</v>
      </c>
      <c r="F12" s="87"/>
      <c r="G12" s="92">
        <v>18682475.57</v>
      </c>
      <c r="H12" s="87"/>
      <c r="I12" s="85">
        <f t="shared" ref="I12:I17" si="0">G12-E12</f>
        <v>474494.03999999911</v>
      </c>
      <c r="J12" s="91"/>
      <c r="K12" s="87"/>
      <c r="L12" s="87"/>
      <c r="M12" s="87"/>
      <c r="N12" s="87"/>
      <c r="O12" s="87"/>
      <c r="P12" s="87"/>
      <c r="Q12" s="87">
        <v>474494.04000000004</v>
      </c>
      <c r="R12" s="87"/>
      <c r="S12" s="87"/>
      <c r="T12" s="87"/>
      <c r="U12" s="87"/>
      <c r="V12" s="85">
        <f t="shared" ref="V12:V28" si="1">SUM(K12:T12)</f>
        <v>474494.04000000004</v>
      </c>
    </row>
    <row r="13" spans="1:22" x14ac:dyDescent="0.25">
      <c r="A13" s="86"/>
      <c r="B13" s="86" t="s">
        <v>313</v>
      </c>
      <c r="C13" s="86"/>
      <c r="D13" s="86"/>
      <c r="E13" s="92">
        <v>0</v>
      </c>
      <c r="F13" s="87"/>
      <c r="G13" s="92">
        <v>0</v>
      </c>
      <c r="H13" s="87"/>
      <c r="I13" s="85">
        <f t="shared" si="0"/>
        <v>0</v>
      </c>
      <c r="J13" s="91"/>
      <c r="K13" s="87"/>
      <c r="L13" s="87"/>
      <c r="M13" s="87"/>
      <c r="N13" s="87"/>
      <c r="O13" s="87"/>
      <c r="P13" s="87"/>
      <c r="Q13" s="87"/>
      <c r="R13" s="87"/>
      <c r="S13" s="87"/>
      <c r="T13" s="87"/>
      <c r="U13" s="87"/>
      <c r="V13" s="85">
        <f t="shared" si="1"/>
        <v>0</v>
      </c>
    </row>
    <row r="14" spans="1:22" x14ac:dyDescent="0.25">
      <c r="A14" s="86"/>
      <c r="B14" s="86" t="s">
        <v>312</v>
      </c>
      <c r="C14" s="86"/>
      <c r="D14" s="86"/>
      <c r="E14" s="92"/>
      <c r="F14" s="87"/>
      <c r="G14" s="92"/>
      <c r="H14" s="87"/>
      <c r="I14" s="85">
        <f t="shared" si="0"/>
        <v>0</v>
      </c>
      <c r="J14" s="91"/>
      <c r="K14" s="87"/>
      <c r="L14" s="87"/>
      <c r="M14" s="87"/>
      <c r="N14" s="87"/>
      <c r="O14" s="87"/>
      <c r="P14" s="87"/>
      <c r="Q14" s="87"/>
      <c r="R14" s="87"/>
      <c r="S14" s="87"/>
      <c r="T14" s="87"/>
      <c r="U14" s="87"/>
      <c r="V14" s="85">
        <f t="shared" si="1"/>
        <v>0</v>
      </c>
    </row>
    <row r="15" spans="1:22" x14ac:dyDescent="0.25">
      <c r="A15" s="86"/>
      <c r="B15" s="86" t="s">
        <v>311</v>
      </c>
      <c r="C15" s="86"/>
      <c r="D15" s="86"/>
      <c r="E15" s="92">
        <v>1608024.93</v>
      </c>
      <c r="F15" s="87"/>
      <c r="G15" s="92">
        <v>1608024.93</v>
      </c>
      <c r="H15" s="87"/>
      <c r="I15" s="85">
        <f t="shared" si="0"/>
        <v>0</v>
      </c>
      <c r="J15" s="91"/>
      <c r="K15" s="87"/>
      <c r="L15" s="87"/>
      <c r="M15" s="87"/>
      <c r="N15" s="87"/>
      <c r="O15" s="87"/>
      <c r="P15" s="87"/>
      <c r="Q15" s="87"/>
      <c r="R15" s="87"/>
      <c r="S15" s="87"/>
      <c r="T15" s="87"/>
      <c r="U15" s="87"/>
      <c r="V15" s="85">
        <f t="shared" si="1"/>
        <v>0</v>
      </c>
    </row>
    <row r="16" spans="1:22" x14ac:dyDescent="0.25">
      <c r="A16" s="86"/>
      <c r="B16" s="86" t="s">
        <v>310</v>
      </c>
      <c r="C16" s="86"/>
      <c r="D16" s="86"/>
      <c r="E16" s="92">
        <v>570017726.48000002</v>
      </c>
      <c r="F16" s="87"/>
      <c r="G16" s="92">
        <v>514057708.53000003</v>
      </c>
      <c r="H16" s="87"/>
      <c r="I16" s="85">
        <f t="shared" si="0"/>
        <v>-55960017.949999988</v>
      </c>
      <c r="J16" s="91"/>
      <c r="K16" s="87"/>
      <c r="L16" s="87"/>
      <c r="M16" s="87"/>
      <c r="N16" s="87"/>
      <c r="O16" s="87"/>
      <c r="P16" s="87"/>
      <c r="Q16" s="87">
        <v>-55960017.950000003</v>
      </c>
      <c r="R16" s="87"/>
      <c r="S16" s="87"/>
      <c r="T16" s="87"/>
      <c r="U16" s="87"/>
      <c r="V16" s="85">
        <f t="shared" si="1"/>
        <v>-55960017.950000003</v>
      </c>
    </row>
    <row r="17" spans="1:22" x14ac:dyDescent="0.25">
      <c r="A17" s="86"/>
      <c r="B17" s="86" t="s">
        <v>309</v>
      </c>
      <c r="C17" s="86"/>
      <c r="D17" s="86"/>
      <c r="E17" s="92">
        <v>215657973.81</v>
      </c>
      <c r="F17" s="87"/>
      <c r="G17" s="92">
        <v>207642810.62</v>
      </c>
      <c r="H17" s="87"/>
      <c r="I17" s="85">
        <f t="shared" si="0"/>
        <v>-8015163.1899999976</v>
      </c>
      <c r="J17" s="91"/>
      <c r="K17" s="87"/>
      <c r="L17" s="87"/>
      <c r="M17" s="87"/>
      <c r="N17" s="87"/>
      <c r="O17" s="87"/>
      <c r="P17" s="87"/>
      <c r="Q17" s="87"/>
      <c r="R17" s="87"/>
      <c r="S17" s="87"/>
      <c r="T17" s="87">
        <v>-8015163.1900000004</v>
      </c>
      <c r="U17" s="87"/>
      <c r="V17" s="85">
        <f t="shared" si="1"/>
        <v>-8015163.1900000004</v>
      </c>
    </row>
    <row r="18" spans="1:22" x14ac:dyDescent="0.25">
      <c r="A18" s="94" t="s">
        <v>11</v>
      </c>
      <c r="B18" s="86"/>
      <c r="C18" s="86"/>
      <c r="D18" s="86"/>
      <c r="E18" s="87"/>
      <c r="F18" s="87"/>
      <c r="G18" s="87"/>
      <c r="H18" s="87"/>
      <c r="J18" s="91"/>
      <c r="K18" s="87"/>
      <c r="L18" s="87"/>
      <c r="M18" s="87"/>
      <c r="N18" s="87"/>
      <c r="O18" s="87"/>
      <c r="P18" s="87"/>
      <c r="Q18" s="87"/>
      <c r="R18" s="87"/>
      <c r="S18" s="87"/>
      <c r="T18" s="87"/>
      <c r="U18" s="87"/>
      <c r="V18" s="85">
        <f t="shared" si="1"/>
        <v>0</v>
      </c>
    </row>
    <row r="19" spans="1:22" x14ac:dyDescent="0.25">
      <c r="A19" s="86"/>
      <c r="B19" s="86" t="s">
        <v>308</v>
      </c>
      <c r="C19" s="86"/>
      <c r="D19" s="86"/>
      <c r="E19" s="92">
        <v>1140915.55</v>
      </c>
      <c r="F19" s="87"/>
      <c r="G19" s="87">
        <v>1140915.55</v>
      </c>
      <c r="H19" s="87"/>
      <c r="I19" s="85">
        <f>G19-E19</f>
        <v>0</v>
      </c>
      <c r="J19" s="91"/>
      <c r="K19" s="87"/>
      <c r="L19" s="87"/>
      <c r="M19" s="87"/>
      <c r="N19" s="87"/>
      <c r="O19" s="87"/>
      <c r="P19" s="87"/>
      <c r="Q19" s="87"/>
      <c r="R19" s="87"/>
      <c r="S19" s="87"/>
      <c r="T19" s="87"/>
      <c r="U19" s="87"/>
      <c r="V19" s="85">
        <f t="shared" si="1"/>
        <v>0</v>
      </c>
    </row>
    <row r="20" spans="1:22" x14ac:dyDescent="0.25">
      <c r="A20" s="86"/>
      <c r="B20" s="86" t="s">
        <v>307</v>
      </c>
      <c r="C20" s="86"/>
      <c r="D20" s="86"/>
      <c r="E20" s="92"/>
      <c r="F20" s="87"/>
      <c r="G20" s="87"/>
      <c r="H20" s="87"/>
      <c r="J20" s="91"/>
      <c r="K20" s="87"/>
      <c r="L20" s="87"/>
      <c r="M20" s="87"/>
      <c r="N20" s="87"/>
      <c r="O20" s="87"/>
      <c r="P20" s="87"/>
      <c r="Q20" s="87"/>
      <c r="R20" s="87"/>
      <c r="S20" s="87"/>
      <c r="T20" s="87"/>
      <c r="U20" s="87"/>
      <c r="V20" s="85">
        <f t="shared" si="1"/>
        <v>0</v>
      </c>
    </row>
    <row r="21" spans="1:22" x14ac:dyDescent="0.25">
      <c r="A21" s="86"/>
      <c r="B21" s="86" t="s">
        <v>306</v>
      </c>
      <c r="C21" s="86"/>
      <c r="D21" s="86"/>
      <c r="E21" s="92">
        <v>0</v>
      </c>
      <c r="F21" s="87"/>
      <c r="G21" s="87">
        <v>0</v>
      </c>
      <c r="H21" s="87"/>
      <c r="I21" s="85">
        <f>G21-E21</f>
        <v>0</v>
      </c>
      <c r="J21" s="91"/>
      <c r="K21" s="87"/>
      <c r="L21" s="87"/>
      <c r="M21" s="87"/>
      <c r="N21" s="87"/>
      <c r="O21" s="87"/>
      <c r="P21" s="87"/>
      <c r="Q21" s="87"/>
      <c r="R21" s="87"/>
      <c r="S21" s="87"/>
      <c r="T21" s="87"/>
      <c r="U21" s="87"/>
      <c r="V21" s="85">
        <f t="shared" si="1"/>
        <v>0</v>
      </c>
    </row>
    <row r="22" spans="1:22" x14ac:dyDescent="0.25">
      <c r="A22" s="86"/>
      <c r="B22" s="86" t="s">
        <v>305</v>
      </c>
      <c r="C22" s="86"/>
      <c r="D22" s="86"/>
      <c r="E22" s="92"/>
      <c r="F22" s="87"/>
      <c r="G22" s="87"/>
      <c r="H22" s="87"/>
      <c r="J22" s="91"/>
      <c r="K22" s="87"/>
      <c r="L22" s="87"/>
      <c r="M22" s="87"/>
      <c r="N22" s="87"/>
      <c r="O22" s="87"/>
      <c r="P22" s="87"/>
      <c r="Q22" s="87"/>
      <c r="R22" s="87"/>
      <c r="S22" s="87"/>
      <c r="T22" s="87"/>
      <c r="U22" s="87"/>
      <c r="V22" s="85">
        <f t="shared" si="1"/>
        <v>0</v>
      </c>
    </row>
    <row r="23" spans="1:22" x14ac:dyDescent="0.25">
      <c r="A23" s="86"/>
      <c r="B23" s="86" t="s">
        <v>304</v>
      </c>
      <c r="C23" s="86"/>
      <c r="D23" s="86"/>
      <c r="E23" s="92"/>
      <c r="F23" s="87"/>
      <c r="G23" s="87"/>
      <c r="H23" s="87"/>
      <c r="J23" s="91"/>
      <c r="K23" s="87"/>
      <c r="L23" s="87"/>
      <c r="M23" s="87"/>
      <c r="N23" s="87"/>
      <c r="O23" s="87"/>
      <c r="P23" s="87"/>
      <c r="Q23" s="87"/>
      <c r="R23" s="87"/>
      <c r="S23" s="87"/>
      <c r="T23" s="87"/>
      <c r="U23" s="87"/>
      <c r="V23" s="85">
        <f t="shared" si="1"/>
        <v>0</v>
      </c>
    </row>
    <row r="24" spans="1:22" x14ac:dyDescent="0.25">
      <c r="A24" s="86"/>
      <c r="B24" s="86" t="s">
        <v>303</v>
      </c>
      <c r="C24" s="86"/>
      <c r="D24" s="86"/>
      <c r="E24" s="92">
        <v>9717616</v>
      </c>
      <c r="F24" s="87"/>
      <c r="G24" s="87">
        <v>9654616</v>
      </c>
      <c r="H24" s="87"/>
      <c r="I24" s="85">
        <f>G24-E24</f>
        <v>-63000</v>
      </c>
      <c r="J24" s="91"/>
      <c r="K24" s="87"/>
      <c r="L24" s="87"/>
      <c r="M24" s="87"/>
      <c r="N24" s="87"/>
      <c r="O24" s="87"/>
      <c r="P24" s="87"/>
      <c r="Q24" s="87"/>
      <c r="R24" s="87"/>
      <c r="S24" s="87">
        <v>-63000</v>
      </c>
      <c r="T24" s="87"/>
      <c r="U24" s="87"/>
      <c r="V24" s="85">
        <f t="shared" si="1"/>
        <v>-63000</v>
      </c>
    </row>
    <row r="25" spans="1:22" x14ac:dyDescent="0.25">
      <c r="A25" s="86"/>
      <c r="B25" s="86" t="s">
        <v>14</v>
      </c>
      <c r="C25" s="86"/>
      <c r="D25" s="86"/>
      <c r="E25" s="92"/>
      <c r="F25" s="87"/>
      <c r="G25" s="87"/>
      <c r="H25" s="87"/>
      <c r="J25" s="91"/>
      <c r="K25" s="87"/>
      <c r="L25" s="87"/>
      <c r="M25" s="87"/>
      <c r="N25" s="87"/>
      <c r="O25" s="87"/>
      <c r="P25" s="87"/>
      <c r="Q25" s="87"/>
      <c r="R25" s="87"/>
      <c r="S25" s="87"/>
      <c r="T25" s="87"/>
      <c r="U25" s="87"/>
      <c r="V25" s="85">
        <f t="shared" si="1"/>
        <v>0</v>
      </c>
    </row>
    <row r="26" spans="1:22" ht="45" x14ac:dyDescent="0.25">
      <c r="A26" s="86"/>
      <c r="B26" s="93" t="s">
        <v>302</v>
      </c>
      <c r="C26" s="86"/>
      <c r="D26" s="86"/>
      <c r="E26" s="92">
        <v>41712.955943810033</v>
      </c>
      <c r="F26" s="87"/>
      <c r="G26" s="87">
        <v>41712.955943810033</v>
      </c>
      <c r="H26" s="87"/>
      <c r="I26" s="85">
        <f>G26-E26</f>
        <v>0</v>
      </c>
      <c r="J26" s="91"/>
      <c r="K26" s="87"/>
      <c r="L26" s="87"/>
      <c r="M26" s="87"/>
      <c r="N26" s="87"/>
      <c r="O26" s="87"/>
      <c r="P26" s="87"/>
      <c r="Q26" s="87"/>
      <c r="R26" s="87"/>
      <c r="S26" s="87"/>
      <c r="T26" s="87"/>
      <c r="U26" s="87"/>
      <c r="V26" s="85">
        <f t="shared" si="1"/>
        <v>0</v>
      </c>
    </row>
    <row r="27" spans="1:22" x14ac:dyDescent="0.25">
      <c r="A27" s="86"/>
      <c r="B27" s="86" t="s">
        <v>301</v>
      </c>
      <c r="C27" s="86"/>
      <c r="D27" s="86"/>
      <c r="E27" s="92"/>
      <c r="F27" s="87"/>
      <c r="G27" s="87"/>
      <c r="H27" s="87"/>
      <c r="J27" s="91"/>
      <c r="K27" s="87"/>
      <c r="L27" s="87"/>
      <c r="M27" s="87"/>
      <c r="N27" s="87"/>
      <c r="O27" s="87"/>
      <c r="P27" s="87"/>
      <c r="Q27" s="87"/>
      <c r="R27" s="87"/>
      <c r="S27" s="87"/>
      <c r="T27" s="87"/>
      <c r="U27" s="87"/>
      <c r="V27" s="85">
        <f t="shared" si="1"/>
        <v>0</v>
      </c>
    </row>
    <row r="28" spans="1:22" x14ac:dyDescent="0.25">
      <c r="A28" s="86"/>
      <c r="B28" s="86" t="s">
        <v>300</v>
      </c>
      <c r="C28" s="86"/>
      <c r="D28" s="86"/>
      <c r="E28" s="92"/>
      <c r="F28" s="87"/>
      <c r="G28" s="87"/>
      <c r="H28" s="87"/>
      <c r="I28" s="85">
        <f>G28-E28</f>
        <v>0</v>
      </c>
      <c r="J28" s="91"/>
      <c r="K28" s="87"/>
      <c r="L28" s="87"/>
      <c r="M28" s="87"/>
      <c r="N28" s="87"/>
      <c r="O28" s="87"/>
      <c r="P28" s="87"/>
      <c r="Q28" s="87"/>
      <c r="R28" s="87"/>
      <c r="S28" s="87"/>
      <c r="T28" s="87"/>
      <c r="U28" s="87"/>
      <c r="V28" s="85">
        <f t="shared" si="1"/>
        <v>0</v>
      </c>
    </row>
    <row r="29" spans="1:22" ht="15.75" thickBot="1" x14ac:dyDescent="0.3">
      <c r="A29" s="90" t="s">
        <v>12</v>
      </c>
      <c r="E29" s="88">
        <f>SUM(E12:E28)</f>
        <v>816391951.25594378</v>
      </c>
      <c r="G29" s="88">
        <f>SUM(G12:G28)</f>
        <v>752828264.15594387</v>
      </c>
      <c r="I29" s="88">
        <f>SUM(I12:I28)</f>
        <v>-63563687.099999987</v>
      </c>
      <c r="J29" s="89"/>
      <c r="K29" s="88">
        <f>SUM(K12:K28)</f>
        <v>0</v>
      </c>
      <c r="L29" s="85"/>
      <c r="M29" s="88">
        <f>SUM(M12:M28)</f>
        <v>0</v>
      </c>
      <c r="N29" s="85"/>
      <c r="O29" s="88">
        <f>SUM(O12:O28)</f>
        <v>0</v>
      </c>
      <c r="P29" s="85"/>
      <c r="Q29" s="88">
        <f>SUM(Q12:Q28)</f>
        <v>-55485523.910000004</v>
      </c>
      <c r="R29" s="85"/>
      <c r="S29" s="88">
        <f>SUM(S12:S28)</f>
        <v>-63000</v>
      </c>
      <c r="T29" s="88">
        <f>SUM(T12:T28)</f>
        <v>-8015163.1900000004</v>
      </c>
      <c r="U29" s="85"/>
      <c r="V29" s="88">
        <f>SUM(V12:V28)</f>
        <v>-63563687.100000001</v>
      </c>
    </row>
    <row r="30" spans="1:22" ht="15.75" thickTop="1" x14ac:dyDescent="0.25">
      <c r="A30" s="86"/>
      <c r="B30" s="86"/>
      <c r="C30" s="86"/>
      <c r="D30" s="86"/>
      <c r="E30" s="87"/>
      <c r="F30" s="87"/>
      <c r="G30" s="87"/>
      <c r="H30" s="87"/>
      <c r="I30" s="87"/>
      <c r="J30" s="87"/>
      <c r="K30" s="87"/>
      <c r="L30" s="87"/>
      <c r="M30" s="87"/>
      <c r="N30" s="87"/>
      <c r="O30" s="87"/>
      <c r="P30" s="87"/>
      <c r="Q30" s="87"/>
      <c r="R30" s="87"/>
      <c r="S30" s="87"/>
      <c r="T30" s="87"/>
      <c r="U30" s="87"/>
      <c r="V30" s="87"/>
    </row>
    <row r="31" spans="1:22" x14ac:dyDescent="0.25">
      <c r="A31" s="86"/>
      <c r="B31" s="86"/>
      <c r="C31" s="86"/>
      <c r="D31" s="86"/>
      <c r="E31" s="87"/>
      <c r="F31" s="87"/>
      <c r="G31" s="87"/>
      <c r="H31" s="87"/>
      <c r="I31" s="87"/>
      <c r="J31" s="87"/>
      <c r="K31" s="87"/>
      <c r="L31" s="86"/>
      <c r="M31" s="86"/>
      <c r="N31" s="86"/>
      <c r="O31" s="86"/>
      <c r="P31" s="86"/>
      <c r="Q31" s="86"/>
      <c r="R31" s="86"/>
      <c r="S31" s="86"/>
      <c r="T31" s="86"/>
      <c r="U31" s="86"/>
      <c r="V31" s="86"/>
    </row>
    <row r="32" spans="1:22" x14ac:dyDescent="0.25">
      <c r="A32" s="86" t="s">
        <v>299</v>
      </c>
      <c r="B32" s="86"/>
      <c r="C32" s="86"/>
      <c r="D32" s="86"/>
      <c r="E32" s="87"/>
      <c r="F32" s="87"/>
      <c r="G32" s="87"/>
      <c r="H32" s="87"/>
      <c r="I32" s="87"/>
      <c r="J32" s="87"/>
      <c r="K32" s="87"/>
      <c r="L32" s="86"/>
      <c r="M32" s="86"/>
      <c r="N32" s="86"/>
      <c r="O32" s="86"/>
      <c r="P32" s="86"/>
      <c r="Q32" s="86"/>
      <c r="R32" s="86"/>
      <c r="S32" s="86"/>
      <c r="T32" s="86"/>
      <c r="U32" s="86"/>
      <c r="V32" s="86"/>
    </row>
    <row r="33" spans="1:22" x14ac:dyDescent="0.25">
      <c r="A33" s="86" t="s">
        <v>298</v>
      </c>
      <c r="B33" s="86"/>
      <c r="C33" s="86" t="s">
        <v>297</v>
      </c>
      <c r="D33" s="86"/>
      <c r="E33" s="87"/>
      <c r="F33" s="87"/>
      <c r="G33" s="87"/>
      <c r="H33" s="87"/>
      <c r="I33" s="87"/>
      <c r="J33" s="87"/>
      <c r="K33" s="87"/>
      <c r="L33" s="86"/>
      <c r="M33" s="86"/>
      <c r="N33" s="86"/>
      <c r="O33" s="86"/>
      <c r="P33" s="86"/>
      <c r="Q33" s="86"/>
      <c r="R33" s="86"/>
      <c r="S33" s="86"/>
      <c r="T33" s="86"/>
      <c r="U33" s="86"/>
      <c r="V33" s="86"/>
    </row>
    <row r="34" spans="1:22" x14ac:dyDescent="0.25">
      <c r="A34" s="86" t="s">
        <v>296</v>
      </c>
      <c r="B34" s="86"/>
      <c r="C34" s="86" t="s">
        <v>295</v>
      </c>
      <c r="D34" s="86"/>
      <c r="E34" s="87"/>
      <c r="F34" s="87"/>
      <c r="G34" s="87"/>
      <c r="H34" s="87"/>
      <c r="I34" s="87"/>
      <c r="J34" s="87"/>
      <c r="K34" s="87"/>
      <c r="L34" s="86"/>
      <c r="M34" s="86"/>
      <c r="N34" s="86"/>
      <c r="O34" s="86"/>
      <c r="P34" s="86"/>
      <c r="Q34" s="86"/>
      <c r="R34" s="86"/>
      <c r="S34" s="86"/>
      <c r="T34" s="86"/>
      <c r="U34" s="86"/>
      <c r="V34" s="86"/>
    </row>
    <row r="35" spans="1:22" x14ac:dyDescent="0.25">
      <c r="A35" s="86" t="s">
        <v>294</v>
      </c>
      <c r="B35" s="86"/>
      <c r="C35" s="86" t="s">
        <v>293</v>
      </c>
      <c r="D35" s="86"/>
      <c r="E35" s="87"/>
      <c r="F35" s="87"/>
      <c r="G35" s="87"/>
      <c r="H35" s="87"/>
      <c r="I35" s="87"/>
      <c r="J35" s="87"/>
      <c r="K35" s="87"/>
      <c r="L35" s="86"/>
      <c r="M35" s="86"/>
      <c r="N35" s="86"/>
      <c r="O35" s="86"/>
      <c r="P35" s="86"/>
      <c r="Q35" s="86"/>
      <c r="R35" s="86"/>
      <c r="S35" s="86"/>
      <c r="T35" s="86"/>
      <c r="U35" s="86"/>
      <c r="V35" s="86"/>
    </row>
    <row r="36" spans="1:22" x14ac:dyDescent="0.25">
      <c r="A36" s="86"/>
      <c r="B36" s="86"/>
      <c r="C36" s="86" t="s">
        <v>292</v>
      </c>
      <c r="D36" s="86"/>
      <c r="E36" s="87"/>
      <c r="F36" s="87"/>
      <c r="G36" s="87"/>
      <c r="H36" s="87"/>
      <c r="I36" s="87"/>
      <c r="J36" s="87"/>
      <c r="K36" s="87"/>
      <c r="L36" s="86"/>
      <c r="M36" s="86"/>
      <c r="N36" s="86"/>
      <c r="O36" s="86"/>
      <c r="P36" s="86"/>
      <c r="Q36" s="86"/>
      <c r="R36" s="86"/>
      <c r="S36" s="86"/>
      <c r="T36" s="86"/>
      <c r="U36" s="86"/>
      <c r="V36" s="86"/>
    </row>
    <row r="37" spans="1:22" x14ac:dyDescent="0.25">
      <c r="A37" s="86" t="s">
        <v>291</v>
      </c>
      <c r="B37" s="86"/>
      <c r="C37" s="86" t="s">
        <v>290</v>
      </c>
      <c r="D37" s="86"/>
      <c r="E37" s="87"/>
      <c r="F37" s="87"/>
      <c r="G37" s="87"/>
      <c r="H37" s="87"/>
      <c r="I37" s="87"/>
      <c r="J37" s="87"/>
      <c r="K37" s="87"/>
      <c r="L37" s="86"/>
      <c r="M37" s="86"/>
      <c r="N37" s="86"/>
      <c r="O37" s="86"/>
      <c r="P37" s="86"/>
      <c r="Q37" s="86"/>
      <c r="R37" s="86"/>
      <c r="S37" s="86"/>
      <c r="T37" s="86"/>
      <c r="U37" s="86"/>
      <c r="V37" s="86"/>
    </row>
    <row r="38" spans="1:22" x14ac:dyDescent="0.25">
      <c r="A38" s="86" t="s">
        <v>289</v>
      </c>
      <c r="B38" s="86"/>
      <c r="C38" s="86" t="s">
        <v>288</v>
      </c>
      <c r="D38" s="86"/>
      <c r="E38" s="87"/>
      <c r="F38" s="87"/>
      <c r="G38" s="87"/>
      <c r="H38" s="87"/>
      <c r="I38" s="87"/>
      <c r="J38" s="87"/>
      <c r="K38" s="87"/>
      <c r="L38" s="86"/>
      <c r="M38" s="86"/>
      <c r="N38" s="86"/>
      <c r="O38" s="86"/>
      <c r="P38" s="86"/>
      <c r="Q38" s="86"/>
      <c r="R38" s="86"/>
      <c r="S38" s="86"/>
      <c r="T38" s="86"/>
      <c r="U38" s="86"/>
      <c r="V38" s="86"/>
    </row>
    <row r="39" spans="1:22" x14ac:dyDescent="0.25">
      <c r="A39" s="86"/>
      <c r="B39" s="86"/>
      <c r="C39" s="86"/>
      <c r="D39" s="86"/>
      <c r="E39" s="87"/>
      <c r="F39" s="87"/>
      <c r="G39" s="87"/>
      <c r="H39" s="87"/>
      <c r="I39" s="87"/>
      <c r="J39" s="87"/>
      <c r="K39" s="87"/>
      <c r="L39" s="86"/>
      <c r="M39" s="86"/>
      <c r="N39" s="86"/>
      <c r="O39" s="86"/>
      <c r="P39" s="86"/>
      <c r="Q39" s="86"/>
      <c r="R39" s="86"/>
      <c r="S39" s="86"/>
      <c r="T39" s="86"/>
      <c r="U39" s="86"/>
      <c r="V39" s="86"/>
    </row>
  </sheetData>
  <printOptions horizontalCentered="1"/>
  <pageMargins left="0" right="0" top="0.75" bottom="0.75" header="0.3" footer="0.3"/>
  <pageSetup scale="58" orientation="landscape" horizontalDpi="4294967295" verticalDpi="4294967295"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E1AB7-3B1E-40B9-837E-EC54FED0EF72}">
  <sheetPr>
    <pageSetUpPr fitToPage="1"/>
  </sheetPr>
  <dimension ref="A1:K60"/>
  <sheetViews>
    <sheetView zoomScale="96" zoomScaleNormal="96" workbookViewId="0">
      <pane ySplit="14" topLeftCell="A15" activePane="bottomLeft" state="frozen"/>
      <selection activeCell="O34" sqref="O34"/>
      <selection pane="bottomLeft" activeCell="N25" sqref="N25"/>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20.140625" customWidth="1"/>
    <col min="7" max="7" width="16.7109375" customWidth="1"/>
    <col min="8" max="8" width="6.7109375" customWidth="1"/>
    <col min="9" max="9" width="9.85546875" customWidth="1"/>
    <col min="10" max="10" width="22.140625" customWidth="1"/>
  </cols>
  <sheetData>
    <row r="1" spans="1:11" x14ac:dyDescent="0.25">
      <c r="A1" s="161"/>
      <c r="B1" s="161"/>
      <c r="C1" s="161"/>
      <c r="D1" s="161"/>
      <c r="E1" s="161"/>
      <c r="F1" s="161"/>
      <c r="G1" s="161"/>
      <c r="H1" s="161"/>
      <c r="I1" s="147" t="s">
        <v>233</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6" t="s">
        <v>121</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6" t="s">
        <v>122</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100000000000001" customHeight="1" x14ac:dyDescent="0.25">
      <c r="A16" s="39" t="s">
        <v>219</v>
      </c>
      <c r="B16" s="40"/>
      <c r="C16" s="40"/>
      <c r="D16" s="40"/>
      <c r="E16" s="40"/>
      <c r="F16" s="53">
        <v>9200788.3499999996</v>
      </c>
      <c r="G16" s="53">
        <v>13780455.880000001</v>
      </c>
      <c r="H16" s="148">
        <v>0</v>
      </c>
      <c r="I16" s="148"/>
      <c r="J16" s="53">
        <f>F16+G16-H16</f>
        <v>22981244.23</v>
      </c>
      <c r="K16" s="41"/>
    </row>
    <row r="17" spans="1:11" s="37" customFormat="1" x14ac:dyDescent="0.25">
      <c r="A17" s="39" t="s">
        <v>71</v>
      </c>
      <c r="B17" s="40"/>
      <c r="C17" s="40"/>
      <c r="D17" s="40"/>
      <c r="E17" s="40"/>
      <c r="F17" s="53"/>
      <c r="G17" s="53"/>
      <c r="H17" s="148"/>
      <c r="I17" s="148"/>
      <c r="J17" s="53">
        <f t="shared" ref="J17:J32" si="0">F17+G17-H17</f>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c r="G19" s="53"/>
      <c r="H19" s="148"/>
      <c r="I19" s="148"/>
      <c r="J19" s="53">
        <f t="shared" si="0"/>
        <v>0</v>
      </c>
      <c r="K19" s="41"/>
    </row>
    <row r="20" spans="1:11" s="37" customFormat="1" ht="17.100000000000001" customHeight="1" x14ac:dyDescent="0.25">
      <c r="A20" s="39" t="s">
        <v>220</v>
      </c>
      <c r="B20" s="40"/>
      <c r="C20" s="40"/>
      <c r="D20" s="40"/>
      <c r="E20" s="40"/>
      <c r="F20" s="53">
        <v>220396550.91</v>
      </c>
      <c r="G20" s="53">
        <v>116426959.06</v>
      </c>
      <c r="H20" s="148">
        <v>58815511.57</v>
      </c>
      <c r="I20" s="148"/>
      <c r="J20" s="53">
        <f t="shared" si="0"/>
        <v>278007998.40000004</v>
      </c>
      <c r="K20" s="41"/>
    </row>
    <row r="21" spans="1:11" s="37" customFormat="1" ht="17.100000000000001" customHeight="1" x14ac:dyDescent="0.25">
      <c r="A21" s="39" t="s">
        <v>221</v>
      </c>
      <c r="B21" s="40"/>
      <c r="C21" s="40"/>
      <c r="D21" s="40"/>
      <c r="E21" s="40"/>
      <c r="F21" s="53">
        <v>55102562.68</v>
      </c>
      <c r="G21" s="53">
        <v>61209865.780000001</v>
      </c>
      <c r="H21" s="148">
        <v>0</v>
      </c>
      <c r="I21" s="148"/>
      <c r="J21" s="53">
        <f t="shared" si="0"/>
        <v>116312428.46000001</v>
      </c>
      <c r="K21" s="41"/>
    </row>
    <row r="22" spans="1:11" s="37" customFormat="1" ht="14.25" x14ac:dyDescent="0.2">
      <c r="A22" s="42"/>
      <c r="B22" s="42"/>
      <c r="C22" s="42"/>
      <c r="D22" s="42"/>
      <c r="E22" s="42"/>
      <c r="F22" s="53"/>
      <c r="G22" s="53"/>
      <c r="H22" s="148"/>
      <c r="I22" s="148"/>
      <c r="J22" s="53">
        <f t="shared" si="0"/>
        <v>0</v>
      </c>
      <c r="K22" s="41"/>
    </row>
    <row r="23" spans="1:11" s="37" customFormat="1" x14ac:dyDescent="0.25">
      <c r="A23" s="40" t="s">
        <v>11</v>
      </c>
      <c r="B23" s="40"/>
      <c r="C23" s="40"/>
      <c r="D23" s="40"/>
      <c r="E23" s="40"/>
      <c r="F23" s="53"/>
      <c r="G23" s="53"/>
      <c r="H23" s="148"/>
      <c r="I23" s="148"/>
      <c r="J23" s="53">
        <f t="shared" si="0"/>
        <v>0</v>
      </c>
      <c r="K23" s="41"/>
    </row>
    <row r="24" spans="1:11" s="37" customFormat="1" ht="14.25" x14ac:dyDescent="0.2">
      <c r="A24" s="155" t="s">
        <v>73</v>
      </c>
      <c r="B24" s="155"/>
      <c r="C24" s="155"/>
      <c r="D24" s="155"/>
      <c r="E24" s="155"/>
      <c r="F24" s="53"/>
      <c r="G24" s="53"/>
      <c r="H24" s="148"/>
      <c r="I24" s="148"/>
      <c r="J24" s="53">
        <f t="shared" si="0"/>
        <v>0</v>
      </c>
      <c r="K24" s="41"/>
    </row>
    <row r="25" spans="1:11" s="37" customFormat="1" ht="14.25" x14ac:dyDescent="0.2">
      <c r="A25" s="155" t="s">
        <v>74</v>
      </c>
      <c r="B25" s="155"/>
      <c r="C25" s="155"/>
      <c r="D25" s="155"/>
      <c r="E25" s="155"/>
      <c r="F25" s="53"/>
      <c r="G25" s="53"/>
      <c r="H25" s="148"/>
      <c r="I25" s="148"/>
      <c r="J25" s="53">
        <f t="shared" si="0"/>
        <v>0</v>
      </c>
      <c r="K25" s="41"/>
    </row>
    <row r="26" spans="1:11" s="37" customFormat="1" ht="14.25" x14ac:dyDescent="0.2">
      <c r="A26" s="155" t="s">
        <v>75</v>
      </c>
      <c r="B26" s="155"/>
      <c r="C26" s="155"/>
      <c r="D26" s="155"/>
      <c r="E26" s="155"/>
      <c r="F26" s="53"/>
      <c r="G26" s="53"/>
      <c r="H26" s="148"/>
      <c r="I26" s="148"/>
      <c r="J26" s="53">
        <f t="shared" si="0"/>
        <v>0</v>
      </c>
      <c r="K26" s="41"/>
    </row>
    <row r="27" spans="1:11" s="37" customFormat="1" ht="14.25" x14ac:dyDescent="0.2">
      <c r="A27" s="155" t="s">
        <v>76</v>
      </c>
      <c r="B27" s="155"/>
      <c r="C27" s="155"/>
      <c r="D27" s="155"/>
      <c r="E27" s="155"/>
      <c r="F27" s="53"/>
      <c r="G27" s="53"/>
      <c r="H27" s="148"/>
      <c r="I27" s="148"/>
      <c r="J27" s="53">
        <f t="shared" si="0"/>
        <v>0</v>
      </c>
      <c r="K27" s="41"/>
    </row>
    <row r="28" spans="1:11" s="37" customFormat="1" ht="14.25" x14ac:dyDescent="0.2">
      <c r="A28" s="155" t="s">
        <v>77</v>
      </c>
      <c r="B28" s="155"/>
      <c r="C28" s="155"/>
      <c r="D28" s="155"/>
      <c r="E28" s="155"/>
      <c r="F28" s="53"/>
      <c r="G28" s="53"/>
      <c r="H28" s="148"/>
      <c r="I28" s="148"/>
      <c r="J28" s="53">
        <f t="shared" si="0"/>
        <v>0</v>
      </c>
      <c r="K28" s="41"/>
    </row>
    <row r="29" spans="1:11" s="37" customFormat="1" ht="14.25" x14ac:dyDescent="0.2">
      <c r="A29" s="155" t="s">
        <v>78</v>
      </c>
      <c r="B29" s="155"/>
      <c r="C29" s="155"/>
      <c r="D29" s="155"/>
      <c r="E29" s="155"/>
      <c r="F29" s="53">
        <v>83839.33</v>
      </c>
      <c r="G29" s="53">
        <v>55003</v>
      </c>
      <c r="H29" s="148"/>
      <c r="I29" s="148"/>
      <c r="J29" s="53">
        <f t="shared" si="0"/>
        <v>138842.33000000002</v>
      </c>
      <c r="K29" s="41"/>
    </row>
    <row r="30" spans="1:11" s="37" customFormat="1" ht="14.25" x14ac:dyDescent="0.2">
      <c r="A30" s="155" t="s">
        <v>79</v>
      </c>
      <c r="B30" s="155"/>
      <c r="C30" s="155"/>
      <c r="D30" s="155"/>
      <c r="E30" s="155"/>
      <c r="F30" s="53"/>
      <c r="G30" s="53"/>
      <c r="H30" s="148"/>
      <c r="I30" s="148"/>
      <c r="J30" s="53">
        <f t="shared" si="0"/>
        <v>0</v>
      </c>
      <c r="K30" s="41"/>
    </row>
    <row r="31" spans="1:11" s="37" customFormat="1" ht="29.1" customHeight="1" x14ac:dyDescent="0.2">
      <c r="A31" s="150" t="s">
        <v>80</v>
      </c>
      <c r="B31" s="150"/>
      <c r="C31" s="150"/>
      <c r="D31" s="150"/>
      <c r="E31" s="150"/>
      <c r="F31" s="53"/>
      <c r="G31" s="53"/>
      <c r="H31" s="148"/>
      <c r="I31" s="148"/>
      <c r="J31" s="53">
        <f t="shared" si="0"/>
        <v>0</v>
      </c>
      <c r="K31" s="41"/>
    </row>
    <row r="32" spans="1:11" s="37" customFormat="1" x14ac:dyDescent="0.25">
      <c r="A32" s="39" t="s">
        <v>81</v>
      </c>
      <c r="B32" s="40"/>
      <c r="C32" s="40"/>
      <c r="D32" s="40"/>
      <c r="E32" s="40"/>
      <c r="F32" s="53"/>
      <c r="G32" s="53"/>
      <c r="H32" s="148"/>
      <c r="I32" s="148"/>
      <c r="J32" s="53">
        <f t="shared" si="0"/>
        <v>0</v>
      </c>
      <c r="K32" s="41"/>
    </row>
    <row r="33" spans="1:11" s="37" customFormat="1" ht="14.25" x14ac:dyDescent="0.2">
      <c r="A33" s="6"/>
      <c r="B33" s="6"/>
      <c r="C33" s="6"/>
      <c r="D33" s="6"/>
      <c r="E33" s="6"/>
      <c r="F33" s="21"/>
      <c r="G33" s="21"/>
      <c r="H33" s="148"/>
      <c r="I33" s="148"/>
      <c r="J33" s="21"/>
      <c r="K33" s="41"/>
    </row>
    <row r="34" spans="1:11" s="37" customFormat="1" ht="15.75" customHeight="1" x14ac:dyDescent="0.2">
      <c r="A34" s="43"/>
      <c r="B34" s="43"/>
      <c r="C34" s="43"/>
      <c r="D34" s="43"/>
      <c r="E34" s="43"/>
      <c r="F34" s="44"/>
      <c r="G34" s="44"/>
      <c r="H34" s="148"/>
      <c r="I34" s="148"/>
      <c r="J34" s="44"/>
    </row>
    <row r="35" spans="1:11" s="37" customFormat="1" ht="46.5" customHeight="1" x14ac:dyDescent="0.2">
      <c r="A35" s="45" t="s">
        <v>3</v>
      </c>
      <c r="B35" s="140" t="s">
        <v>120</v>
      </c>
      <c r="C35" s="141"/>
      <c r="D35" s="141"/>
      <c r="F35" s="56">
        <f>SUM(F16:F34)</f>
        <v>284783741.26999998</v>
      </c>
      <c r="G35" s="56">
        <f>SUM(G16:G34)</f>
        <v>191472283.72</v>
      </c>
      <c r="H35" s="162">
        <f>SUM(H16:H34)</f>
        <v>58815511.57</v>
      </c>
      <c r="I35" s="162"/>
      <c r="J35" s="56">
        <f>SUM(J16:J34)</f>
        <v>417440513.42000002</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s="47" customFormat="1" ht="14.25" x14ac:dyDescent="0.2">
      <c r="A40" s="47" t="s">
        <v>36</v>
      </c>
      <c r="B40" s="48"/>
      <c r="C40" s="48"/>
      <c r="D40" s="48"/>
      <c r="E40" s="48"/>
    </row>
    <row r="41" spans="1:11" s="47" customFormat="1" ht="14.25" x14ac:dyDescent="0.2">
      <c r="B41" s="48"/>
      <c r="C41" s="48"/>
      <c r="D41" s="48"/>
      <c r="E41" s="48"/>
    </row>
    <row r="42" spans="1:11" s="47" customFormat="1" ht="14.25" x14ac:dyDescent="0.2">
      <c r="A42" s="143" t="s">
        <v>260</v>
      </c>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1"/>
      <c r="B44" s="61"/>
      <c r="C44" s="61"/>
      <c r="D44" s="61"/>
      <c r="E44" s="61"/>
      <c r="F44" s="61"/>
      <c r="G44" s="61"/>
      <c r="H44" s="61"/>
      <c r="I44" s="61"/>
      <c r="J44" s="61"/>
    </row>
    <row r="45" spans="1:11" ht="14.45" customHeight="1" x14ac:dyDescent="0.25">
      <c r="A45" s="143" t="s">
        <v>267</v>
      </c>
      <c r="B45" s="143"/>
      <c r="C45" s="143"/>
      <c r="D45" s="143"/>
      <c r="E45" s="143"/>
      <c r="F45" s="143"/>
      <c r="G45" s="143"/>
      <c r="H45" s="143"/>
      <c r="I45" s="143"/>
      <c r="J45" s="143"/>
    </row>
    <row r="46" spans="1:11" x14ac:dyDescent="0.25">
      <c r="A46" s="61"/>
      <c r="B46" s="61"/>
      <c r="C46" s="61"/>
      <c r="D46" s="61"/>
      <c r="E46" s="61"/>
      <c r="F46" s="61"/>
      <c r="G46" s="61"/>
      <c r="H46" s="61"/>
      <c r="I46" s="61"/>
      <c r="J46" s="61"/>
    </row>
    <row r="47" spans="1:11" x14ac:dyDescent="0.25">
      <c r="A47" s="143" t="s">
        <v>30</v>
      </c>
      <c r="B47" s="143"/>
      <c r="C47" s="143"/>
      <c r="D47" s="143"/>
      <c r="E47" s="143"/>
      <c r="F47" s="143"/>
      <c r="G47" s="143"/>
      <c r="H47" s="143"/>
      <c r="I47" s="143"/>
      <c r="J47" s="143"/>
    </row>
    <row r="48" spans="1:11" x14ac:dyDescent="0.25">
      <c r="A48" s="143"/>
      <c r="B48" s="143"/>
      <c r="C48" s="143"/>
      <c r="D48" s="143"/>
      <c r="E48" s="143"/>
      <c r="F48" s="143"/>
      <c r="G48" s="143"/>
      <c r="H48" s="143"/>
      <c r="I48" s="143"/>
      <c r="J48" s="143"/>
    </row>
    <row r="49" spans="1:10" x14ac:dyDescent="0.25">
      <c r="A49" s="143"/>
      <c r="B49" s="143"/>
      <c r="C49" s="143"/>
      <c r="D49" s="143"/>
      <c r="E49" s="143"/>
      <c r="F49" s="143"/>
      <c r="G49" s="143"/>
      <c r="H49" s="143"/>
      <c r="I49" s="143"/>
      <c r="J49" s="143"/>
    </row>
    <row r="50" spans="1:10" x14ac:dyDescent="0.25">
      <c r="A50" s="64"/>
      <c r="B50" s="64"/>
      <c r="C50" s="64"/>
      <c r="D50" s="64"/>
      <c r="E50" s="64"/>
      <c r="F50" s="64"/>
      <c r="G50" s="64"/>
      <c r="H50" s="64"/>
      <c r="I50" s="64"/>
      <c r="J50" s="64"/>
    </row>
    <row r="51" spans="1:10" x14ac:dyDescent="0.25">
      <c r="A51" s="64"/>
      <c r="B51" s="64"/>
      <c r="C51" s="64"/>
      <c r="D51" s="64"/>
      <c r="E51" s="64"/>
      <c r="F51" s="64"/>
      <c r="G51" s="64"/>
      <c r="H51" s="64"/>
      <c r="I51" s="64"/>
      <c r="J51" s="64"/>
    </row>
    <row r="52" spans="1:10" x14ac:dyDescent="0.25">
      <c r="A52" s="144" t="s">
        <v>28</v>
      </c>
      <c r="B52" s="144"/>
      <c r="C52" s="144"/>
      <c r="D52" s="144"/>
      <c r="E52" s="144"/>
      <c r="F52" s="144"/>
      <c r="G52" s="144"/>
      <c r="H52" s="144"/>
      <c r="I52" s="144"/>
      <c r="J52" s="144"/>
    </row>
    <row r="53" spans="1:10" x14ac:dyDescent="0.25">
      <c r="A53" s="74"/>
      <c r="B53" s="74"/>
      <c r="C53" s="74"/>
      <c r="D53" s="74"/>
      <c r="E53" s="74"/>
      <c r="F53" s="74"/>
      <c r="G53" s="74"/>
      <c r="H53" s="74"/>
      <c r="I53" s="74"/>
      <c r="J53" s="74"/>
    </row>
    <row r="54" spans="1:10" x14ac:dyDescent="0.25">
      <c r="A54" s="74"/>
      <c r="B54" s="74"/>
      <c r="C54" s="74"/>
      <c r="D54" s="74"/>
      <c r="E54" s="74"/>
      <c r="F54" s="74"/>
      <c r="G54" s="74"/>
      <c r="H54" s="74"/>
      <c r="I54" s="74"/>
      <c r="J54" s="74"/>
    </row>
    <row r="55" spans="1:10" x14ac:dyDescent="0.25">
      <c r="A55" s="74"/>
      <c r="B55" s="74"/>
      <c r="C55" s="74"/>
      <c r="D55" s="74"/>
      <c r="E55" s="74"/>
      <c r="F55" s="74"/>
      <c r="G55" s="74"/>
      <c r="H55" s="74"/>
      <c r="I55" s="74"/>
      <c r="J55" s="74"/>
    </row>
    <row r="56" spans="1:10" x14ac:dyDescent="0.25">
      <c r="A56" s="64"/>
      <c r="B56" s="64"/>
      <c r="C56" s="64"/>
      <c r="D56" s="64"/>
      <c r="E56" s="64"/>
      <c r="F56" s="64"/>
      <c r="G56" s="64"/>
      <c r="H56" s="64"/>
      <c r="I56" s="64"/>
      <c r="J56" s="64"/>
    </row>
    <row r="57" spans="1:10" x14ac:dyDescent="0.25">
      <c r="A57" s="64"/>
      <c r="B57" s="64"/>
      <c r="C57" s="64"/>
      <c r="D57" s="64"/>
      <c r="E57" s="64"/>
      <c r="F57" s="64"/>
      <c r="G57" s="64"/>
      <c r="H57" s="64"/>
      <c r="I57" s="75"/>
      <c r="J57" s="75"/>
    </row>
    <row r="58" spans="1:10" x14ac:dyDescent="0.25">
      <c r="A58" s="64"/>
      <c r="B58" s="64"/>
      <c r="C58" s="64"/>
      <c r="D58" s="64"/>
      <c r="E58" s="64"/>
      <c r="F58" s="64"/>
      <c r="G58" s="64"/>
      <c r="H58" s="64"/>
      <c r="I58" s="50" t="s">
        <v>31</v>
      </c>
      <c r="J58" s="47"/>
    </row>
    <row r="59" spans="1:10" x14ac:dyDescent="0.25">
      <c r="A59" s="64"/>
      <c r="B59" s="64"/>
      <c r="C59" s="64"/>
      <c r="D59" s="64"/>
      <c r="E59" s="64"/>
      <c r="F59" s="64"/>
      <c r="G59" s="64"/>
      <c r="H59" s="64"/>
      <c r="I59" s="50" t="s">
        <v>32</v>
      </c>
      <c r="J59" s="47"/>
    </row>
    <row r="60" spans="1:10" x14ac:dyDescent="0.25">
      <c r="A60" s="64"/>
      <c r="B60" s="64"/>
      <c r="C60" s="64"/>
      <c r="D60" s="64"/>
      <c r="E60" s="64"/>
      <c r="F60" s="64"/>
      <c r="G60" s="64"/>
      <c r="H60" s="64"/>
      <c r="I60" s="50" t="s">
        <v>33</v>
      </c>
      <c r="J60" s="47"/>
    </row>
  </sheetData>
  <mergeCells count="57">
    <mergeCell ref="H27:I27"/>
    <mergeCell ref="H28:I28"/>
    <mergeCell ref="H29:I29"/>
    <mergeCell ref="H30:I30"/>
    <mergeCell ref="H31:I31"/>
    <mergeCell ref="A47:J49"/>
    <mergeCell ref="A52:J52"/>
    <mergeCell ref="A28:E28"/>
    <mergeCell ref="A29:E29"/>
    <mergeCell ref="A30:E30"/>
    <mergeCell ref="A31:E31"/>
    <mergeCell ref="B35:D35"/>
    <mergeCell ref="B36:D36"/>
    <mergeCell ref="H32:I32"/>
    <mergeCell ref="H33:I33"/>
    <mergeCell ref="H34:I34"/>
    <mergeCell ref="H35:I35"/>
    <mergeCell ref="A42:J43"/>
    <mergeCell ref="A45:J45"/>
    <mergeCell ref="A15:J15"/>
    <mergeCell ref="A24:E24"/>
    <mergeCell ref="A25:E25"/>
    <mergeCell ref="A26:E26"/>
    <mergeCell ref="A27:E27"/>
    <mergeCell ref="H16:I16"/>
    <mergeCell ref="H17:I17"/>
    <mergeCell ref="H18:I18"/>
    <mergeCell ref="H19:I19"/>
    <mergeCell ref="H20:I20"/>
    <mergeCell ref="H21:I21"/>
    <mergeCell ref="H22:I22"/>
    <mergeCell ref="H23:I23"/>
    <mergeCell ref="H24:I24"/>
    <mergeCell ref="H25:I25"/>
    <mergeCell ref="H26:I26"/>
    <mergeCell ref="A11:J11"/>
    <mergeCell ref="A12:J12"/>
    <mergeCell ref="A13:J13"/>
    <mergeCell ref="A14:E14"/>
    <mergeCell ref="H14:I14"/>
    <mergeCell ref="A9:B9"/>
    <mergeCell ref="C9:H9"/>
    <mergeCell ref="A10:B10"/>
    <mergeCell ref="C10:H10"/>
    <mergeCell ref="I10:J10"/>
    <mergeCell ref="A8:B8"/>
    <mergeCell ref="C8:H8"/>
    <mergeCell ref="A1:C1"/>
    <mergeCell ref="D1:H1"/>
    <mergeCell ref="I1:J1"/>
    <mergeCell ref="A2:J2"/>
    <mergeCell ref="A3:J3"/>
    <mergeCell ref="A4:J4"/>
    <mergeCell ref="A5:J5"/>
    <mergeCell ref="A6:J6"/>
    <mergeCell ref="A7:B7"/>
    <mergeCell ref="C7:H7"/>
  </mergeCells>
  <pageMargins left="0.25" right="0.25" top="0.75" bottom="0.75" header="0.3" footer="0.3"/>
  <pageSetup scale="73" orientation="portrait" horizontalDpi="360" verticalDpi="36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BD80B-6695-4F1B-B5B4-2A2B7AA52A4E}">
  <sheetPr>
    <pageSetUpPr fitToPage="1"/>
  </sheetPr>
  <dimension ref="A1:V39"/>
  <sheetViews>
    <sheetView zoomScale="76" zoomScaleNormal="76" workbookViewId="0">
      <pane ySplit="9" topLeftCell="A10" activePane="bottomLeft" state="frozen"/>
      <selection pane="bottomLeft" activeCell="E16" sqref="E16"/>
    </sheetView>
  </sheetViews>
  <sheetFormatPr defaultColWidth="9.140625" defaultRowHeight="15" x14ac:dyDescent="0.25"/>
  <cols>
    <col min="1" max="1" width="1.7109375" style="84" customWidth="1"/>
    <col min="2" max="2" width="50.42578125" style="84" bestFit="1" customWidth="1"/>
    <col min="3" max="3" width="1" style="84" customWidth="1"/>
    <col min="4" max="4" width="1.7109375" style="84" customWidth="1"/>
    <col min="5" max="5" width="19.5703125" style="85" bestFit="1" customWidth="1"/>
    <col min="6" max="6" width="1.7109375" style="85" customWidth="1"/>
    <col min="7" max="7" width="20.140625" style="85" bestFit="1" customWidth="1"/>
    <col min="8" max="8" width="1.7109375" style="85" customWidth="1"/>
    <col min="9" max="9" width="15.7109375" style="85" bestFit="1" customWidth="1"/>
    <col min="10" max="10" width="1.7109375" style="85" customWidth="1"/>
    <col min="11" max="11" width="10.7109375" style="85" bestFit="1" customWidth="1"/>
    <col min="12" max="12" width="1.7109375" style="84" customWidth="1"/>
    <col min="13" max="13" width="11.140625" style="84" customWidth="1"/>
    <col min="14" max="14" width="1.7109375" style="84" customWidth="1"/>
    <col min="15" max="15" width="15.7109375" style="84" customWidth="1"/>
    <col min="16" max="16" width="1.7109375" style="84" customWidth="1"/>
    <col min="17" max="17" width="23.42578125" style="84" customWidth="1"/>
    <col min="18" max="18" width="1.7109375" style="84" customWidth="1"/>
    <col min="19" max="20" width="17.5703125" style="84" bestFit="1" customWidth="1"/>
    <col min="21" max="21" width="1.7109375" style="84" customWidth="1"/>
    <col min="22" max="22" width="16.28515625" style="84" bestFit="1" customWidth="1"/>
    <col min="23" max="16384" width="9.140625" style="84"/>
  </cols>
  <sheetData>
    <row r="1" spans="1:22" x14ac:dyDescent="0.25">
      <c r="A1" s="107" t="s">
        <v>340</v>
      </c>
      <c r="B1" s="107"/>
      <c r="C1" s="107"/>
      <c r="D1" s="107"/>
      <c r="E1" s="107"/>
      <c r="F1" s="107"/>
      <c r="G1" s="107"/>
      <c r="H1" s="107"/>
      <c r="I1" s="107"/>
      <c r="J1" s="107"/>
      <c r="K1" s="107"/>
      <c r="L1" s="107"/>
      <c r="M1" s="107"/>
      <c r="N1" s="107"/>
      <c r="O1" s="107"/>
      <c r="P1" s="107"/>
      <c r="Q1" s="107"/>
      <c r="R1" s="107"/>
      <c r="S1" s="107"/>
      <c r="T1" s="107"/>
      <c r="U1" s="107"/>
      <c r="V1" s="107"/>
    </row>
    <row r="2" spans="1:22" x14ac:dyDescent="0.25">
      <c r="A2" s="107" t="s">
        <v>339</v>
      </c>
      <c r="B2" s="107"/>
      <c r="C2" s="107"/>
      <c r="D2" s="107"/>
      <c r="E2" s="107"/>
      <c r="F2" s="107"/>
      <c r="G2" s="107"/>
      <c r="H2" s="107"/>
      <c r="I2" s="107"/>
      <c r="J2" s="107"/>
      <c r="K2" s="107"/>
      <c r="L2" s="107"/>
      <c r="M2" s="107"/>
      <c r="N2" s="107"/>
      <c r="O2" s="107"/>
      <c r="P2" s="107"/>
      <c r="Q2" s="107"/>
      <c r="R2" s="107"/>
      <c r="S2" s="107"/>
      <c r="T2" s="107"/>
      <c r="U2" s="107"/>
      <c r="V2" s="107"/>
    </row>
    <row r="3" spans="1:22" x14ac:dyDescent="0.25">
      <c r="A3" s="107" t="s">
        <v>338</v>
      </c>
      <c r="B3" s="107"/>
      <c r="C3" s="107"/>
      <c r="D3" s="107"/>
      <c r="E3" s="107"/>
      <c r="F3" s="107"/>
      <c r="G3" s="107"/>
      <c r="H3" s="107"/>
      <c r="I3" s="107"/>
      <c r="J3" s="107"/>
      <c r="K3" s="107"/>
      <c r="L3" s="107"/>
      <c r="M3" s="107"/>
      <c r="N3" s="107"/>
      <c r="O3" s="107"/>
      <c r="P3" s="107"/>
      <c r="Q3" s="107"/>
      <c r="R3" s="107"/>
      <c r="S3" s="107"/>
      <c r="T3" s="107"/>
      <c r="U3" s="107"/>
      <c r="V3" s="107"/>
    </row>
    <row r="4" spans="1:22" x14ac:dyDescent="0.25">
      <c r="A4" s="107" t="s">
        <v>346</v>
      </c>
      <c r="B4" s="107"/>
      <c r="C4" s="107"/>
      <c r="D4" s="107"/>
      <c r="E4" s="107"/>
      <c r="F4" s="107"/>
      <c r="G4" s="107"/>
      <c r="H4" s="107"/>
      <c r="I4" s="107"/>
      <c r="J4" s="107"/>
      <c r="K4" s="107"/>
      <c r="L4" s="107"/>
      <c r="M4" s="107"/>
      <c r="N4" s="107"/>
      <c r="O4" s="107"/>
      <c r="P4" s="107"/>
      <c r="Q4" s="107"/>
      <c r="R4" s="107"/>
      <c r="S4" s="107"/>
      <c r="T4" s="107"/>
      <c r="U4" s="107"/>
      <c r="V4" s="107"/>
    </row>
    <row r="5" spans="1:22" x14ac:dyDescent="0.25">
      <c r="A5" s="107" t="s">
        <v>336</v>
      </c>
      <c r="B5" s="107"/>
      <c r="C5" s="107"/>
      <c r="D5" s="107"/>
      <c r="E5" s="107"/>
      <c r="F5" s="107"/>
      <c r="G5" s="107"/>
      <c r="H5" s="107"/>
      <c r="I5" s="107"/>
      <c r="J5" s="107"/>
      <c r="K5" s="107"/>
      <c r="L5" s="107"/>
      <c r="M5" s="107"/>
      <c r="N5" s="107"/>
      <c r="O5" s="107"/>
      <c r="P5" s="107"/>
      <c r="Q5" s="107"/>
      <c r="R5" s="107"/>
      <c r="S5" s="107"/>
      <c r="T5" s="107"/>
      <c r="U5" s="107"/>
      <c r="V5" s="107"/>
    </row>
    <row r="6" spans="1:22" x14ac:dyDescent="0.25">
      <c r="A6" s="86"/>
      <c r="B6" s="86"/>
      <c r="C6" s="86"/>
      <c r="D6" s="86"/>
      <c r="E6" s="87"/>
      <c r="F6" s="87"/>
      <c r="G6" s="87"/>
      <c r="H6" s="87"/>
      <c r="I6" s="87"/>
      <c r="J6" s="87"/>
      <c r="K6" s="87"/>
      <c r="L6" s="86"/>
      <c r="M6" s="86"/>
      <c r="N6" s="86"/>
      <c r="O6" s="86"/>
      <c r="P6" s="86"/>
      <c r="Q6" s="86"/>
      <c r="R6" s="86"/>
      <c r="S6" s="86"/>
      <c r="T6" s="86"/>
      <c r="U6" s="86"/>
      <c r="V6" s="86"/>
    </row>
    <row r="7" spans="1:22" x14ac:dyDescent="0.25">
      <c r="A7" s="86"/>
      <c r="B7" s="86"/>
      <c r="C7" s="86"/>
      <c r="D7" s="86"/>
      <c r="E7" s="87"/>
      <c r="F7" s="87"/>
      <c r="G7" s="87"/>
      <c r="H7" s="87"/>
      <c r="I7" s="87"/>
      <c r="J7" s="91"/>
      <c r="K7" s="106" t="s">
        <v>335</v>
      </c>
      <c r="L7" s="106"/>
      <c r="M7" s="106"/>
      <c r="N7" s="106"/>
      <c r="O7" s="106"/>
      <c r="P7" s="106"/>
      <c r="Q7" s="106"/>
      <c r="R7" s="106"/>
      <c r="S7" s="106"/>
      <c r="T7" s="106"/>
      <c r="U7" s="86"/>
      <c r="V7" s="86"/>
    </row>
    <row r="8" spans="1:22" x14ac:dyDescent="0.25">
      <c r="A8" s="86"/>
      <c r="B8" s="86"/>
      <c r="C8" s="86"/>
      <c r="D8" s="86"/>
      <c r="E8" s="103" t="s">
        <v>334</v>
      </c>
      <c r="F8" s="104"/>
      <c r="G8" s="103" t="s">
        <v>333</v>
      </c>
      <c r="H8" s="104"/>
      <c r="I8" s="103" t="s">
        <v>332</v>
      </c>
      <c r="J8" s="105"/>
      <c r="K8" s="111" t="s">
        <v>331</v>
      </c>
      <c r="L8" s="113"/>
      <c r="M8" s="111" t="s">
        <v>330</v>
      </c>
      <c r="N8" s="112"/>
      <c r="O8" s="111" t="s">
        <v>329</v>
      </c>
      <c r="P8" s="112"/>
      <c r="Q8" s="111" t="s">
        <v>328</v>
      </c>
      <c r="R8" s="112"/>
      <c r="S8" s="111" t="s">
        <v>327</v>
      </c>
      <c r="T8" s="111" t="s">
        <v>326</v>
      </c>
      <c r="U8" s="104"/>
      <c r="V8" s="103" t="s">
        <v>325</v>
      </c>
    </row>
    <row r="9" spans="1:22" ht="120" x14ac:dyDescent="0.25">
      <c r="A9" s="94"/>
      <c r="B9" s="86"/>
      <c r="C9" s="86"/>
      <c r="D9" s="86"/>
      <c r="E9" s="95" t="s">
        <v>324</v>
      </c>
      <c r="F9" s="100"/>
      <c r="G9" s="95" t="s">
        <v>323</v>
      </c>
      <c r="H9" s="100"/>
      <c r="I9" s="102" t="s">
        <v>322</v>
      </c>
      <c r="J9" s="101"/>
      <c r="K9" s="95" t="s">
        <v>321</v>
      </c>
      <c r="L9" s="110"/>
      <c r="M9" s="95" t="s">
        <v>320</v>
      </c>
      <c r="N9" s="108"/>
      <c r="O9" s="95" t="s">
        <v>319</v>
      </c>
      <c r="P9" s="108"/>
      <c r="Q9" s="109" t="s">
        <v>318</v>
      </c>
      <c r="R9" s="108"/>
      <c r="S9" s="95" t="s">
        <v>342</v>
      </c>
      <c r="T9" s="109" t="s">
        <v>316</v>
      </c>
      <c r="U9" s="96"/>
      <c r="V9" s="95" t="s">
        <v>315</v>
      </c>
    </row>
    <row r="10" spans="1:22" x14ac:dyDescent="0.25">
      <c r="A10" s="86"/>
      <c r="B10" s="86"/>
      <c r="C10" s="86"/>
      <c r="D10" s="86"/>
      <c r="E10" s="87"/>
      <c r="F10" s="87"/>
      <c r="G10" s="87"/>
      <c r="H10" s="87"/>
      <c r="I10" s="87"/>
      <c r="J10" s="91"/>
      <c r="K10" s="87"/>
      <c r="L10" s="87"/>
      <c r="M10" s="87"/>
      <c r="N10" s="87"/>
      <c r="O10" s="87"/>
      <c r="P10" s="87"/>
      <c r="Q10" s="87"/>
      <c r="R10" s="87"/>
      <c r="S10" s="87"/>
      <c r="T10" s="87"/>
      <c r="U10" s="87"/>
      <c r="V10" s="87"/>
    </row>
    <row r="11" spans="1:22" x14ac:dyDescent="0.25">
      <c r="A11" s="94" t="s">
        <v>10</v>
      </c>
      <c r="B11" s="86"/>
      <c r="C11" s="86"/>
      <c r="D11" s="86"/>
      <c r="E11" s="87"/>
      <c r="F11" s="87"/>
      <c r="G11" s="87"/>
      <c r="H11" s="87"/>
      <c r="I11" s="87"/>
      <c r="J11" s="91"/>
      <c r="K11" s="87"/>
      <c r="L11" s="87"/>
      <c r="M11" s="87"/>
      <c r="N11" s="87"/>
      <c r="O11" s="87"/>
      <c r="P11" s="87"/>
      <c r="Q11" s="87"/>
      <c r="R11" s="87"/>
      <c r="S11" s="87"/>
      <c r="T11" s="87"/>
      <c r="U11" s="87"/>
      <c r="V11" s="87"/>
    </row>
    <row r="12" spans="1:22" x14ac:dyDescent="0.25">
      <c r="A12" s="86"/>
      <c r="B12" s="86" t="s">
        <v>314</v>
      </c>
      <c r="C12" s="86"/>
      <c r="D12" s="86"/>
      <c r="E12" s="92">
        <v>9200788.3499999996</v>
      </c>
      <c r="F12" s="87"/>
      <c r="G12" s="92">
        <v>9200788.3499999996</v>
      </c>
      <c r="H12" s="87"/>
      <c r="I12" s="85">
        <f t="shared" ref="I12:I17" si="0">G12-E12</f>
        <v>0</v>
      </c>
      <c r="J12" s="91"/>
      <c r="K12" s="87"/>
      <c r="L12" s="87"/>
      <c r="M12" s="87"/>
      <c r="N12" s="87"/>
      <c r="O12" s="87"/>
      <c r="P12" s="87"/>
      <c r="Q12" s="87"/>
      <c r="R12" s="87"/>
      <c r="S12" s="87"/>
      <c r="T12" s="87"/>
      <c r="U12" s="87"/>
      <c r="V12" s="85">
        <f t="shared" ref="V12:V28" si="1">SUM(K12:T12)</f>
        <v>0</v>
      </c>
    </row>
    <row r="13" spans="1:22" x14ac:dyDescent="0.25">
      <c r="A13" s="86"/>
      <c r="B13" s="86" t="s">
        <v>313</v>
      </c>
      <c r="C13" s="86"/>
      <c r="D13" s="86"/>
      <c r="E13" s="92">
        <v>0</v>
      </c>
      <c r="F13" s="87"/>
      <c r="G13" s="92">
        <v>0</v>
      </c>
      <c r="H13" s="87"/>
      <c r="I13" s="85">
        <f t="shared" si="0"/>
        <v>0</v>
      </c>
      <c r="J13" s="91"/>
      <c r="K13" s="87"/>
      <c r="L13" s="87"/>
      <c r="M13" s="87"/>
      <c r="N13" s="87"/>
      <c r="O13" s="87"/>
      <c r="P13" s="87"/>
      <c r="Q13" s="87"/>
      <c r="R13" s="87"/>
      <c r="S13" s="87"/>
      <c r="T13" s="87"/>
      <c r="U13" s="87"/>
      <c r="V13" s="85">
        <f t="shared" si="1"/>
        <v>0</v>
      </c>
    </row>
    <row r="14" spans="1:22" x14ac:dyDescent="0.25">
      <c r="A14" s="86"/>
      <c r="B14" s="86" t="s">
        <v>312</v>
      </c>
      <c r="C14" s="86"/>
      <c r="D14" s="86"/>
      <c r="E14" s="92"/>
      <c r="F14" s="87"/>
      <c r="G14" s="92"/>
      <c r="H14" s="87"/>
      <c r="I14" s="85">
        <f t="shared" si="0"/>
        <v>0</v>
      </c>
      <c r="J14" s="91"/>
      <c r="K14" s="87"/>
      <c r="L14" s="87"/>
      <c r="M14" s="87"/>
      <c r="N14" s="87"/>
      <c r="O14" s="87"/>
      <c r="P14" s="87"/>
      <c r="Q14" s="87"/>
      <c r="R14" s="87"/>
      <c r="S14" s="87"/>
      <c r="T14" s="87"/>
      <c r="U14" s="87"/>
      <c r="V14" s="85">
        <f t="shared" si="1"/>
        <v>0</v>
      </c>
    </row>
    <row r="15" spans="1:22" x14ac:dyDescent="0.25">
      <c r="A15" s="86"/>
      <c r="B15" s="86" t="s">
        <v>311</v>
      </c>
      <c r="C15" s="86"/>
      <c r="D15" s="86"/>
      <c r="E15" s="92">
        <v>0</v>
      </c>
      <c r="F15" s="87"/>
      <c r="G15" s="92">
        <v>0</v>
      </c>
      <c r="H15" s="87"/>
      <c r="I15" s="85">
        <f t="shared" si="0"/>
        <v>0</v>
      </c>
      <c r="J15" s="91"/>
      <c r="K15" s="87"/>
      <c r="L15" s="87"/>
      <c r="M15" s="87"/>
      <c r="N15" s="87"/>
      <c r="O15" s="87"/>
      <c r="P15" s="87"/>
      <c r="Q15" s="87"/>
      <c r="R15" s="87"/>
      <c r="S15" s="87"/>
      <c r="T15" s="87"/>
      <c r="U15" s="87"/>
      <c r="V15" s="85">
        <f t="shared" si="1"/>
        <v>0</v>
      </c>
    </row>
    <row r="16" spans="1:22" x14ac:dyDescent="0.25">
      <c r="A16" s="86"/>
      <c r="B16" s="86" t="s">
        <v>310</v>
      </c>
      <c r="C16" s="86"/>
      <c r="D16" s="86"/>
      <c r="E16" s="92">
        <v>207310553.34</v>
      </c>
      <c r="F16" s="87"/>
      <c r="G16" s="92">
        <v>220396550.91</v>
      </c>
      <c r="H16" s="87"/>
      <c r="I16" s="85">
        <f t="shared" si="0"/>
        <v>13085997.569999993</v>
      </c>
      <c r="J16" s="91"/>
      <c r="K16" s="87"/>
      <c r="L16" s="87"/>
      <c r="M16" s="87"/>
      <c r="N16" s="87"/>
      <c r="O16" s="87"/>
      <c r="P16" s="87"/>
      <c r="Q16" s="87">
        <v>-3005784.21</v>
      </c>
      <c r="R16" s="87"/>
      <c r="S16" s="87"/>
      <c r="T16" s="87">
        <v>16091781.779999999</v>
      </c>
      <c r="U16" s="87"/>
      <c r="V16" s="85">
        <f t="shared" si="1"/>
        <v>13085997.57</v>
      </c>
    </row>
    <row r="17" spans="1:22" x14ac:dyDescent="0.25">
      <c r="A17" s="86"/>
      <c r="B17" s="86" t="s">
        <v>309</v>
      </c>
      <c r="C17" s="86"/>
      <c r="D17" s="86"/>
      <c r="E17" s="92">
        <v>55102562.68</v>
      </c>
      <c r="F17" s="87"/>
      <c r="G17" s="92">
        <v>55102562.68</v>
      </c>
      <c r="H17" s="87"/>
      <c r="I17" s="85">
        <f t="shared" si="0"/>
        <v>0</v>
      </c>
      <c r="J17" s="91"/>
      <c r="K17" s="87"/>
      <c r="L17" s="87"/>
      <c r="M17" s="87"/>
      <c r="N17" s="87"/>
      <c r="O17" s="87"/>
      <c r="P17" s="87"/>
      <c r="Q17" s="87"/>
      <c r="R17" s="87"/>
      <c r="S17" s="87"/>
      <c r="T17" s="87"/>
      <c r="U17" s="87"/>
      <c r="V17" s="85">
        <f t="shared" si="1"/>
        <v>0</v>
      </c>
    </row>
    <row r="18" spans="1:22" x14ac:dyDescent="0.25">
      <c r="A18" s="94" t="s">
        <v>11</v>
      </c>
      <c r="B18" s="86"/>
      <c r="C18" s="86"/>
      <c r="D18" s="86"/>
      <c r="E18" s="87"/>
      <c r="F18" s="87"/>
      <c r="G18" s="87"/>
      <c r="H18" s="87"/>
      <c r="J18" s="91"/>
      <c r="K18" s="87"/>
      <c r="L18" s="87"/>
      <c r="M18" s="87"/>
      <c r="N18" s="87"/>
      <c r="O18" s="87"/>
      <c r="P18" s="87"/>
      <c r="Q18" s="87"/>
      <c r="R18" s="87"/>
      <c r="S18" s="87"/>
      <c r="T18" s="87"/>
      <c r="U18" s="87"/>
      <c r="V18" s="85">
        <f t="shared" si="1"/>
        <v>0</v>
      </c>
    </row>
    <row r="19" spans="1:22" x14ac:dyDescent="0.25">
      <c r="A19" s="86"/>
      <c r="B19" s="86" t="s">
        <v>308</v>
      </c>
      <c r="C19" s="86"/>
      <c r="D19" s="86"/>
      <c r="E19" s="92">
        <v>0</v>
      </c>
      <c r="F19" s="87"/>
      <c r="G19" s="87">
        <v>0</v>
      </c>
      <c r="H19" s="87"/>
      <c r="I19" s="85">
        <f>G19-E19</f>
        <v>0</v>
      </c>
      <c r="J19" s="91"/>
      <c r="K19" s="87"/>
      <c r="L19" s="87"/>
      <c r="M19" s="87"/>
      <c r="N19" s="87"/>
      <c r="O19" s="87"/>
      <c r="P19" s="87"/>
      <c r="Q19" s="87"/>
      <c r="R19" s="87"/>
      <c r="S19" s="87"/>
      <c r="T19" s="87"/>
      <c r="U19" s="87"/>
      <c r="V19" s="85">
        <f t="shared" si="1"/>
        <v>0</v>
      </c>
    </row>
    <row r="20" spans="1:22" x14ac:dyDescent="0.25">
      <c r="A20" s="86"/>
      <c r="B20" s="86" t="s">
        <v>307</v>
      </c>
      <c r="C20" s="86"/>
      <c r="D20" s="86"/>
      <c r="E20" s="92"/>
      <c r="F20" s="87"/>
      <c r="G20" s="87"/>
      <c r="H20" s="87"/>
      <c r="J20" s="91"/>
      <c r="K20" s="87"/>
      <c r="L20" s="87"/>
      <c r="M20" s="87"/>
      <c r="N20" s="87"/>
      <c r="O20" s="87"/>
      <c r="P20" s="87"/>
      <c r="Q20" s="87"/>
      <c r="R20" s="87"/>
      <c r="S20" s="87"/>
      <c r="T20" s="87"/>
      <c r="U20" s="87"/>
      <c r="V20" s="85">
        <f t="shared" si="1"/>
        <v>0</v>
      </c>
    </row>
    <row r="21" spans="1:22" x14ac:dyDescent="0.25">
      <c r="A21" s="86"/>
      <c r="B21" s="86" t="s">
        <v>306</v>
      </c>
      <c r="C21" s="86"/>
      <c r="D21" s="86"/>
      <c r="E21" s="92">
        <v>0</v>
      </c>
      <c r="F21" s="87"/>
      <c r="G21" s="87">
        <v>0</v>
      </c>
      <c r="H21" s="87"/>
      <c r="I21" s="85">
        <f>G21-E21</f>
        <v>0</v>
      </c>
      <c r="J21" s="91"/>
      <c r="K21" s="87"/>
      <c r="L21" s="87"/>
      <c r="M21" s="87"/>
      <c r="N21" s="87"/>
      <c r="O21" s="87"/>
      <c r="P21" s="87"/>
      <c r="Q21" s="87"/>
      <c r="R21" s="87"/>
      <c r="S21" s="87"/>
      <c r="T21" s="87"/>
      <c r="U21" s="87"/>
      <c r="V21" s="85">
        <f t="shared" si="1"/>
        <v>0</v>
      </c>
    </row>
    <row r="22" spans="1:22" x14ac:dyDescent="0.25">
      <c r="A22" s="86"/>
      <c r="B22" s="86" t="s">
        <v>305</v>
      </c>
      <c r="C22" s="86"/>
      <c r="D22" s="86"/>
      <c r="E22" s="92"/>
      <c r="F22" s="87"/>
      <c r="G22" s="87"/>
      <c r="H22" s="87"/>
      <c r="J22" s="91"/>
      <c r="K22" s="87"/>
      <c r="L22" s="87"/>
      <c r="M22" s="87"/>
      <c r="N22" s="87"/>
      <c r="O22" s="87"/>
      <c r="P22" s="87"/>
      <c r="Q22" s="87"/>
      <c r="R22" s="87"/>
      <c r="S22" s="87"/>
      <c r="T22" s="87"/>
      <c r="U22" s="87"/>
      <c r="V22" s="85">
        <f t="shared" si="1"/>
        <v>0</v>
      </c>
    </row>
    <row r="23" spans="1:22" x14ac:dyDescent="0.25">
      <c r="A23" s="86"/>
      <c r="B23" s="86" t="s">
        <v>304</v>
      </c>
      <c r="C23" s="86"/>
      <c r="D23" s="86"/>
      <c r="E23" s="92"/>
      <c r="F23" s="87"/>
      <c r="G23" s="87"/>
      <c r="H23" s="87"/>
      <c r="J23" s="91"/>
      <c r="K23" s="87"/>
      <c r="L23" s="87"/>
      <c r="M23" s="87"/>
      <c r="N23" s="87"/>
      <c r="O23" s="87"/>
      <c r="P23" s="87"/>
      <c r="Q23" s="87"/>
      <c r="R23" s="87"/>
      <c r="S23" s="87"/>
      <c r="T23" s="87"/>
      <c r="U23" s="87"/>
      <c r="V23" s="85">
        <f t="shared" si="1"/>
        <v>0</v>
      </c>
    </row>
    <row r="24" spans="1:22" x14ac:dyDescent="0.25">
      <c r="A24" s="86"/>
      <c r="B24" s="86" t="s">
        <v>303</v>
      </c>
      <c r="C24" s="86"/>
      <c r="D24" s="86"/>
      <c r="E24" s="92">
        <v>83839.33</v>
      </c>
      <c r="F24" s="87"/>
      <c r="G24" s="87">
        <v>83839.33</v>
      </c>
      <c r="H24" s="87"/>
      <c r="I24" s="85">
        <f>G24-E24</f>
        <v>0</v>
      </c>
      <c r="J24" s="91"/>
      <c r="K24" s="87"/>
      <c r="L24" s="87"/>
      <c r="M24" s="87"/>
      <c r="N24" s="87"/>
      <c r="O24" s="87"/>
      <c r="P24" s="87"/>
      <c r="Q24" s="87"/>
      <c r="R24" s="87"/>
      <c r="S24" s="87"/>
      <c r="T24" s="87"/>
      <c r="U24" s="87"/>
      <c r="V24" s="85">
        <f t="shared" si="1"/>
        <v>0</v>
      </c>
    </row>
    <row r="25" spans="1:22" x14ac:dyDescent="0.25">
      <c r="A25" s="86"/>
      <c r="B25" s="86" t="s">
        <v>14</v>
      </c>
      <c r="C25" s="86"/>
      <c r="D25" s="86"/>
      <c r="E25" s="92"/>
      <c r="F25" s="87"/>
      <c r="G25" s="87"/>
      <c r="H25" s="87"/>
      <c r="J25" s="91"/>
      <c r="K25" s="87"/>
      <c r="L25" s="87"/>
      <c r="M25" s="87"/>
      <c r="N25" s="87"/>
      <c r="O25" s="87"/>
      <c r="P25" s="87"/>
      <c r="Q25" s="87"/>
      <c r="R25" s="87"/>
      <c r="S25" s="87"/>
      <c r="T25" s="87"/>
      <c r="U25" s="87"/>
      <c r="V25" s="85">
        <f t="shared" si="1"/>
        <v>0</v>
      </c>
    </row>
    <row r="26" spans="1:22" ht="45" x14ac:dyDescent="0.25">
      <c r="A26" s="86"/>
      <c r="B26" s="93" t="s">
        <v>302</v>
      </c>
      <c r="C26" s="86"/>
      <c r="D26" s="86"/>
      <c r="E26" s="92">
        <v>0</v>
      </c>
      <c r="F26" s="87"/>
      <c r="G26" s="87">
        <v>0</v>
      </c>
      <c r="H26" s="87"/>
      <c r="I26" s="85">
        <f>G26-E26</f>
        <v>0</v>
      </c>
      <c r="J26" s="91"/>
      <c r="K26" s="87"/>
      <c r="L26" s="87"/>
      <c r="M26" s="87"/>
      <c r="N26" s="87"/>
      <c r="O26" s="87"/>
      <c r="P26" s="87"/>
      <c r="Q26" s="87"/>
      <c r="R26" s="87"/>
      <c r="S26" s="87"/>
      <c r="T26" s="87"/>
      <c r="U26" s="87"/>
      <c r="V26" s="85">
        <f t="shared" si="1"/>
        <v>0</v>
      </c>
    </row>
    <row r="27" spans="1:22" x14ac:dyDescent="0.25">
      <c r="A27" s="86"/>
      <c r="B27" s="86" t="s">
        <v>301</v>
      </c>
      <c r="C27" s="86"/>
      <c r="D27" s="86"/>
      <c r="E27" s="92"/>
      <c r="F27" s="87"/>
      <c r="G27" s="87"/>
      <c r="H27" s="87"/>
      <c r="J27" s="91"/>
      <c r="K27" s="87"/>
      <c r="L27" s="87"/>
      <c r="M27" s="87"/>
      <c r="N27" s="87"/>
      <c r="O27" s="87"/>
      <c r="P27" s="87"/>
      <c r="Q27" s="87"/>
      <c r="R27" s="87"/>
      <c r="S27" s="87"/>
      <c r="T27" s="87"/>
      <c r="U27" s="87"/>
      <c r="V27" s="85">
        <f t="shared" si="1"/>
        <v>0</v>
      </c>
    </row>
    <row r="28" spans="1:22" x14ac:dyDescent="0.25">
      <c r="A28" s="86"/>
      <c r="B28" s="86" t="s">
        <v>300</v>
      </c>
      <c r="C28" s="86"/>
      <c r="D28" s="86"/>
      <c r="E28" s="92"/>
      <c r="F28" s="87"/>
      <c r="G28" s="87"/>
      <c r="H28" s="87"/>
      <c r="I28" s="85">
        <f>G28-E28</f>
        <v>0</v>
      </c>
      <c r="J28" s="91"/>
      <c r="K28" s="87"/>
      <c r="L28" s="87"/>
      <c r="M28" s="87"/>
      <c r="N28" s="87"/>
      <c r="O28" s="87"/>
      <c r="P28" s="87"/>
      <c r="Q28" s="87"/>
      <c r="R28" s="87"/>
      <c r="S28" s="87"/>
      <c r="T28" s="87"/>
      <c r="U28" s="87"/>
      <c r="V28" s="85">
        <f t="shared" si="1"/>
        <v>0</v>
      </c>
    </row>
    <row r="29" spans="1:22" ht="15.75" thickBot="1" x14ac:dyDescent="0.3">
      <c r="A29" s="90" t="s">
        <v>12</v>
      </c>
      <c r="E29" s="88">
        <f>SUM(E12:E28)</f>
        <v>271697743.69999999</v>
      </c>
      <c r="G29" s="88">
        <f>SUM(G12:G28)</f>
        <v>284783741.26999998</v>
      </c>
      <c r="I29" s="88">
        <f>SUM(I12:I28)</f>
        <v>13085997.569999993</v>
      </c>
      <c r="J29" s="89"/>
      <c r="K29" s="88">
        <f>SUM(K12:K28)</f>
        <v>0</v>
      </c>
      <c r="L29" s="85"/>
      <c r="M29" s="88">
        <f>SUM(M12:M28)</f>
        <v>0</v>
      </c>
      <c r="N29" s="85"/>
      <c r="O29" s="88">
        <f>SUM(O12:O28)</f>
        <v>0</v>
      </c>
      <c r="P29" s="85"/>
      <c r="Q29" s="88">
        <f>SUM(Q12:Q28)</f>
        <v>-3005784.21</v>
      </c>
      <c r="R29" s="85"/>
      <c r="S29" s="88">
        <f>SUM(S12:S28)</f>
        <v>0</v>
      </c>
      <c r="T29" s="88">
        <f>SUM(T12:T28)</f>
        <v>16091781.779999999</v>
      </c>
      <c r="U29" s="85"/>
      <c r="V29" s="88">
        <f>SUM(V12:V28)</f>
        <v>13085997.57</v>
      </c>
    </row>
    <row r="30" spans="1:22" ht="15.75" thickTop="1" x14ac:dyDescent="0.25">
      <c r="A30" s="86"/>
      <c r="B30" s="86"/>
      <c r="C30" s="86"/>
      <c r="D30" s="86"/>
      <c r="E30" s="87"/>
      <c r="F30" s="87"/>
      <c r="G30" s="87"/>
      <c r="H30" s="87"/>
      <c r="I30" s="87"/>
      <c r="J30" s="87"/>
      <c r="K30" s="87"/>
      <c r="L30" s="87"/>
      <c r="M30" s="87"/>
      <c r="N30" s="87"/>
      <c r="O30" s="87"/>
      <c r="P30" s="87"/>
      <c r="Q30" s="87"/>
      <c r="R30" s="87"/>
      <c r="S30" s="87"/>
      <c r="T30" s="87"/>
      <c r="U30" s="87"/>
      <c r="V30" s="87"/>
    </row>
    <row r="31" spans="1:22" x14ac:dyDescent="0.25">
      <c r="A31" s="86"/>
      <c r="B31" s="86"/>
      <c r="C31" s="86"/>
      <c r="D31" s="86"/>
      <c r="E31" s="87"/>
      <c r="F31" s="87"/>
      <c r="G31" s="87"/>
      <c r="H31" s="87"/>
      <c r="I31" s="87"/>
      <c r="J31" s="87"/>
      <c r="K31" s="87"/>
      <c r="L31" s="86"/>
      <c r="M31" s="86"/>
      <c r="N31" s="86"/>
      <c r="O31" s="86"/>
      <c r="P31" s="86"/>
      <c r="Q31" s="86"/>
      <c r="R31" s="86"/>
      <c r="S31" s="86"/>
      <c r="T31" s="86"/>
      <c r="U31" s="86"/>
      <c r="V31" s="86"/>
    </row>
    <row r="32" spans="1:22" x14ac:dyDescent="0.25">
      <c r="A32" s="86" t="s">
        <v>299</v>
      </c>
      <c r="B32" s="86"/>
      <c r="C32" s="86"/>
      <c r="D32" s="86"/>
      <c r="E32" s="87"/>
      <c r="F32" s="87"/>
      <c r="G32" s="87"/>
      <c r="H32" s="87"/>
      <c r="I32" s="87"/>
      <c r="J32" s="87"/>
      <c r="K32" s="87"/>
      <c r="L32" s="86"/>
      <c r="M32" s="86"/>
      <c r="N32" s="86"/>
      <c r="O32" s="86"/>
      <c r="P32" s="86"/>
      <c r="Q32" s="86"/>
      <c r="R32" s="86"/>
      <c r="S32" s="86"/>
      <c r="T32" s="86"/>
      <c r="U32" s="86"/>
      <c r="V32" s="86"/>
    </row>
    <row r="33" spans="1:22" x14ac:dyDescent="0.25">
      <c r="A33" s="86" t="s">
        <v>298</v>
      </c>
      <c r="B33" s="86"/>
      <c r="C33" s="86" t="s">
        <v>297</v>
      </c>
      <c r="D33" s="86"/>
      <c r="E33" s="87"/>
      <c r="F33" s="87"/>
      <c r="G33" s="87"/>
      <c r="H33" s="87"/>
      <c r="I33" s="87"/>
      <c r="J33" s="87"/>
      <c r="K33" s="87"/>
      <c r="L33" s="86"/>
      <c r="M33" s="86"/>
      <c r="N33" s="86"/>
      <c r="O33" s="86"/>
      <c r="P33" s="86"/>
      <c r="Q33" s="86"/>
      <c r="R33" s="86"/>
      <c r="S33" s="86"/>
      <c r="T33" s="86"/>
      <c r="U33" s="86"/>
      <c r="V33" s="86"/>
    </row>
    <row r="34" spans="1:22" x14ac:dyDescent="0.25">
      <c r="A34" s="86" t="s">
        <v>296</v>
      </c>
      <c r="B34" s="86"/>
      <c r="C34" s="86" t="s">
        <v>295</v>
      </c>
      <c r="D34" s="86"/>
      <c r="E34" s="87"/>
      <c r="F34" s="87"/>
      <c r="G34" s="87"/>
      <c r="H34" s="87"/>
      <c r="I34" s="87"/>
      <c r="J34" s="87"/>
      <c r="K34" s="87"/>
      <c r="L34" s="86"/>
      <c r="M34" s="86"/>
      <c r="N34" s="86"/>
      <c r="O34" s="86"/>
      <c r="P34" s="86"/>
      <c r="Q34" s="86"/>
      <c r="R34" s="86"/>
      <c r="S34" s="86"/>
      <c r="T34" s="86"/>
      <c r="U34" s="86"/>
      <c r="V34" s="86"/>
    </row>
    <row r="35" spans="1:22" x14ac:dyDescent="0.25">
      <c r="A35" s="86" t="s">
        <v>294</v>
      </c>
      <c r="B35" s="86"/>
      <c r="C35" s="86" t="s">
        <v>293</v>
      </c>
      <c r="D35" s="86"/>
      <c r="E35" s="87"/>
      <c r="F35" s="87"/>
      <c r="G35" s="87"/>
      <c r="H35" s="87"/>
      <c r="I35" s="87"/>
      <c r="J35" s="87"/>
      <c r="K35" s="87"/>
      <c r="L35" s="86"/>
      <c r="M35" s="86"/>
      <c r="N35" s="86"/>
      <c r="O35" s="86"/>
      <c r="P35" s="86"/>
      <c r="Q35" s="86"/>
      <c r="R35" s="86"/>
      <c r="S35" s="86"/>
      <c r="T35" s="86"/>
      <c r="U35" s="86"/>
      <c r="V35" s="86"/>
    </row>
    <row r="36" spans="1:22" x14ac:dyDescent="0.25">
      <c r="A36" s="86"/>
      <c r="B36" s="86"/>
      <c r="C36" s="86" t="s">
        <v>292</v>
      </c>
      <c r="D36" s="86"/>
      <c r="E36" s="87"/>
      <c r="F36" s="87"/>
      <c r="G36" s="87"/>
      <c r="H36" s="87"/>
      <c r="I36" s="87"/>
      <c r="J36" s="87"/>
      <c r="K36" s="87"/>
      <c r="L36" s="86"/>
      <c r="M36" s="86"/>
      <c r="N36" s="86"/>
      <c r="O36" s="86"/>
      <c r="P36" s="86"/>
      <c r="Q36" s="86"/>
      <c r="R36" s="86"/>
      <c r="S36" s="86"/>
      <c r="T36" s="86"/>
      <c r="U36" s="86"/>
      <c r="V36" s="86"/>
    </row>
    <row r="37" spans="1:22" x14ac:dyDescent="0.25">
      <c r="A37" s="86" t="s">
        <v>291</v>
      </c>
      <c r="B37" s="86"/>
      <c r="C37" s="86" t="s">
        <v>290</v>
      </c>
      <c r="D37" s="86"/>
      <c r="E37" s="87"/>
      <c r="F37" s="87"/>
      <c r="G37" s="87"/>
      <c r="H37" s="87"/>
      <c r="I37" s="87"/>
      <c r="J37" s="87"/>
      <c r="K37" s="87"/>
      <c r="L37" s="86"/>
      <c r="M37" s="86"/>
      <c r="N37" s="86"/>
      <c r="O37" s="86"/>
      <c r="P37" s="86"/>
      <c r="Q37" s="86"/>
      <c r="R37" s="86"/>
      <c r="S37" s="86"/>
      <c r="T37" s="86"/>
      <c r="U37" s="86"/>
      <c r="V37" s="86"/>
    </row>
    <row r="38" spans="1:22" x14ac:dyDescent="0.25">
      <c r="A38" s="86" t="s">
        <v>289</v>
      </c>
      <c r="B38" s="86"/>
      <c r="C38" s="86" t="s">
        <v>288</v>
      </c>
      <c r="D38" s="86"/>
      <c r="E38" s="87"/>
      <c r="F38" s="87"/>
      <c r="G38" s="87"/>
      <c r="H38" s="87"/>
      <c r="I38" s="87"/>
      <c r="J38" s="87"/>
      <c r="K38" s="87"/>
      <c r="L38" s="86"/>
      <c r="M38" s="86"/>
      <c r="N38" s="86"/>
      <c r="O38" s="86"/>
      <c r="P38" s="86"/>
      <c r="Q38" s="86"/>
      <c r="R38" s="86"/>
      <c r="S38" s="86"/>
      <c r="T38" s="86"/>
      <c r="U38" s="86"/>
      <c r="V38" s="86"/>
    </row>
    <row r="39" spans="1:22" x14ac:dyDescent="0.25">
      <c r="A39" s="86"/>
      <c r="B39" s="86"/>
      <c r="C39" s="86"/>
      <c r="D39" s="86"/>
      <c r="E39" s="87"/>
      <c r="F39" s="87"/>
      <c r="G39" s="87"/>
      <c r="H39" s="87"/>
      <c r="I39" s="87"/>
      <c r="J39" s="87"/>
      <c r="K39" s="87"/>
      <c r="L39" s="86"/>
      <c r="M39" s="86"/>
      <c r="N39" s="86"/>
      <c r="O39" s="86"/>
      <c r="P39" s="86"/>
      <c r="Q39" s="86"/>
      <c r="R39" s="86"/>
      <c r="S39" s="86"/>
      <c r="T39" s="86"/>
      <c r="U39" s="86"/>
      <c r="V39" s="86"/>
    </row>
  </sheetData>
  <printOptions horizontalCentered="1"/>
  <pageMargins left="0" right="0" top="0.75" bottom="0.75" header="0.3" footer="0.3"/>
  <pageSetup scale="57" orientation="landscape" horizontalDpi="4294967295" verticalDpi="4294967295"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03972-7C22-4B8C-9FF7-62F894A0C7F2}">
  <sheetPr>
    <pageSetUpPr fitToPage="1"/>
  </sheetPr>
  <dimension ref="A1:K59"/>
  <sheetViews>
    <sheetView workbookViewId="0">
      <pane ySplit="14" topLeftCell="A15"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20.140625" customWidth="1"/>
    <col min="7" max="7" width="16.7109375" customWidth="1"/>
    <col min="8" max="8" width="2.85546875" customWidth="1"/>
    <col min="9" max="9" width="15.85546875" customWidth="1"/>
    <col min="10" max="10" width="22.140625" customWidth="1"/>
  </cols>
  <sheetData>
    <row r="1" spans="1:11" x14ac:dyDescent="0.25">
      <c r="A1" s="161"/>
      <c r="B1" s="161"/>
      <c r="C1" s="161"/>
      <c r="D1" s="161"/>
      <c r="E1" s="161"/>
      <c r="F1" s="161"/>
      <c r="G1" s="161"/>
      <c r="H1" s="161"/>
      <c r="I1" s="147" t="s">
        <v>234</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203" t="s">
        <v>124</v>
      </c>
      <c r="B4" s="203"/>
      <c r="C4" s="203"/>
      <c r="D4" s="203"/>
      <c r="E4" s="203"/>
      <c r="F4" s="203"/>
      <c r="G4" s="203"/>
      <c r="H4" s="203"/>
      <c r="I4" s="203"/>
      <c r="J4" s="203"/>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7" t="s">
        <v>125</v>
      </c>
      <c r="D8" s="147"/>
      <c r="E8" s="147"/>
      <c r="F8" s="147"/>
      <c r="G8" s="147"/>
      <c r="H8" s="147"/>
      <c r="I8" s="8" t="s">
        <v>217</v>
      </c>
      <c r="J8" s="26">
        <f ca="1">TODAY()</f>
        <v>45723</v>
      </c>
    </row>
    <row r="9" spans="1:11" ht="14.45" customHeight="1" x14ac:dyDescent="0.25">
      <c r="A9" s="167"/>
      <c r="B9" s="167"/>
      <c r="C9" s="147"/>
      <c r="D9" s="147"/>
      <c r="E9" s="147"/>
      <c r="F9" s="147"/>
      <c r="G9" s="147"/>
      <c r="H9" s="147"/>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c r="G16" s="53"/>
      <c r="H16" s="148"/>
      <c r="I16" s="148"/>
      <c r="J16" s="53">
        <f>F16+G16-H16</f>
        <v>0</v>
      </c>
      <c r="K16" s="41"/>
    </row>
    <row r="17" spans="1:11" s="37" customFormat="1" x14ac:dyDescent="0.25">
      <c r="A17" s="39" t="s">
        <v>71</v>
      </c>
      <c r="B17" s="40"/>
      <c r="C17" s="40"/>
      <c r="D17" s="40"/>
      <c r="E17" s="40"/>
      <c r="F17" s="53">
        <v>23461.91</v>
      </c>
      <c r="G17" s="53"/>
      <c r="H17" s="148"/>
      <c r="I17" s="148"/>
      <c r="J17" s="53">
        <f t="shared" ref="J17:J35" si="0">F17+G17-H17</f>
        <v>23461.91</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c r="G19" s="53"/>
      <c r="H19" s="148"/>
      <c r="I19" s="148"/>
      <c r="J19" s="53">
        <f t="shared" si="0"/>
        <v>0</v>
      </c>
      <c r="K19" s="41"/>
    </row>
    <row r="20" spans="1:11" s="37" customFormat="1" ht="17.100000000000001" customHeight="1" x14ac:dyDescent="0.25">
      <c r="A20" s="39" t="s">
        <v>220</v>
      </c>
      <c r="B20" s="40"/>
      <c r="C20" s="40"/>
      <c r="D20" s="40"/>
      <c r="E20" s="40"/>
      <c r="F20" s="53">
        <v>431440126.27000004</v>
      </c>
      <c r="G20" s="53">
        <v>0</v>
      </c>
      <c r="H20" s="148">
        <v>22202895.280000001</v>
      </c>
      <c r="I20" s="148"/>
      <c r="J20" s="53">
        <f t="shared" si="0"/>
        <v>409237230.99000001</v>
      </c>
      <c r="K20" s="41"/>
    </row>
    <row r="21" spans="1:11" s="37" customFormat="1" ht="17.100000000000001" customHeight="1" x14ac:dyDescent="0.25">
      <c r="A21" s="67" t="s">
        <v>268</v>
      </c>
      <c r="B21" s="40"/>
      <c r="C21" s="40"/>
      <c r="D21" s="40"/>
      <c r="E21" s="40"/>
      <c r="F21" s="53">
        <v>2882392347.5000005</v>
      </c>
      <c r="G21" s="53">
        <v>22302352.09</v>
      </c>
      <c r="H21" s="148">
        <v>56386.78</v>
      </c>
      <c r="I21" s="148"/>
      <c r="J21" s="53">
        <f t="shared" si="0"/>
        <v>2904638312.8100004</v>
      </c>
      <c r="K21" s="41"/>
    </row>
    <row r="22" spans="1:11" s="37" customFormat="1" ht="14.25" x14ac:dyDescent="0.2">
      <c r="A22" s="42"/>
      <c r="B22" s="42"/>
      <c r="C22" s="42"/>
      <c r="D22" s="42"/>
      <c r="E22" s="42"/>
      <c r="F22" s="53"/>
      <c r="G22" s="53"/>
      <c r="H22" s="148"/>
      <c r="I22" s="148"/>
      <c r="J22" s="53">
        <f t="shared" si="0"/>
        <v>0</v>
      </c>
      <c r="K22" s="41"/>
    </row>
    <row r="23" spans="1:11" s="37" customFormat="1" x14ac:dyDescent="0.25">
      <c r="A23" s="40" t="s">
        <v>11</v>
      </c>
      <c r="B23" s="40"/>
      <c r="C23" s="40"/>
      <c r="D23" s="40"/>
      <c r="E23" s="40"/>
      <c r="F23" s="53"/>
      <c r="G23" s="53"/>
      <c r="H23" s="148"/>
      <c r="I23" s="148"/>
      <c r="J23" s="53">
        <f t="shared" si="0"/>
        <v>0</v>
      </c>
      <c r="K23" s="41"/>
    </row>
    <row r="24" spans="1:11" s="37" customFormat="1" ht="14.25" x14ac:dyDescent="0.2">
      <c r="A24" s="155" t="s">
        <v>73</v>
      </c>
      <c r="B24" s="155"/>
      <c r="C24" s="155"/>
      <c r="D24" s="155"/>
      <c r="E24" s="155"/>
      <c r="F24" s="53">
        <v>163795.70000000001</v>
      </c>
      <c r="G24" s="53"/>
      <c r="H24" s="148"/>
      <c r="I24" s="148"/>
      <c r="J24" s="53">
        <f t="shared" si="0"/>
        <v>163795.70000000001</v>
      </c>
      <c r="K24" s="41"/>
    </row>
    <row r="25" spans="1:11" s="37" customFormat="1" ht="14.25" x14ac:dyDescent="0.2">
      <c r="A25" s="155" t="s">
        <v>74</v>
      </c>
      <c r="B25" s="155"/>
      <c r="C25" s="155"/>
      <c r="D25" s="155"/>
      <c r="E25" s="155"/>
      <c r="F25" s="53"/>
      <c r="G25" s="53"/>
      <c r="H25" s="148"/>
      <c r="I25" s="148"/>
      <c r="J25" s="53">
        <f t="shared" si="0"/>
        <v>0</v>
      </c>
      <c r="K25" s="41"/>
    </row>
    <row r="26" spans="1:11" s="37" customFormat="1" ht="14.25" x14ac:dyDescent="0.2">
      <c r="A26" s="155" t="s">
        <v>75</v>
      </c>
      <c r="B26" s="155"/>
      <c r="C26" s="155"/>
      <c r="D26" s="155"/>
      <c r="E26" s="155"/>
      <c r="F26" s="53"/>
      <c r="G26" s="53"/>
      <c r="H26" s="148"/>
      <c r="I26" s="148"/>
      <c r="J26" s="53">
        <f t="shared" si="0"/>
        <v>0</v>
      </c>
      <c r="K26" s="41"/>
    </row>
    <row r="27" spans="1:11" s="37" customFormat="1" ht="14.25" x14ac:dyDescent="0.2">
      <c r="A27" s="155" t="s">
        <v>76</v>
      </c>
      <c r="B27" s="155"/>
      <c r="C27" s="155"/>
      <c r="D27" s="155"/>
      <c r="E27" s="155"/>
      <c r="F27" s="53"/>
      <c r="G27" s="53"/>
      <c r="H27" s="148"/>
      <c r="I27" s="148"/>
      <c r="J27" s="53">
        <f t="shared" si="0"/>
        <v>0</v>
      </c>
      <c r="K27" s="41"/>
    </row>
    <row r="28" spans="1:11" s="37" customFormat="1" ht="14.25" x14ac:dyDescent="0.2">
      <c r="A28" s="155" t="s">
        <v>77</v>
      </c>
      <c r="B28" s="155"/>
      <c r="C28" s="155"/>
      <c r="D28" s="155"/>
      <c r="E28" s="155"/>
      <c r="F28" s="53"/>
      <c r="G28" s="53"/>
      <c r="H28" s="148"/>
      <c r="I28" s="148"/>
      <c r="J28" s="53">
        <f t="shared" si="0"/>
        <v>0</v>
      </c>
      <c r="K28" s="41"/>
    </row>
    <row r="29" spans="1:11" s="37" customFormat="1" ht="14.25" x14ac:dyDescent="0.2">
      <c r="A29" s="155" t="s">
        <v>78</v>
      </c>
      <c r="B29" s="155"/>
      <c r="C29" s="155"/>
      <c r="D29" s="155"/>
      <c r="E29" s="155"/>
      <c r="F29" s="53"/>
      <c r="G29" s="53"/>
      <c r="H29" s="148"/>
      <c r="I29" s="148"/>
      <c r="J29" s="53">
        <f t="shared" si="0"/>
        <v>0</v>
      </c>
      <c r="K29" s="41"/>
    </row>
    <row r="30" spans="1:11" s="37" customFormat="1" ht="14.25" x14ac:dyDescent="0.2">
      <c r="A30" s="155" t="s">
        <v>79</v>
      </c>
      <c r="B30" s="155"/>
      <c r="C30" s="155"/>
      <c r="D30" s="155"/>
      <c r="E30" s="155"/>
      <c r="F30" s="53"/>
      <c r="G30" s="53"/>
      <c r="H30" s="148"/>
      <c r="I30" s="148"/>
      <c r="J30" s="53">
        <f t="shared" si="0"/>
        <v>0</v>
      </c>
      <c r="K30" s="41"/>
    </row>
    <row r="31" spans="1:11" s="37" customFormat="1" ht="29.1" customHeight="1" x14ac:dyDescent="0.2">
      <c r="A31" s="150" t="s">
        <v>80</v>
      </c>
      <c r="B31" s="150"/>
      <c r="C31" s="150"/>
      <c r="D31" s="150"/>
      <c r="E31" s="150"/>
      <c r="F31" s="53"/>
      <c r="G31" s="53"/>
      <c r="H31" s="148"/>
      <c r="I31" s="148"/>
      <c r="J31" s="53">
        <f t="shared" si="0"/>
        <v>0</v>
      </c>
      <c r="K31" s="41"/>
    </row>
    <row r="32" spans="1:11" s="37" customFormat="1" x14ac:dyDescent="0.25">
      <c r="A32" s="39" t="s">
        <v>81</v>
      </c>
      <c r="B32" s="40"/>
      <c r="C32" s="40"/>
      <c r="D32" s="40"/>
      <c r="E32" s="40"/>
      <c r="F32" s="53"/>
      <c r="G32" s="53"/>
      <c r="H32" s="148"/>
      <c r="I32" s="148"/>
      <c r="J32" s="53">
        <f t="shared" si="0"/>
        <v>0</v>
      </c>
      <c r="K32" s="41"/>
    </row>
    <row r="33" spans="1:11" s="37" customFormat="1" ht="14.25" x14ac:dyDescent="0.2">
      <c r="A33" s="6"/>
      <c r="B33" s="6"/>
      <c r="C33" s="6"/>
      <c r="D33" s="6"/>
      <c r="E33" s="6"/>
      <c r="F33" s="21"/>
      <c r="G33" s="21"/>
      <c r="H33" s="21"/>
      <c r="I33" s="21"/>
      <c r="J33" s="53">
        <f t="shared" si="0"/>
        <v>0</v>
      </c>
      <c r="K33" s="41"/>
    </row>
    <row r="34" spans="1:11" s="37" customFormat="1" ht="15.75" customHeight="1" x14ac:dyDescent="0.2">
      <c r="A34" s="43"/>
      <c r="B34" s="43"/>
      <c r="C34" s="43"/>
      <c r="D34" s="43"/>
      <c r="E34" s="43"/>
      <c r="F34" s="44"/>
      <c r="G34" s="44"/>
      <c r="H34" s="44"/>
      <c r="I34" s="44"/>
      <c r="J34" s="53">
        <f t="shared" si="0"/>
        <v>0</v>
      </c>
    </row>
    <row r="35" spans="1:11" s="37" customFormat="1" ht="46.5" customHeight="1" x14ac:dyDescent="0.2">
      <c r="A35" s="45" t="s">
        <v>3</v>
      </c>
      <c r="B35" s="140" t="s">
        <v>123</v>
      </c>
      <c r="C35" s="141"/>
      <c r="D35" s="141"/>
      <c r="F35" s="56">
        <f>SUM(F16:F34)</f>
        <v>3314019731.3800001</v>
      </c>
      <c r="G35" s="56">
        <f>SUM(G16:G34)</f>
        <v>22302352.09</v>
      </c>
      <c r="H35" s="162">
        <f>SUM(H16:H34)</f>
        <v>22259282.060000002</v>
      </c>
      <c r="I35" s="162"/>
      <c r="J35" s="56">
        <f t="shared" si="0"/>
        <v>3314062801.4100003</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s="7" customFormat="1" ht="13.5" customHeight="1" x14ac:dyDescent="0.25">
      <c r="A40" s="143" t="s">
        <v>271</v>
      </c>
      <c r="B40" s="143"/>
      <c r="C40" s="143"/>
      <c r="D40" s="143"/>
      <c r="E40" s="143"/>
      <c r="F40" s="143"/>
      <c r="G40" s="143"/>
      <c r="H40" s="143"/>
      <c r="I40" s="143"/>
      <c r="J40" s="143"/>
    </row>
    <row r="41" spans="1:11" s="7" customFormat="1" ht="13.5" customHeight="1" x14ac:dyDescent="0.25">
      <c r="A41" s="143"/>
      <c r="B41" s="143"/>
      <c r="C41" s="143"/>
      <c r="D41" s="143"/>
      <c r="E41" s="143"/>
      <c r="F41" s="143"/>
      <c r="G41" s="143"/>
      <c r="H41" s="143"/>
      <c r="I41" s="143"/>
      <c r="J41" s="143"/>
    </row>
    <row r="42" spans="1:11" s="7" customFormat="1" ht="13.5" customHeight="1" x14ac:dyDescent="0.25">
      <c r="A42" s="61"/>
      <c r="B42" s="61"/>
      <c r="C42" s="61"/>
      <c r="D42" s="61"/>
      <c r="E42" s="61"/>
      <c r="F42" s="61"/>
      <c r="G42" s="61"/>
      <c r="H42" s="61"/>
      <c r="I42" s="61"/>
      <c r="J42" s="61"/>
    </row>
    <row r="43" spans="1:11" ht="14.45" customHeight="1" x14ac:dyDescent="0.25">
      <c r="A43" s="143" t="s">
        <v>30</v>
      </c>
      <c r="B43" s="143"/>
      <c r="C43" s="143"/>
      <c r="D43" s="143"/>
      <c r="E43" s="143"/>
      <c r="F43" s="143"/>
      <c r="G43" s="143"/>
      <c r="H43" s="143"/>
      <c r="I43" s="143"/>
      <c r="J43" s="143"/>
    </row>
    <row r="44" spans="1:11" x14ac:dyDescent="0.25">
      <c r="A44" s="143"/>
      <c r="B44" s="143"/>
      <c r="C44" s="143"/>
      <c r="D44" s="143"/>
      <c r="E44" s="143"/>
      <c r="F44" s="143"/>
      <c r="G44" s="143"/>
      <c r="H44" s="143"/>
      <c r="I44" s="143"/>
      <c r="J44" s="143"/>
    </row>
    <row r="45" spans="1:11" x14ac:dyDescent="0.25">
      <c r="A45" s="143"/>
      <c r="B45" s="143"/>
      <c r="C45" s="143"/>
      <c r="D45" s="143"/>
      <c r="E45" s="143"/>
      <c r="F45" s="143"/>
      <c r="G45" s="143"/>
      <c r="H45" s="143"/>
      <c r="I45" s="143"/>
      <c r="J45" s="143"/>
    </row>
    <row r="46" spans="1:11" x14ac:dyDescent="0.25">
      <c r="A46" s="64"/>
      <c r="B46" s="64"/>
      <c r="C46" s="64"/>
      <c r="D46" s="64"/>
      <c r="E46" s="64"/>
      <c r="F46" s="64"/>
      <c r="G46" s="64"/>
      <c r="H46" s="64"/>
      <c r="I46" s="64"/>
      <c r="J46" s="64"/>
    </row>
    <row r="47" spans="1:11" x14ac:dyDescent="0.25">
      <c r="A47" s="64"/>
      <c r="B47" s="64"/>
      <c r="C47" s="64"/>
      <c r="D47" s="64"/>
      <c r="E47" s="64"/>
      <c r="F47" s="64"/>
      <c r="G47" s="64"/>
      <c r="H47" s="64"/>
      <c r="I47" s="64"/>
      <c r="J47" s="64"/>
    </row>
    <row r="48" spans="1:11" x14ac:dyDescent="0.25">
      <c r="A48" s="144" t="s">
        <v>28</v>
      </c>
      <c r="B48" s="144"/>
      <c r="C48" s="144"/>
      <c r="D48" s="144"/>
      <c r="E48" s="144"/>
      <c r="F48" s="144"/>
      <c r="G48" s="144"/>
      <c r="H48" s="144"/>
      <c r="I48" s="144"/>
      <c r="J48" s="144"/>
    </row>
    <row r="49" spans="1:10" x14ac:dyDescent="0.25">
      <c r="A49" s="144"/>
      <c r="B49" s="144"/>
      <c r="C49" s="144"/>
      <c r="D49" s="144"/>
      <c r="E49" s="144"/>
      <c r="F49" s="144"/>
      <c r="G49" s="144"/>
      <c r="H49" s="144"/>
      <c r="I49" s="144"/>
      <c r="J49" s="144"/>
    </row>
    <row r="50" spans="1:10" x14ac:dyDescent="0.25">
      <c r="A50" s="144"/>
      <c r="B50" s="144"/>
      <c r="C50" s="144"/>
      <c r="D50" s="144"/>
      <c r="E50" s="144"/>
      <c r="F50" s="144"/>
      <c r="G50" s="144"/>
      <c r="H50" s="144"/>
      <c r="I50" s="144"/>
      <c r="J50" s="144"/>
    </row>
    <row r="51" spans="1:10" x14ac:dyDescent="0.25">
      <c r="A51" s="144"/>
      <c r="B51" s="144"/>
      <c r="C51" s="144"/>
      <c r="D51" s="144"/>
      <c r="E51" s="144"/>
      <c r="F51" s="144"/>
      <c r="G51" s="144"/>
      <c r="H51" s="144"/>
      <c r="I51" s="144"/>
      <c r="J51" s="144"/>
    </row>
    <row r="52" spans="1:10" x14ac:dyDescent="0.25">
      <c r="A52" s="74"/>
      <c r="B52" s="74"/>
      <c r="C52" s="74"/>
      <c r="D52" s="74"/>
      <c r="E52" s="74"/>
      <c r="F52" s="74"/>
      <c r="G52" s="74"/>
      <c r="H52" s="74"/>
      <c r="I52" s="74"/>
      <c r="J52" s="74"/>
    </row>
    <row r="53" spans="1:10" x14ac:dyDescent="0.25">
      <c r="A53" s="74"/>
      <c r="B53" s="74"/>
      <c r="C53" s="74"/>
      <c r="D53" s="74"/>
      <c r="E53" s="74"/>
      <c r="F53" s="74"/>
      <c r="G53" s="74"/>
      <c r="H53" s="74"/>
      <c r="I53" s="74"/>
      <c r="J53" s="74"/>
    </row>
    <row r="54" spans="1:10" x14ac:dyDescent="0.25">
      <c r="A54" s="74"/>
      <c r="B54" s="74"/>
      <c r="C54" s="74"/>
      <c r="D54" s="74"/>
      <c r="E54" s="74"/>
      <c r="F54" s="74"/>
      <c r="G54" s="74"/>
      <c r="H54" s="74"/>
      <c r="I54" s="74"/>
      <c r="J54" s="74"/>
    </row>
    <row r="55" spans="1:10" x14ac:dyDescent="0.25">
      <c r="A55" s="64"/>
      <c r="B55" s="64"/>
      <c r="C55" s="64"/>
      <c r="D55" s="64"/>
      <c r="E55" s="64"/>
      <c r="F55" s="64"/>
      <c r="G55" s="64"/>
      <c r="H55" s="64"/>
      <c r="I55" s="64"/>
      <c r="J55" s="64"/>
    </row>
    <row r="56" spans="1:10" x14ac:dyDescent="0.25">
      <c r="A56" s="64"/>
      <c r="B56" s="64"/>
      <c r="C56" s="64"/>
      <c r="D56" s="64"/>
      <c r="E56" s="64"/>
      <c r="F56" s="64"/>
      <c r="G56" s="64"/>
      <c r="H56" s="64"/>
      <c r="I56" s="75"/>
      <c r="J56" s="75"/>
    </row>
    <row r="57" spans="1:10" x14ac:dyDescent="0.25">
      <c r="A57" s="64"/>
      <c r="B57" s="64"/>
      <c r="C57" s="64"/>
      <c r="D57" s="64"/>
      <c r="E57" s="64"/>
      <c r="F57" s="64"/>
      <c r="G57" s="64"/>
      <c r="H57" s="64"/>
      <c r="I57" s="50" t="s">
        <v>31</v>
      </c>
      <c r="J57" s="47"/>
    </row>
    <row r="58" spans="1:10" x14ac:dyDescent="0.25">
      <c r="A58" s="64"/>
      <c r="B58" s="64"/>
      <c r="C58" s="64"/>
      <c r="D58" s="64"/>
      <c r="E58" s="64"/>
      <c r="F58" s="64"/>
      <c r="G58" s="64"/>
      <c r="H58" s="64"/>
      <c r="I58" s="50" t="s">
        <v>32</v>
      </c>
      <c r="J58" s="47"/>
    </row>
    <row r="59" spans="1:10" x14ac:dyDescent="0.25">
      <c r="A59" s="64"/>
      <c r="B59" s="64"/>
      <c r="C59" s="64"/>
      <c r="D59" s="64"/>
      <c r="E59" s="64"/>
      <c r="F59" s="64"/>
      <c r="G59" s="64"/>
      <c r="H59" s="64"/>
      <c r="I59" s="50" t="s">
        <v>33</v>
      </c>
      <c r="J59" s="47"/>
    </row>
  </sheetData>
  <mergeCells count="53">
    <mergeCell ref="A43:J45"/>
    <mergeCell ref="A48:J51"/>
    <mergeCell ref="A28:E28"/>
    <mergeCell ref="A29:E29"/>
    <mergeCell ref="A30:E30"/>
    <mergeCell ref="A31:E31"/>
    <mergeCell ref="B35:D35"/>
    <mergeCell ref="B36:D36"/>
    <mergeCell ref="H32:I32"/>
    <mergeCell ref="H35:I35"/>
    <mergeCell ref="A40:J41"/>
    <mergeCell ref="H28:I28"/>
    <mergeCell ref="H29:I29"/>
    <mergeCell ref="H30:I30"/>
    <mergeCell ref="H31:I31"/>
    <mergeCell ref="A25:E25"/>
    <mergeCell ref="A26:E26"/>
    <mergeCell ref="A27:E27"/>
    <mergeCell ref="H16:I16"/>
    <mergeCell ref="H17:I17"/>
    <mergeCell ref="H18:I18"/>
    <mergeCell ref="H19:I19"/>
    <mergeCell ref="H20:I20"/>
    <mergeCell ref="H21:I21"/>
    <mergeCell ref="H22:I22"/>
    <mergeCell ref="H23:I23"/>
    <mergeCell ref="H24:I24"/>
    <mergeCell ref="H25:I25"/>
    <mergeCell ref="H26:I26"/>
    <mergeCell ref="H27:I27"/>
    <mergeCell ref="A13:J13"/>
    <mergeCell ref="A14:E14"/>
    <mergeCell ref="H14:I14"/>
    <mergeCell ref="A15:J15"/>
    <mergeCell ref="A24:E24"/>
    <mergeCell ref="A10:B10"/>
    <mergeCell ref="C10:H10"/>
    <mergeCell ref="I10:J10"/>
    <mergeCell ref="A11:J11"/>
    <mergeCell ref="A12:J12"/>
    <mergeCell ref="A8:B8"/>
    <mergeCell ref="A1:C1"/>
    <mergeCell ref="D1:H1"/>
    <mergeCell ref="I1:J1"/>
    <mergeCell ref="A2:J2"/>
    <mergeCell ref="A3:J3"/>
    <mergeCell ref="A4:J4"/>
    <mergeCell ref="A5:J5"/>
    <mergeCell ref="A6:J6"/>
    <mergeCell ref="A7:B7"/>
    <mergeCell ref="C7:H7"/>
    <mergeCell ref="C8:H9"/>
    <mergeCell ref="A9:B9"/>
  </mergeCells>
  <pageMargins left="0.25" right="0.25" top="0.75" bottom="0.75" header="0.3" footer="0.3"/>
  <pageSetup scale="74" orientation="portrait" horizontalDpi="360" verticalDpi="36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D27-B3B7-4CCA-B15F-4982D3774658}">
  <sheetPr>
    <pageSetUpPr fitToPage="1"/>
  </sheetPr>
  <dimension ref="A1:K60"/>
  <sheetViews>
    <sheetView workbookViewId="0">
      <pane ySplit="14" topLeftCell="A31" activePane="bottomLeft" state="frozen"/>
      <selection activeCell="O34" sqref="O34"/>
      <selection pane="bottomLeft" activeCell="C10" sqref="C10:H10"/>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42578125" customWidth="1"/>
    <col min="7" max="7" width="16.7109375" customWidth="1"/>
    <col min="8" max="8" width="3.5703125" customWidth="1"/>
    <col min="9" max="9" width="13.85546875" customWidth="1"/>
    <col min="10" max="10" width="22.140625" customWidth="1"/>
  </cols>
  <sheetData>
    <row r="1" spans="1:11" x14ac:dyDescent="0.25">
      <c r="A1" s="161"/>
      <c r="B1" s="161"/>
      <c r="C1" s="161"/>
      <c r="D1" s="161"/>
      <c r="E1" s="161"/>
      <c r="F1" s="161"/>
      <c r="G1" s="161"/>
      <c r="H1" s="161"/>
      <c r="I1" s="147" t="s">
        <v>235</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6" t="s">
        <v>126</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6" t="s">
        <v>127</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c r="G16" s="53"/>
      <c r="H16" s="148"/>
      <c r="I16" s="148"/>
      <c r="J16" s="53">
        <f>F16+G16-I16</f>
        <v>0</v>
      </c>
      <c r="K16" s="41"/>
    </row>
    <row r="17" spans="1:11" s="37" customFormat="1" x14ac:dyDescent="0.25">
      <c r="A17" s="39" t="s">
        <v>71</v>
      </c>
      <c r="B17" s="40"/>
      <c r="C17" s="40"/>
      <c r="D17" s="40"/>
      <c r="E17" s="40"/>
      <c r="F17" s="53"/>
      <c r="G17" s="53"/>
      <c r="H17" s="148"/>
      <c r="I17" s="148"/>
      <c r="J17" s="53">
        <f t="shared" ref="J17:J32" si="0">F17+G17-I17</f>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c r="G19" s="53"/>
      <c r="H19" s="148"/>
      <c r="I19" s="148"/>
      <c r="J19" s="53">
        <f t="shared" si="0"/>
        <v>0</v>
      </c>
      <c r="K19" s="41"/>
    </row>
    <row r="20" spans="1:11" s="37" customFormat="1" ht="17.100000000000001" customHeight="1" x14ac:dyDescent="0.25">
      <c r="A20" s="39" t="s">
        <v>220</v>
      </c>
      <c r="B20" s="40"/>
      <c r="C20" s="40"/>
      <c r="D20" s="40"/>
      <c r="E20" s="40"/>
      <c r="F20" s="53">
        <v>117385682.3</v>
      </c>
      <c r="G20" s="53">
        <v>6018468.2800000003</v>
      </c>
      <c r="H20" s="148">
        <v>1068422.43</v>
      </c>
      <c r="I20" s="148"/>
      <c r="J20" s="53">
        <f>F20+G20-H20</f>
        <v>122335728.14999999</v>
      </c>
      <c r="K20" s="41"/>
    </row>
    <row r="21" spans="1:11" s="37" customFormat="1" ht="17.100000000000001" customHeight="1" x14ac:dyDescent="0.25">
      <c r="A21" s="39" t="s">
        <v>221</v>
      </c>
      <c r="B21" s="40"/>
      <c r="C21" s="40"/>
      <c r="D21" s="40"/>
      <c r="E21" s="40"/>
      <c r="F21" s="53">
        <v>244681705.70999998</v>
      </c>
      <c r="G21" s="53">
        <v>1100668.78</v>
      </c>
      <c r="H21" s="148">
        <v>0</v>
      </c>
      <c r="I21" s="148"/>
      <c r="J21" s="53">
        <f>F21+G21-H21</f>
        <v>245782374.48999998</v>
      </c>
      <c r="K21" s="41"/>
    </row>
    <row r="22" spans="1:11" s="37" customFormat="1" ht="14.25" x14ac:dyDescent="0.2">
      <c r="A22" s="42"/>
      <c r="B22" s="42"/>
      <c r="C22" s="42"/>
      <c r="D22" s="42"/>
      <c r="E22" s="42"/>
      <c r="F22" s="53"/>
      <c r="G22" s="53"/>
      <c r="H22" s="148"/>
      <c r="I22" s="148"/>
      <c r="J22" s="53">
        <f t="shared" si="0"/>
        <v>0</v>
      </c>
      <c r="K22" s="41"/>
    </row>
    <row r="23" spans="1:11" s="37" customFormat="1" x14ac:dyDescent="0.25">
      <c r="A23" s="40" t="s">
        <v>11</v>
      </c>
      <c r="B23" s="40"/>
      <c r="C23" s="40"/>
      <c r="D23" s="40"/>
      <c r="E23" s="40"/>
      <c r="F23" s="53"/>
      <c r="G23" s="53"/>
      <c r="H23" s="148"/>
      <c r="I23" s="148"/>
      <c r="J23" s="53">
        <f t="shared" si="0"/>
        <v>0</v>
      </c>
      <c r="K23" s="41"/>
    </row>
    <row r="24" spans="1:11" s="37" customFormat="1" ht="14.25" x14ac:dyDescent="0.2">
      <c r="A24" s="155" t="s">
        <v>73</v>
      </c>
      <c r="B24" s="155"/>
      <c r="C24" s="155"/>
      <c r="D24" s="155"/>
      <c r="E24" s="155"/>
      <c r="F24" s="53">
        <v>7255.8600000000006</v>
      </c>
      <c r="G24" s="53"/>
      <c r="H24" s="148"/>
      <c r="I24" s="148"/>
      <c r="J24" s="53">
        <f t="shared" si="0"/>
        <v>7255.8600000000006</v>
      </c>
      <c r="K24" s="41"/>
    </row>
    <row r="25" spans="1:11" s="37" customFormat="1" ht="14.25" x14ac:dyDescent="0.2">
      <c r="A25" s="155" t="s">
        <v>74</v>
      </c>
      <c r="B25" s="155"/>
      <c r="C25" s="155"/>
      <c r="D25" s="155"/>
      <c r="E25" s="155"/>
      <c r="F25" s="53"/>
      <c r="G25" s="53"/>
      <c r="H25" s="148"/>
      <c r="I25" s="148"/>
      <c r="J25" s="53">
        <f t="shared" si="0"/>
        <v>0</v>
      </c>
      <c r="K25" s="41"/>
    </row>
    <row r="26" spans="1:11" s="37" customFormat="1" ht="14.25" x14ac:dyDescent="0.2">
      <c r="A26" s="155" t="s">
        <v>75</v>
      </c>
      <c r="B26" s="155"/>
      <c r="C26" s="155"/>
      <c r="D26" s="155"/>
      <c r="E26" s="155"/>
      <c r="F26" s="53"/>
      <c r="G26" s="53"/>
      <c r="H26" s="148"/>
      <c r="I26" s="148"/>
      <c r="J26" s="53">
        <f t="shared" si="0"/>
        <v>0</v>
      </c>
      <c r="K26" s="41"/>
    </row>
    <row r="27" spans="1:11" s="37" customFormat="1" ht="14.25" x14ac:dyDescent="0.2">
      <c r="A27" s="155" t="s">
        <v>76</v>
      </c>
      <c r="B27" s="155"/>
      <c r="C27" s="155"/>
      <c r="D27" s="155"/>
      <c r="E27" s="155"/>
      <c r="F27" s="53"/>
      <c r="G27" s="53"/>
      <c r="H27" s="148"/>
      <c r="I27" s="148"/>
      <c r="J27" s="53">
        <f t="shared" si="0"/>
        <v>0</v>
      </c>
      <c r="K27" s="41"/>
    </row>
    <row r="28" spans="1:11" s="37" customFormat="1" ht="14.25" x14ac:dyDescent="0.2">
      <c r="A28" s="155" t="s">
        <v>77</v>
      </c>
      <c r="B28" s="155"/>
      <c r="C28" s="155"/>
      <c r="D28" s="155"/>
      <c r="E28" s="155"/>
      <c r="F28" s="53"/>
      <c r="G28" s="53"/>
      <c r="H28" s="148"/>
      <c r="I28" s="148"/>
      <c r="J28" s="53">
        <f t="shared" si="0"/>
        <v>0</v>
      </c>
      <c r="K28" s="41"/>
    </row>
    <row r="29" spans="1:11" s="37" customFormat="1" ht="14.25" x14ac:dyDescent="0.2">
      <c r="A29" s="155" t="s">
        <v>78</v>
      </c>
      <c r="B29" s="155"/>
      <c r="C29" s="155"/>
      <c r="D29" s="155"/>
      <c r="E29" s="155"/>
      <c r="F29" s="53"/>
      <c r="G29" s="53"/>
      <c r="H29" s="148"/>
      <c r="I29" s="148"/>
      <c r="J29" s="53">
        <f t="shared" si="0"/>
        <v>0</v>
      </c>
      <c r="K29" s="41"/>
    </row>
    <row r="30" spans="1:11" s="37" customFormat="1" ht="14.25" x14ac:dyDescent="0.2">
      <c r="A30" s="155" t="s">
        <v>79</v>
      </c>
      <c r="B30" s="155"/>
      <c r="C30" s="155"/>
      <c r="D30" s="155"/>
      <c r="E30" s="155"/>
      <c r="F30" s="53"/>
      <c r="G30" s="53"/>
      <c r="H30" s="148"/>
      <c r="I30" s="148"/>
      <c r="J30" s="53">
        <f t="shared" si="0"/>
        <v>0</v>
      </c>
      <c r="K30" s="41"/>
    </row>
    <row r="31" spans="1:11" s="37" customFormat="1" ht="29.1" customHeight="1" x14ac:dyDescent="0.2">
      <c r="A31" s="150" t="s">
        <v>80</v>
      </c>
      <c r="B31" s="150"/>
      <c r="C31" s="150"/>
      <c r="D31" s="150"/>
      <c r="E31" s="150"/>
      <c r="F31" s="53"/>
      <c r="G31" s="53"/>
      <c r="H31" s="148"/>
      <c r="I31" s="148"/>
      <c r="J31" s="53">
        <f t="shared" si="0"/>
        <v>0</v>
      </c>
      <c r="K31" s="41"/>
    </row>
    <row r="32" spans="1:11" s="37" customFormat="1" x14ac:dyDescent="0.25">
      <c r="A32" s="39" t="s">
        <v>81</v>
      </c>
      <c r="B32" s="40"/>
      <c r="C32" s="40"/>
      <c r="D32" s="40"/>
      <c r="E32" s="40"/>
      <c r="F32" s="53"/>
      <c r="G32" s="53"/>
      <c r="H32" s="148"/>
      <c r="I32" s="148"/>
      <c r="J32" s="53">
        <f t="shared" si="0"/>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227</v>
      </c>
      <c r="C35" s="141"/>
      <c r="D35" s="141"/>
      <c r="F35" s="56">
        <f>SUM(F16:F34)</f>
        <v>362074643.87</v>
      </c>
      <c r="G35" s="56">
        <f>SUM(G16:G34)</f>
        <v>7119137.0600000005</v>
      </c>
      <c r="H35" s="162">
        <f>SUM(H16:H34)</f>
        <v>1068422.43</v>
      </c>
      <c r="I35" s="162"/>
      <c r="J35" s="56">
        <f>SUM(J16:J34)</f>
        <v>368125358.5</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s="47" customFormat="1" ht="14.25" x14ac:dyDescent="0.2">
      <c r="A40" s="47" t="s">
        <v>36</v>
      </c>
      <c r="B40" s="48"/>
      <c r="C40" s="48"/>
      <c r="D40" s="48"/>
      <c r="E40" s="48"/>
    </row>
    <row r="42" spans="1:11" x14ac:dyDescent="0.25">
      <c r="A42" s="143" t="s">
        <v>261</v>
      </c>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1"/>
      <c r="B44" s="61"/>
      <c r="C44" s="61"/>
      <c r="D44" s="61"/>
      <c r="E44" s="61"/>
      <c r="F44" s="61"/>
      <c r="G44" s="61"/>
      <c r="H44" s="61"/>
      <c r="I44" s="61"/>
      <c r="J44" s="61"/>
    </row>
    <row r="45" spans="1:11" ht="14.45" customHeight="1" x14ac:dyDescent="0.25">
      <c r="A45" s="143" t="s">
        <v>267</v>
      </c>
      <c r="B45" s="143"/>
      <c r="C45" s="143"/>
      <c r="D45" s="143"/>
      <c r="E45" s="143"/>
      <c r="F45" s="143"/>
      <c r="G45" s="143"/>
      <c r="H45" s="143"/>
      <c r="I45" s="143"/>
      <c r="J45" s="143"/>
    </row>
    <row r="47" spans="1:11" ht="14.45" customHeight="1" x14ac:dyDescent="0.25">
      <c r="A47" s="143" t="s">
        <v>30</v>
      </c>
      <c r="B47" s="143"/>
      <c r="C47" s="143"/>
      <c r="D47" s="143"/>
      <c r="E47" s="143"/>
      <c r="F47" s="143"/>
      <c r="G47" s="143"/>
      <c r="H47" s="143"/>
      <c r="I47" s="143"/>
      <c r="J47" s="143"/>
    </row>
    <row r="48" spans="1:11" x14ac:dyDescent="0.25">
      <c r="A48" s="143"/>
      <c r="B48" s="143"/>
      <c r="C48" s="143"/>
      <c r="D48" s="143"/>
      <c r="E48" s="143"/>
      <c r="F48" s="143"/>
      <c r="G48" s="143"/>
      <c r="H48" s="143"/>
      <c r="I48" s="143"/>
      <c r="J48" s="143"/>
    </row>
    <row r="49" spans="1:10" x14ac:dyDescent="0.25">
      <c r="A49" s="143"/>
      <c r="B49" s="143"/>
      <c r="C49" s="143"/>
      <c r="D49" s="143"/>
      <c r="E49" s="143"/>
      <c r="F49" s="143"/>
      <c r="G49" s="143"/>
      <c r="H49" s="143"/>
      <c r="I49" s="143"/>
      <c r="J49" s="143"/>
    </row>
    <row r="50" spans="1:10" x14ac:dyDescent="0.25">
      <c r="A50" s="64"/>
      <c r="B50" s="64"/>
      <c r="C50" s="64"/>
      <c r="D50" s="64"/>
      <c r="E50" s="64"/>
      <c r="F50" s="64"/>
      <c r="G50" s="64"/>
      <c r="H50" s="64"/>
      <c r="I50" s="64"/>
      <c r="J50" s="64"/>
    </row>
    <row r="51" spans="1:10" x14ac:dyDescent="0.25">
      <c r="A51" s="64"/>
      <c r="B51" s="64"/>
      <c r="C51" s="64"/>
      <c r="D51" s="64"/>
      <c r="E51" s="64"/>
      <c r="F51" s="64"/>
      <c r="G51" s="64"/>
      <c r="H51" s="64"/>
      <c r="I51" s="64"/>
      <c r="J51" s="64"/>
    </row>
    <row r="52" spans="1:10" x14ac:dyDescent="0.25">
      <c r="A52" s="144" t="s">
        <v>28</v>
      </c>
      <c r="B52" s="144"/>
      <c r="C52" s="144"/>
      <c r="D52" s="144"/>
      <c r="E52" s="144"/>
      <c r="F52" s="144"/>
      <c r="G52" s="144"/>
      <c r="H52" s="144"/>
      <c r="I52" s="144"/>
      <c r="J52" s="144"/>
    </row>
    <row r="53" spans="1:10" x14ac:dyDescent="0.25">
      <c r="A53" s="74"/>
      <c r="B53" s="74"/>
      <c r="C53" s="74"/>
      <c r="D53" s="74"/>
      <c r="E53" s="74"/>
      <c r="F53" s="74"/>
      <c r="G53" s="74"/>
      <c r="H53" s="74"/>
      <c r="I53" s="74"/>
      <c r="J53" s="74"/>
    </row>
    <row r="54" spans="1:10" x14ac:dyDescent="0.25">
      <c r="A54" s="74"/>
      <c r="B54" s="74"/>
      <c r="C54" s="74"/>
      <c r="D54" s="74"/>
      <c r="E54" s="74"/>
      <c r="F54" s="74"/>
      <c r="G54" s="74"/>
      <c r="H54" s="74"/>
      <c r="I54" s="74"/>
      <c r="J54" s="74"/>
    </row>
    <row r="55" spans="1:10" x14ac:dyDescent="0.25">
      <c r="A55" s="74"/>
      <c r="B55" s="74"/>
      <c r="C55" s="74"/>
      <c r="D55" s="74"/>
      <c r="E55" s="74"/>
      <c r="F55" s="74"/>
      <c r="G55" s="74"/>
      <c r="H55" s="74"/>
      <c r="I55" s="74"/>
      <c r="J55" s="74"/>
    </row>
    <row r="56" spans="1:10" x14ac:dyDescent="0.25">
      <c r="A56" s="64"/>
      <c r="B56" s="64"/>
      <c r="C56" s="64"/>
      <c r="D56" s="64"/>
      <c r="E56" s="64"/>
      <c r="F56" s="64"/>
      <c r="G56" s="64"/>
      <c r="H56" s="64"/>
      <c r="I56" s="64"/>
      <c r="J56" s="64"/>
    </row>
    <row r="57" spans="1:10" x14ac:dyDescent="0.25">
      <c r="A57" s="64"/>
      <c r="B57" s="64"/>
      <c r="C57" s="64"/>
      <c r="D57" s="64"/>
      <c r="E57" s="64"/>
      <c r="F57" s="64"/>
      <c r="G57" s="64"/>
      <c r="H57" s="64"/>
      <c r="I57" s="75"/>
      <c r="J57" s="75"/>
    </row>
    <row r="58" spans="1:10" x14ac:dyDescent="0.25">
      <c r="A58" s="64"/>
      <c r="B58" s="64"/>
      <c r="C58" s="64"/>
      <c r="D58" s="64"/>
      <c r="E58" s="64"/>
      <c r="F58" s="64"/>
      <c r="G58" s="64"/>
      <c r="H58" s="64"/>
      <c r="I58" s="50" t="s">
        <v>31</v>
      </c>
      <c r="J58" s="47"/>
    </row>
    <row r="59" spans="1:10" x14ac:dyDescent="0.25">
      <c r="A59" s="64"/>
      <c r="B59" s="64"/>
      <c r="C59" s="64"/>
      <c r="D59" s="64"/>
      <c r="E59" s="64"/>
      <c r="F59" s="64"/>
      <c r="G59" s="64"/>
      <c r="H59" s="64"/>
      <c r="I59" s="50" t="s">
        <v>32</v>
      </c>
      <c r="J59" s="47"/>
    </row>
    <row r="60" spans="1:10" x14ac:dyDescent="0.25">
      <c r="A60" s="64"/>
      <c r="B60" s="64"/>
      <c r="C60" s="64"/>
      <c r="D60" s="64"/>
      <c r="E60" s="64"/>
      <c r="F60" s="64"/>
      <c r="G60" s="64"/>
      <c r="H60" s="64"/>
      <c r="I60" s="50" t="s">
        <v>33</v>
      </c>
      <c r="J60" s="47"/>
    </row>
  </sheetData>
  <mergeCells count="55">
    <mergeCell ref="A45:J45"/>
    <mergeCell ref="H21:I21"/>
    <mergeCell ref="A42:J43"/>
    <mergeCell ref="A47:J49"/>
    <mergeCell ref="A52:J52"/>
    <mergeCell ref="A28:E28"/>
    <mergeCell ref="A29:E29"/>
    <mergeCell ref="A30:E30"/>
    <mergeCell ref="A31:E31"/>
    <mergeCell ref="B35:D35"/>
    <mergeCell ref="B36:D36"/>
    <mergeCell ref="H28:I28"/>
    <mergeCell ref="H29:I29"/>
    <mergeCell ref="H30:I30"/>
    <mergeCell ref="H31:I31"/>
    <mergeCell ref="H32:I32"/>
    <mergeCell ref="H35:I35"/>
    <mergeCell ref="A15:J15"/>
    <mergeCell ref="A24:E24"/>
    <mergeCell ref="A25:E25"/>
    <mergeCell ref="A26:E26"/>
    <mergeCell ref="A27:E27"/>
    <mergeCell ref="H16:I16"/>
    <mergeCell ref="H17:I17"/>
    <mergeCell ref="H18:I18"/>
    <mergeCell ref="H19:I19"/>
    <mergeCell ref="H22:I22"/>
    <mergeCell ref="H23:I23"/>
    <mergeCell ref="H24:I24"/>
    <mergeCell ref="H25:I25"/>
    <mergeCell ref="H26:I26"/>
    <mergeCell ref="H27:I27"/>
    <mergeCell ref="H20:I20"/>
    <mergeCell ref="A11:J11"/>
    <mergeCell ref="A12:J12"/>
    <mergeCell ref="A13:J13"/>
    <mergeCell ref="A14:E14"/>
    <mergeCell ref="H14:I14"/>
    <mergeCell ref="A9:B9"/>
    <mergeCell ref="C9:H9"/>
    <mergeCell ref="A10:B10"/>
    <mergeCell ref="C10:H10"/>
    <mergeCell ref="I10:J10"/>
    <mergeCell ref="A8:B8"/>
    <mergeCell ref="C8:H8"/>
    <mergeCell ref="A1:C1"/>
    <mergeCell ref="D1:H1"/>
    <mergeCell ref="I1:J1"/>
    <mergeCell ref="A2:J2"/>
    <mergeCell ref="A3:J3"/>
    <mergeCell ref="A4:J4"/>
    <mergeCell ref="A5:J5"/>
    <mergeCell ref="A6:J6"/>
    <mergeCell ref="A7:B7"/>
    <mergeCell ref="C7:H7"/>
  </mergeCells>
  <pageMargins left="0.25" right="0.25" top="0.75" bottom="0.75" header="0.3" footer="0.3"/>
  <pageSetup scale="73" orientation="portrait" horizontalDpi="360" verticalDpi="36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22717-E0D2-4DCE-A37E-873A27DE7BBB}">
  <sheetPr>
    <pageSetUpPr fitToPage="1"/>
  </sheetPr>
  <dimension ref="A1:V39"/>
  <sheetViews>
    <sheetView zoomScale="76" zoomScaleNormal="76" workbookViewId="0">
      <pane ySplit="9" topLeftCell="A10" activePane="bottomLeft" state="frozen"/>
      <selection pane="bottomLeft" activeCell="G4" sqref="G4"/>
    </sheetView>
  </sheetViews>
  <sheetFormatPr defaultColWidth="9.140625" defaultRowHeight="15" x14ac:dyDescent="0.25"/>
  <cols>
    <col min="1" max="1" width="1.7109375" style="84" customWidth="1"/>
    <col min="2" max="2" width="50.42578125" style="84" bestFit="1" customWidth="1"/>
    <col min="3" max="3" width="1" style="84" customWidth="1"/>
    <col min="4" max="4" width="1.7109375" style="84" customWidth="1"/>
    <col min="5" max="5" width="19.5703125" style="85" bestFit="1" customWidth="1"/>
    <col min="6" max="6" width="1.7109375" style="85" customWidth="1"/>
    <col min="7" max="7" width="20.140625" style="85" bestFit="1" customWidth="1"/>
    <col min="8" max="8" width="1.7109375" style="85" customWidth="1"/>
    <col min="9" max="9" width="12.5703125" style="85" bestFit="1" customWidth="1"/>
    <col min="10" max="10" width="1.7109375" style="85" customWidth="1"/>
    <col min="11" max="11" width="10.7109375" style="85" bestFit="1" customWidth="1"/>
    <col min="12" max="12" width="1.7109375" style="84" customWidth="1"/>
    <col min="13" max="13" width="11.140625" style="84" customWidth="1"/>
    <col min="14" max="14" width="1.7109375" style="84" customWidth="1"/>
    <col min="15" max="15" width="15.7109375" style="84" customWidth="1"/>
    <col min="16" max="16" width="1.7109375" style="84" customWidth="1"/>
    <col min="17" max="17" width="23.28515625" style="84" customWidth="1"/>
    <col min="18" max="18" width="1.7109375" style="84" customWidth="1"/>
    <col min="19" max="20" width="17.5703125" style="84" bestFit="1" customWidth="1"/>
    <col min="21" max="21" width="1.7109375" style="84" customWidth="1"/>
    <col min="22" max="22" width="16.28515625" style="84" bestFit="1" customWidth="1"/>
    <col min="23" max="16384" width="9.140625" style="84"/>
  </cols>
  <sheetData>
    <row r="1" spans="1:22" x14ac:dyDescent="0.25">
      <c r="A1" s="107" t="s">
        <v>340</v>
      </c>
      <c r="B1" s="107"/>
      <c r="C1" s="107"/>
      <c r="D1" s="107"/>
      <c r="E1" s="107"/>
      <c r="F1" s="107"/>
      <c r="G1" s="107"/>
      <c r="H1" s="107"/>
      <c r="I1" s="107"/>
      <c r="J1" s="107"/>
      <c r="K1" s="107"/>
      <c r="L1" s="107"/>
      <c r="M1" s="107"/>
      <c r="N1" s="107"/>
      <c r="O1" s="107"/>
      <c r="P1" s="107"/>
      <c r="Q1" s="107"/>
      <c r="R1" s="107"/>
      <c r="S1" s="107"/>
      <c r="T1" s="107"/>
      <c r="U1" s="107"/>
      <c r="V1" s="107"/>
    </row>
    <row r="2" spans="1:22" x14ac:dyDescent="0.25">
      <c r="A2" s="107" t="s">
        <v>339</v>
      </c>
      <c r="B2" s="107"/>
      <c r="C2" s="107"/>
      <c r="D2" s="107"/>
      <c r="E2" s="107"/>
      <c r="F2" s="107"/>
      <c r="G2" s="107"/>
      <c r="H2" s="107"/>
      <c r="I2" s="107"/>
      <c r="J2" s="107"/>
      <c r="K2" s="107"/>
      <c r="L2" s="107"/>
      <c r="M2" s="107"/>
      <c r="N2" s="107"/>
      <c r="O2" s="107"/>
      <c r="P2" s="107"/>
      <c r="Q2" s="107"/>
      <c r="R2" s="107"/>
      <c r="S2" s="107"/>
      <c r="T2" s="107"/>
      <c r="U2" s="107"/>
      <c r="V2" s="107"/>
    </row>
    <row r="3" spans="1:22" x14ac:dyDescent="0.25">
      <c r="A3" s="107" t="s">
        <v>338</v>
      </c>
      <c r="B3" s="107"/>
      <c r="C3" s="107"/>
      <c r="D3" s="107"/>
      <c r="E3" s="107"/>
      <c r="F3" s="107"/>
      <c r="G3" s="107"/>
      <c r="H3" s="107"/>
      <c r="I3" s="107"/>
      <c r="J3" s="107"/>
      <c r="K3" s="107"/>
      <c r="L3" s="107"/>
      <c r="M3" s="107"/>
      <c r="N3" s="107"/>
      <c r="O3" s="107"/>
      <c r="P3" s="107"/>
      <c r="Q3" s="107"/>
      <c r="R3" s="107"/>
      <c r="S3" s="107"/>
      <c r="T3" s="107"/>
      <c r="U3" s="107"/>
      <c r="V3" s="107"/>
    </row>
    <row r="4" spans="1:22" x14ac:dyDescent="0.25">
      <c r="A4" s="107" t="s">
        <v>347</v>
      </c>
      <c r="B4" s="107"/>
      <c r="C4" s="107"/>
      <c r="D4" s="107"/>
      <c r="E4" s="107"/>
      <c r="F4" s="107"/>
      <c r="G4" s="107"/>
      <c r="H4" s="107"/>
      <c r="I4" s="107"/>
      <c r="J4" s="107"/>
      <c r="K4" s="107"/>
      <c r="L4" s="107"/>
      <c r="M4" s="107"/>
      <c r="N4" s="107"/>
      <c r="O4" s="107"/>
      <c r="P4" s="107"/>
      <c r="Q4" s="107"/>
      <c r="R4" s="107"/>
      <c r="S4" s="107"/>
      <c r="T4" s="107"/>
      <c r="U4" s="107"/>
      <c r="V4" s="107"/>
    </row>
    <row r="5" spans="1:22" x14ac:dyDescent="0.25">
      <c r="A5" s="107" t="s">
        <v>336</v>
      </c>
      <c r="B5" s="107"/>
      <c r="C5" s="107"/>
      <c r="D5" s="107"/>
      <c r="E5" s="107"/>
      <c r="F5" s="107"/>
      <c r="G5" s="107"/>
      <c r="H5" s="107"/>
      <c r="I5" s="107"/>
      <c r="J5" s="107"/>
      <c r="K5" s="107"/>
      <c r="L5" s="107"/>
      <c r="M5" s="107"/>
      <c r="N5" s="107"/>
      <c r="O5" s="107"/>
      <c r="P5" s="107"/>
      <c r="Q5" s="107"/>
      <c r="R5" s="107"/>
      <c r="S5" s="107"/>
      <c r="T5" s="107"/>
      <c r="U5" s="107"/>
      <c r="V5" s="107"/>
    </row>
    <row r="6" spans="1:22" x14ac:dyDescent="0.25">
      <c r="A6" s="86"/>
      <c r="B6" s="86"/>
      <c r="C6" s="86"/>
      <c r="D6" s="86"/>
      <c r="E6" s="87"/>
      <c r="F6" s="87"/>
      <c r="G6" s="87"/>
      <c r="H6" s="87"/>
      <c r="I6" s="87"/>
      <c r="J6" s="87"/>
      <c r="K6" s="87"/>
      <c r="L6" s="86"/>
      <c r="M6" s="86"/>
      <c r="N6" s="86"/>
      <c r="O6" s="86"/>
      <c r="P6" s="86"/>
      <c r="Q6" s="86"/>
      <c r="R6" s="86"/>
      <c r="S6" s="86"/>
      <c r="T6" s="86"/>
      <c r="U6" s="86"/>
      <c r="V6" s="86"/>
    </row>
    <row r="7" spans="1:22" x14ac:dyDescent="0.25">
      <c r="A7" s="86"/>
      <c r="B7" s="86"/>
      <c r="C7" s="86"/>
      <c r="D7" s="86"/>
      <c r="E7" s="87"/>
      <c r="F7" s="87"/>
      <c r="G7" s="87"/>
      <c r="H7" s="87"/>
      <c r="I7" s="87"/>
      <c r="J7" s="91"/>
      <c r="K7" s="106" t="s">
        <v>335</v>
      </c>
      <c r="L7" s="106"/>
      <c r="M7" s="106"/>
      <c r="N7" s="106"/>
      <c r="O7" s="106"/>
      <c r="P7" s="106"/>
      <c r="Q7" s="106"/>
      <c r="R7" s="106"/>
      <c r="S7" s="106"/>
      <c r="T7" s="106"/>
      <c r="U7" s="86"/>
      <c r="V7" s="86"/>
    </row>
    <row r="8" spans="1:22" x14ac:dyDescent="0.25">
      <c r="A8" s="86"/>
      <c r="B8" s="86"/>
      <c r="C8" s="86"/>
      <c r="D8" s="86"/>
      <c r="E8" s="103" t="s">
        <v>334</v>
      </c>
      <c r="F8" s="104"/>
      <c r="G8" s="103" t="s">
        <v>333</v>
      </c>
      <c r="H8" s="104"/>
      <c r="I8" s="103" t="s">
        <v>332</v>
      </c>
      <c r="J8" s="105"/>
      <c r="K8" s="111" t="s">
        <v>331</v>
      </c>
      <c r="L8" s="113"/>
      <c r="M8" s="111" t="s">
        <v>330</v>
      </c>
      <c r="N8" s="112"/>
      <c r="O8" s="111" t="s">
        <v>329</v>
      </c>
      <c r="P8" s="112"/>
      <c r="Q8" s="111" t="s">
        <v>328</v>
      </c>
      <c r="R8" s="112"/>
      <c r="S8" s="111" t="s">
        <v>327</v>
      </c>
      <c r="T8" s="111" t="s">
        <v>326</v>
      </c>
      <c r="U8" s="104"/>
      <c r="V8" s="103" t="s">
        <v>325</v>
      </c>
    </row>
    <row r="9" spans="1:22" ht="120" x14ac:dyDescent="0.25">
      <c r="A9" s="94"/>
      <c r="B9" s="86"/>
      <c r="C9" s="86"/>
      <c r="D9" s="86"/>
      <c r="E9" s="95" t="s">
        <v>324</v>
      </c>
      <c r="F9" s="100"/>
      <c r="G9" s="95" t="s">
        <v>323</v>
      </c>
      <c r="H9" s="100"/>
      <c r="I9" s="102" t="s">
        <v>322</v>
      </c>
      <c r="J9" s="101"/>
      <c r="K9" s="95" t="s">
        <v>321</v>
      </c>
      <c r="L9" s="110"/>
      <c r="M9" s="95" t="s">
        <v>320</v>
      </c>
      <c r="N9" s="108"/>
      <c r="O9" s="95" t="s">
        <v>319</v>
      </c>
      <c r="P9" s="108"/>
      <c r="Q9" s="109" t="s">
        <v>318</v>
      </c>
      <c r="R9" s="108"/>
      <c r="S9" s="95" t="s">
        <v>342</v>
      </c>
      <c r="T9" s="109" t="s">
        <v>316</v>
      </c>
      <c r="U9" s="96"/>
      <c r="V9" s="95" t="s">
        <v>315</v>
      </c>
    </row>
    <row r="10" spans="1:22" x14ac:dyDescent="0.25">
      <c r="A10" s="86"/>
      <c r="B10" s="86"/>
      <c r="C10" s="86"/>
      <c r="D10" s="86"/>
      <c r="E10" s="87"/>
      <c r="F10" s="87"/>
      <c r="G10" s="87"/>
      <c r="H10" s="87"/>
      <c r="I10" s="87"/>
      <c r="J10" s="91"/>
      <c r="K10" s="87"/>
      <c r="L10" s="87"/>
      <c r="M10" s="87"/>
      <c r="N10" s="87"/>
      <c r="O10" s="87"/>
      <c r="P10" s="87"/>
      <c r="Q10" s="87"/>
      <c r="R10" s="87"/>
      <c r="S10" s="87"/>
      <c r="T10" s="87"/>
      <c r="U10" s="87"/>
      <c r="V10" s="87"/>
    </row>
    <row r="11" spans="1:22" x14ac:dyDescent="0.25">
      <c r="A11" s="94" t="s">
        <v>10</v>
      </c>
      <c r="B11" s="86"/>
      <c r="C11" s="86"/>
      <c r="D11" s="86"/>
      <c r="E11" s="87"/>
      <c r="F11" s="87"/>
      <c r="G11" s="87"/>
      <c r="H11" s="87"/>
      <c r="I11" s="87"/>
      <c r="J11" s="91"/>
      <c r="K11" s="87"/>
      <c r="L11" s="87"/>
      <c r="M11" s="87"/>
      <c r="N11" s="87"/>
      <c r="O11" s="87"/>
      <c r="P11" s="87"/>
      <c r="Q11" s="87"/>
      <c r="R11" s="87"/>
      <c r="S11" s="87"/>
      <c r="T11" s="87"/>
      <c r="U11" s="87"/>
      <c r="V11" s="87"/>
    </row>
    <row r="12" spans="1:22" x14ac:dyDescent="0.25">
      <c r="A12" s="86"/>
      <c r="B12" s="86" t="s">
        <v>314</v>
      </c>
      <c r="C12" s="86"/>
      <c r="D12" s="86"/>
      <c r="E12" s="92">
        <v>0</v>
      </c>
      <c r="F12" s="87"/>
      <c r="G12" s="92">
        <v>0</v>
      </c>
      <c r="H12" s="87"/>
      <c r="I12" s="85">
        <f t="shared" ref="I12:I17" si="0">G12-E12</f>
        <v>0</v>
      </c>
      <c r="J12" s="91"/>
      <c r="K12" s="87"/>
      <c r="L12" s="87"/>
      <c r="M12" s="87"/>
      <c r="N12" s="87"/>
      <c r="O12" s="87"/>
      <c r="P12" s="87"/>
      <c r="Q12" s="87"/>
      <c r="R12" s="87"/>
      <c r="S12" s="87"/>
      <c r="T12" s="87"/>
      <c r="U12" s="87"/>
      <c r="V12" s="85">
        <f t="shared" ref="V12:V28" si="1">SUM(K12:T12)</f>
        <v>0</v>
      </c>
    </row>
    <row r="13" spans="1:22" x14ac:dyDescent="0.25">
      <c r="A13" s="86"/>
      <c r="B13" s="86" t="s">
        <v>313</v>
      </c>
      <c r="C13" s="86"/>
      <c r="D13" s="86"/>
      <c r="E13" s="92">
        <v>0</v>
      </c>
      <c r="F13" s="87"/>
      <c r="G13" s="92">
        <v>0</v>
      </c>
      <c r="H13" s="87"/>
      <c r="I13" s="85">
        <f t="shared" si="0"/>
        <v>0</v>
      </c>
      <c r="J13" s="91"/>
      <c r="K13" s="87"/>
      <c r="L13" s="87"/>
      <c r="M13" s="87"/>
      <c r="N13" s="87"/>
      <c r="O13" s="87"/>
      <c r="P13" s="87"/>
      <c r="Q13" s="87"/>
      <c r="R13" s="87"/>
      <c r="S13" s="87"/>
      <c r="T13" s="87"/>
      <c r="U13" s="87"/>
      <c r="V13" s="85">
        <f t="shared" si="1"/>
        <v>0</v>
      </c>
    </row>
    <row r="14" spans="1:22" x14ac:dyDescent="0.25">
      <c r="A14" s="86"/>
      <c r="B14" s="86" t="s">
        <v>312</v>
      </c>
      <c r="C14" s="86"/>
      <c r="D14" s="86"/>
      <c r="E14" s="92"/>
      <c r="F14" s="87"/>
      <c r="G14" s="92"/>
      <c r="H14" s="87"/>
      <c r="I14" s="85">
        <f t="shared" si="0"/>
        <v>0</v>
      </c>
      <c r="J14" s="91"/>
      <c r="K14" s="87"/>
      <c r="L14" s="87"/>
      <c r="M14" s="87"/>
      <c r="N14" s="87"/>
      <c r="O14" s="87"/>
      <c r="P14" s="87"/>
      <c r="Q14" s="87"/>
      <c r="R14" s="87"/>
      <c r="S14" s="87"/>
      <c r="T14" s="87"/>
      <c r="U14" s="87"/>
      <c r="V14" s="85">
        <f t="shared" si="1"/>
        <v>0</v>
      </c>
    </row>
    <row r="15" spans="1:22" x14ac:dyDescent="0.25">
      <c r="A15" s="86"/>
      <c r="B15" s="86" t="s">
        <v>311</v>
      </c>
      <c r="C15" s="86"/>
      <c r="D15" s="86"/>
      <c r="E15" s="92">
        <v>0</v>
      </c>
      <c r="F15" s="87"/>
      <c r="G15" s="92">
        <v>0</v>
      </c>
      <c r="H15" s="87"/>
      <c r="I15" s="85">
        <f t="shared" si="0"/>
        <v>0</v>
      </c>
      <c r="J15" s="91"/>
      <c r="K15" s="87"/>
      <c r="L15" s="87"/>
      <c r="M15" s="87"/>
      <c r="N15" s="87"/>
      <c r="O15" s="87"/>
      <c r="P15" s="87"/>
      <c r="Q15" s="87"/>
      <c r="R15" s="87"/>
      <c r="S15" s="87"/>
      <c r="T15" s="87"/>
      <c r="U15" s="87"/>
      <c r="V15" s="85">
        <f t="shared" si="1"/>
        <v>0</v>
      </c>
    </row>
    <row r="16" spans="1:22" x14ac:dyDescent="0.25">
      <c r="A16" s="86"/>
      <c r="B16" s="86" t="s">
        <v>310</v>
      </c>
      <c r="C16" s="86"/>
      <c r="D16" s="86"/>
      <c r="E16" s="92">
        <v>118313169.44999999</v>
      </c>
      <c r="F16" s="87"/>
      <c r="G16" s="92">
        <v>117385682.3</v>
      </c>
      <c r="H16" s="87"/>
      <c r="I16" s="85">
        <f t="shared" si="0"/>
        <v>-927487.14999999106</v>
      </c>
      <c r="J16" s="91"/>
      <c r="K16" s="87"/>
      <c r="L16" s="87"/>
      <c r="M16" s="87"/>
      <c r="N16" s="87"/>
      <c r="O16" s="87"/>
      <c r="P16" s="87"/>
      <c r="Q16" s="87">
        <v>927487.15</v>
      </c>
      <c r="R16" s="87"/>
      <c r="S16" s="87"/>
      <c r="T16" s="87"/>
      <c r="U16" s="87"/>
      <c r="V16" s="85">
        <f t="shared" si="1"/>
        <v>927487.15</v>
      </c>
    </row>
    <row r="17" spans="1:22" x14ac:dyDescent="0.25">
      <c r="A17" s="86"/>
      <c r="B17" s="86" t="s">
        <v>309</v>
      </c>
      <c r="C17" s="86"/>
      <c r="D17" s="86"/>
      <c r="E17" s="92">
        <v>244681705.70999998</v>
      </c>
      <c r="F17" s="87"/>
      <c r="G17" s="92">
        <v>244681705.70999998</v>
      </c>
      <c r="H17" s="87"/>
      <c r="I17" s="85">
        <f t="shared" si="0"/>
        <v>0</v>
      </c>
      <c r="J17" s="91"/>
      <c r="K17" s="87"/>
      <c r="L17" s="87"/>
      <c r="M17" s="87"/>
      <c r="N17" s="87"/>
      <c r="O17" s="87"/>
      <c r="P17" s="87"/>
      <c r="Q17" s="87"/>
      <c r="R17" s="87"/>
      <c r="S17" s="87"/>
      <c r="T17" s="87"/>
      <c r="U17" s="87"/>
      <c r="V17" s="85">
        <f t="shared" si="1"/>
        <v>0</v>
      </c>
    </row>
    <row r="18" spans="1:22" x14ac:dyDescent="0.25">
      <c r="A18" s="94" t="s">
        <v>11</v>
      </c>
      <c r="B18" s="86"/>
      <c r="C18" s="86"/>
      <c r="D18" s="86"/>
      <c r="E18" s="87"/>
      <c r="F18" s="87"/>
      <c r="G18" s="87"/>
      <c r="H18" s="87"/>
      <c r="J18" s="91"/>
      <c r="K18" s="87"/>
      <c r="L18" s="87"/>
      <c r="M18" s="87"/>
      <c r="N18" s="87"/>
      <c r="O18" s="87"/>
      <c r="P18" s="87"/>
      <c r="Q18" s="87"/>
      <c r="R18" s="87"/>
      <c r="S18" s="87"/>
      <c r="T18" s="87"/>
      <c r="U18" s="87"/>
      <c r="V18" s="85">
        <f t="shared" si="1"/>
        <v>0</v>
      </c>
    </row>
    <row r="19" spans="1:22" x14ac:dyDescent="0.25">
      <c r="A19" s="86"/>
      <c r="B19" s="86" t="s">
        <v>308</v>
      </c>
      <c r="C19" s="86"/>
      <c r="D19" s="86"/>
      <c r="E19" s="92">
        <v>7255.8600000000006</v>
      </c>
      <c r="F19" s="87"/>
      <c r="G19" s="87">
        <v>7255.8600000000006</v>
      </c>
      <c r="H19" s="87"/>
      <c r="I19" s="85">
        <f>G19-E19</f>
        <v>0</v>
      </c>
      <c r="J19" s="91"/>
      <c r="K19" s="87"/>
      <c r="L19" s="87"/>
      <c r="M19" s="87"/>
      <c r="N19" s="87"/>
      <c r="O19" s="87"/>
      <c r="P19" s="87"/>
      <c r="Q19" s="87"/>
      <c r="R19" s="87"/>
      <c r="S19" s="87"/>
      <c r="T19" s="87"/>
      <c r="U19" s="87"/>
      <c r="V19" s="85">
        <f t="shared" si="1"/>
        <v>0</v>
      </c>
    </row>
    <row r="20" spans="1:22" x14ac:dyDescent="0.25">
      <c r="A20" s="86"/>
      <c r="B20" s="86" t="s">
        <v>307</v>
      </c>
      <c r="C20" s="86"/>
      <c r="D20" s="86"/>
      <c r="E20" s="92"/>
      <c r="F20" s="87"/>
      <c r="G20" s="87"/>
      <c r="H20" s="87"/>
      <c r="J20" s="91"/>
      <c r="K20" s="87"/>
      <c r="L20" s="87"/>
      <c r="M20" s="87"/>
      <c r="N20" s="87"/>
      <c r="O20" s="87"/>
      <c r="P20" s="87"/>
      <c r="Q20" s="87"/>
      <c r="R20" s="87"/>
      <c r="S20" s="87"/>
      <c r="T20" s="87"/>
      <c r="U20" s="87"/>
      <c r="V20" s="85">
        <f t="shared" si="1"/>
        <v>0</v>
      </c>
    </row>
    <row r="21" spans="1:22" x14ac:dyDescent="0.25">
      <c r="A21" s="86"/>
      <c r="B21" s="86" t="s">
        <v>306</v>
      </c>
      <c r="C21" s="86"/>
      <c r="D21" s="86"/>
      <c r="E21" s="92">
        <v>0</v>
      </c>
      <c r="F21" s="87"/>
      <c r="G21" s="87">
        <v>0</v>
      </c>
      <c r="H21" s="87"/>
      <c r="I21" s="85">
        <f>G21-E21</f>
        <v>0</v>
      </c>
      <c r="J21" s="91"/>
      <c r="K21" s="87"/>
      <c r="L21" s="87"/>
      <c r="M21" s="87"/>
      <c r="N21" s="87"/>
      <c r="O21" s="87"/>
      <c r="P21" s="87"/>
      <c r="Q21" s="87"/>
      <c r="R21" s="87"/>
      <c r="S21" s="87"/>
      <c r="T21" s="87"/>
      <c r="U21" s="87"/>
      <c r="V21" s="85">
        <f t="shared" si="1"/>
        <v>0</v>
      </c>
    </row>
    <row r="22" spans="1:22" x14ac:dyDescent="0.25">
      <c r="A22" s="86"/>
      <c r="B22" s="86" t="s">
        <v>305</v>
      </c>
      <c r="C22" s="86"/>
      <c r="D22" s="86"/>
      <c r="E22" s="92"/>
      <c r="F22" s="87"/>
      <c r="G22" s="87"/>
      <c r="H22" s="87"/>
      <c r="J22" s="91"/>
      <c r="K22" s="87"/>
      <c r="L22" s="87"/>
      <c r="M22" s="87"/>
      <c r="N22" s="87"/>
      <c r="O22" s="87"/>
      <c r="P22" s="87"/>
      <c r="Q22" s="87"/>
      <c r="R22" s="87"/>
      <c r="S22" s="87"/>
      <c r="T22" s="87"/>
      <c r="U22" s="87"/>
      <c r="V22" s="85">
        <f t="shared" si="1"/>
        <v>0</v>
      </c>
    </row>
    <row r="23" spans="1:22" x14ac:dyDescent="0.25">
      <c r="A23" s="86"/>
      <c r="B23" s="86" t="s">
        <v>304</v>
      </c>
      <c r="C23" s="86"/>
      <c r="D23" s="86"/>
      <c r="E23" s="92"/>
      <c r="F23" s="87"/>
      <c r="G23" s="87"/>
      <c r="H23" s="87"/>
      <c r="J23" s="91"/>
      <c r="K23" s="87"/>
      <c r="L23" s="87"/>
      <c r="M23" s="87"/>
      <c r="N23" s="87"/>
      <c r="O23" s="87"/>
      <c r="P23" s="87"/>
      <c r="Q23" s="87"/>
      <c r="R23" s="87"/>
      <c r="S23" s="87"/>
      <c r="T23" s="87"/>
      <c r="U23" s="87"/>
      <c r="V23" s="85">
        <f t="shared" si="1"/>
        <v>0</v>
      </c>
    </row>
    <row r="24" spans="1:22" x14ac:dyDescent="0.25">
      <c r="A24" s="86"/>
      <c r="B24" s="86" t="s">
        <v>303</v>
      </c>
      <c r="C24" s="86"/>
      <c r="D24" s="86"/>
      <c r="E24" s="92">
        <v>0</v>
      </c>
      <c r="F24" s="87"/>
      <c r="G24" s="87">
        <v>0</v>
      </c>
      <c r="H24" s="87"/>
      <c r="I24" s="85">
        <f>G24-E24</f>
        <v>0</v>
      </c>
      <c r="J24" s="91"/>
      <c r="K24" s="87"/>
      <c r="L24" s="87"/>
      <c r="M24" s="87"/>
      <c r="N24" s="87"/>
      <c r="O24" s="87"/>
      <c r="P24" s="87"/>
      <c r="Q24" s="87"/>
      <c r="R24" s="87"/>
      <c r="S24" s="87"/>
      <c r="T24" s="87"/>
      <c r="U24" s="87"/>
      <c r="V24" s="85">
        <f t="shared" si="1"/>
        <v>0</v>
      </c>
    </row>
    <row r="25" spans="1:22" x14ac:dyDescent="0.25">
      <c r="A25" s="86"/>
      <c r="B25" s="86" t="s">
        <v>14</v>
      </c>
      <c r="C25" s="86"/>
      <c r="D25" s="86"/>
      <c r="E25" s="92"/>
      <c r="F25" s="87"/>
      <c r="G25" s="87"/>
      <c r="H25" s="87"/>
      <c r="J25" s="91"/>
      <c r="K25" s="87"/>
      <c r="L25" s="87"/>
      <c r="M25" s="87"/>
      <c r="N25" s="87"/>
      <c r="O25" s="87"/>
      <c r="P25" s="87"/>
      <c r="Q25" s="87"/>
      <c r="R25" s="87"/>
      <c r="S25" s="87"/>
      <c r="T25" s="87"/>
      <c r="U25" s="87"/>
      <c r="V25" s="85">
        <f t="shared" si="1"/>
        <v>0</v>
      </c>
    </row>
    <row r="26" spans="1:22" ht="45" x14ac:dyDescent="0.25">
      <c r="A26" s="86"/>
      <c r="B26" s="93" t="s">
        <v>302</v>
      </c>
      <c r="C26" s="86"/>
      <c r="D26" s="86"/>
      <c r="E26" s="92">
        <v>0</v>
      </c>
      <c r="F26" s="87"/>
      <c r="G26" s="87">
        <v>0</v>
      </c>
      <c r="H26" s="87"/>
      <c r="I26" s="85">
        <f>G26-E26</f>
        <v>0</v>
      </c>
      <c r="J26" s="91"/>
      <c r="K26" s="87"/>
      <c r="L26" s="87"/>
      <c r="M26" s="87"/>
      <c r="N26" s="87"/>
      <c r="O26" s="87"/>
      <c r="P26" s="87"/>
      <c r="Q26" s="87"/>
      <c r="R26" s="87"/>
      <c r="S26" s="87">
        <v>0</v>
      </c>
      <c r="T26" s="87"/>
      <c r="U26" s="87"/>
      <c r="V26" s="85">
        <f t="shared" si="1"/>
        <v>0</v>
      </c>
    </row>
    <row r="27" spans="1:22" x14ac:dyDescent="0.25">
      <c r="A27" s="86"/>
      <c r="B27" s="86" t="s">
        <v>301</v>
      </c>
      <c r="C27" s="86"/>
      <c r="D27" s="86"/>
      <c r="E27" s="92"/>
      <c r="F27" s="87"/>
      <c r="G27" s="87"/>
      <c r="H27" s="87"/>
      <c r="J27" s="91"/>
      <c r="K27" s="87"/>
      <c r="L27" s="87"/>
      <c r="M27" s="87"/>
      <c r="N27" s="87"/>
      <c r="O27" s="87"/>
      <c r="P27" s="87"/>
      <c r="Q27" s="87"/>
      <c r="R27" s="87"/>
      <c r="S27" s="87"/>
      <c r="T27" s="87"/>
      <c r="U27" s="87"/>
      <c r="V27" s="85">
        <f t="shared" si="1"/>
        <v>0</v>
      </c>
    </row>
    <row r="28" spans="1:22" x14ac:dyDescent="0.25">
      <c r="A28" s="86"/>
      <c r="B28" s="86" t="s">
        <v>300</v>
      </c>
      <c r="C28" s="86"/>
      <c r="D28" s="86"/>
      <c r="E28" s="92"/>
      <c r="F28" s="87"/>
      <c r="G28" s="87"/>
      <c r="H28" s="87"/>
      <c r="I28" s="85">
        <f>G28-E28</f>
        <v>0</v>
      </c>
      <c r="J28" s="91"/>
      <c r="K28" s="87"/>
      <c r="L28" s="87"/>
      <c r="M28" s="87"/>
      <c r="N28" s="87"/>
      <c r="O28" s="87"/>
      <c r="P28" s="87"/>
      <c r="Q28" s="87"/>
      <c r="R28" s="87"/>
      <c r="S28" s="87"/>
      <c r="T28" s="87"/>
      <c r="U28" s="87"/>
      <c r="V28" s="85">
        <f t="shared" si="1"/>
        <v>0</v>
      </c>
    </row>
    <row r="29" spans="1:22" ht="15.75" thickBot="1" x14ac:dyDescent="0.3">
      <c r="A29" s="90" t="s">
        <v>12</v>
      </c>
      <c r="E29" s="88">
        <f>SUM(E12:E28)</f>
        <v>363002131.01999998</v>
      </c>
      <c r="G29" s="88">
        <f>SUM(G12:G28)</f>
        <v>362074643.87</v>
      </c>
      <c r="I29" s="88">
        <f>SUM(I12:I28)</f>
        <v>-927487.14999999106</v>
      </c>
      <c r="J29" s="89"/>
      <c r="K29" s="88">
        <f>SUM(K12:K28)</f>
        <v>0</v>
      </c>
      <c r="L29" s="85"/>
      <c r="M29" s="88">
        <f>SUM(M12:M28)</f>
        <v>0</v>
      </c>
      <c r="N29" s="85"/>
      <c r="O29" s="88">
        <f>SUM(O12:O28)</f>
        <v>0</v>
      </c>
      <c r="P29" s="85"/>
      <c r="Q29" s="88">
        <f>SUM(Q12:Q28)</f>
        <v>927487.15</v>
      </c>
      <c r="R29" s="85"/>
      <c r="S29" s="88">
        <f>SUM(S12:S28)</f>
        <v>0</v>
      </c>
      <c r="T29" s="88">
        <f>SUM(T12:T28)</f>
        <v>0</v>
      </c>
      <c r="U29" s="85"/>
      <c r="V29" s="88">
        <f>SUM(V12:V28)</f>
        <v>927487.15</v>
      </c>
    </row>
    <row r="30" spans="1:22" ht="15.75" thickTop="1" x14ac:dyDescent="0.25">
      <c r="A30" s="86"/>
      <c r="B30" s="86"/>
      <c r="C30" s="86"/>
      <c r="D30" s="86"/>
      <c r="E30" s="87"/>
      <c r="F30" s="87"/>
      <c r="G30" s="87"/>
      <c r="H30" s="87"/>
      <c r="I30" s="87"/>
      <c r="J30" s="87"/>
      <c r="K30" s="87"/>
      <c r="L30" s="87"/>
      <c r="M30" s="87"/>
      <c r="N30" s="87"/>
      <c r="O30" s="87"/>
      <c r="P30" s="87"/>
      <c r="Q30" s="87"/>
      <c r="R30" s="87"/>
      <c r="S30" s="87"/>
      <c r="T30" s="87"/>
      <c r="U30" s="87"/>
      <c r="V30" s="87"/>
    </row>
    <row r="31" spans="1:22" x14ac:dyDescent="0.25">
      <c r="A31" s="86"/>
      <c r="B31" s="86"/>
      <c r="C31" s="86"/>
      <c r="D31" s="86"/>
      <c r="E31" s="87"/>
      <c r="F31" s="87"/>
      <c r="G31" s="87"/>
      <c r="H31" s="87"/>
      <c r="I31" s="87"/>
      <c r="J31" s="87"/>
      <c r="K31" s="87"/>
      <c r="L31" s="86"/>
      <c r="M31" s="86"/>
      <c r="N31" s="86"/>
      <c r="O31" s="86"/>
      <c r="P31" s="86"/>
      <c r="Q31" s="86"/>
      <c r="R31" s="86"/>
      <c r="S31" s="86"/>
      <c r="T31" s="86"/>
      <c r="U31" s="86"/>
      <c r="V31" s="86"/>
    </row>
    <row r="32" spans="1:22" x14ac:dyDescent="0.25">
      <c r="A32" s="86" t="s">
        <v>299</v>
      </c>
      <c r="B32" s="86"/>
      <c r="C32" s="86"/>
      <c r="D32" s="86"/>
      <c r="E32" s="87"/>
      <c r="F32" s="87"/>
      <c r="G32" s="87"/>
      <c r="H32" s="87"/>
      <c r="I32" s="87"/>
      <c r="J32" s="87"/>
      <c r="K32" s="87"/>
      <c r="L32" s="86"/>
      <c r="M32" s="86"/>
      <c r="N32" s="86"/>
      <c r="O32" s="86"/>
      <c r="P32" s="86"/>
      <c r="Q32" s="86"/>
      <c r="R32" s="86"/>
      <c r="S32" s="86"/>
      <c r="T32" s="86"/>
      <c r="U32" s="86"/>
      <c r="V32" s="86"/>
    </row>
    <row r="33" spans="1:22" x14ac:dyDescent="0.25">
      <c r="A33" s="86" t="s">
        <v>298</v>
      </c>
      <c r="B33" s="86"/>
      <c r="C33" s="86" t="s">
        <v>297</v>
      </c>
      <c r="D33" s="86"/>
      <c r="E33" s="87"/>
      <c r="F33" s="87"/>
      <c r="G33" s="87"/>
      <c r="H33" s="87"/>
      <c r="I33" s="87"/>
      <c r="J33" s="87"/>
      <c r="K33" s="87"/>
      <c r="L33" s="86"/>
      <c r="M33" s="86"/>
      <c r="N33" s="86"/>
      <c r="O33" s="86"/>
      <c r="P33" s="86"/>
      <c r="Q33" s="86"/>
      <c r="R33" s="86"/>
      <c r="S33" s="86"/>
      <c r="T33" s="86"/>
      <c r="U33" s="86"/>
      <c r="V33" s="86"/>
    </row>
    <row r="34" spans="1:22" x14ac:dyDescent="0.25">
      <c r="A34" s="86" t="s">
        <v>296</v>
      </c>
      <c r="B34" s="86"/>
      <c r="C34" s="86" t="s">
        <v>295</v>
      </c>
      <c r="D34" s="86"/>
      <c r="E34" s="87"/>
      <c r="F34" s="87"/>
      <c r="G34" s="87"/>
      <c r="H34" s="87"/>
      <c r="I34" s="87"/>
      <c r="J34" s="87"/>
      <c r="K34" s="87"/>
      <c r="L34" s="86"/>
      <c r="M34" s="86"/>
      <c r="N34" s="86"/>
      <c r="O34" s="86"/>
      <c r="P34" s="86"/>
      <c r="Q34" s="86"/>
      <c r="R34" s="86"/>
      <c r="S34" s="86"/>
      <c r="T34" s="86"/>
      <c r="U34" s="86"/>
      <c r="V34" s="86"/>
    </row>
    <row r="35" spans="1:22" x14ac:dyDescent="0.25">
      <c r="A35" s="86" t="s">
        <v>294</v>
      </c>
      <c r="B35" s="86"/>
      <c r="C35" s="86" t="s">
        <v>293</v>
      </c>
      <c r="D35" s="86"/>
      <c r="E35" s="87"/>
      <c r="F35" s="87"/>
      <c r="G35" s="87"/>
      <c r="H35" s="87"/>
      <c r="I35" s="87"/>
      <c r="J35" s="87"/>
      <c r="K35" s="87"/>
      <c r="L35" s="86"/>
      <c r="M35" s="86"/>
      <c r="N35" s="86"/>
      <c r="O35" s="86"/>
      <c r="P35" s="86"/>
      <c r="Q35" s="86"/>
      <c r="R35" s="86"/>
      <c r="S35" s="86"/>
      <c r="T35" s="86"/>
      <c r="U35" s="86"/>
      <c r="V35" s="86"/>
    </row>
    <row r="36" spans="1:22" x14ac:dyDescent="0.25">
      <c r="A36" s="86"/>
      <c r="B36" s="86"/>
      <c r="C36" s="86" t="s">
        <v>292</v>
      </c>
      <c r="D36" s="86"/>
      <c r="E36" s="87"/>
      <c r="F36" s="87"/>
      <c r="G36" s="87"/>
      <c r="H36" s="87"/>
      <c r="I36" s="87"/>
      <c r="J36" s="87"/>
      <c r="K36" s="87"/>
      <c r="L36" s="86"/>
      <c r="M36" s="86"/>
      <c r="N36" s="86"/>
      <c r="O36" s="86"/>
      <c r="P36" s="86"/>
      <c r="Q36" s="86"/>
      <c r="R36" s="86"/>
      <c r="S36" s="86"/>
      <c r="T36" s="86"/>
      <c r="U36" s="86"/>
      <c r="V36" s="86"/>
    </row>
    <row r="37" spans="1:22" x14ac:dyDescent="0.25">
      <c r="A37" s="86" t="s">
        <v>291</v>
      </c>
      <c r="B37" s="86"/>
      <c r="C37" s="86" t="s">
        <v>290</v>
      </c>
      <c r="D37" s="86"/>
      <c r="E37" s="87"/>
      <c r="F37" s="87"/>
      <c r="G37" s="87"/>
      <c r="H37" s="87"/>
      <c r="I37" s="87"/>
      <c r="J37" s="87"/>
      <c r="K37" s="87"/>
      <c r="L37" s="86"/>
      <c r="M37" s="86"/>
      <c r="N37" s="86"/>
      <c r="O37" s="86"/>
      <c r="P37" s="86"/>
      <c r="Q37" s="86"/>
      <c r="R37" s="86"/>
      <c r="S37" s="86"/>
      <c r="T37" s="86"/>
      <c r="U37" s="86"/>
      <c r="V37" s="86"/>
    </row>
    <row r="38" spans="1:22" x14ac:dyDescent="0.25">
      <c r="A38" s="86" t="s">
        <v>289</v>
      </c>
      <c r="B38" s="86"/>
      <c r="C38" s="86" t="s">
        <v>288</v>
      </c>
      <c r="D38" s="86"/>
      <c r="E38" s="87"/>
      <c r="F38" s="87"/>
      <c r="G38" s="87"/>
      <c r="H38" s="87"/>
      <c r="I38" s="87"/>
      <c r="J38" s="87"/>
      <c r="K38" s="87"/>
      <c r="L38" s="86"/>
      <c r="M38" s="86"/>
      <c r="N38" s="86"/>
      <c r="O38" s="86"/>
      <c r="P38" s="86"/>
      <c r="Q38" s="86"/>
      <c r="R38" s="86"/>
      <c r="S38" s="86"/>
      <c r="T38" s="86"/>
      <c r="U38" s="86"/>
      <c r="V38" s="86"/>
    </row>
    <row r="39" spans="1:22" x14ac:dyDescent="0.25">
      <c r="A39" s="86"/>
      <c r="B39" s="86"/>
      <c r="C39" s="86"/>
      <c r="D39" s="86"/>
      <c r="E39" s="87"/>
      <c r="F39" s="87"/>
      <c r="G39" s="87"/>
      <c r="H39" s="87"/>
      <c r="I39" s="87"/>
      <c r="J39" s="87"/>
      <c r="K39" s="87"/>
      <c r="L39" s="86"/>
      <c r="M39" s="86"/>
      <c r="N39" s="86"/>
      <c r="O39" s="86"/>
      <c r="P39" s="86"/>
      <c r="Q39" s="86"/>
      <c r="R39" s="86"/>
      <c r="S39" s="86"/>
      <c r="T39" s="86"/>
      <c r="U39" s="86"/>
      <c r="V39" s="86"/>
    </row>
  </sheetData>
  <printOptions horizontalCentered="1"/>
  <pageMargins left="0" right="0" top="0.75" bottom="0.75" header="0.3" footer="0.3"/>
  <pageSetup scale="58" orientation="landscape" horizontalDpi="4294967295" verticalDpi="4294967295"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88CFB-5C5E-44B0-A285-6308579091CD}">
  <sheetPr>
    <pageSetUpPr fitToPage="1"/>
  </sheetPr>
  <dimension ref="A1:K57"/>
  <sheetViews>
    <sheetView workbookViewId="0">
      <pane ySplit="14" topLeftCell="A32"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8.28515625" bestFit="1" customWidth="1"/>
    <col min="7" max="7" width="16.7109375" customWidth="1"/>
    <col min="8" max="8" width="3.28515625" customWidth="1"/>
    <col min="9" max="9" width="11.85546875" customWidth="1"/>
    <col min="10" max="10" width="22.140625" customWidth="1"/>
  </cols>
  <sheetData>
    <row r="1" spans="1:11" x14ac:dyDescent="0.25">
      <c r="A1" s="161"/>
      <c r="B1" s="161"/>
      <c r="C1" s="161"/>
      <c r="D1" s="161"/>
      <c r="E1" s="161"/>
      <c r="F1" s="161"/>
      <c r="G1" s="161"/>
      <c r="H1" s="161"/>
      <c r="I1" s="147" t="s">
        <v>236</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27.95" customHeight="1" x14ac:dyDescent="0.25">
      <c r="A4" s="156" t="s">
        <v>129</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7" t="s">
        <v>250</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c r="G16" s="53"/>
      <c r="H16" s="148"/>
      <c r="I16" s="148"/>
      <c r="J16" s="53">
        <f t="shared" ref="J16:J21" si="0">F16+G16-H16</f>
        <v>0</v>
      </c>
      <c r="K16" s="41"/>
    </row>
    <row r="17" spans="1:11" s="37" customFormat="1" x14ac:dyDescent="0.25">
      <c r="A17" s="39" t="s">
        <v>71</v>
      </c>
      <c r="B17" s="40"/>
      <c r="C17" s="40"/>
      <c r="D17" s="40"/>
      <c r="E17" s="40"/>
      <c r="F17" s="53"/>
      <c r="G17" s="53"/>
      <c r="H17" s="148"/>
      <c r="I17" s="148"/>
      <c r="J17" s="53">
        <f t="shared" si="0"/>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v>5131.6000000000004</v>
      </c>
      <c r="G19" s="53"/>
      <c r="H19" s="148"/>
      <c r="I19" s="148"/>
      <c r="J19" s="53">
        <f t="shared" si="0"/>
        <v>5131.6000000000004</v>
      </c>
      <c r="K19" s="41"/>
    </row>
    <row r="20" spans="1:11" s="37" customFormat="1" ht="17.25" x14ac:dyDescent="0.25">
      <c r="A20" s="39" t="s">
        <v>220</v>
      </c>
      <c r="B20" s="40"/>
      <c r="C20" s="40"/>
      <c r="D20" s="40"/>
      <c r="E20" s="40"/>
      <c r="F20" s="53">
        <v>76044930.709999979</v>
      </c>
      <c r="G20" s="53">
        <v>11734706.939999999</v>
      </c>
      <c r="H20" s="148"/>
      <c r="I20" s="148"/>
      <c r="J20" s="53">
        <f t="shared" si="0"/>
        <v>87779637.649999976</v>
      </c>
      <c r="K20" s="41"/>
    </row>
    <row r="21" spans="1:11" s="37" customFormat="1" ht="17.25" x14ac:dyDescent="0.25">
      <c r="A21" s="67" t="s">
        <v>268</v>
      </c>
      <c r="B21" s="40"/>
      <c r="C21" s="40"/>
      <c r="D21" s="40"/>
      <c r="E21" s="40"/>
      <c r="F21" s="53">
        <v>1463146707.3199999</v>
      </c>
      <c r="G21" s="53">
        <v>17855.47</v>
      </c>
      <c r="H21" s="148"/>
      <c r="I21" s="148"/>
      <c r="J21" s="53">
        <f t="shared" si="0"/>
        <v>1463164562.79</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v>46218.78</v>
      </c>
      <c r="G24" s="53"/>
      <c r="H24" s="148"/>
      <c r="I24" s="148"/>
      <c r="J24" s="53">
        <f>F24+G24-H24</f>
        <v>46218.78</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c r="G31" s="53"/>
      <c r="H31" s="148"/>
      <c r="I31" s="148"/>
      <c r="J31" s="53">
        <f t="shared" si="1"/>
        <v>0</v>
      </c>
      <c r="K31" s="41"/>
    </row>
    <row r="32" spans="1:11" s="37" customFormat="1" x14ac:dyDescent="0.25">
      <c r="A32" s="39" t="s">
        <v>81</v>
      </c>
      <c r="B32" s="40"/>
      <c r="C32" s="40"/>
      <c r="D32" s="40"/>
      <c r="E32" s="40"/>
      <c r="F32" s="53"/>
      <c r="G32" s="53"/>
      <c r="H32" s="148"/>
      <c r="I32" s="148"/>
      <c r="J32" s="53">
        <f t="shared" si="1"/>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128</v>
      </c>
      <c r="C35" s="141"/>
      <c r="D35" s="141"/>
      <c r="F35" s="56">
        <f>SUM(F16:F34)</f>
        <v>1539242988.4099998</v>
      </c>
      <c r="G35" s="56">
        <f>SUM(G16:G34)</f>
        <v>11752562.41</v>
      </c>
      <c r="H35" s="162">
        <f>SUM(H16:H34)</f>
        <v>0</v>
      </c>
      <c r="I35" s="162"/>
      <c r="J35" s="56">
        <f>SUM(J16:J34)</f>
        <v>1550995550.8199999</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ht="14.45" customHeight="1" x14ac:dyDescent="0.25">
      <c r="A40" s="143" t="s">
        <v>270</v>
      </c>
      <c r="B40" s="143"/>
      <c r="C40" s="143"/>
      <c r="D40" s="143"/>
      <c r="E40" s="143"/>
      <c r="F40" s="143"/>
      <c r="G40" s="143"/>
      <c r="H40" s="143"/>
      <c r="I40" s="143"/>
      <c r="J40" s="143"/>
    </row>
    <row r="41" spans="1:11" x14ac:dyDescent="0.25">
      <c r="A41" s="7"/>
      <c r="B41" s="22"/>
      <c r="C41" s="22"/>
      <c r="D41" s="22"/>
      <c r="E41" s="22"/>
      <c r="F41" s="7"/>
      <c r="G41" s="7"/>
      <c r="H41" s="7"/>
      <c r="I41" s="7"/>
      <c r="J41" s="7"/>
    </row>
    <row r="42" spans="1:11" ht="14.45" customHeight="1" x14ac:dyDescent="0.25">
      <c r="A42" s="143" t="s">
        <v>30</v>
      </c>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143"/>
      <c r="B44" s="143"/>
      <c r="C44" s="143"/>
      <c r="D44" s="143"/>
      <c r="E44" s="143"/>
      <c r="F44" s="143"/>
      <c r="G44" s="143"/>
      <c r="H44" s="143"/>
      <c r="I44" s="143"/>
      <c r="J44" s="143"/>
    </row>
    <row r="45" spans="1:11" x14ac:dyDescent="0.25">
      <c r="A45" s="143"/>
      <c r="B45" s="143"/>
      <c r="C45" s="143"/>
      <c r="D45" s="143"/>
      <c r="E45" s="143"/>
      <c r="F45" s="143"/>
      <c r="G45" s="143"/>
      <c r="H45" s="143"/>
      <c r="I45" s="143"/>
      <c r="J45" s="143"/>
    </row>
    <row r="46" spans="1:11" x14ac:dyDescent="0.25">
      <c r="A46" s="64"/>
      <c r="B46" s="64"/>
      <c r="C46" s="64"/>
      <c r="D46" s="64"/>
      <c r="E46" s="64"/>
      <c r="F46" s="64"/>
      <c r="G46" s="64"/>
      <c r="H46" s="64"/>
      <c r="I46" s="64"/>
      <c r="J46" s="64"/>
    </row>
    <row r="47" spans="1:11" x14ac:dyDescent="0.25">
      <c r="A47" s="64"/>
      <c r="B47" s="64"/>
      <c r="C47" s="64"/>
      <c r="D47" s="64"/>
      <c r="E47" s="64"/>
      <c r="F47" s="64"/>
      <c r="G47" s="64"/>
      <c r="H47" s="64"/>
      <c r="I47" s="64"/>
      <c r="J47" s="64"/>
    </row>
    <row r="48" spans="1:11" ht="14.45" customHeight="1" x14ac:dyDescent="0.25">
      <c r="A48" s="144" t="s">
        <v>28</v>
      </c>
      <c r="B48" s="144"/>
      <c r="C48" s="144"/>
      <c r="D48" s="144"/>
      <c r="E48" s="144"/>
      <c r="F48" s="144"/>
      <c r="G48" s="144"/>
      <c r="H48" s="144"/>
      <c r="I48" s="144"/>
      <c r="J48" s="144"/>
    </row>
    <row r="49" spans="1:10" x14ac:dyDescent="0.25">
      <c r="A49" s="74"/>
      <c r="B49" s="74"/>
      <c r="C49" s="74"/>
      <c r="D49" s="74"/>
      <c r="E49" s="74"/>
      <c r="F49" s="74"/>
      <c r="G49" s="74"/>
      <c r="H49" s="74"/>
      <c r="I49" s="74"/>
      <c r="J49" s="74"/>
    </row>
    <row r="50" spans="1:10" x14ac:dyDescent="0.25">
      <c r="A50" s="74"/>
      <c r="B50" s="74"/>
      <c r="C50" s="74"/>
      <c r="D50" s="74"/>
      <c r="E50" s="74"/>
      <c r="F50" s="74"/>
      <c r="G50" s="74"/>
      <c r="H50" s="74"/>
      <c r="I50" s="74"/>
      <c r="J50" s="74"/>
    </row>
    <row r="51" spans="1:10" x14ac:dyDescent="0.25">
      <c r="A51" s="74"/>
      <c r="B51" s="74"/>
      <c r="C51" s="74"/>
      <c r="D51" s="74"/>
      <c r="E51" s="74"/>
      <c r="F51" s="74"/>
      <c r="G51" s="74"/>
      <c r="H51" s="74"/>
      <c r="I51" s="74"/>
      <c r="J51" s="74"/>
    </row>
    <row r="52" spans="1:10" x14ac:dyDescent="0.25">
      <c r="A52" s="64"/>
      <c r="B52" s="64"/>
      <c r="C52" s="64"/>
      <c r="D52" s="64"/>
      <c r="E52" s="64"/>
      <c r="F52" s="64"/>
      <c r="G52" s="64"/>
      <c r="H52" s="64"/>
      <c r="I52" s="64"/>
      <c r="J52" s="64"/>
    </row>
    <row r="53" spans="1:10" x14ac:dyDescent="0.25">
      <c r="A53" s="64"/>
      <c r="B53" s="64"/>
      <c r="C53" s="64"/>
      <c r="D53" s="64"/>
      <c r="E53" s="64"/>
      <c r="F53" s="64"/>
      <c r="G53" s="64"/>
      <c r="H53" s="64"/>
      <c r="I53" s="75"/>
      <c r="J53" s="75"/>
    </row>
    <row r="54" spans="1:10" ht="14.45" customHeight="1" x14ac:dyDescent="0.25">
      <c r="A54" s="64"/>
      <c r="B54" s="64"/>
      <c r="C54" s="64"/>
      <c r="D54" s="64"/>
      <c r="E54" s="64"/>
      <c r="F54" s="64"/>
      <c r="G54" s="64"/>
      <c r="H54" s="64"/>
      <c r="I54" s="50" t="s">
        <v>31</v>
      </c>
      <c r="J54" s="47"/>
    </row>
    <row r="55" spans="1:10" ht="14.45" customHeight="1" x14ac:dyDescent="0.25">
      <c r="A55" s="64"/>
      <c r="B55" s="64"/>
      <c r="C55" s="64"/>
      <c r="D55" s="64"/>
      <c r="E55" s="64"/>
      <c r="F55" s="64"/>
      <c r="G55" s="64"/>
      <c r="H55" s="64"/>
      <c r="I55" s="50" t="s">
        <v>32</v>
      </c>
      <c r="J55" s="47"/>
    </row>
    <row r="56" spans="1:10" ht="14.45" customHeight="1" x14ac:dyDescent="0.25">
      <c r="A56" s="64"/>
      <c r="B56" s="64"/>
      <c r="C56" s="64"/>
      <c r="D56" s="64"/>
      <c r="E56" s="64"/>
      <c r="F56" s="64"/>
      <c r="G56" s="64"/>
      <c r="H56" s="64"/>
      <c r="I56" s="50" t="s">
        <v>33</v>
      </c>
      <c r="J56" s="47"/>
    </row>
    <row r="57" spans="1:10" x14ac:dyDescent="0.25">
      <c r="A57" s="64"/>
      <c r="B57" s="64"/>
      <c r="C57" s="64"/>
      <c r="D57" s="64"/>
      <c r="E57" s="64"/>
      <c r="F57" s="64"/>
      <c r="G57" s="64"/>
      <c r="H57" s="64"/>
      <c r="I57" s="64"/>
      <c r="J57" s="64"/>
    </row>
  </sheetData>
  <mergeCells count="54">
    <mergeCell ref="H27:I27"/>
    <mergeCell ref="H28:I28"/>
    <mergeCell ref="H29:I29"/>
    <mergeCell ref="H30:I30"/>
    <mergeCell ref="H31:I31"/>
    <mergeCell ref="A42:J45"/>
    <mergeCell ref="A48:J48"/>
    <mergeCell ref="A28:E28"/>
    <mergeCell ref="A29:E29"/>
    <mergeCell ref="A30:E30"/>
    <mergeCell ref="A31:E31"/>
    <mergeCell ref="B35:D35"/>
    <mergeCell ref="B36:D36"/>
    <mergeCell ref="H32:I32"/>
    <mergeCell ref="H35:I35"/>
    <mergeCell ref="A40:J40"/>
    <mergeCell ref="A15:J15"/>
    <mergeCell ref="A24:E24"/>
    <mergeCell ref="A25:E25"/>
    <mergeCell ref="A26:E26"/>
    <mergeCell ref="A27:E27"/>
    <mergeCell ref="H16:I16"/>
    <mergeCell ref="H17:I17"/>
    <mergeCell ref="H18:I18"/>
    <mergeCell ref="H19:I19"/>
    <mergeCell ref="H20:I20"/>
    <mergeCell ref="H21:I21"/>
    <mergeCell ref="H22:I22"/>
    <mergeCell ref="H23:I23"/>
    <mergeCell ref="H24:I24"/>
    <mergeCell ref="H25:I25"/>
    <mergeCell ref="H26:I26"/>
    <mergeCell ref="A11:J11"/>
    <mergeCell ref="A12:J12"/>
    <mergeCell ref="A13:J13"/>
    <mergeCell ref="A14:E14"/>
    <mergeCell ref="H14:I14"/>
    <mergeCell ref="A9:B9"/>
    <mergeCell ref="C9:H9"/>
    <mergeCell ref="A10:B10"/>
    <mergeCell ref="C10:H10"/>
    <mergeCell ref="I10:J10"/>
    <mergeCell ref="A8:B8"/>
    <mergeCell ref="C8:H8"/>
    <mergeCell ref="A1:C1"/>
    <mergeCell ref="D1:H1"/>
    <mergeCell ref="I1:J1"/>
    <mergeCell ref="A2:J2"/>
    <mergeCell ref="A3:J3"/>
    <mergeCell ref="A4:J4"/>
    <mergeCell ref="A5:J5"/>
    <mergeCell ref="A6:J6"/>
    <mergeCell ref="A7:B7"/>
    <mergeCell ref="C7:H7"/>
  </mergeCells>
  <pageMargins left="0.25" right="0.25" top="0.75" bottom="0.75" header="0.3" footer="0.3"/>
  <pageSetup scale="77" orientation="portrait" horizontalDpi="360" verticalDpi="36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E3F7D-FB42-4393-A173-74C1C56921BF}">
  <sheetPr>
    <pageSetUpPr fitToPage="1"/>
  </sheetPr>
  <dimension ref="A1:V39"/>
  <sheetViews>
    <sheetView zoomScale="76" zoomScaleNormal="76" workbookViewId="0">
      <pane ySplit="9" topLeftCell="A26" activePane="bottomLeft" state="frozen"/>
      <selection pane="bottomLeft" activeCell="M42" sqref="M42"/>
    </sheetView>
  </sheetViews>
  <sheetFormatPr defaultColWidth="9.140625" defaultRowHeight="15" x14ac:dyDescent="0.25"/>
  <cols>
    <col min="1" max="1" width="1.7109375" style="84" customWidth="1"/>
    <col min="2" max="2" width="50.42578125" style="84" bestFit="1" customWidth="1"/>
    <col min="3" max="3" width="1" style="84" customWidth="1"/>
    <col min="4" max="4" width="1.7109375" style="84" customWidth="1"/>
    <col min="5" max="5" width="19.5703125" style="85" bestFit="1" customWidth="1"/>
    <col min="6" max="6" width="1.7109375" style="85" customWidth="1"/>
    <col min="7" max="7" width="20.140625" style="85" bestFit="1" customWidth="1"/>
    <col min="8" max="8" width="1.7109375" style="85" customWidth="1"/>
    <col min="9" max="9" width="14.7109375" style="85" bestFit="1" customWidth="1"/>
    <col min="10" max="10" width="1.7109375" style="85" customWidth="1"/>
    <col min="11" max="11" width="10.7109375" style="85" bestFit="1" customWidth="1"/>
    <col min="12" max="12" width="1.7109375" style="84" customWidth="1"/>
    <col min="13" max="13" width="11.140625" style="84" customWidth="1"/>
    <col min="14" max="14" width="1.7109375" style="84" customWidth="1"/>
    <col min="15" max="15" width="15.7109375" style="84" customWidth="1"/>
    <col min="16" max="16" width="1.7109375" style="84" customWidth="1"/>
    <col min="17" max="17" width="24" style="84" customWidth="1"/>
    <col min="18" max="18" width="1.7109375" style="84" customWidth="1"/>
    <col min="19" max="20" width="17.5703125" style="84" bestFit="1" customWidth="1"/>
    <col min="21" max="21" width="1.7109375" style="84" customWidth="1"/>
    <col min="22" max="22" width="16.28515625" style="84" bestFit="1" customWidth="1"/>
    <col min="23" max="16384" width="9.140625" style="84"/>
  </cols>
  <sheetData>
    <row r="1" spans="1:22" x14ac:dyDescent="0.25">
      <c r="A1" s="107" t="s">
        <v>340</v>
      </c>
      <c r="B1" s="107"/>
      <c r="C1" s="107"/>
      <c r="D1" s="107"/>
      <c r="E1" s="107"/>
      <c r="F1" s="107"/>
      <c r="G1" s="107"/>
      <c r="H1" s="107"/>
      <c r="I1" s="107"/>
      <c r="J1" s="107"/>
      <c r="K1" s="107"/>
      <c r="L1" s="107"/>
      <c r="M1" s="107"/>
      <c r="N1" s="107"/>
      <c r="O1" s="107"/>
      <c r="P1" s="107"/>
      <c r="Q1" s="107"/>
      <c r="R1" s="107"/>
      <c r="S1" s="107"/>
      <c r="T1" s="107"/>
      <c r="U1" s="107"/>
      <c r="V1" s="107"/>
    </row>
    <row r="2" spans="1:22" x14ac:dyDescent="0.25">
      <c r="A2" s="107" t="s">
        <v>339</v>
      </c>
      <c r="B2" s="107"/>
      <c r="C2" s="107"/>
      <c r="D2" s="107"/>
      <c r="E2" s="107"/>
      <c r="F2" s="107"/>
      <c r="G2" s="107"/>
      <c r="H2" s="107"/>
      <c r="I2" s="107"/>
      <c r="J2" s="107"/>
      <c r="K2" s="107"/>
      <c r="L2" s="107"/>
      <c r="M2" s="107"/>
      <c r="N2" s="107"/>
      <c r="O2" s="107"/>
      <c r="P2" s="107"/>
      <c r="Q2" s="107"/>
      <c r="R2" s="107"/>
      <c r="S2" s="107"/>
      <c r="T2" s="107"/>
      <c r="U2" s="107"/>
      <c r="V2" s="107"/>
    </row>
    <row r="3" spans="1:22" x14ac:dyDescent="0.25">
      <c r="A3" s="107" t="s">
        <v>338</v>
      </c>
      <c r="B3" s="107"/>
      <c r="C3" s="107"/>
      <c r="D3" s="107"/>
      <c r="E3" s="107"/>
      <c r="F3" s="107"/>
      <c r="G3" s="107"/>
      <c r="H3" s="107"/>
      <c r="I3" s="107"/>
      <c r="J3" s="107"/>
      <c r="K3" s="107"/>
      <c r="L3" s="107"/>
      <c r="M3" s="107"/>
      <c r="N3" s="107"/>
      <c r="O3" s="107"/>
      <c r="P3" s="107"/>
      <c r="Q3" s="107"/>
      <c r="R3" s="107"/>
      <c r="S3" s="107"/>
      <c r="T3" s="107"/>
      <c r="U3" s="107"/>
      <c r="V3" s="107"/>
    </row>
    <row r="4" spans="1:22" x14ac:dyDescent="0.25">
      <c r="A4" s="107" t="s">
        <v>348</v>
      </c>
      <c r="B4" s="107"/>
      <c r="C4" s="107"/>
      <c r="D4" s="107"/>
      <c r="E4" s="107"/>
      <c r="F4" s="107"/>
      <c r="G4" s="107"/>
      <c r="H4" s="107"/>
      <c r="I4" s="107"/>
      <c r="J4" s="107"/>
      <c r="K4" s="107"/>
      <c r="L4" s="107"/>
      <c r="M4" s="107"/>
      <c r="N4" s="107"/>
      <c r="O4" s="107"/>
      <c r="P4" s="107"/>
      <c r="Q4" s="107"/>
      <c r="R4" s="107"/>
      <c r="S4" s="107"/>
      <c r="T4" s="107"/>
      <c r="U4" s="107"/>
      <c r="V4" s="107"/>
    </row>
    <row r="5" spans="1:22" x14ac:dyDescent="0.25">
      <c r="A5" s="107" t="s">
        <v>336</v>
      </c>
      <c r="B5" s="107"/>
      <c r="C5" s="107"/>
      <c r="D5" s="107"/>
      <c r="E5" s="107"/>
      <c r="F5" s="107"/>
      <c r="G5" s="107"/>
      <c r="H5" s="107"/>
      <c r="I5" s="107"/>
      <c r="J5" s="107"/>
      <c r="K5" s="107"/>
      <c r="L5" s="107"/>
      <c r="M5" s="107"/>
      <c r="N5" s="107"/>
      <c r="O5" s="107"/>
      <c r="P5" s="107"/>
      <c r="Q5" s="107"/>
      <c r="R5" s="107"/>
      <c r="S5" s="107"/>
      <c r="T5" s="107"/>
      <c r="U5" s="107"/>
      <c r="V5" s="107"/>
    </row>
    <row r="6" spans="1:22" x14ac:dyDescent="0.25">
      <c r="A6" s="86"/>
      <c r="B6" s="86"/>
      <c r="C6" s="86"/>
      <c r="D6" s="86"/>
      <c r="E6" s="87"/>
      <c r="F6" s="87"/>
      <c r="G6" s="87"/>
      <c r="H6" s="87"/>
      <c r="I6" s="87"/>
      <c r="J6" s="87"/>
      <c r="K6" s="87"/>
      <c r="L6" s="86"/>
      <c r="M6" s="86"/>
      <c r="N6" s="86"/>
      <c r="O6" s="86"/>
      <c r="P6" s="86"/>
      <c r="Q6" s="86"/>
      <c r="R6" s="86"/>
      <c r="S6" s="86"/>
      <c r="T6" s="86"/>
      <c r="U6" s="86"/>
      <c r="V6" s="86"/>
    </row>
    <row r="7" spans="1:22" x14ac:dyDescent="0.25">
      <c r="A7" s="86"/>
      <c r="B7" s="86"/>
      <c r="C7" s="86"/>
      <c r="D7" s="86"/>
      <c r="E7" s="87"/>
      <c r="F7" s="87"/>
      <c r="G7" s="87"/>
      <c r="H7" s="87"/>
      <c r="I7" s="87"/>
      <c r="J7" s="91"/>
      <c r="K7" s="106" t="s">
        <v>335</v>
      </c>
      <c r="L7" s="106"/>
      <c r="M7" s="106"/>
      <c r="N7" s="106"/>
      <c r="O7" s="106"/>
      <c r="P7" s="106"/>
      <c r="Q7" s="106"/>
      <c r="R7" s="106"/>
      <c r="S7" s="106"/>
      <c r="T7" s="106"/>
      <c r="U7" s="86"/>
      <c r="V7" s="86"/>
    </row>
    <row r="8" spans="1:22" x14ac:dyDescent="0.25">
      <c r="A8" s="86"/>
      <c r="B8" s="86"/>
      <c r="C8" s="86"/>
      <c r="D8" s="86"/>
      <c r="E8" s="103" t="s">
        <v>334</v>
      </c>
      <c r="F8" s="104"/>
      <c r="G8" s="103" t="s">
        <v>333</v>
      </c>
      <c r="H8" s="104"/>
      <c r="I8" s="103" t="s">
        <v>332</v>
      </c>
      <c r="J8" s="105"/>
      <c r="K8" s="111" t="s">
        <v>331</v>
      </c>
      <c r="L8" s="113"/>
      <c r="M8" s="111" t="s">
        <v>330</v>
      </c>
      <c r="N8" s="112"/>
      <c r="O8" s="111" t="s">
        <v>329</v>
      </c>
      <c r="P8" s="112"/>
      <c r="Q8" s="111" t="s">
        <v>328</v>
      </c>
      <c r="R8" s="112"/>
      <c r="S8" s="111" t="s">
        <v>327</v>
      </c>
      <c r="T8" s="111" t="s">
        <v>326</v>
      </c>
      <c r="U8" s="104"/>
      <c r="V8" s="103" t="s">
        <v>325</v>
      </c>
    </row>
    <row r="9" spans="1:22" ht="120" x14ac:dyDescent="0.25">
      <c r="A9" s="94"/>
      <c r="B9" s="86"/>
      <c r="C9" s="86"/>
      <c r="D9" s="86"/>
      <c r="E9" s="95" t="s">
        <v>324</v>
      </c>
      <c r="F9" s="100"/>
      <c r="G9" s="95" t="s">
        <v>323</v>
      </c>
      <c r="H9" s="100"/>
      <c r="I9" s="102" t="s">
        <v>322</v>
      </c>
      <c r="J9" s="101"/>
      <c r="K9" s="95" t="s">
        <v>321</v>
      </c>
      <c r="L9" s="110"/>
      <c r="M9" s="95" t="s">
        <v>320</v>
      </c>
      <c r="N9" s="108"/>
      <c r="O9" s="95" t="s">
        <v>319</v>
      </c>
      <c r="P9" s="108"/>
      <c r="Q9" s="109" t="s">
        <v>318</v>
      </c>
      <c r="R9" s="108"/>
      <c r="S9" s="95" t="s">
        <v>342</v>
      </c>
      <c r="T9" s="109" t="s">
        <v>316</v>
      </c>
      <c r="U9" s="96"/>
      <c r="V9" s="95" t="s">
        <v>315</v>
      </c>
    </row>
    <row r="10" spans="1:22" x14ac:dyDescent="0.25">
      <c r="A10" s="86"/>
      <c r="B10" s="86"/>
      <c r="C10" s="86"/>
      <c r="D10" s="86"/>
      <c r="E10" s="87"/>
      <c r="F10" s="87"/>
      <c r="G10" s="87"/>
      <c r="H10" s="87"/>
      <c r="I10" s="87"/>
      <c r="J10" s="91"/>
      <c r="K10" s="87"/>
      <c r="L10" s="87"/>
      <c r="M10" s="87"/>
      <c r="N10" s="87"/>
      <c r="O10" s="87"/>
      <c r="P10" s="87"/>
      <c r="Q10" s="87"/>
      <c r="R10" s="87"/>
      <c r="S10" s="87"/>
      <c r="T10" s="87"/>
      <c r="U10" s="87"/>
      <c r="V10" s="87"/>
    </row>
    <row r="11" spans="1:22" x14ac:dyDescent="0.25">
      <c r="A11" s="94" t="s">
        <v>10</v>
      </c>
      <c r="B11" s="86"/>
      <c r="C11" s="86"/>
      <c r="D11" s="86"/>
      <c r="E11" s="87"/>
      <c r="F11" s="87"/>
      <c r="G11" s="87"/>
      <c r="H11" s="87"/>
      <c r="I11" s="87"/>
      <c r="J11" s="91"/>
      <c r="K11" s="87"/>
      <c r="L11" s="87"/>
      <c r="M11" s="87"/>
      <c r="N11" s="87"/>
      <c r="O11" s="87"/>
      <c r="P11" s="87"/>
      <c r="Q11" s="87"/>
      <c r="R11" s="87"/>
      <c r="S11" s="87"/>
      <c r="T11" s="87"/>
      <c r="U11" s="87"/>
      <c r="V11" s="87"/>
    </row>
    <row r="12" spans="1:22" x14ac:dyDescent="0.25">
      <c r="A12" s="86"/>
      <c r="B12" s="86" t="s">
        <v>314</v>
      </c>
      <c r="C12" s="86"/>
      <c r="D12" s="86"/>
      <c r="E12" s="92">
        <v>0</v>
      </c>
      <c r="F12" s="87"/>
      <c r="G12" s="92">
        <v>0</v>
      </c>
      <c r="H12" s="87"/>
      <c r="I12" s="85">
        <f t="shared" ref="I12:I17" si="0">G12-E12</f>
        <v>0</v>
      </c>
      <c r="J12" s="91"/>
      <c r="K12" s="87"/>
      <c r="L12" s="87"/>
      <c r="M12" s="87"/>
      <c r="N12" s="87"/>
      <c r="O12" s="87"/>
      <c r="P12" s="87"/>
      <c r="Q12" s="87"/>
      <c r="R12" s="87"/>
      <c r="S12" s="87"/>
      <c r="T12" s="87"/>
      <c r="U12" s="87"/>
      <c r="V12" s="85">
        <f t="shared" ref="V12:V28" si="1">SUM(K12:T12)</f>
        <v>0</v>
      </c>
    </row>
    <row r="13" spans="1:22" x14ac:dyDescent="0.25">
      <c r="A13" s="86"/>
      <c r="B13" s="86" t="s">
        <v>313</v>
      </c>
      <c r="C13" s="86"/>
      <c r="D13" s="86"/>
      <c r="E13" s="92">
        <v>0</v>
      </c>
      <c r="F13" s="87"/>
      <c r="G13" s="92">
        <v>0</v>
      </c>
      <c r="H13" s="87"/>
      <c r="I13" s="85">
        <f t="shared" si="0"/>
        <v>0</v>
      </c>
      <c r="J13" s="91"/>
      <c r="K13" s="87"/>
      <c r="L13" s="87"/>
      <c r="M13" s="87"/>
      <c r="N13" s="87"/>
      <c r="O13" s="87"/>
      <c r="P13" s="87"/>
      <c r="Q13" s="87"/>
      <c r="R13" s="87"/>
      <c r="S13" s="87"/>
      <c r="T13" s="87"/>
      <c r="U13" s="87"/>
      <c r="V13" s="85">
        <f t="shared" si="1"/>
        <v>0</v>
      </c>
    </row>
    <row r="14" spans="1:22" x14ac:dyDescent="0.25">
      <c r="A14" s="86"/>
      <c r="B14" s="86" t="s">
        <v>312</v>
      </c>
      <c r="C14" s="86"/>
      <c r="D14" s="86"/>
      <c r="E14" s="92"/>
      <c r="F14" s="87"/>
      <c r="G14" s="92"/>
      <c r="H14" s="87"/>
      <c r="I14" s="85">
        <f t="shared" si="0"/>
        <v>0</v>
      </c>
      <c r="J14" s="91"/>
      <c r="K14" s="87"/>
      <c r="L14" s="87"/>
      <c r="M14" s="87"/>
      <c r="N14" s="87"/>
      <c r="O14" s="87"/>
      <c r="P14" s="87"/>
      <c r="Q14" s="87"/>
      <c r="R14" s="87"/>
      <c r="S14" s="87"/>
      <c r="T14" s="87"/>
      <c r="U14" s="87"/>
      <c r="V14" s="85">
        <f t="shared" si="1"/>
        <v>0</v>
      </c>
    </row>
    <row r="15" spans="1:22" x14ac:dyDescent="0.25">
      <c r="A15" s="86"/>
      <c r="B15" s="86" t="s">
        <v>311</v>
      </c>
      <c r="C15" s="86"/>
      <c r="D15" s="86"/>
      <c r="E15" s="92">
        <v>5131.6000000000004</v>
      </c>
      <c r="F15" s="87"/>
      <c r="G15" s="92">
        <v>5131.6000000000004</v>
      </c>
      <c r="H15" s="87"/>
      <c r="I15" s="85">
        <f t="shared" si="0"/>
        <v>0</v>
      </c>
      <c r="J15" s="91"/>
      <c r="K15" s="87"/>
      <c r="L15" s="87"/>
      <c r="M15" s="87"/>
      <c r="N15" s="87"/>
      <c r="O15" s="87"/>
      <c r="P15" s="87"/>
      <c r="Q15" s="87"/>
      <c r="R15" s="87"/>
      <c r="S15" s="87"/>
      <c r="T15" s="87"/>
      <c r="U15" s="87"/>
      <c r="V15" s="85">
        <f t="shared" si="1"/>
        <v>0</v>
      </c>
    </row>
    <row r="16" spans="1:22" x14ac:dyDescent="0.25">
      <c r="A16" s="86"/>
      <c r="B16" s="86" t="s">
        <v>310</v>
      </c>
      <c r="C16" s="86"/>
      <c r="D16" s="86"/>
      <c r="E16" s="92">
        <v>76044930.709999979</v>
      </c>
      <c r="F16" s="87"/>
      <c r="G16" s="92">
        <v>76044930.709999979</v>
      </c>
      <c r="H16" s="87"/>
      <c r="I16" s="85">
        <f t="shared" si="0"/>
        <v>0</v>
      </c>
      <c r="J16" s="91"/>
      <c r="K16" s="87"/>
      <c r="L16" s="87"/>
      <c r="M16" s="87"/>
      <c r="N16" s="87"/>
      <c r="O16" s="87"/>
      <c r="P16" s="87"/>
      <c r="Q16" s="87"/>
      <c r="R16" s="87"/>
      <c r="S16" s="87"/>
      <c r="T16" s="87"/>
      <c r="U16" s="87"/>
      <c r="V16" s="85">
        <f t="shared" si="1"/>
        <v>0</v>
      </c>
    </row>
    <row r="17" spans="1:22" x14ac:dyDescent="0.25">
      <c r="A17" s="86"/>
      <c r="B17" s="86" t="s">
        <v>309</v>
      </c>
      <c r="C17" s="86"/>
      <c r="D17" s="86"/>
      <c r="E17" s="92">
        <v>1459001507.3300002</v>
      </c>
      <c r="F17" s="87"/>
      <c r="G17" s="92">
        <v>1463146707.3199999</v>
      </c>
      <c r="H17" s="87"/>
      <c r="I17" s="85">
        <f t="shared" si="0"/>
        <v>4145199.9899997711</v>
      </c>
      <c r="J17" s="91"/>
      <c r="K17" s="87"/>
      <c r="L17" s="87"/>
      <c r="M17" s="87"/>
      <c r="N17" s="87"/>
      <c r="O17" s="87"/>
      <c r="P17" s="87"/>
      <c r="Q17" s="87">
        <v>4145199.9899997711</v>
      </c>
      <c r="R17" s="87"/>
      <c r="S17" s="87"/>
      <c r="T17" s="87"/>
      <c r="U17" s="87"/>
      <c r="V17" s="85">
        <f t="shared" si="1"/>
        <v>4145199.9899997711</v>
      </c>
    </row>
    <row r="18" spans="1:22" x14ac:dyDescent="0.25">
      <c r="A18" s="94" t="s">
        <v>11</v>
      </c>
      <c r="B18" s="86"/>
      <c r="C18" s="86"/>
      <c r="D18" s="86"/>
      <c r="E18" s="87"/>
      <c r="F18" s="87"/>
      <c r="G18" s="87"/>
      <c r="H18" s="87"/>
      <c r="J18" s="91"/>
      <c r="K18" s="87"/>
      <c r="L18" s="87"/>
      <c r="M18" s="87"/>
      <c r="N18" s="87"/>
      <c r="O18" s="87"/>
      <c r="P18" s="87"/>
      <c r="Q18" s="87"/>
      <c r="R18" s="87"/>
      <c r="S18" s="87"/>
      <c r="T18" s="87"/>
      <c r="U18" s="87"/>
      <c r="V18" s="85">
        <f t="shared" si="1"/>
        <v>0</v>
      </c>
    </row>
    <row r="19" spans="1:22" x14ac:dyDescent="0.25">
      <c r="A19" s="86"/>
      <c r="B19" s="86" t="s">
        <v>308</v>
      </c>
      <c r="C19" s="86"/>
      <c r="D19" s="86"/>
      <c r="E19" s="92">
        <v>46218.78</v>
      </c>
      <c r="F19" s="87"/>
      <c r="G19" s="87">
        <v>46218.78</v>
      </c>
      <c r="H19" s="87"/>
      <c r="I19" s="85">
        <f>G19-E19</f>
        <v>0</v>
      </c>
      <c r="J19" s="91"/>
      <c r="K19" s="87"/>
      <c r="L19" s="87"/>
      <c r="M19" s="87"/>
      <c r="N19" s="87"/>
      <c r="O19" s="87"/>
      <c r="P19" s="87"/>
      <c r="Q19" s="87"/>
      <c r="R19" s="87"/>
      <c r="S19" s="87"/>
      <c r="T19" s="87"/>
      <c r="U19" s="87"/>
      <c r="V19" s="85">
        <f t="shared" si="1"/>
        <v>0</v>
      </c>
    </row>
    <row r="20" spans="1:22" x14ac:dyDescent="0.25">
      <c r="A20" s="86"/>
      <c r="B20" s="86" t="s">
        <v>307</v>
      </c>
      <c r="C20" s="86"/>
      <c r="D20" s="86"/>
      <c r="E20" s="92"/>
      <c r="F20" s="87"/>
      <c r="G20" s="87"/>
      <c r="H20" s="87"/>
      <c r="J20" s="91"/>
      <c r="K20" s="87"/>
      <c r="L20" s="87"/>
      <c r="M20" s="87"/>
      <c r="N20" s="87"/>
      <c r="O20" s="87"/>
      <c r="P20" s="87"/>
      <c r="Q20" s="87"/>
      <c r="R20" s="87"/>
      <c r="S20" s="87"/>
      <c r="T20" s="87"/>
      <c r="U20" s="87"/>
      <c r="V20" s="85">
        <f t="shared" si="1"/>
        <v>0</v>
      </c>
    </row>
    <row r="21" spans="1:22" x14ac:dyDescent="0.25">
      <c r="A21" s="86"/>
      <c r="B21" s="86" t="s">
        <v>306</v>
      </c>
      <c r="C21" s="86"/>
      <c r="D21" s="86"/>
      <c r="E21" s="92">
        <v>0</v>
      </c>
      <c r="F21" s="87"/>
      <c r="G21" s="87">
        <v>0</v>
      </c>
      <c r="H21" s="87"/>
      <c r="I21" s="85">
        <f>G21-E21</f>
        <v>0</v>
      </c>
      <c r="J21" s="91"/>
      <c r="K21" s="87"/>
      <c r="L21" s="87"/>
      <c r="M21" s="87"/>
      <c r="N21" s="87"/>
      <c r="O21" s="87"/>
      <c r="P21" s="87"/>
      <c r="Q21" s="87"/>
      <c r="R21" s="87"/>
      <c r="S21" s="87"/>
      <c r="T21" s="87"/>
      <c r="U21" s="87"/>
      <c r="V21" s="85">
        <f t="shared" si="1"/>
        <v>0</v>
      </c>
    </row>
    <row r="22" spans="1:22" x14ac:dyDescent="0.25">
      <c r="A22" s="86"/>
      <c r="B22" s="86" t="s">
        <v>305</v>
      </c>
      <c r="C22" s="86"/>
      <c r="D22" s="86"/>
      <c r="E22" s="92"/>
      <c r="F22" s="87"/>
      <c r="G22" s="87"/>
      <c r="H22" s="87"/>
      <c r="J22" s="91"/>
      <c r="K22" s="87"/>
      <c r="L22" s="87"/>
      <c r="M22" s="87"/>
      <c r="N22" s="87"/>
      <c r="O22" s="87"/>
      <c r="P22" s="87"/>
      <c r="Q22" s="87"/>
      <c r="R22" s="87"/>
      <c r="S22" s="87"/>
      <c r="T22" s="87"/>
      <c r="U22" s="87"/>
      <c r="V22" s="85">
        <f t="shared" si="1"/>
        <v>0</v>
      </c>
    </row>
    <row r="23" spans="1:22" x14ac:dyDescent="0.25">
      <c r="A23" s="86"/>
      <c r="B23" s="86" t="s">
        <v>304</v>
      </c>
      <c r="C23" s="86"/>
      <c r="D23" s="86"/>
      <c r="E23" s="92"/>
      <c r="F23" s="87"/>
      <c r="G23" s="87"/>
      <c r="H23" s="87"/>
      <c r="J23" s="91"/>
      <c r="K23" s="87"/>
      <c r="L23" s="87"/>
      <c r="M23" s="87"/>
      <c r="N23" s="87"/>
      <c r="O23" s="87"/>
      <c r="P23" s="87"/>
      <c r="Q23" s="87"/>
      <c r="R23" s="87"/>
      <c r="S23" s="87"/>
      <c r="T23" s="87"/>
      <c r="U23" s="87"/>
      <c r="V23" s="85">
        <f t="shared" si="1"/>
        <v>0</v>
      </c>
    </row>
    <row r="24" spans="1:22" x14ac:dyDescent="0.25">
      <c r="A24" s="86"/>
      <c r="B24" s="86" t="s">
        <v>303</v>
      </c>
      <c r="C24" s="86"/>
      <c r="D24" s="86"/>
      <c r="E24" s="92">
        <v>0</v>
      </c>
      <c r="F24" s="87"/>
      <c r="G24" s="87">
        <v>0</v>
      </c>
      <c r="H24" s="87"/>
      <c r="I24" s="85">
        <f>G24-E24</f>
        <v>0</v>
      </c>
      <c r="J24" s="91"/>
      <c r="K24" s="87"/>
      <c r="L24" s="87"/>
      <c r="M24" s="87"/>
      <c r="N24" s="87"/>
      <c r="O24" s="87"/>
      <c r="P24" s="87"/>
      <c r="Q24" s="87"/>
      <c r="R24" s="87"/>
      <c r="S24" s="87"/>
      <c r="T24" s="87"/>
      <c r="U24" s="87"/>
      <c r="V24" s="85">
        <f t="shared" si="1"/>
        <v>0</v>
      </c>
    </row>
    <row r="25" spans="1:22" x14ac:dyDescent="0.25">
      <c r="A25" s="86"/>
      <c r="B25" s="86" t="s">
        <v>14</v>
      </c>
      <c r="C25" s="86"/>
      <c r="D25" s="86"/>
      <c r="E25" s="92"/>
      <c r="F25" s="87"/>
      <c r="G25" s="87"/>
      <c r="H25" s="87"/>
      <c r="J25" s="91"/>
      <c r="K25" s="87"/>
      <c r="L25" s="87"/>
      <c r="M25" s="87"/>
      <c r="N25" s="87"/>
      <c r="O25" s="87"/>
      <c r="P25" s="87"/>
      <c r="Q25" s="87"/>
      <c r="R25" s="87"/>
      <c r="S25" s="87"/>
      <c r="T25" s="87"/>
      <c r="U25" s="87"/>
      <c r="V25" s="85">
        <f t="shared" si="1"/>
        <v>0</v>
      </c>
    </row>
    <row r="26" spans="1:22" ht="45" x14ac:dyDescent="0.25">
      <c r="A26" s="86"/>
      <c r="B26" s="93" t="s">
        <v>302</v>
      </c>
      <c r="C26" s="86"/>
      <c r="D26" s="86"/>
      <c r="E26" s="92">
        <v>0</v>
      </c>
      <c r="F26" s="87"/>
      <c r="G26" s="87">
        <v>0</v>
      </c>
      <c r="H26" s="87"/>
      <c r="I26" s="85">
        <f>G26-E26</f>
        <v>0</v>
      </c>
      <c r="J26" s="91"/>
      <c r="K26" s="87"/>
      <c r="L26" s="87"/>
      <c r="M26" s="87"/>
      <c r="N26" s="87"/>
      <c r="O26" s="87"/>
      <c r="P26" s="87"/>
      <c r="Q26" s="87"/>
      <c r="R26" s="87"/>
      <c r="S26" s="87">
        <v>0</v>
      </c>
      <c r="T26" s="87"/>
      <c r="U26" s="87"/>
      <c r="V26" s="85">
        <f t="shared" si="1"/>
        <v>0</v>
      </c>
    </row>
    <row r="27" spans="1:22" x14ac:dyDescent="0.25">
      <c r="A27" s="86"/>
      <c r="B27" s="86" t="s">
        <v>301</v>
      </c>
      <c r="C27" s="86"/>
      <c r="D27" s="86"/>
      <c r="E27" s="92"/>
      <c r="F27" s="87"/>
      <c r="G27" s="87"/>
      <c r="H27" s="87"/>
      <c r="J27" s="91"/>
      <c r="K27" s="87"/>
      <c r="L27" s="87"/>
      <c r="M27" s="87"/>
      <c r="N27" s="87"/>
      <c r="O27" s="87"/>
      <c r="P27" s="87"/>
      <c r="Q27" s="87"/>
      <c r="R27" s="87"/>
      <c r="S27" s="87"/>
      <c r="T27" s="87"/>
      <c r="U27" s="87"/>
      <c r="V27" s="85">
        <f t="shared" si="1"/>
        <v>0</v>
      </c>
    </row>
    <row r="28" spans="1:22" x14ac:dyDescent="0.25">
      <c r="A28" s="86"/>
      <c r="B28" s="86" t="s">
        <v>300</v>
      </c>
      <c r="C28" s="86"/>
      <c r="D28" s="86"/>
      <c r="E28" s="92"/>
      <c r="F28" s="87"/>
      <c r="G28" s="87"/>
      <c r="H28" s="87"/>
      <c r="I28" s="85">
        <f>G28-E28</f>
        <v>0</v>
      </c>
      <c r="J28" s="91"/>
      <c r="K28" s="87"/>
      <c r="L28" s="87"/>
      <c r="M28" s="87"/>
      <c r="N28" s="87"/>
      <c r="O28" s="87"/>
      <c r="P28" s="87"/>
      <c r="Q28" s="87"/>
      <c r="R28" s="87"/>
      <c r="S28" s="87"/>
      <c r="T28" s="87"/>
      <c r="U28" s="87"/>
      <c r="V28" s="85">
        <f t="shared" si="1"/>
        <v>0</v>
      </c>
    </row>
    <row r="29" spans="1:22" ht="15.75" thickBot="1" x14ac:dyDescent="0.3">
      <c r="A29" s="90" t="s">
        <v>12</v>
      </c>
      <c r="E29" s="88">
        <f>SUM(E12:E28)</f>
        <v>1535097788.4200001</v>
      </c>
      <c r="G29" s="88">
        <f>SUM(G12:G28)</f>
        <v>1539242988.4099998</v>
      </c>
      <c r="I29" s="88">
        <f>SUM(I12:I28)</f>
        <v>4145199.9899997711</v>
      </c>
      <c r="J29" s="89"/>
      <c r="K29" s="88">
        <f>SUM(K12:K28)</f>
        <v>0</v>
      </c>
      <c r="L29" s="85"/>
      <c r="M29" s="88">
        <f>SUM(M12:M28)</f>
        <v>0</v>
      </c>
      <c r="N29" s="85"/>
      <c r="O29" s="88">
        <f>SUM(O12:O28)</f>
        <v>0</v>
      </c>
      <c r="P29" s="85"/>
      <c r="Q29" s="88">
        <f>SUM(Q12:Q28)</f>
        <v>4145199.9899997711</v>
      </c>
      <c r="R29" s="85"/>
      <c r="S29" s="88">
        <f>SUM(S12:S28)</f>
        <v>0</v>
      </c>
      <c r="T29" s="88">
        <f>SUM(T12:T28)</f>
        <v>0</v>
      </c>
      <c r="U29" s="85"/>
      <c r="V29" s="88">
        <f>SUM(V12:V28)</f>
        <v>4145199.9899997711</v>
      </c>
    </row>
    <row r="30" spans="1:22" ht="15.75" thickTop="1" x14ac:dyDescent="0.25">
      <c r="A30" s="86"/>
      <c r="B30" s="86"/>
      <c r="C30" s="86"/>
      <c r="D30" s="86"/>
      <c r="E30" s="87"/>
      <c r="F30" s="87"/>
      <c r="G30" s="87"/>
      <c r="H30" s="87"/>
      <c r="I30" s="87"/>
      <c r="J30" s="87"/>
      <c r="K30" s="87"/>
      <c r="L30" s="87"/>
      <c r="M30" s="87"/>
      <c r="N30" s="87"/>
      <c r="O30" s="87"/>
      <c r="P30" s="87"/>
      <c r="Q30" s="87"/>
      <c r="R30" s="87"/>
      <c r="S30" s="87"/>
      <c r="T30" s="87"/>
      <c r="U30" s="87"/>
      <c r="V30" s="87"/>
    </row>
    <row r="31" spans="1:22" x14ac:dyDescent="0.25">
      <c r="A31" s="86"/>
      <c r="B31" s="86"/>
      <c r="C31" s="86"/>
      <c r="D31" s="86"/>
      <c r="E31" s="87"/>
      <c r="F31" s="87"/>
      <c r="G31" s="87"/>
      <c r="H31" s="87"/>
      <c r="I31" s="87"/>
      <c r="J31" s="87"/>
      <c r="K31" s="87"/>
      <c r="L31" s="86"/>
      <c r="M31" s="86"/>
      <c r="N31" s="86"/>
      <c r="O31" s="86"/>
      <c r="P31" s="86"/>
      <c r="Q31" s="86"/>
      <c r="R31" s="86"/>
      <c r="S31" s="86"/>
      <c r="T31" s="86"/>
      <c r="U31" s="86"/>
      <c r="V31" s="86"/>
    </row>
    <row r="32" spans="1:22" x14ac:dyDescent="0.25">
      <c r="A32" s="86" t="s">
        <v>299</v>
      </c>
      <c r="B32" s="86"/>
      <c r="C32" s="86"/>
      <c r="D32" s="86"/>
      <c r="E32" s="87"/>
      <c r="F32" s="87"/>
      <c r="G32" s="87"/>
      <c r="H32" s="87"/>
      <c r="I32" s="87"/>
      <c r="J32" s="87"/>
      <c r="K32" s="87"/>
      <c r="L32" s="86"/>
      <c r="M32" s="86"/>
      <c r="N32" s="86"/>
      <c r="O32" s="86"/>
      <c r="P32" s="86"/>
      <c r="Q32" s="86"/>
      <c r="R32" s="86"/>
      <c r="S32" s="86"/>
      <c r="T32" s="86"/>
      <c r="U32" s="86"/>
      <c r="V32" s="86"/>
    </row>
    <row r="33" spans="1:22" x14ac:dyDescent="0.25">
      <c r="A33" s="86" t="s">
        <v>298</v>
      </c>
      <c r="B33" s="86"/>
      <c r="C33" s="86" t="s">
        <v>297</v>
      </c>
      <c r="D33" s="86"/>
      <c r="E33" s="87"/>
      <c r="F33" s="87"/>
      <c r="G33" s="87"/>
      <c r="H33" s="87"/>
      <c r="I33" s="87"/>
      <c r="J33" s="87"/>
      <c r="K33" s="87"/>
      <c r="L33" s="86"/>
      <c r="M33" s="86"/>
      <c r="N33" s="86"/>
      <c r="O33" s="86"/>
      <c r="P33" s="86"/>
      <c r="Q33" s="86"/>
      <c r="R33" s="86"/>
      <c r="S33" s="86"/>
      <c r="T33" s="86"/>
      <c r="U33" s="86"/>
      <c r="V33" s="86"/>
    </row>
    <row r="34" spans="1:22" x14ac:dyDescent="0.25">
      <c r="A34" s="86" t="s">
        <v>296</v>
      </c>
      <c r="B34" s="86"/>
      <c r="C34" s="86" t="s">
        <v>295</v>
      </c>
      <c r="D34" s="86"/>
      <c r="E34" s="87"/>
      <c r="F34" s="87"/>
      <c r="G34" s="87"/>
      <c r="H34" s="87"/>
      <c r="I34" s="87"/>
      <c r="J34" s="87"/>
      <c r="K34" s="87"/>
      <c r="L34" s="86"/>
      <c r="M34" s="86"/>
      <c r="N34" s="86"/>
      <c r="O34" s="86"/>
      <c r="P34" s="86"/>
      <c r="Q34" s="86"/>
      <c r="R34" s="86"/>
      <c r="S34" s="86"/>
      <c r="T34" s="86"/>
      <c r="U34" s="86"/>
      <c r="V34" s="86"/>
    </row>
    <row r="35" spans="1:22" x14ac:dyDescent="0.25">
      <c r="A35" s="86" t="s">
        <v>294</v>
      </c>
      <c r="B35" s="86"/>
      <c r="C35" s="86" t="s">
        <v>293</v>
      </c>
      <c r="D35" s="86"/>
      <c r="E35" s="87"/>
      <c r="F35" s="87"/>
      <c r="G35" s="87"/>
      <c r="H35" s="87"/>
      <c r="I35" s="87"/>
      <c r="J35" s="87"/>
      <c r="K35" s="87"/>
      <c r="L35" s="86"/>
      <c r="M35" s="86"/>
      <c r="N35" s="86"/>
      <c r="O35" s="86"/>
      <c r="P35" s="86"/>
      <c r="Q35" s="86"/>
      <c r="R35" s="86"/>
      <c r="S35" s="86"/>
      <c r="T35" s="86"/>
      <c r="U35" s="86"/>
      <c r="V35" s="86"/>
    </row>
    <row r="36" spans="1:22" x14ac:dyDescent="0.25">
      <c r="A36" s="86"/>
      <c r="B36" s="86"/>
      <c r="C36" s="86" t="s">
        <v>292</v>
      </c>
      <c r="D36" s="86"/>
      <c r="E36" s="87"/>
      <c r="F36" s="87"/>
      <c r="G36" s="87"/>
      <c r="H36" s="87"/>
      <c r="I36" s="87"/>
      <c r="J36" s="87"/>
      <c r="K36" s="87"/>
      <c r="L36" s="86"/>
      <c r="M36" s="86"/>
      <c r="N36" s="86"/>
      <c r="O36" s="86"/>
      <c r="P36" s="86"/>
      <c r="Q36" s="86"/>
      <c r="R36" s="86"/>
      <c r="S36" s="86"/>
      <c r="T36" s="86"/>
      <c r="U36" s="86"/>
      <c r="V36" s="86"/>
    </row>
    <row r="37" spans="1:22" x14ac:dyDescent="0.25">
      <c r="A37" s="86" t="s">
        <v>291</v>
      </c>
      <c r="B37" s="86"/>
      <c r="C37" s="86" t="s">
        <v>290</v>
      </c>
      <c r="D37" s="86"/>
      <c r="E37" s="87"/>
      <c r="F37" s="87"/>
      <c r="G37" s="87"/>
      <c r="H37" s="87"/>
      <c r="I37" s="87"/>
      <c r="J37" s="87"/>
      <c r="K37" s="87"/>
      <c r="L37" s="86"/>
      <c r="M37" s="86"/>
      <c r="N37" s="86"/>
      <c r="O37" s="86"/>
      <c r="P37" s="86"/>
      <c r="Q37" s="86"/>
      <c r="R37" s="86"/>
      <c r="S37" s="86"/>
      <c r="T37" s="86"/>
      <c r="U37" s="86"/>
      <c r="V37" s="86"/>
    </row>
    <row r="38" spans="1:22" x14ac:dyDescent="0.25">
      <c r="A38" s="86" t="s">
        <v>289</v>
      </c>
      <c r="B38" s="86"/>
      <c r="C38" s="86" t="s">
        <v>288</v>
      </c>
      <c r="D38" s="86"/>
      <c r="E38" s="87"/>
      <c r="F38" s="87"/>
      <c r="G38" s="87"/>
      <c r="H38" s="87"/>
      <c r="I38" s="87"/>
      <c r="J38" s="87"/>
      <c r="K38" s="87"/>
      <c r="L38" s="86"/>
      <c r="M38" s="86"/>
      <c r="N38" s="86"/>
      <c r="O38" s="86"/>
      <c r="P38" s="86"/>
      <c r="Q38" s="86"/>
      <c r="R38" s="86"/>
      <c r="S38" s="86"/>
      <c r="T38" s="86"/>
      <c r="U38" s="86"/>
      <c r="V38" s="86"/>
    </row>
    <row r="39" spans="1:22" x14ac:dyDescent="0.25">
      <c r="A39" s="86"/>
      <c r="B39" s="86"/>
      <c r="C39" s="86"/>
      <c r="D39" s="86"/>
      <c r="E39" s="87"/>
      <c r="F39" s="87"/>
      <c r="G39" s="87"/>
      <c r="H39" s="87"/>
      <c r="I39" s="87"/>
      <c r="J39" s="87"/>
      <c r="K39" s="87"/>
      <c r="L39" s="86"/>
      <c r="M39" s="86"/>
      <c r="N39" s="86"/>
      <c r="O39" s="86"/>
      <c r="P39" s="86"/>
      <c r="Q39" s="86"/>
      <c r="R39" s="86"/>
      <c r="S39" s="86"/>
      <c r="T39" s="86"/>
      <c r="U39" s="86"/>
      <c r="V39" s="86"/>
    </row>
  </sheetData>
  <printOptions horizontalCentered="1"/>
  <pageMargins left="0" right="0" top="0.75" bottom="0.75" header="0.3" footer="0.3"/>
  <pageSetup scale="57" orientation="landscape" horizontalDpi="4294967295" verticalDpi="4294967295"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EE4AC-4B44-4BBD-ABDD-70DFB5F01CAD}">
  <sheetPr>
    <pageSetUpPr fitToPage="1"/>
  </sheetPr>
  <dimension ref="A1:K54"/>
  <sheetViews>
    <sheetView workbookViewId="0">
      <pane ySplit="14" topLeftCell="A35"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42578125" customWidth="1"/>
    <col min="7" max="7" width="16.7109375" customWidth="1"/>
    <col min="8" max="8" width="3.42578125" customWidth="1"/>
    <col min="9" max="9" width="12.85546875" customWidth="1"/>
    <col min="10" max="10" width="22.140625" customWidth="1"/>
  </cols>
  <sheetData>
    <row r="1" spans="1:11" x14ac:dyDescent="0.25">
      <c r="A1" s="161"/>
      <c r="B1" s="161"/>
      <c r="C1" s="161"/>
      <c r="D1" s="161"/>
      <c r="E1" s="161"/>
      <c r="F1" s="161"/>
      <c r="G1" s="161"/>
      <c r="H1" s="161"/>
      <c r="I1" s="147" t="s">
        <v>237</v>
      </c>
      <c r="J1" s="161"/>
    </row>
    <row r="2" spans="1:11" x14ac:dyDescent="0.25">
      <c r="A2" s="157" t="s">
        <v>1</v>
      </c>
      <c r="B2" s="157"/>
      <c r="C2" s="157"/>
      <c r="D2" s="157"/>
      <c r="E2" s="157"/>
      <c r="F2" s="157"/>
      <c r="G2" s="157"/>
      <c r="H2" s="157"/>
      <c r="I2" s="157"/>
      <c r="J2" s="157"/>
    </row>
    <row r="3" spans="1:11" x14ac:dyDescent="0.25">
      <c r="A3" s="156" t="s">
        <v>22</v>
      </c>
      <c r="B3" s="156"/>
      <c r="C3" s="156"/>
      <c r="D3" s="156"/>
      <c r="E3" s="156"/>
      <c r="F3" s="156"/>
      <c r="G3" s="156"/>
      <c r="H3" s="156"/>
      <c r="I3" s="156"/>
      <c r="J3" s="156"/>
    </row>
    <row r="4" spans="1:11" ht="30.6" customHeight="1" x14ac:dyDescent="0.25">
      <c r="A4" s="156" t="s">
        <v>133</v>
      </c>
      <c r="B4" s="156"/>
      <c r="C4" s="156"/>
      <c r="D4" s="156"/>
      <c r="E4" s="156"/>
      <c r="F4" s="156"/>
      <c r="G4" s="156"/>
      <c r="H4" s="156"/>
      <c r="I4" s="156"/>
      <c r="J4" s="156"/>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6" t="s">
        <v>130</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c r="G16" s="53"/>
      <c r="H16" s="204"/>
      <c r="I16" s="169"/>
      <c r="J16" s="53">
        <f t="shared" ref="J16:J21" si="0">F16+G16-H16</f>
        <v>0</v>
      </c>
      <c r="K16" s="41"/>
    </row>
    <row r="17" spans="1:11" s="37" customFormat="1" x14ac:dyDescent="0.25">
      <c r="A17" s="39" t="s">
        <v>71</v>
      </c>
      <c r="B17" s="40"/>
      <c r="C17" s="40"/>
      <c r="D17" s="40"/>
      <c r="E17" s="40"/>
      <c r="F17" s="53"/>
      <c r="G17" s="53"/>
      <c r="H17" s="204"/>
      <c r="I17" s="169"/>
      <c r="J17" s="53">
        <f t="shared" si="0"/>
        <v>0</v>
      </c>
      <c r="K17" s="41"/>
    </row>
    <row r="18" spans="1:11" s="37" customFormat="1" x14ac:dyDescent="0.25">
      <c r="A18" s="39" t="s">
        <v>83</v>
      </c>
      <c r="B18" s="40"/>
      <c r="C18" s="40"/>
      <c r="D18" s="40"/>
      <c r="E18" s="40"/>
      <c r="F18" s="53"/>
      <c r="G18" s="53"/>
      <c r="H18" s="204"/>
      <c r="I18" s="169"/>
      <c r="J18" s="53">
        <f t="shared" si="0"/>
        <v>0</v>
      </c>
      <c r="K18" s="41"/>
    </row>
    <row r="19" spans="1:11" s="37" customFormat="1" x14ac:dyDescent="0.25">
      <c r="A19" s="39" t="s">
        <v>72</v>
      </c>
      <c r="B19" s="40"/>
      <c r="C19" s="40"/>
      <c r="D19" s="40"/>
      <c r="E19" s="40"/>
      <c r="F19" s="53">
        <v>119752345.32000005</v>
      </c>
      <c r="G19" s="53">
        <v>6361920</v>
      </c>
      <c r="H19" s="204"/>
      <c r="I19" s="169"/>
      <c r="J19" s="53">
        <f t="shared" si="0"/>
        <v>126114265.32000005</v>
      </c>
      <c r="K19" s="41"/>
    </row>
    <row r="20" spans="1:11" s="37" customFormat="1" ht="17.25" x14ac:dyDescent="0.25">
      <c r="A20" s="39" t="s">
        <v>220</v>
      </c>
      <c r="B20" s="40"/>
      <c r="C20" s="40"/>
      <c r="D20" s="40"/>
      <c r="E20" s="40"/>
      <c r="F20" s="53"/>
      <c r="G20" s="53"/>
      <c r="H20" s="204"/>
      <c r="I20" s="169"/>
      <c r="J20" s="53">
        <f t="shared" si="0"/>
        <v>0</v>
      </c>
      <c r="K20" s="41"/>
    </row>
    <row r="21" spans="1:11" s="37" customFormat="1" ht="17.25" x14ac:dyDescent="0.25">
      <c r="A21" s="67" t="s">
        <v>268</v>
      </c>
      <c r="B21" s="40"/>
      <c r="C21" s="40"/>
      <c r="D21" s="40"/>
      <c r="E21" s="40"/>
      <c r="F21" s="53"/>
      <c r="G21" s="53"/>
      <c r="H21" s="204"/>
      <c r="I21" s="169"/>
      <c r="J21" s="53">
        <f t="shared" si="0"/>
        <v>0</v>
      </c>
      <c r="K21" s="41"/>
    </row>
    <row r="22" spans="1:11" s="37" customFormat="1" x14ac:dyDescent="0.25">
      <c r="A22" s="42"/>
      <c r="B22" s="42"/>
      <c r="C22" s="42"/>
      <c r="D22" s="42"/>
      <c r="E22" s="42"/>
      <c r="F22" s="53"/>
      <c r="G22" s="53"/>
      <c r="H22" s="204"/>
      <c r="I22" s="169"/>
      <c r="J22" s="53"/>
      <c r="K22" s="41"/>
    </row>
    <row r="23" spans="1:11" s="37" customFormat="1" x14ac:dyDescent="0.25">
      <c r="A23" s="40" t="s">
        <v>11</v>
      </c>
      <c r="B23" s="40"/>
      <c r="C23" s="40"/>
      <c r="D23" s="40"/>
      <c r="E23" s="40"/>
      <c r="F23" s="53"/>
      <c r="G23" s="53"/>
      <c r="H23" s="204"/>
      <c r="I23" s="169"/>
      <c r="J23" s="53"/>
      <c r="K23" s="41"/>
    </row>
    <row r="24" spans="1:11" s="37" customFormat="1" x14ac:dyDescent="0.25">
      <c r="A24" s="155" t="s">
        <v>73</v>
      </c>
      <c r="B24" s="155"/>
      <c r="C24" s="155"/>
      <c r="D24" s="155"/>
      <c r="E24" s="155"/>
      <c r="F24" s="53">
        <v>17650</v>
      </c>
      <c r="G24" s="53"/>
      <c r="H24" s="204"/>
      <c r="I24" s="169"/>
      <c r="J24" s="53">
        <f>F24+G24-H24</f>
        <v>17650</v>
      </c>
      <c r="K24" s="41"/>
    </row>
    <row r="25" spans="1:11" s="37" customFormat="1" x14ac:dyDescent="0.25">
      <c r="A25" s="155" t="s">
        <v>74</v>
      </c>
      <c r="B25" s="155"/>
      <c r="C25" s="155"/>
      <c r="D25" s="155"/>
      <c r="E25" s="155"/>
      <c r="F25" s="53"/>
      <c r="G25" s="53"/>
      <c r="H25" s="204"/>
      <c r="I25" s="169"/>
      <c r="J25" s="53">
        <f t="shared" ref="J25:J32" si="1">F25+G25-H25</f>
        <v>0</v>
      </c>
      <c r="K25" s="41"/>
    </row>
    <row r="26" spans="1:11" s="37" customFormat="1" x14ac:dyDescent="0.25">
      <c r="A26" s="155" t="s">
        <v>75</v>
      </c>
      <c r="B26" s="155"/>
      <c r="C26" s="155"/>
      <c r="D26" s="155"/>
      <c r="E26" s="155"/>
      <c r="F26" s="53"/>
      <c r="G26" s="53"/>
      <c r="H26" s="204"/>
      <c r="I26" s="169"/>
      <c r="J26" s="53">
        <f t="shared" si="1"/>
        <v>0</v>
      </c>
      <c r="K26" s="41"/>
    </row>
    <row r="27" spans="1:11" s="37" customFormat="1" x14ac:dyDescent="0.25">
      <c r="A27" s="155" t="s">
        <v>76</v>
      </c>
      <c r="B27" s="155"/>
      <c r="C27" s="155"/>
      <c r="D27" s="155"/>
      <c r="E27" s="155"/>
      <c r="F27" s="53"/>
      <c r="G27" s="53"/>
      <c r="H27" s="204"/>
      <c r="I27" s="169"/>
      <c r="J27" s="53">
        <f t="shared" si="1"/>
        <v>0</v>
      </c>
      <c r="K27" s="41"/>
    </row>
    <row r="28" spans="1:11" s="37" customFormat="1" x14ac:dyDescent="0.25">
      <c r="A28" s="155" t="s">
        <v>77</v>
      </c>
      <c r="B28" s="155"/>
      <c r="C28" s="155"/>
      <c r="D28" s="155"/>
      <c r="E28" s="155"/>
      <c r="F28" s="53"/>
      <c r="G28" s="53"/>
      <c r="H28" s="204"/>
      <c r="I28" s="169"/>
      <c r="J28" s="53">
        <f t="shared" si="1"/>
        <v>0</v>
      </c>
      <c r="K28" s="41"/>
    </row>
    <row r="29" spans="1:11" s="37" customFormat="1" x14ac:dyDescent="0.25">
      <c r="A29" s="155" t="s">
        <v>78</v>
      </c>
      <c r="B29" s="155"/>
      <c r="C29" s="155"/>
      <c r="D29" s="155"/>
      <c r="E29" s="155"/>
      <c r="F29" s="53"/>
      <c r="G29" s="53"/>
      <c r="H29" s="204"/>
      <c r="I29" s="169"/>
      <c r="J29" s="53">
        <f t="shared" si="1"/>
        <v>0</v>
      </c>
      <c r="K29" s="41"/>
    </row>
    <row r="30" spans="1:11" s="37" customFormat="1" x14ac:dyDescent="0.25">
      <c r="A30" s="155" t="s">
        <v>79</v>
      </c>
      <c r="B30" s="155"/>
      <c r="C30" s="155"/>
      <c r="D30" s="155"/>
      <c r="E30" s="155"/>
      <c r="F30" s="53"/>
      <c r="G30" s="53"/>
      <c r="H30" s="204"/>
      <c r="I30" s="169"/>
      <c r="J30" s="53">
        <f t="shared" si="1"/>
        <v>0</v>
      </c>
      <c r="K30" s="41"/>
    </row>
    <row r="31" spans="1:11" s="37" customFormat="1" ht="29.1" customHeight="1" x14ac:dyDescent="0.25">
      <c r="A31" s="150" t="s">
        <v>80</v>
      </c>
      <c r="B31" s="150"/>
      <c r="C31" s="150"/>
      <c r="D31" s="150"/>
      <c r="E31" s="150"/>
      <c r="F31" s="53"/>
      <c r="G31" s="53"/>
      <c r="H31" s="204"/>
      <c r="I31" s="169"/>
      <c r="J31" s="53">
        <f t="shared" si="1"/>
        <v>0</v>
      </c>
      <c r="K31" s="41"/>
    </row>
    <row r="32" spans="1:11" s="37" customFormat="1" x14ac:dyDescent="0.25">
      <c r="A32" s="39" t="s">
        <v>81</v>
      </c>
      <c r="B32" s="40"/>
      <c r="C32" s="40"/>
      <c r="D32" s="40"/>
      <c r="E32" s="40"/>
      <c r="F32" s="53"/>
      <c r="G32" s="53"/>
      <c r="H32" s="204"/>
      <c r="I32" s="169"/>
      <c r="J32" s="53">
        <f t="shared" si="1"/>
        <v>0</v>
      </c>
      <c r="K32" s="41"/>
    </row>
    <row r="33" spans="1:11" s="37" customFormat="1" x14ac:dyDescent="0.25">
      <c r="A33" s="6"/>
      <c r="B33" s="6"/>
      <c r="C33" s="6"/>
      <c r="D33" s="6"/>
      <c r="E33" s="6"/>
      <c r="F33" s="21"/>
      <c r="G33" s="21"/>
      <c r="H33" s="204"/>
      <c r="I33" s="169"/>
      <c r="J33" s="21"/>
      <c r="K33" s="41"/>
    </row>
    <row r="34" spans="1:11" s="37" customFormat="1" ht="15.75" customHeight="1" x14ac:dyDescent="0.25">
      <c r="A34" s="43"/>
      <c r="B34" s="43"/>
      <c r="C34" s="43"/>
      <c r="D34" s="43"/>
      <c r="E34" s="43"/>
      <c r="F34" s="44"/>
      <c r="G34" s="44"/>
      <c r="H34" s="204"/>
      <c r="I34" s="169"/>
      <c r="J34" s="44"/>
    </row>
    <row r="35" spans="1:11" s="37" customFormat="1" ht="46.5" customHeight="1" x14ac:dyDescent="0.2">
      <c r="A35" s="45" t="s">
        <v>3</v>
      </c>
      <c r="B35" s="140" t="s">
        <v>131</v>
      </c>
      <c r="C35" s="141"/>
      <c r="D35" s="141"/>
      <c r="F35" s="56">
        <f>SUM(F16:F34)</f>
        <v>119769995.32000005</v>
      </c>
      <c r="G35" s="56">
        <f>SUM(G16:G34)</f>
        <v>6361920</v>
      </c>
      <c r="H35" s="162">
        <f>SUM(H16:H34)</f>
        <v>0</v>
      </c>
      <c r="I35" s="162"/>
      <c r="J35" s="56">
        <f>SUM(J16:J34)</f>
        <v>126131915.32000005</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ht="14.45" customHeight="1" x14ac:dyDescent="0.25">
      <c r="A40" s="143" t="s">
        <v>30</v>
      </c>
      <c r="B40" s="143"/>
      <c r="C40" s="143"/>
      <c r="D40" s="143"/>
      <c r="E40" s="143"/>
      <c r="F40" s="143"/>
      <c r="G40" s="143"/>
      <c r="H40" s="143"/>
      <c r="I40" s="143"/>
      <c r="J40" s="143"/>
    </row>
    <row r="41" spans="1:11" x14ac:dyDescent="0.25">
      <c r="A41" s="143"/>
      <c r="B41" s="143"/>
      <c r="C41" s="143"/>
      <c r="D41" s="143"/>
      <c r="E41" s="143"/>
      <c r="F41" s="143"/>
      <c r="G41" s="143"/>
      <c r="H41" s="143"/>
      <c r="I41" s="143"/>
      <c r="J41" s="143"/>
    </row>
    <row r="42" spans="1:11" x14ac:dyDescent="0.25">
      <c r="A42" s="143"/>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4"/>
      <c r="B44" s="64"/>
      <c r="C44" s="64"/>
      <c r="D44" s="64"/>
      <c r="E44" s="64"/>
      <c r="F44" s="64"/>
      <c r="G44" s="64"/>
      <c r="H44" s="64"/>
      <c r="I44" s="64"/>
      <c r="J44" s="64"/>
    </row>
    <row r="45" spans="1:11" x14ac:dyDescent="0.25">
      <c r="A45" s="64"/>
      <c r="B45" s="64"/>
      <c r="C45" s="64"/>
      <c r="D45" s="64"/>
      <c r="E45" s="64"/>
      <c r="F45" s="64"/>
      <c r="G45" s="64"/>
      <c r="H45" s="64"/>
      <c r="I45" s="64"/>
      <c r="J45" s="64"/>
    </row>
    <row r="46" spans="1:11" x14ac:dyDescent="0.25">
      <c r="A46" s="144" t="s">
        <v>28</v>
      </c>
      <c r="B46" s="144"/>
      <c r="C46" s="144"/>
      <c r="D46" s="144"/>
      <c r="E46" s="144"/>
      <c r="F46" s="144"/>
      <c r="G46" s="144"/>
      <c r="H46" s="144"/>
      <c r="I46" s="144"/>
      <c r="J46" s="144"/>
    </row>
    <row r="47" spans="1:11" x14ac:dyDescent="0.25">
      <c r="A47" s="74"/>
      <c r="B47" s="74"/>
      <c r="C47" s="74"/>
      <c r="D47" s="74"/>
      <c r="E47" s="74"/>
      <c r="F47" s="74"/>
      <c r="G47" s="74"/>
      <c r="H47" s="74"/>
      <c r="I47" s="74"/>
      <c r="J47" s="74"/>
    </row>
    <row r="48" spans="1:11" x14ac:dyDescent="0.25">
      <c r="A48" s="74"/>
      <c r="B48" s="74"/>
      <c r="C48" s="74"/>
      <c r="D48" s="74"/>
      <c r="E48" s="74"/>
      <c r="F48" s="74"/>
      <c r="G48" s="74"/>
      <c r="H48" s="74"/>
      <c r="I48" s="74"/>
      <c r="J48" s="74"/>
    </row>
    <row r="49" spans="1:10" x14ac:dyDescent="0.25">
      <c r="A49" s="74"/>
      <c r="B49" s="74"/>
      <c r="C49" s="74"/>
      <c r="D49" s="74"/>
      <c r="E49" s="74"/>
      <c r="F49" s="74"/>
      <c r="G49" s="74"/>
      <c r="H49" s="74"/>
      <c r="I49" s="74"/>
      <c r="J49" s="74"/>
    </row>
    <row r="50" spans="1:10" x14ac:dyDescent="0.25">
      <c r="A50" s="64"/>
      <c r="B50" s="64"/>
      <c r="C50" s="64"/>
      <c r="D50" s="64"/>
      <c r="E50" s="64"/>
      <c r="F50" s="64"/>
      <c r="G50" s="64"/>
      <c r="H50" s="64"/>
      <c r="I50" s="64"/>
      <c r="J50" s="64"/>
    </row>
    <row r="51" spans="1:10" x14ac:dyDescent="0.25">
      <c r="A51" s="64"/>
      <c r="B51" s="64"/>
      <c r="C51" s="64"/>
      <c r="D51" s="64"/>
      <c r="E51" s="64"/>
      <c r="F51" s="64"/>
      <c r="G51" s="64"/>
      <c r="H51" s="64"/>
      <c r="I51" s="75"/>
      <c r="J51" s="75"/>
    </row>
    <row r="52" spans="1:10" x14ac:dyDescent="0.25">
      <c r="A52" s="64"/>
      <c r="B52" s="64"/>
      <c r="C52" s="64"/>
      <c r="D52" s="64"/>
      <c r="E52" s="64"/>
      <c r="F52" s="64"/>
      <c r="G52" s="64"/>
      <c r="H52" s="64"/>
      <c r="I52" s="50" t="s">
        <v>31</v>
      </c>
      <c r="J52" s="47"/>
    </row>
    <row r="53" spans="1:10" x14ac:dyDescent="0.25">
      <c r="A53" s="64"/>
      <c r="B53" s="64"/>
      <c r="C53" s="64"/>
      <c r="D53" s="64"/>
      <c r="E53" s="64"/>
      <c r="F53" s="64"/>
      <c r="G53" s="64"/>
      <c r="H53" s="64"/>
      <c r="I53" s="50" t="s">
        <v>32</v>
      </c>
      <c r="J53" s="47"/>
    </row>
    <row r="54" spans="1:10" x14ac:dyDescent="0.25">
      <c r="A54" s="64"/>
      <c r="B54" s="64"/>
      <c r="C54" s="64"/>
      <c r="D54" s="64"/>
      <c r="E54" s="64"/>
      <c r="F54" s="64"/>
      <c r="G54" s="64"/>
      <c r="H54" s="64"/>
      <c r="I54" s="50" t="s">
        <v>33</v>
      </c>
      <c r="J54" s="47"/>
    </row>
  </sheetData>
  <mergeCells count="55">
    <mergeCell ref="H26:I26"/>
    <mergeCell ref="H27:I27"/>
    <mergeCell ref="H28:I28"/>
    <mergeCell ref="H29:I29"/>
    <mergeCell ref="H30:I30"/>
    <mergeCell ref="A31:E31"/>
    <mergeCell ref="B35:D35"/>
    <mergeCell ref="A40:J43"/>
    <mergeCell ref="A46:J46"/>
    <mergeCell ref="B36:D36"/>
    <mergeCell ref="H31:I31"/>
    <mergeCell ref="H32:I32"/>
    <mergeCell ref="H33:I33"/>
    <mergeCell ref="H34:I34"/>
    <mergeCell ref="H35:I35"/>
    <mergeCell ref="A26:E26"/>
    <mergeCell ref="A27:E27"/>
    <mergeCell ref="A28:E28"/>
    <mergeCell ref="A29:E29"/>
    <mergeCell ref="A30:E30"/>
    <mergeCell ref="A14:E14"/>
    <mergeCell ref="H14:I14"/>
    <mergeCell ref="A15:J15"/>
    <mergeCell ref="A24:E24"/>
    <mergeCell ref="A25:E25"/>
    <mergeCell ref="H16:I16"/>
    <mergeCell ref="H17:I17"/>
    <mergeCell ref="H18:I18"/>
    <mergeCell ref="H19:I19"/>
    <mergeCell ref="H20:I20"/>
    <mergeCell ref="H21:I21"/>
    <mergeCell ref="H22:I22"/>
    <mergeCell ref="H23:I23"/>
    <mergeCell ref="H24:I24"/>
    <mergeCell ref="H25:I25"/>
    <mergeCell ref="A8:B8"/>
    <mergeCell ref="C8:H8"/>
    <mergeCell ref="A1:C1"/>
    <mergeCell ref="D1:H1"/>
    <mergeCell ref="A6:J6"/>
    <mergeCell ref="A7:B7"/>
    <mergeCell ref="C7:H7"/>
    <mergeCell ref="I1:J1"/>
    <mergeCell ref="A2:J2"/>
    <mergeCell ref="A3:J3"/>
    <mergeCell ref="A4:J4"/>
    <mergeCell ref="A5:J5"/>
    <mergeCell ref="A11:J11"/>
    <mergeCell ref="A12:J12"/>
    <mergeCell ref="A13:J13"/>
    <mergeCell ref="A9:B9"/>
    <mergeCell ref="C9:H9"/>
    <mergeCell ref="A10:B10"/>
    <mergeCell ref="C10:H10"/>
    <mergeCell ref="I10:J10"/>
  </mergeCells>
  <pageMargins left="0.25" right="0.25" top="0.75" bottom="0.75" header="0.3" footer="0.3"/>
  <pageSetup scale="77" orientation="portrait" horizontalDpi="360" verticalDpi="36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5E007-F165-42E7-82EC-007EAC9CAA66}">
  <sheetPr>
    <pageSetUpPr fitToPage="1"/>
  </sheetPr>
  <dimension ref="A1:K56"/>
  <sheetViews>
    <sheetView workbookViewId="0">
      <pane ySplit="14" topLeftCell="A35"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42578125" customWidth="1"/>
    <col min="7" max="7" width="16.7109375" customWidth="1"/>
    <col min="8" max="8" width="6.42578125" customWidth="1"/>
    <col min="9" max="9" width="14.5703125" customWidth="1"/>
    <col min="10" max="10" width="22.140625" customWidth="1"/>
  </cols>
  <sheetData>
    <row r="1" spans="1:11" x14ac:dyDescent="0.25">
      <c r="A1" s="161"/>
      <c r="B1" s="161"/>
      <c r="C1" s="161"/>
      <c r="D1" s="161"/>
      <c r="E1" s="161"/>
      <c r="F1" s="161"/>
      <c r="G1" s="161"/>
      <c r="H1" s="161"/>
      <c r="I1" s="147" t="s">
        <v>238</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30.95" customHeight="1" x14ac:dyDescent="0.25">
      <c r="A4" s="157" t="s">
        <v>252</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x14ac:dyDescent="0.25">
      <c r="A8" s="147" t="s">
        <v>3</v>
      </c>
      <c r="B8" s="147"/>
      <c r="C8" s="147" t="s">
        <v>251</v>
      </c>
      <c r="D8" s="147"/>
      <c r="E8" s="147"/>
      <c r="F8" s="147"/>
      <c r="G8" s="147"/>
      <c r="H8" s="147"/>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c r="G16" s="53"/>
      <c r="H16" s="148"/>
      <c r="I16" s="148"/>
      <c r="J16" s="53">
        <f>F16+G16-I16</f>
        <v>0</v>
      </c>
      <c r="K16" s="41"/>
    </row>
    <row r="17" spans="1:11" s="37" customFormat="1" x14ac:dyDescent="0.25">
      <c r="A17" s="39" t="s">
        <v>71</v>
      </c>
      <c r="B17" s="40"/>
      <c r="C17" s="40"/>
      <c r="D17" s="40"/>
      <c r="E17" s="40"/>
      <c r="F17" s="53"/>
      <c r="G17" s="53"/>
      <c r="H17" s="148"/>
      <c r="I17" s="148"/>
      <c r="J17" s="53">
        <f t="shared" ref="J17:J32" si="0">F17+G17-I17</f>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c r="G19" s="53"/>
      <c r="H19" s="148"/>
      <c r="I19" s="148"/>
      <c r="J19" s="53">
        <f t="shared" si="0"/>
        <v>0</v>
      </c>
      <c r="K19" s="41"/>
    </row>
    <row r="20" spans="1:11" s="37" customFormat="1" ht="17.100000000000001" customHeight="1" x14ac:dyDescent="0.25">
      <c r="A20" s="39" t="s">
        <v>220</v>
      </c>
      <c r="B20" s="40"/>
      <c r="C20" s="40"/>
      <c r="D20" s="40"/>
      <c r="E20" s="40"/>
      <c r="F20" s="53">
        <v>70918750.179999977</v>
      </c>
      <c r="G20" s="53">
        <v>0</v>
      </c>
      <c r="H20" s="148">
        <v>1937804.59</v>
      </c>
      <c r="I20" s="148"/>
      <c r="J20" s="53">
        <f>F20+G20-H20</f>
        <v>68980945.589999974</v>
      </c>
      <c r="K20" s="41"/>
    </row>
    <row r="21" spans="1:11" s="37" customFormat="1" ht="17.100000000000001" customHeight="1" x14ac:dyDescent="0.25">
      <c r="A21" s="67" t="s">
        <v>268</v>
      </c>
      <c r="B21" s="40"/>
      <c r="C21" s="40"/>
      <c r="D21" s="40"/>
      <c r="E21" s="40"/>
      <c r="F21" s="53">
        <v>161317543.88</v>
      </c>
      <c r="G21" s="53">
        <v>1937804.59</v>
      </c>
      <c r="H21" s="148">
        <v>0</v>
      </c>
      <c r="I21" s="148"/>
      <c r="J21" s="53">
        <f>F21+G21-H21</f>
        <v>163255348.47</v>
      </c>
      <c r="K21" s="41"/>
    </row>
    <row r="22" spans="1:11" s="37" customFormat="1" ht="14.25" x14ac:dyDescent="0.2">
      <c r="A22" s="42"/>
      <c r="B22" s="42"/>
      <c r="C22" s="42"/>
      <c r="D22" s="42"/>
      <c r="E22" s="42"/>
      <c r="F22" s="53"/>
      <c r="G22" s="53"/>
      <c r="H22" s="148"/>
      <c r="I22" s="148"/>
      <c r="J22" s="53">
        <f t="shared" si="0"/>
        <v>0</v>
      </c>
      <c r="K22" s="41"/>
    </row>
    <row r="23" spans="1:11" s="37" customFormat="1" x14ac:dyDescent="0.25">
      <c r="A23" s="40" t="s">
        <v>11</v>
      </c>
      <c r="B23" s="40"/>
      <c r="C23" s="40"/>
      <c r="D23" s="40"/>
      <c r="E23" s="40"/>
      <c r="F23" s="53"/>
      <c r="G23" s="53"/>
      <c r="H23" s="148"/>
      <c r="I23" s="148"/>
      <c r="J23" s="53">
        <f t="shared" si="0"/>
        <v>0</v>
      </c>
      <c r="K23" s="41"/>
    </row>
    <row r="24" spans="1:11" s="37" customFormat="1" ht="14.25" x14ac:dyDescent="0.2">
      <c r="A24" s="155" t="s">
        <v>73</v>
      </c>
      <c r="B24" s="155"/>
      <c r="C24" s="155"/>
      <c r="D24" s="155"/>
      <c r="E24" s="155"/>
      <c r="F24" s="53">
        <v>13398.02</v>
      </c>
      <c r="G24" s="53"/>
      <c r="H24" s="148"/>
      <c r="I24" s="148"/>
      <c r="J24" s="53">
        <f t="shared" si="0"/>
        <v>13398.02</v>
      </c>
      <c r="K24" s="41"/>
    </row>
    <row r="25" spans="1:11" s="37" customFormat="1" ht="14.25" x14ac:dyDescent="0.2">
      <c r="A25" s="155" t="s">
        <v>74</v>
      </c>
      <c r="B25" s="155"/>
      <c r="C25" s="155"/>
      <c r="D25" s="155"/>
      <c r="E25" s="155"/>
      <c r="F25" s="53"/>
      <c r="G25" s="53"/>
      <c r="H25" s="148"/>
      <c r="I25" s="148"/>
      <c r="J25" s="53">
        <f t="shared" si="0"/>
        <v>0</v>
      </c>
      <c r="K25" s="41"/>
    </row>
    <row r="26" spans="1:11" s="37" customFormat="1" ht="14.25" x14ac:dyDescent="0.2">
      <c r="A26" s="155" t="s">
        <v>75</v>
      </c>
      <c r="B26" s="155"/>
      <c r="C26" s="155"/>
      <c r="D26" s="155"/>
      <c r="E26" s="155"/>
      <c r="F26" s="53"/>
      <c r="G26" s="53"/>
      <c r="H26" s="148"/>
      <c r="I26" s="148"/>
      <c r="J26" s="53">
        <f t="shared" si="0"/>
        <v>0</v>
      </c>
      <c r="K26" s="41"/>
    </row>
    <row r="27" spans="1:11" s="37" customFormat="1" ht="14.25" x14ac:dyDescent="0.2">
      <c r="A27" s="155" t="s">
        <v>76</v>
      </c>
      <c r="B27" s="155"/>
      <c r="C27" s="155"/>
      <c r="D27" s="155"/>
      <c r="E27" s="155"/>
      <c r="F27" s="53"/>
      <c r="G27" s="53"/>
      <c r="H27" s="148"/>
      <c r="I27" s="148"/>
      <c r="J27" s="53">
        <f t="shared" si="0"/>
        <v>0</v>
      </c>
      <c r="K27" s="41"/>
    </row>
    <row r="28" spans="1:11" s="37" customFormat="1" ht="14.25" x14ac:dyDescent="0.2">
      <c r="A28" s="155" t="s">
        <v>77</v>
      </c>
      <c r="B28" s="155"/>
      <c r="C28" s="155"/>
      <c r="D28" s="155"/>
      <c r="E28" s="155"/>
      <c r="F28" s="53"/>
      <c r="G28" s="53"/>
      <c r="H28" s="148"/>
      <c r="I28" s="148"/>
      <c r="J28" s="53">
        <f t="shared" si="0"/>
        <v>0</v>
      </c>
      <c r="K28" s="41"/>
    </row>
    <row r="29" spans="1:11" s="37" customFormat="1" ht="14.25" x14ac:dyDescent="0.2">
      <c r="A29" s="155" t="s">
        <v>78</v>
      </c>
      <c r="B29" s="155"/>
      <c r="C29" s="155"/>
      <c r="D29" s="155"/>
      <c r="E29" s="155"/>
      <c r="F29" s="53"/>
      <c r="G29" s="53"/>
      <c r="H29" s="148"/>
      <c r="I29" s="148"/>
      <c r="J29" s="53">
        <f t="shared" si="0"/>
        <v>0</v>
      </c>
      <c r="K29" s="41"/>
    </row>
    <row r="30" spans="1:11" s="37" customFormat="1" ht="14.25" x14ac:dyDescent="0.2">
      <c r="A30" s="155" t="s">
        <v>79</v>
      </c>
      <c r="B30" s="155"/>
      <c r="C30" s="155"/>
      <c r="D30" s="155"/>
      <c r="E30" s="155"/>
      <c r="F30" s="53"/>
      <c r="G30" s="53"/>
      <c r="H30" s="148"/>
      <c r="I30" s="148"/>
      <c r="J30" s="53">
        <f t="shared" si="0"/>
        <v>0</v>
      </c>
      <c r="K30" s="41"/>
    </row>
    <row r="31" spans="1:11" s="37" customFormat="1" ht="29.1" customHeight="1" x14ac:dyDescent="0.2">
      <c r="A31" s="150" t="s">
        <v>80</v>
      </c>
      <c r="B31" s="150"/>
      <c r="C31" s="150"/>
      <c r="D31" s="150"/>
      <c r="E31" s="150"/>
      <c r="F31" s="53"/>
      <c r="G31" s="53"/>
      <c r="H31" s="148"/>
      <c r="I31" s="148"/>
      <c r="J31" s="53">
        <f t="shared" si="0"/>
        <v>0</v>
      </c>
      <c r="K31" s="41"/>
    </row>
    <row r="32" spans="1:11" s="37" customFormat="1" x14ac:dyDescent="0.25">
      <c r="A32" s="39" t="s">
        <v>81</v>
      </c>
      <c r="B32" s="40"/>
      <c r="C32" s="40"/>
      <c r="D32" s="40"/>
      <c r="E32" s="40"/>
      <c r="F32" s="53"/>
      <c r="G32" s="53"/>
      <c r="H32" s="148"/>
      <c r="I32" s="148"/>
      <c r="J32" s="53">
        <f t="shared" si="0"/>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132</v>
      </c>
      <c r="C35" s="141"/>
      <c r="D35" s="141"/>
      <c r="F35" s="56">
        <f>SUM(F16:F34)</f>
        <v>232249692.07999998</v>
      </c>
      <c r="G35" s="56">
        <f>SUM(G16:G34)</f>
        <v>1937804.59</v>
      </c>
      <c r="H35" s="162">
        <f>SUM(H16:H34)</f>
        <v>1937804.59</v>
      </c>
      <c r="I35" s="162"/>
      <c r="J35" s="56">
        <f>SUM(J16:J34)</f>
        <v>232249692.07999998</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s="7" customFormat="1" x14ac:dyDescent="0.25">
      <c r="A40" s="143" t="s">
        <v>272</v>
      </c>
      <c r="B40" s="143"/>
      <c r="C40" s="143"/>
      <c r="D40" s="143"/>
      <c r="E40" s="143"/>
      <c r="F40" s="143"/>
      <c r="G40" s="143"/>
      <c r="H40" s="143"/>
      <c r="I40" s="143"/>
      <c r="J40" s="143"/>
    </row>
    <row r="41" spans="1:11" s="7" customFormat="1" x14ac:dyDescent="0.25">
      <c r="A41" s="143"/>
      <c r="B41" s="143"/>
      <c r="C41" s="143"/>
      <c r="D41" s="143"/>
      <c r="E41" s="143"/>
      <c r="F41" s="143"/>
      <c r="G41" s="143"/>
      <c r="H41" s="143"/>
      <c r="I41" s="143"/>
      <c r="J41" s="143"/>
    </row>
    <row r="42" spans="1:11" s="7" customFormat="1" x14ac:dyDescent="0.25">
      <c r="A42" s="61"/>
      <c r="B42" s="61"/>
      <c r="C42" s="61"/>
      <c r="D42" s="61"/>
      <c r="E42" s="61"/>
      <c r="F42" s="61"/>
      <c r="G42" s="61"/>
      <c r="H42" s="61"/>
      <c r="I42" s="61"/>
      <c r="J42" s="61"/>
    </row>
    <row r="43" spans="1:11" ht="14.45" customHeight="1" x14ac:dyDescent="0.25">
      <c r="A43" s="143" t="s">
        <v>30</v>
      </c>
      <c r="B43" s="143"/>
      <c r="C43" s="143"/>
      <c r="D43" s="143"/>
      <c r="E43" s="143"/>
      <c r="F43" s="143"/>
      <c r="G43" s="143"/>
      <c r="H43" s="143"/>
      <c r="I43" s="143"/>
      <c r="J43" s="143"/>
    </row>
    <row r="44" spans="1:11" x14ac:dyDescent="0.25">
      <c r="A44" s="143"/>
      <c r="B44" s="143"/>
      <c r="C44" s="143"/>
      <c r="D44" s="143"/>
      <c r="E44" s="143"/>
      <c r="F44" s="143"/>
      <c r="G44" s="143"/>
      <c r="H44" s="143"/>
      <c r="I44" s="143"/>
      <c r="J44" s="143"/>
    </row>
    <row r="45" spans="1:11" x14ac:dyDescent="0.25">
      <c r="A45" s="143"/>
      <c r="B45" s="143"/>
      <c r="C45" s="143"/>
      <c r="D45" s="143"/>
      <c r="E45" s="143"/>
      <c r="F45" s="143"/>
      <c r="G45" s="143"/>
      <c r="H45" s="143"/>
      <c r="I45" s="143"/>
      <c r="J45" s="143"/>
    </row>
    <row r="46" spans="1:11" x14ac:dyDescent="0.25">
      <c r="A46" s="64"/>
      <c r="B46" s="64"/>
      <c r="C46" s="64"/>
      <c r="D46" s="64"/>
      <c r="E46" s="64"/>
      <c r="F46" s="64"/>
      <c r="G46" s="64"/>
      <c r="H46" s="64"/>
      <c r="I46" s="64"/>
      <c r="J46" s="64"/>
    </row>
    <row r="47" spans="1:11" x14ac:dyDescent="0.25">
      <c r="A47" s="64"/>
      <c r="B47" s="64"/>
      <c r="C47" s="64"/>
      <c r="D47" s="64"/>
      <c r="E47" s="64"/>
      <c r="F47" s="64"/>
      <c r="G47" s="64"/>
      <c r="H47" s="64"/>
      <c r="I47" s="64"/>
      <c r="J47" s="64"/>
    </row>
    <row r="48" spans="1:11" x14ac:dyDescent="0.25">
      <c r="A48" s="144" t="s">
        <v>28</v>
      </c>
      <c r="B48" s="144"/>
      <c r="C48" s="144"/>
      <c r="D48" s="144"/>
      <c r="E48" s="144"/>
      <c r="F48" s="144"/>
      <c r="G48" s="144"/>
      <c r="H48" s="144"/>
      <c r="I48" s="144"/>
      <c r="J48" s="144"/>
    </row>
    <row r="49" spans="1:10" x14ac:dyDescent="0.25">
      <c r="A49" s="74"/>
      <c r="B49" s="74"/>
      <c r="C49" s="74"/>
      <c r="D49" s="74"/>
      <c r="E49" s="74"/>
      <c r="F49" s="74"/>
      <c r="G49" s="74"/>
      <c r="H49" s="74"/>
      <c r="I49" s="74"/>
      <c r="J49" s="74"/>
    </row>
    <row r="50" spans="1:10" x14ac:dyDescent="0.25">
      <c r="A50" s="74"/>
      <c r="B50" s="74"/>
      <c r="C50" s="74"/>
      <c r="D50" s="74"/>
      <c r="E50" s="74"/>
      <c r="F50" s="74"/>
      <c r="G50" s="74"/>
      <c r="H50" s="74"/>
      <c r="I50" s="74"/>
      <c r="J50" s="74"/>
    </row>
    <row r="51" spans="1:10" x14ac:dyDescent="0.25">
      <c r="A51" s="74"/>
      <c r="B51" s="74"/>
      <c r="C51" s="74"/>
      <c r="D51" s="74"/>
      <c r="E51" s="74"/>
      <c r="F51" s="74"/>
      <c r="G51" s="74"/>
      <c r="H51" s="74"/>
      <c r="I51" s="74"/>
      <c r="J51" s="74"/>
    </row>
    <row r="52" spans="1:10" x14ac:dyDescent="0.25">
      <c r="A52" s="64"/>
      <c r="B52" s="64"/>
      <c r="C52" s="64"/>
      <c r="D52" s="64"/>
      <c r="E52" s="64"/>
      <c r="F52" s="64"/>
      <c r="G52" s="64"/>
      <c r="H52" s="64"/>
      <c r="I52" s="64"/>
      <c r="J52" s="64"/>
    </row>
    <row r="53" spans="1:10" x14ac:dyDescent="0.25">
      <c r="A53" s="64"/>
      <c r="B53" s="64"/>
      <c r="C53" s="64"/>
      <c r="D53" s="64"/>
      <c r="E53" s="64"/>
      <c r="F53" s="64"/>
      <c r="G53" s="64"/>
      <c r="H53" s="64"/>
      <c r="I53" s="75"/>
      <c r="J53" s="75"/>
    </row>
    <row r="54" spans="1:10" x14ac:dyDescent="0.25">
      <c r="A54" s="64"/>
      <c r="B54" s="64"/>
      <c r="C54" s="64"/>
      <c r="D54" s="64"/>
      <c r="E54" s="64"/>
      <c r="F54" s="64"/>
      <c r="G54" s="64"/>
      <c r="H54" s="64"/>
      <c r="I54" s="50" t="s">
        <v>31</v>
      </c>
      <c r="J54" s="47"/>
    </row>
    <row r="55" spans="1:10" x14ac:dyDescent="0.25">
      <c r="A55" s="64"/>
      <c r="B55" s="64"/>
      <c r="C55" s="64"/>
      <c r="D55" s="64"/>
      <c r="E55" s="64"/>
      <c r="F55" s="64"/>
      <c r="G55" s="64"/>
      <c r="H55" s="64"/>
      <c r="I55" s="50" t="s">
        <v>32</v>
      </c>
      <c r="J55" s="47"/>
    </row>
    <row r="56" spans="1:10" x14ac:dyDescent="0.25">
      <c r="A56" s="64"/>
      <c r="B56" s="64"/>
      <c r="C56" s="64"/>
      <c r="D56" s="64"/>
      <c r="E56" s="64"/>
      <c r="F56" s="64"/>
      <c r="G56" s="64"/>
      <c r="H56" s="64"/>
      <c r="I56" s="50" t="s">
        <v>33</v>
      </c>
      <c r="J56" s="47"/>
    </row>
  </sheetData>
  <mergeCells count="54">
    <mergeCell ref="H27:I27"/>
    <mergeCell ref="H28:I28"/>
    <mergeCell ref="H29:I29"/>
    <mergeCell ref="H30:I30"/>
    <mergeCell ref="H31:I31"/>
    <mergeCell ref="A43:J45"/>
    <mergeCell ref="A48:J48"/>
    <mergeCell ref="A28:E28"/>
    <mergeCell ref="A29:E29"/>
    <mergeCell ref="A30:E30"/>
    <mergeCell ref="A31:E31"/>
    <mergeCell ref="B35:D35"/>
    <mergeCell ref="B36:D36"/>
    <mergeCell ref="H32:I32"/>
    <mergeCell ref="H35:I35"/>
    <mergeCell ref="A40:J41"/>
    <mergeCell ref="A15:J15"/>
    <mergeCell ref="A24:E24"/>
    <mergeCell ref="A25:E25"/>
    <mergeCell ref="A26:E26"/>
    <mergeCell ref="A27:E27"/>
    <mergeCell ref="H16:I16"/>
    <mergeCell ref="H17:I17"/>
    <mergeCell ref="H18:I18"/>
    <mergeCell ref="H19:I19"/>
    <mergeCell ref="H20:I20"/>
    <mergeCell ref="H21:I21"/>
    <mergeCell ref="H22:I22"/>
    <mergeCell ref="H23:I23"/>
    <mergeCell ref="H24:I24"/>
    <mergeCell ref="H25:I25"/>
    <mergeCell ref="H26:I26"/>
    <mergeCell ref="A11:J11"/>
    <mergeCell ref="A12:J12"/>
    <mergeCell ref="A13:J13"/>
    <mergeCell ref="A14:E14"/>
    <mergeCell ref="H14:I14"/>
    <mergeCell ref="A9:B9"/>
    <mergeCell ref="C9:H9"/>
    <mergeCell ref="A10:B10"/>
    <mergeCell ref="C10:H10"/>
    <mergeCell ref="I10:J10"/>
    <mergeCell ref="A8:B8"/>
    <mergeCell ref="C8:H8"/>
    <mergeCell ref="A1:C1"/>
    <mergeCell ref="D1:H1"/>
    <mergeCell ref="I1:J1"/>
    <mergeCell ref="A2:J2"/>
    <mergeCell ref="A3:J3"/>
    <mergeCell ref="A4:J4"/>
    <mergeCell ref="A5:J5"/>
    <mergeCell ref="A6:J6"/>
    <mergeCell ref="A7:B7"/>
    <mergeCell ref="C7:H7"/>
  </mergeCells>
  <pageMargins left="0.25" right="0.25" top="0.75" bottom="0.75" header="0.3" footer="0.3"/>
  <pageSetup scale="75" orientation="portrait" horizontalDpi="360" verticalDpi="36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5F01-CFCC-4E20-82F3-7B9C8BCFBB38}">
  <sheetPr>
    <pageSetUpPr fitToPage="1"/>
  </sheetPr>
  <dimension ref="A1:K54"/>
  <sheetViews>
    <sheetView workbookViewId="0">
      <pane ySplit="14" topLeftCell="A32"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42578125" customWidth="1"/>
    <col min="7" max="7" width="16.7109375" customWidth="1"/>
    <col min="8" max="8" width="4.42578125" customWidth="1"/>
    <col min="9" max="9" width="9.5703125" customWidth="1"/>
    <col min="10" max="10" width="22.140625" customWidth="1"/>
  </cols>
  <sheetData>
    <row r="1" spans="1:11" x14ac:dyDescent="0.25">
      <c r="A1" s="161"/>
      <c r="B1" s="161"/>
      <c r="C1" s="161"/>
      <c r="D1" s="161"/>
      <c r="E1" s="161"/>
      <c r="F1" s="161"/>
      <c r="G1" s="161"/>
      <c r="H1" s="161"/>
      <c r="I1" s="147" t="s">
        <v>239</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30.6" customHeight="1" x14ac:dyDescent="0.25">
      <c r="A4" s="156" t="s">
        <v>135</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30" x14ac:dyDescent="0.25">
      <c r="A8" s="167" t="s">
        <v>3</v>
      </c>
      <c r="B8" s="167"/>
      <c r="C8" s="147" t="s">
        <v>253</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c r="G16" s="53"/>
      <c r="H16" s="148"/>
      <c r="I16" s="148"/>
      <c r="J16" s="53">
        <f t="shared" ref="J16:J21" si="0">F16+G16-H16</f>
        <v>0</v>
      </c>
      <c r="K16" s="41"/>
    </row>
    <row r="17" spans="1:11" s="37" customFormat="1" x14ac:dyDescent="0.25">
      <c r="A17" s="39" t="s">
        <v>71</v>
      </c>
      <c r="B17" s="40"/>
      <c r="C17" s="40"/>
      <c r="D17" s="40"/>
      <c r="E17" s="40"/>
      <c r="F17" s="53"/>
      <c r="G17" s="53"/>
      <c r="H17" s="148"/>
      <c r="I17" s="148"/>
      <c r="J17" s="53">
        <f t="shared" si="0"/>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c r="G19" s="53"/>
      <c r="H19" s="148"/>
      <c r="I19" s="148"/>
      <c r="J19" s="53">
        <f t="shared" si="0"/>
        <v>0</v>
      </c>
      <c r="K19" s="41"/>
    </row>
    <row r="20" spans="1:11" s="37" customFormat="1" ht="17.25" x14ac:dyDescent="0.25">
      <c r="A20" s="39" t="s">
        <v>220</v>
      </c>
      <c r="B20" s="40"/>
      <c r="C20" s="40"/>
      <c r="D20" s="40"/>
      <c r="E20" s="40"/>
      <c r="F20" s="53"/>
      <c r="G20" s="53"/>
      <c r="H20" s="148"/>
      <c r="I20" s="148"/>
      <c r="J20" s="53">
        <f t="shared" si="0"/>
        <v>0</v>
      </c>
      <c r="K20" s="41"/>
    </row>
    <row r="21" spans="1:11" s="37" customFormat="1" ht="17.25" x14ac:dyDescent="0.25">
      <c r="A21" s="67" t="s">
        <v>268</v>
      </c>
      <c r="B21" s="40"/>
      <c r="C21" s="40"/>
      <c r="D21" s="40"/>
      <c r="E21" s="40"/>
      <c r="F21" s="53"/>
      <c r="G21" s="53"/>
      <c r="H21" s="148"/>
      <c r="I21" s="148"/>
      <c r="J21" s="53">
        <f t="shared" si="0"/>
        <v>0</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v>3704.16</v>
      </c>
      <c r="G24" s="53"/>
      <c r="H24" s="148"/>
      <c r="I24" s="148"/>
      <c r="J24" s="53">
        <f>F24+G24-H24</f>
        <v>3704.16</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c r="G31" s="53"/>
      <c r="H31" s="148"/>
      <c r="I31" s="148"/>
      <c r="J31" s="53">
        <f t="shared" si="1"/>
        <v>0</v>
      </c>
      <c r="K31" s="41"/>
    </row>
    <row r="32" spans="1:11" s="37" customFormat="1" x14ac:dyDescent="0.25">
      <c r="A32" s="39" t="s">
        <v>81</v>
      </c>
      <c r="B32" s="40"/>
      <c r="C32" s="40"/>
      <c r="D32" s="40"/>
      <c r="E32" s="40"/>
      <c r="F32" s="53"/>
      <c r="G32" s="53"/>
      <c r="H32" s="148"/>
      <c r="I32" s="148"/>
      <c r="J32" s="53">
        <f t="shared" si="1"/>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134</v>
      </c>
      <c r="C35" s="141"/>
      <c r="D35" s="141"/>
      <c r="F35" s="56">
        <f>SUM(F16:F34)</f>
        <v>3704.16</v>
      </c>
      <c r="G35" s="56">
        <f>SUM(G16:G34)</f>
        <v>0</v>
      </c>
      <c r="H35" s="162">
        <f>SUM(H16:H34)</f>
        <v>0</v>
      </c>
      <c r="I35" s="162"/>
      <c r="J35" s="56">
        <f>SUM(J16:J34)</f>
        <v>3704.16</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ht="14.45" customHeight="1" x14ac:dyDescent="0.25">
      <c r="A40" s="143" t="s">
        <v>30</v>
      </c>
      <c r="B40" s="143"/>
      <c r="C40" s="143"/>
      <c r="D40" s="143"/>
      <c r="E40" s="143"/>
      <c r="F40" s="143"/>
      <c r="G40" s="143"/>
      <c r="H40" s="143"/>
      <c r="I40" s="143"/>
      <c r="J40" s="143"/>
    </row>
    <row r="41" spans="1:11" x14ac:dyDescent="0.25">
      <c r="A41" s="143"/>
      <c r="B41" s="143"/>
      <c r="C41" s="143"/>
      <c r="D41" s="143"/>
      <c r="E41" s="143"/>
      <c r="F41" s="143"/>
      <c r="G41" s="143"/>
      <c r="H41" s="143"/>
      <c r="I41" s="143"/>
      <c r="J41" s="143"/>
    </row>
    <row r="42" spans="1:11" x14ac:dyDescent="0.25">
      <c r="A42" s="143"/>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4"/>
      <c r="B44" s="64"/>
      <c r="C44" s="64"/>
      <c r="D44" s="64"/>
      <c r="E44" s="64"/>
      <c r="F44" s="64"/>
      <c r="G44" s="64"/>
      <c r="H44" s="64"/>
      <c r="I44" s="64"/>
      <c r="J44" s="64"/>
    </row>
    <row r="45" spans="1:11" x14ac:dyDescent="0.25">
      <c r="A45" s="64"/>
      <c r="B45" s="64"/>
      <c r="C45" s="64"/>
      <c r="D45" s="64"/>
      <c r="E45" s="64"/>
      <c r="F45" s="64"/>
      <c r="G45" s="64"/>
      <c r="H45" s="64"/>
      <c r="I45" s="64"/>
      <c r="J45" s="64"/>
    </row>
    <row r="46" spans="1:11" x14ac:dyDescent="0.25">
      <c r="A46" s="144" t="s">
        <v>28</v>
      </c>
      <c r="B46" s="144"/>
      <c r="C46" s="144"/>
      <c r="D46" s="144"/>
      <c r="E46" s="144"/>
      <c r="F46" s="144"/>
      <c r="G46" s="144"/>
      <c r="H46" s="144"/>
      <c r="I46" s="144"/>
      <c r="J46" s="144"/>
    </row>
    <row r="47" spans="1:11" x14ac:dyDescent="0.25">
      <c r="A47" s="74"/>
      <c r="B47" s="74"/>
      <c r="C47" s="74"/>
      <c r="D47" s="74"/>
      <c r="E47" s="74"/>
      <c r="F47" s="74"/>
      <c r="G47" s="74"/>
      <c r="H47" s="74"/>
      <c r="I47" s="74"/>
      <c r="J47" s="74"/>
    </row>
    <row r="48" spans="1:11" x14ac:dyDescent="0.25">
      <c r="A48" s="74"/>
      <c r="B48" s="74"/>
      <c r="C48" s="74"/>
      <c r="D48" s="74"/>
      <c r="E48" s="74"/>
      <c r="F48" s="74"/>
      <c r="G48" s="74"/>
      <c r="H48" s="74"/>
      <c r="I48" s="74"/>
      <c r="J48" s="74"/>
    </row>
    <row r="49" spans="1:10" x14ac:dyDescent="0.25">
      <c r="A49" s="74"/>
      <c r="B49" s="74"/>
      <c r="C49" s="74"/>
      <c r="D49" s="74"/>
      <c r="E49" s="74"/>
      <c r="F49" s="74"/>
      <c r="G49" s="74"/>
      <c r="H49" s="74"/>
      <c r="I49" s="74"/>
      <c r="J49" s="74"/>
    </row>
    <row r="50" spans="1:10" x14ac:dyDescent="0.25">
      <c r="A50" s="64"/>
      <c r="B50" s="64"/>
      <c r="C50" s="64"/>
      <c r="D50" s="64"/>
      <c r="E50" s="64"/>
      <c r="F50" s="64"/>
      <c r="G50" s="64"/>
      <c r="H50" s="64"/>
      <c r="I50" s="64"/>
      <c r="J50" s="64"/>
    </row>
    <row r="51" spans="1:10" x14ac:dyDescent="0.25">
      <c r="A51" s="64"/>
      <c r="B51" s="64"/>
      <c r="C51" s="64"/>
      <c r="D51" s="64"/>
      <c r="E51" s="64"/>
      <c r="F51" s="64"/>
      <c r="G51" s="64"/>
      <c r="H51" s="64"/>
      <c r="I51" s="75"/>
      <c r="J51" s="75"/>
    </row>
    <row r="52" spans="1:10" x14ac:dyDescent="0.25">
      <c r="A52" s="64"/>
      <c r="B52" s="64"/>
      <c r="C52" s="64"/>
      <c r="D52" s="64"/>
      <c r="E52" s="64"/>
      <c r="F52" s="64"/>
      <c r="G52" s="64"/>
      <c r="H52" s="64"/>
      <c r="I52" s="50" t="s">
        <v>31</v>
      </c>
      <c r="J52" s="47"/>
    </row>
    <row r="53" spans="1:10" x14ac:dyDescent="0.25">
      <c r="A53" s="64"/>
      <c r="B53" s="64"/>
      <c r="C53" s="64"/>
      <c r="D53" s="64"/>
      <c r="E53" s="64"/>
      <c r="F53" s="64"/>
      <c r="G53" s="64"/>
      <c r="H53" s="64"/>
      <c r="I53" s="50" t="s">
        <v>32</v>
      </c>
      <c r="J53" s="47"/>
    </row>
    <row r="54" spans="1:10" x14ac:dyDescent="0.25">
      <c r="A54" s="64"/>
      <c r="B54" s="64"/>
      <c r="C54" s="64"/>
      <c r="D54" s="64"/>
      <c r="E54" s="64"/>
      <c r="F54" s="64"/>
      <c r="G54" s="64"/>
      <c r="H54" s="64"/>
      <c r="I54" s="50" t="s">
        <v>33</v>
      </c>
      <c r="J54" s="47"/>
    </row>
  </sheetData>
  <mergeCells count="53">
    <mergeCell ref="H26:I26"/>
    <mergeCell ref="H27:I27"/>
    <mergeCell ref="H28:I28"/>
    <mergeCell ref="H29:I29"/>
    <mergeCell ref="H30:I30"/>
    <mergeCell ref="H21:I21"/>
    <mergeCell ref="H22:I22"/>
    <mergeCell ref="H23:I23"/>
    <mergeCell ref="H24:I24"/>
    <mergeCell ref="H25:I25"/>
    <mergeCell ref="H16:I16"/>
    <mergeCell ref="H17:I17"/>
    <mergeCell ref="H18:I18"/>
    <mergeCell ref="H19:I19"/>
    <mergeCell ref="H20:I20"/>
    <mergeCell ref="A40:J43"/>
    <mergeCell ref="A46:J46"/>
    <mergeCell ref="A29:E29"/>
    <mergeCell ref="A30:E30"/>
    <mergeCell ref="A31:E31"/>
    <mergeCell ref="B35:D35"/>
    <mergeCell ref="B36:D36"/>
    <mergeCell ref="H35:I35"/>
    <mergeCell ref="H31:I31"/>
    <mergeCell ref="H32:I32"/>
    <mergeCell ref="A24:E24"/>
    <mergeCell ref="A25:E25"/>
    <mergeCell ref="A26:E26"/>
    <mergeCell ref="A27:E27"/>
    <mergeCell ref="A28:E28"/>
    <mergeCell ref="A4:J4"/>
    <mergeCell ref="A5:J5"/>
    <mergeCell ref="A6:J6"/>
    <mergeCell ref="A7:B7"/>
    <mergeCell ref="C7:H7"/>
    <mergeCell ref="A1:C1"/>
    <mergeCell ref="D1:H1"/>
    <mergeCell ref="I1:J1"/>
    <mergeCell ref="A2:J2"/>
    <mergeCell ref="A3:J3"/>
    <mergeCell ref="A8:B8"/>
    <mergeCell ref="C8:H8"/>
    <mergeCell ref="A9:B9"/>
    <mergeCell ref="C9:H9"/>
    <mergeCell ref="A10:B10"/>
    <mergeCell ref="C10:H10"/>
    <mergeCell ref="A15:J15"/>
    <mergeCell ref="I10:J10"/>
    <mergeCell ref="A11:J11"/>
    <mergeCell ref="A12:J12"/>
    <mergeCell ref="A13:J13"/>
    <mergeCell ref="A14:E14"/>
    <mergeCell ref="H14:I14"/>
  </mergeCells>
  <pageMargins left="0.25" right="0.25" top="0.75" bottom="0.75" header="0.3" footer="0.3"/>
  <pageSetup scale="78" orientation="portrait" horizontalDpi="360" verticalDpi="36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E4953-7992-4EBD-A969-67B638A1B121}">
  <sheetPr>
    <pageSetUpPr fitToPage="1"/>
  </sheetPr>
  <dimension ref="A1:K57"/>
  <sheetViews>
    <sheetView topLeftCell="B1" workbookViewId="0">
      <pane ySplit="14" topLeftCell="A35"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42578125" customWidth="1"/>
    <col min="7" max="7" width="8.85546875" bestFit="1" customWidth="1"/>
    <col min="8" max="8" width="3" customWidth="1"/>
    <col min="9" max="9" width="12.28515625" customWidth="1"/>
    <col min="10" max="10" width="17.28515625" customWidth="1"/>
  </cols>
  <sheetData>
    <row r="1" spans="1:11" x14ac:dyDescent="0.25">
      <c r="A1" s="161"/>
      <c r="B1" s="161"/>
      <c r="C1" s="161"/>
      <c r="D1" s="161"/>
      <c r="E1" s="161"/>
      <c r="F1" s="161"/>
      <c r="G1" s="161"/>
      <c r="H1" s="161"/>
      <c r="I1" s="147" t="s">
        <v>240</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30.6" customHeight="1" x14ac:dyDescent="0.25">
      <c r="A4" s="205" t="s">
        <v>137</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x14ac:dyDescent="0.25">
      <c r="A8" s="167" t="s">
        <v>3</v>
      </c>
      <c r="B8" s="167"/>
      <c r="C8" s="147" t="s">
        <v>254</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c r="G16" s="53"/>
      <c r="H16" s="148"/>
      <c r="I16" s="148"/>
      <c r="J16" s="53">
        <f t="shared" ref="J16:J21" si="0">F16+G16-H16</f>
        <v>0</v>
      </c>
      <c r="K16" s="41"/>
    </row>
    <row r="17" spans="1:11" s="37" customFormat="1" x14ac:dyDescent="0.25">
      <c r="A17" s="39" t="s">
        <v>71</v>
      </c>
      <c r="B17" s="40"/>
      <c r="C17" s="40"/>
      <c r="D17" s="40"/>
      <c r="E17" s="40"/>
      <c r="F17" s="53"/>
      <c r="G17" s="53"/>
      <c r="H17" s="148"/>
      <c r="I17" s="148"/>
      <c r="J17" s="53">
        <f t="shared" si="0"/>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c r="G19" s="53"/>
      <c r="H19" s="148"/>
      <c r="I19" s="148"/>
      <c r="J19" s="53">
        <f t="shared" si="0"/>
        <v>0</v>
      </c>
      <c r="K19" s="41"/>
    </row>
    <row r="20" spans="1:11" s="37" customFormat="1" ht="17.25" x14ac:dyDescent="0.25">
      <c r="A20" s="39" t="s">
        <v>220</v>
      </c>
      <c r="B20" s="40"/>
      <c r="C20" s="40"/>
      <c r="D20" s="40"/>
      <c r="E20" s="40"/>
      <c r="F20" s="53"/>
      <c r="G20" s="53"/>
      <c r="H20" s="148"/>
      <c r="I20" s="148"/>
      <c r="J20" s="53">
        <f t="shared" si="0"/>
        <v>0</v>
      </c>
      <c r="K20" s="41"/>
    </row>
    <row r="21" spans="1:11" s="37" customFormat="1" ht="17.25" x14ac:dyDescent="0.25">
      <c r="A21" s="67" t="s">
        <v>268</v>
      </c>
      <c r="B21" s="40"/>
      <c r="C21" s="40"/>
      <c r="D21" s="40"/>
      <c r="E21" s="40"/>
      <c r="F21" s="53"/>
      <c r="G21" s="53"/>
      <c r="H21" s="148"/>
      <c r="I21" s="148"/>
      <c r="J21" s="53">
        <f t="shared" si="0"/>
        <v>0</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v>7986.09</v>
      </c>
      <c r="G24" s="53"/>
      <c r="H24" s="148"/>
      <c r="I24" s="148"/>
      <c r="J24" s="53">
        <f>F24+G24-H24</f>
        <v>7986.09</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c r="G31" s="53"/>
      <c r="H31" s="148"/>
      <c r="I31" s="148"/>
      <c r="J31" s="53">
        <f t="shared" si="1"/>
        <v>0</v>
      </c>
      <c r="K31" s="41"/>
    </row>
    <row r="32" spans="1:11" s="37" customFormat="1" x14ac:dyDescent="0.25">
      <c r="A32" s="39" t="s">
        <v>81</v>
      </c>
      <c r="B32" s="40"/>
      <c r="C32" s="40"/>
      <c r="D32" s="40"/>
      <c r="E32" s="40"/>
      <c r="F32" s="53"/>
      <c r="G32" s="53"/>
      <c r="H32" s="148"/>
      <c r="I32" s="148"/>
      <c r="J32" s="53">
        <f t="shared" si="1"/>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136</v>
      </c>
      <c r="C35" s="141"/>
      <c r="D35" s="141"/>
      <c r="F35" s="56">
        <f>SUM(F16:F34)</f>
        <v>7986.09</v>
      </c>
      <c r="G35" s="56">
        <f>SUM(G16:G34)</f>
        <v>0</v>
      </c>
      <c r="H35" s="162">
        <f>SUM(H16:H34)</f>
        <v>0</v>
      </c>
      <c r="I35" s="162"/>
      <c r="J35" s="56">
        <f>SUM(J16:J34)</f>
        <v>7986.09</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ht="14.45" customHeight="1" x14ac:dyDescent="0.25">
      <c r="A40" s="143" t="s">
        <v>30</v>
      </c>
      <c r="B40" s="143"/>
      <c r="C40" s="143"/>
      <c r="D40" s="143"/>
      <c r="E40" s="143"/>
      <c r="F40" s="143"/>
      <c r="G40" s="143"/>
      <c r="H40" s="143"/>
      <c r="I40" s="143"/>
      <c r="J40" s="143"/>
    </row>
    <row r="41" spans="1:11" x14ac:dyDescent="0.25">
      <c r="A41" s="143"/>
      <c r="B41" s="143"/>
      <c r="C41" s="143"/>
      <c r="D41" s="143"/>
      <c r="E41" s="143"/>
      <c r="F41" s="143"/>
      <c r="G41" s="143"/>
      <c r="H41" s="143"/>
      <c r="I41" s="143"/>
      <c r="J41" s="143"/>
    </row>
    <row r="42" spans="1:11" x14ac:dyDescent="0.25">
      <c r="A42" s="143"/>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4"/>
      <c r="B44" s="64"/>
      <c r="C44" s="64"/>
      <c r="D44" s="64"/>
      <c r="E44" s="64"/>
      <c r="F44" s="64"/>
      <c r="G44" s="64"/>
      <c r="H44" s="64"/>
      <c r="I44" s="64"/>
      <c r="J44" s="64"/>
    </row>
    <row r="45" spans="1:11" x14ac:dyDescent="0.25">
      <c r="A45" s="64"/>
      <c r="B45" s="64"/>
      <c r="C45" s="64"/>
      <c r="D45" s="64"/>
      <c r="E45" s="64"/>
      <c r="F45" s="64"/>
      <c r="G45" s="64"/>
      <c r="H45" s="64"/>
      <c r="I45" s="64"/>
      <c r="J45" s="64"/>
    </row>
    <row r="46" spans="1:11" x14ac:dyDescent="0.25">
      <c r="A46" s="144" t="s">
        <v>28</v>
      </c>
      <c r="B46" s="144"/>
      <c r="C46" s="144"/>
      <c r="D46" s="144"/>
      <c r="E46" s="144"/>
      <c r="F46" s="144"/>
      <c r="G46" s="144"/>
      <c r="H46" s="144"/>
      <c r="I46" s="144"/>
      <c r="J46" s="144"/>
    </row>
    <row r="47" spans="1:11" x14ac:dyDescent="0.25">
      <c r="A47" s="144"/>
      <c r="B47" s="144"/>
      <c r="C47" s="144"/>
      <c r="D47" s="144"/>
      <c r="E47" s="144"/>
      <c r="F47" s="144"/>
      <c r="G47" s="144"/>
      <c r="H47" s="144"/>
      <c r="I47" s="144"/>
      <c r="J47" s="144"/>
    </row>
    <row r="48" spans="1:11" x14ac:dyDescent="0.25">
      <c r="A48" s="144"/>
      <c r="B48" s="144"/>
      <c r="C48" s="144"/>
      <c r="D48" s="144"/>
      <c r="E48" s="144"/>
      <c r="F48" s="144"/>
      <c r="G48" s="144"/>
      <c r="H48" s="144"/>
      <c r="I48" s="144"/>
      <c r="J48" s="144"/>
    </row>
    <row r="49" spans="1:10" x14ac:dyDescent="0.25">
      <c r="A49" s="144"/>
      <c r="B49" s="144"/>
      <c r="C49" s="144"/>
      <c r="D49" s="144"/>
      <c r="E49" s="144"/>
      <c r="F49" s="144"/>
      <c r="G49" s="144"/>
      <c r="H49" s="144"/>
      <c r="I49" s="144"/>
      <c r="J49" s="144"/>
    </row>
    <row r="50" spans="1:10" x14ac:dyDescent="0.25">
      <c r="A50" s="74"/>
      <c r="B50" s="74"/>
      <c r="C50" s="74"/>
      <c r="D50" s="74"/>
      <c r="E50" s="74"/>
      <c r="F50" s="74"/>
      <c r="G50" s="74"/>
      <c r="H50" s="74"/>
      <c r="I50" s="74"/>
      <c r="J50" s="74"/>
    </row>
    <row r="51" spans="1:10" x14ac:dyDescent="0.25">
      <c r="A51" s="74"/>
      <c r="B51" s="74"/>
      <c r="C51" s="74"/>
      <c r="D51" s="74"/>
      <c r="E51" s="74"/>
      <c r="F51" s="74"/>
      <c r="G51" s="74"/>
      <c r="H51" s="74"/>
      <c r="I51" s="74"/>
      <c r="J51" s="74"/>
    </row>
    <row r="52" spans="1:10" x14ac:dyDescent="0.25">
      <c r="A52" s="74"/>
      <c r="B52" s="74"/>
      <c r="C52" s="74"/>
      <c r="D52" s="74"/>
      <c r="E52" s="74"/>
      <c r="F52" s="74"/>
      <c r="G52" s="74"/>
      <c r="H52" s="74"/>
      <c r="I52" s="74"/>
      <c r="J52" s="74"/>
    </row>
    <row r="53" spans="1:10" x14ac:dyDescent="0.25">
      <c r="A53" s="64"/>
      <c r="B53" s="64"/>
      <c r="C53" s="64"/>
      <c r="D53" s="64"/>
      <c r="E53" s="64"/>
      <c r="F53" s="64"/>
      <c r="G53" s="64"/>
      <c r="H53" s="64"/>
      <c r="I53" s="64"/>
      <c r="J53" s="64"/>
    </row>
    <row r="54" spans="1:10" x14ac:dyDescent="0.25">
      <c r="A54" s="64"/>
      <c r="B54" s="64"/>
      <c r="C54" s="64"/>
      <c r="D54" s="64"/>
      <c r="E54" s="64"/>
      <c r="F54" s="64"/>
      <c r="G54" s="64"/>
      <c r="H54" s="64"/>
      <c r="I54" s="75"/>
      <c r="J54" s="75"/>
    </row>
    <row r="55" spans="1:10" x14ac:dyDescent="0.25">
      <c r="A55" s="64"/>
      <c r="B55" s="64"/>
      <c r="C55" s="64"/>
      <c r="D55" s="64"/>
      <c r="E55" s="64"/>
      <c r="F55" s="64"/>
      <c r="G55" s="64"/>
      <c r="H55" s="64"/>
      <c r="I55" s="50" t="s">
        <v>31</v>
      </c>
      <c r="J55" s="47"/>
    </row>
    <row r="56" spans="1:10" x14ac:dyDescent="0.25">
      <c r="A56" s="64"/>
      <c r="B56" s="64"/>
      <c r="C56" s="64"/>
      <c r="D56" s="64"/>
      <c r="E56" s="64"/>
      <c r="F56" s="64"/>
      <c r="G56" s="64"/>
      <c r="H56" s="64"/>
      <c r="I56" s="50" t="s">
        <v>32</v>
      </c>
      <c r="J56" s="47"/>
    </row>
    <row r="57" spans="1:10" x14ac:dyDescent="0.25">
      <c r="A57" s="64"/>
      <c r="B57" s="64"/>
      <c r="C57" s="64"/>
      <c r="D57" s="64"/>
      <c r="E57" s="64"/>
      <c r="F57" s="64"/>
      <c r="G57" s="64"/>
      <c r="H57" s="64"/>
      <c r="I57" s="50" t="s">
        <v>33</v>
      </c>
      <c r="J57" s="47"/>
    </row>
  </sheetData>
  <mergeCells count="53">
    <mergeCell ref="H27:I27"/>
    <mergeCell ref="H28:I28"/>
    <mergeCell ref="H29:I29"/>
    <mergeCell ref="H30:I30"/>
    <mergeCell ref="H31:I31"/>
    <mergeCell ref="A40:J43"/>
    <mergeCell ref="A46:J49"/>
    <mergeCell ref="A28:E28"/>
    <mergeCell ref="A29:E29"/>
    <mergeCell ref="A30:E30"/>
    <mergeCell ref="A31:E31"/>
    <mergeCell ref="B35:D35"/>
    <mergeCell ref="B36:D36"/>
    <mergeCell ref="H35:I35"/>
    <mergeCell ref="H32:I32"/>
    <mergeCell ref="A15:J15"/>
    <mergeCell ref="A24:E24"/>
    <mergeCell ref="A25:E25"/>
    <mergeCell ref="A26:E26"/>
    <mergeCell ref="A27:E27"/>
    <mergeCell ref="H16:I16"/>
    <mergeCell ref="H17:I17"/>
    <mergeCell ref="H18:I18"/>
    <mergeCell ref="H19:I19"/>
    <mergeCell ref="H20:I20"/>
    <mergeCell ref="H21:I21"/>
    <mergeCell ref="H22:I22"/>
    <mergeCell ref="H23:I23"/>
    <mergeCell ref="H24:I24"/>
    <mergeCell ref="H25:I25"/>
    <mergeCell ref="H26:I26"/>
    <mergeCell ref="A11:J11"/>
    <mergeCell ref="A12:J12"/>
    <mergeCell ref="A13:J13"/>
    <mergeCell ref="A14:E14"/>
    <mergeCell ref="H14:I14"/>
    <mergeCell ref="A9:B9"/>
    <mergeCell ref="C9:H9"/>
    <mergeCell ref="A10:B10"/>
    <mergeCell ref="C10:H10"/>
    <mergeCell ref="I10:J10"/>
    <mergeCell ref="A8:B8"/>
    <mergeCell ref="C8:H8"/>
    <mergeCell ref="A1:C1"/>
    <mergeCell ref="D1:H1"/>
    <mergeCell ref="I1:J1"/>
    <mergeCell ref="A2:J2"/>
    <mergeCell ref="A3:J3"/>
    <mergeCell ref="A4:J4"/>
    <mergeCell ref="A5:J5"/>
    <mergeCell ref="A6:J6"/>
    <mergeCell ref="A7:B7"/>
    <mergeCell ref="C7:H7"/>
  </mergeCells>
  <pageMargins left="0.25" right="0.25" top="0.75" bottom="0.75" header="0.3" footer="0.3"/>
  <pageSetup scale="75" orientation="portrait" horizontalDpi="360" verticalDpi="36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DA6E-0C48-4B87-BA3A-6708C75AEBCE}">
  <sheetPr>
    <pageSetUpPr fitToPage="1"/>
  </sheetPr>
  <dimension ref="A1:K54"/>
  <sheetViews>
    <sheetView workbookViewId="0">
      <pane ySplit="14" topLeftCell="A33"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42578125" customWidth="1"/>
    <col min="7" max="7" width="16.7109375" customWidth="1"/>
    <col min="8" max="8" width="1.140625" customWidth="1"/>
    <col min="9" max="9" width="13.28515625" customWidth="1"/>
    <col min="10" max="10" width="18.5703125" customWidth="1"/>
  </cols>
  <sheetData>
    <row r="1" spans="1:11" x14ac:dyDescent="0.25">
      <c r="A1" s="161"/>
      <c r="B1" s="161"/>
      <c r="C1" s="161"/>
      <c r="D1" s="161"/>
      <c r="E1" s="161"/>
      <c r="F1" s="161"/>
      <c r="G1" s="161"/>
      <c r="H1" s="161"/>
      <c r="I1" s="147" t="s">
        <v>241</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30.95" customHeight="1" x14ac:dyDescent="0.25">
      <c r="A4" s="156" t="s">
        <v>139</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x14ac:dyDescent="0.25">
      <c r="A8" s="167" t="s">
        <v>3</v>
      </c>
      <c r="B8" s="167"/>
      <c r="C8" s="147" t="s">
        <v>255</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100000000000001" customHeight="1" x14ac:dyDescent="0.25">
      <c r="A16" s="39" t="s">
        <v>219</v>
      </c>
      <c r="B16" s="40"/>
      <c r="C16" s="40"/>
      <c r="D16" s="40"/>
      <c r="E16" s="40"/>
      <c r="F16" s="53">
        <v>44393.46</v>
      </c>
      <c r="G16" s="53">
        <v>0</v>
      </c>
      <c r="H16" s="148">
        <v>0</v>
      </c>
      <c r="I16" s="148"/>
      <c r="J16" s="53">
        <f t="shared" ref="J16:J21" si="0">F16+G16-H16</f>
        <v>44393.46</v>
      </c>
      <c r="K16" s="41"/>
    </row>
    <row r="17" spans="1:11" s="37" customFormat="1" x14ac:dyDescent="0.25">
      <c r="A17" s="39" t="s">
        <v>71</v>
      </c>
      <c r="B17" s="40"/>
      <c r="C17" s="40"/>
      <c r="D17" s="40"/>
      <c r="E17" s="40"/>
      <c r="F17" s="53">
        <v>12276284.35</v>
      </c>
      <c r="G17" s="53"/>
      <c r="H17" s="148"/>
      <c r="I17" s="148"/>
      <c r="J17" s="53">
        <f t="shared" si="0"/>
        <v>12276284.35</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v>11381.36</v>
      </c>
      <c r="G19" s="53"/>
      <c r="H19" s="148"/>
      <c r="I19" s="148"/>
      <c r="J19" s="53">
        <f t="shared" si="0"/>
        <v>11381.36</v>
      </c>
      <c r="K19" s="41"/>
    </row>
    <row r="20" spans="1:11" s="37" customFormat="1" ht="17.100000000000001" customHeight="1" x14ac:dyDescent="0.25">
      <c r="A20" s="39" t="s">
        <v>220</v>
      </c>
      <c r="B20" s="40"/>
      <c r="C20" s="40"/>
      <c r="D20" s="40"/>
      <c r="E20" s="40"/>
      <c r="F20" s="53">
        <v>2150338.7800000012</v>
      </c>
      <c r="G20" s="53">
        <v>0</v>
      </c>
      <c r="H20" s="148">
        <v>0</v>
      </c>
      <c r="I20" s="148"/>
      <c r="J20" s="53">
        <f t="shared" si="0"/>
        <v>2150338.7800000012</v>
      </c>
      <c r="K20" s="41"/>
    </row>
    <row r="21" spans="1:11" s="37" customFormat="1" ht="17.100000000000001" customHeight="1" x14ac:dyDescent="0.25">
      <c r="A21" s="67" t="s">
        <v>268</v>
      </c>
      <c r="B21" s="40"/>
      <c r="C21" s="40"/>
      <c r="D21" s="40"/>
      <c r="E21" s="40"/>
      <c r="F21" s="53">
        <v>139403971.63999999</v>
      </c>
      <c r="G21" s="53">
        <v>764654.21</v>
      </c>
      <c r="H21" s="148">
        <v>0</v>
      </c>
      <c r="I21" s="148"/>
      <c r="J21" s="53">
        <f t="shared" si="0"/>
        <v>140168625.84999999</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v>19833.02</v>
      </c>
      <c r="G24" s="53"/>
      <c r="H24" s="148"/>
      <c r="I24" s="148"/>
      <c r="J24" s="53">
        <f>F24+G24-H24</f>
        <v>19833.02</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c r="G31" s="53"/>
      <c r="H31" s="148"/>
      <c r="I31" s="148"/>
      <c r="J31" s="53">
        <f t="shared" si="1"/>
        <v>0</v>
      </c>
      <c r="K31" s="41"/>
    </row>
    <row r="32" spans="1:11" s="37" customFormat="1" x14ac:dyDescent="0.25">
      <c r="A32" s="39" t="s">
        <v>81</v>
      </c>
      <c r="B32" s="40"/>
      <c r="C32" s="40"/>
      <c r="D32" s="40"/>
      <c r="E32" s="40"/>
      <c r="F32" s="53"/>
      <c r="G32" s="53"/>
      <c r="H32" s="148"/>
      <c r="I32" s="148"/>
      <c r="J32" s="53">
        <f t="shared" si="1"/>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138</v>
      </c>
      <c r="C35" s="141"/>
      <c r="D35" s="141"/>
      <c r="F35" s="56">
        <f>SUM(F16:F34)</f>
        <v>153906202.60999998</v>
      </c>
      <c r="G35" s="56">
        <f>SUM(G16:G34)</f>
        <v>764654.21</v>
      </c>
      <c r="H35" s="162">
        <f>SUM(H16:H34)</f>
        <v>0</v>
      </c>
      <c r="I35" s="162"/>
      <c r="J35" s="56">
        <f>SUM(J16:J34)</f>
        <v>154670856.81999999</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ht="14.45" customHeight="1" x14ac:dyDescent="0.25">
      <c r="A40" s="143" t="s">
        <v>30</v>
      </c>
      <c r="B40" s="143"/>
      <c r="C40" s="143"/>
      <c r="D40" s="143"/>
      <c r="E40" s="143"/>
      <c r="F40" s="143"/>
      <c r="G40" s="143"/>
      <c r="H40" s="143"/>
      <c r="I40" s="143"/>
      <c r="J40" s="143"/>
    </row>
    <row r="41" spans="1:11" x14ac:dyDescent="0.25">
      <c r="A41" s="143"/>
      <c r="B41" s="143"/>
      <c r="C41" s="143"/>
      <c r="D41" s="143"/>
      <c r="E41" s="143"/>
      <c r="F41" s="143"/>
      <c r="G41" s="143"/>
      <c r="H41" s="143"/>
      <c r="I41" s="143"/>
      <c r="J41" s="143"/>
    </row>
    <row r="42" spans="1:11" x14ac:dyDescent="0.25">
      <c r="A42" s="143"/>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4"/>
      <c r="B44" s="64"/>
      <c r="C44" s="64"/>
      <c r="D44" s="64"/>
      <c r="E44" s="64"/>
      <c r="F44" s="64"/>
      <c r="G44" s="64"/>
      <c r="H44" s="64"/>
      <c r="I44" s="64"/>
      <c r="J44" s="64"/>
    </row>
    <row r="45" spans="1:11" x14ac:dyDescent="0.25">
      <c r="A45" s="64"/>
      <c r="B45" s="64"/>
      <c r="C45" s="64"/>
      <c r="D45" s="64"/>
      <c r="E45" s="64"/>
      <c r="F45" s="64"/>
      <c r="G45" s="64"/>
      <c r="H45" s="64"/>
      <c r="I45" s="64"/>
      <c r="J45" s="64"/>
    </row>
    <row r="46" spans="1:11" x14ac:dyDescent="0.25">
      <c r="A46" s="144" t="s">
        <v>28</v>
      </c>
      <c r="B46" s="144"/>
      <c r="C46" s="144"/>
      <c r="D46" s="144"/>
      <c r="E46" s="144"/>
      <c r="F46" s="144"/>
      <c r="G46" s="144"/>
      <c r="H46" s="144"/>
      <c r="I46" s="144"/>
      <c r="J46" s="144"/>
    </row>
    <row r="47" spans="1:11" x14ac:dyDescent="0.25">
      <c r="A47" s="74"/>
      <c r="B47" s="74"/>
      <c r="C47" s="74"/>
      <c r="D47" s="74"/>
      <c r="E47" s="74"/>
      <c r="F47" s="74"/>
      <c r="G47" s="74"/>
      <c r="H47" s="74"/>
      <c r="I47" s="74"/>
      <c r="J47" s="74"/>
    </row>
    <row r="48" spans="1:11" x14ac:dyDescent="0.25">
      <c r="A48" s="74"/>
      <c r="B48" s="74"/>
      <c r="C48" s="74"/>
      <c r="D48" s="74"/>
      <c r="E48" s="74"/>
      <c r="F48" s="74"/>
      <c r="G48" s="74"/>
      <c r="H48" s="74"/>
      <c r="I48" s="74"/>
      <c r="J48" s="74"/>
    </row>
    <row r="49" spans="1:10" x14ac:dyDescent="0.25">
      <c r="A49" s="74"/>
      <c r="B49" s="74"/>
      <c r="C49" s="74"/>
      <c r="D49" s="74"/>
      <c r="E49" s="74"/>
      <c r="F49" s="74"/>
      <c r="G49" s="74"/>
      <c r="H49" s="74"/>
      <c r="I49" s="74"/>
      <c r="J49" s="74"/>
    </row>
    <row r="50" spans="1:10" x14ac:dyDescent="0.25">
      <c r="A50" s="64"/>
      <c r="B50" s="64"/>
      <c r="C50" s="64"/>
      <c r="D50" s="64"/>
      <c r="E50" s="64"/>
      <c r="F50" s="64"/>
      <c r="G50" s="64"/>
      <c r="H50" s="64"/>
      <c r="I50" s="64"/>
      <c r="J50" s="64"/>
    </row>
    <row r="51" spans="1:10" x14ac:dyDescent="0.25">
      <c r="A51" s="64"/>
      <c r="B51" s="64"/>
      <c r="C51" s="64"/>
      <c r="D51" s="64"/>
      <c r="E51" s="64"/>
      <c r="F51" s="64"/>
      <c r="G51" s="64"/>
      <c r="H51" s="64"/>
      <c r="I51" s="75"/>
      <c r="J51" s="75"/>
    </row>
    <row r="52" spans="1:10" x14ac:dyDescent="0.25">
      <c r="A52" s="64"/>
      <c r="B52" s="64"/>
      <c r="C52" s="64"/>
      <c r="D52" s="64"/>
      <c r="E52" s="64"/>
      <c r="F52" s="64"/>
      <c r="G52" s="64"/>
      <c r="H52" s="64"/>
      <c r="I52" s="50" t="s">
        <v>31</v>
      </c>
      <c r="J52" s="47"/>
    </row>
    <row r="53" spans="1:10" x14ac:dyDescent="0.25">
      <c r="A53" s="64"/>
      <c r="B53" s="64"/>
      <c r="C53" s="64"/>
      <c r="D53" s="64"/>
      <c r="E53" s="64"/>
      <c r="F53" s="64"/>
      <c r="G53" s="64"/>
      <c r="H53" s="64"/>
      <c r="I53" s="50" t="s">
        <v>32</v>
      </c>
      <c r="J53" s="47"/>
    </row>
    <row r="54" spans="1:10" x14ac:dyDescent="0.25">
      <c r="A54" s="64"/>
      <c r="B54" s="64"/>
      <c r="C54" s="64"/>
      <c r="D54" s="64"/>
      <c r="E54" s="64"/>
      <c r="F54" s="64"/>
      <c r="G54" s="64"/>
      <c r="H54" s="64"/>
      <c r="I54" s="50" t="s">
        <v>33</v>
      </c>
      <c r="J54" s="47"/>
    </row>
  </sheetData>
  <mergeCells count="53">
    <mergeCell ref="H27:I27"/>
    <mergeCell ref="H28:I28"/>
    <mergeCell ref="H29:I29"/>
    <mergeCell ref="H30:I30"/>
    <mergeCell ref="H31:I31"/>
    <mergeCell ref="A40:J43"/>
    <mergeCell ref="A46:J46"/>
    <mergeCell ref="A28:E28"/>
    <mergeCell ref="A29:E29"/>
    <mergeCell ref="A30:E30"/>
    <mergeCell ref="A31:E31"/>
    <mergeCell ref="B35:D35"/>
    <mergeCell ref="B36:D36"/>
    <mergeCell ref="H32:I32"/>
    <mergeCell ref="H35:I35"/>
    <mergeCell ref="A15:J15"/>
    <mergeCell ref="A24:E24"/>
    <mergeCell ref="A25:E25"/>
    <mergeCell ref="A26:E26"/>
    <mergeCell ref="A27:E27"/>
    <mergeCell ref="H16:I16"/>
    <mergeCell ref="H17:I17"/>
    <mergeCell ref="H18:I18"/>
    <mergeCell ref="H19:I19"/>
    <mergeCell ref="H20:I20"/>
    <mergeCell ref="H21:I21"/>
    <mergeCell ref="H22:I22"/>
    <mergeCell ref="H23:I23"/>
    <mergeCell ref="H24:I24"/>
    <mergeCell ref="H25:I25"/>
    <mergeCell ref="H26:I26"/>
    <mergeCell ref="A11:J11"/>
    <mergeCell ref="A12:J12"/>
    <mergeCell ref="A13:J13"/>
    <mergeCell ref="A14:E14"/>
    <mergeCell ref="H14:I14"/>
    <mergeCell ref="A9:B9"/>
    <mergeCell ref="C9:H9"/>
    <mergeCell ref="A10:B10"/>
    <mergeCell ref="C10:H10"/>
    <mergeCell ref="I10:J10"/>
    <mergeCell ref="A8:B8"/>
    <mergeCell ref="C8:H8"/>
    <mergeCell ref="A1:C1"/>
    <mergeCell ref="D1:H1"/>
    <mergeCell ref="I1:J1"/>
    <mergeCell ref="A2:J2"/>
    <mergeCell ref="A3:J3"/>
    <mergeCell ref="A4:J4"/>
    <mergeCell ref="A5:J5"/>
    <mergeCell ref="A6:J6"/>
    <mergeCell ref="A7:B7"/>
    <mergeCell ref="C7:H7"/>
  </mergeCells>
  <pageMargins left="0.25" right="0.25" top="0.75" bottom="0.75" header="0.3" footer="0.3"/>
  <pageSetup scale="79" orientation="portrait" horizontalDpi="360" verticalDpi="36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04360-B0DC-48EE-8C06-5F7006B4C2FB}">
  <sheetPr>
    <pageSetUpPr fitToPage="1"/>
  </sheetPr>
  <dimension ref="A1:K59"/>
  <sheetViews>
    <sheetView workbookViewId="0">
      <pane ySplit="14" topLeftCell="A31"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1.28515625" customWidth="1"/>
    <col min="6" max="6" width="17.42578125" customWidth="1"/>
    <col min="7" max="7" width="15.140625" bestFit="1" customWidth="1"/>
    <col min="8" max="8" width="3.5703125" customWidth="1"/>
    <col min="9" max="9" width="13.42578125" customWidth="1"/>
    <col min="10" max="10" width="19.28515625" customWidth="1"/>
  </cols>
  <sheetData>
    <row r="1" spans="1:11" x14ac:dyDescent="0.25">
      <c r="A1" s="161"/>
      <c r="B1" s="161"/>
      <c r="C1" s="161"/>
      <c r="D1" s="161"/>
      <c r="E1" s="161"/>
      <c r="F1" s="161"/>
      <c r="G1" s="161"/>
      <c r="H1" s="161"/>
      <c r="I1" s="147" t="s">
        <v>284</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6" t="s">
        <v>141</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x14ac:dyDescent="0.25">
      <c r="A8" s="167" t="s">
        <v>3</v>
      </c>
      <c r="B8" s="167"/>
      <c r="C8" s="147" t="s">
        <v>256</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100000000000001" customHeight="1" x14ac:dyDescent="0.25">
      <c r="A16" s="39" t="s">
        <v>219</v>
      </c>
      <c r="B16" s="40"/>
      <c r="C16" s="40"/>
      <c r="D16" s="40"/>
      <c r="E16" s="40"/>
      <c r="F16" s="53">
        <v>54698809.900000006</v>
      </c>
      <c r="G16" s="53">
        <v>31959.16</v>
      </c>
      <c r="H16" s="148">
        <v>0</v>
      </c>
      <c r="I16" s="148"/>
      <c r="J16" s="53">
        <f>F16+G16-H16</f>
        <v>54730769.060000002</v>
      </c>
      <c r="K16" s="41"/>
    </row>
    <row r="17" spans="1:11" s="37" customFormat="1" x14ac:dyDescent="0.25">
      <c r="A17" s="39" t="s">
        <v>71</v>
      </c>
      <c r="B17" s="40"/>
      <c r="C17" s="40"/>
      <c r="D17" s="40"/>
      <c r="E17" s="40"/>
      <c r="F17" s="53"/>
      <c r="G17" s="53"/>
      <c r="H17" s="148"/>
      <c r="I17" s="148"/>
      <c r="J17" s="53">
        <f t="shared" ref="J17:J32" si="0">F17+G17-H17</f>
        <v>0</v>
      </c>
      <c r="K17" s="41"/>
    </row>
    <row r="18" spans="1:11" s="37" customFormat="1" x14ac:dyDescent="0.25">
      <c r="A18" s="39" t="s">
        <v>83</v>
      </c>
      <c r="B18" s="40"/>
      <c r="C18" s="40"/>
      <c r="D18" s="40"/>
      <c r="E18" s="40"/>
      <c r="F18" s="53"/>
      <c r="G18" s="53"/>
      <c r="H18" s="148"/>
      <c r="I18" s="148"/>
      <c r="J18" s="53">
        <f t="shared" si="0"/>
        <v>0</v>
      </c>
      <c r="K18" s="41"/>
    </row>
    <row r="19" spans="1:11" s="37" customFormat="1" x14ac:dyDescent="0.25">
      <c r="A19" s="39" t="s">
        <v>72</v>
      </c>
      <c r="B19" s="40"/>
      <c r="C19" s="40"/>
      <c r="D19" s="40"/>
      <c r="E19" s="40"/>
      <c r="F19" s="53">
        <v>15086.92</v>
      </c>
      <c r="G19" s="53"/>
      <c r="H19" s="148"/>
      <c r="I19" s="148"/>
      <c r="J19" s="53">
        <f t="shared" si="0"/>
        <v>15086.92</v>
      </c>
      <c r="K19" s="41"/>
    </row>
    <row r="20" spans="1:11" s="37" customFormat="1" ht="17.100000000000001" customHeight="1" x14ac:dyDescent="0.25">
      <c r="A20" s="39" t="s">
        <v>220</v>
      </c>
      <c r="B20" s="40"/>
      <c r="C20" s="40"/>
      <c r="D20" s="40"/>
      <c r="E20" s="40"/>
      <c r="F20" s="53">
        <v>46019932.19000005</v>
      </c>
      <c r="G20" s="53">
        <v>2226435.2400000002</v>
      </c>
      <c r="H20" s="148">
        <v>39558596.759999998</v>
      </c>
      <c r="I20" s="148"/>
      <c r="J20" s="53">
        <f t="shared" si="0"/>
        <v>8687770.6700000539</v>
      </c>
      <c r="K20" s="41"/>
    </row>
    <row r="21" spans="1:11" s="37" customFormat="1" ht="17.25" x14ac:dyDescent="0.25">
      <c r="A21" s="67" t="s">
        <v>268</v>
      </c>
      <c r="B21" s="40"/>
      <c r="C21" s="40"/>
      <c r="D21" s="40"/>
      <c r="E21" s="40"/>
      <c r="F21" s="53">
        <v>811734658.5</v>
      </c>
      <c r="G21" s="53">
        <v>40116863.009999998</v>
      </c>
      <c r="H21" s="148">
        <v>0.01</v>
      </c>
      <c r="I21" s="148"/>
      <c r="J21" s="53">
        <f t="shared" si="0"/>
        <v>851851521.5</v>
      </c>
      <c r="K21" s="41"/>
    </row>
    <row r="22" spans="1:11" s="37" customFormat="1" ht="14.25" x14ac:dyDescent="0.2">
      <c r="A22" s="42"/>
      <c r="B22" s="42"/>
      <c r="C22" s="42"/>
      <c r="D22" s="42"/>
      <c r="E22" s="42"/>
      <c r="F22" s="53"/>
      <c r="G22" s="53"/>
      <c r="H22" s="148"/>
      <c r="I22" s="148"/>
      <c r="J22" s="53">
        <f t="shared" si="0"/>
        <v>0</v>
      </c>
      <c r="K22" s="41"/>
    </row>
    <row r="23" spans="1:11" s="37" customFormat="1" x14ac:dyDescent="0.25">
      <c r="A23" s="40" t="s">
        <v>11</v>
      </c>
      <c r="B23" s="40"/>
      <c r="C23" s="40"/>
      <c r="D23" s="40"/>
      <c r="E23" s="40"/>
      <c r="F23" s="53"/>
      <c r="G23" s="53"/>
      <c r="H23" s="148"/>
      <c r="I23" s="148"/>
      <c r="J23" s="53">
        <f t="shared" si="0"/>
        <v>0</v>
      </c>
      <c r="K23" s="41"/>
    </row>
    <row r="24" spans="1:11" s="37" customFormat="1" ht="14.25" x14ac:dyDescent="0.2">
      <c r="A24" s="155" t="s">
        <v>73</v>
      </c>
      <c r="B24" s="155"/>
      <c r="C24" s="155"/>
      <c r="D24" s="155"/>
      <c r="E24" s="155"/>
      <c r="F24" s="53">
        <v>25341.54</v>
      </c>
      <c r="G24" s="53"/>
      <c r="H24" s="148"/>
      <c r="I24" s="148"/>
      <c r="J24" s="53">
        <f t="shared" si="0"/>
        <v>25341.54</v>
      </c>
      <c r="K24" s="41"/>
    </row>
    <row r="25" spans="1:11" s="37" customFormat="1" ht="14.25" x14ac:dyDescent="0.2">
      <c r="A25" s="155" t="s">
        <v>74</v>
      </c>
      <c r="B25" s="155"/>
      <c r="C25" s="155"/>
      <c r="D25" s="155"/>
      <c r="E25" s="155"/>
      <c r="F25" s="53"/>
      <c r="G25" s="53"/>
      <c r="H25" s="148"/>
      <c r="I25" s="148"/>
      <c r="J25" s="53">
        <f t="shared" si="0"/>
        <v>0</v>
      </c>
      <c r="K25" s="41"/>
    </row>
    <row r="26" spans="1:11" s="37" customFormat="1" ht="14.25" x14ac:dyDescent="0.2">
      <c r="A26" s="155" t="s">
        <v>75</v>
      </c>
      <c r="B26" s="155"/>
      <c r="C26" s="155"/>
      <c r="D26" s="155"/>
      <c r="E26" s="155"/>
      <c r="F26" s="53"/>
      <c r="G26" s="53"/>
      <c r="H26" s="148"/>
      <c r="I26" s="148"/>
      <c r="J26" s="53">
        <f t="shared" si="0"/>
        <v>0</v>
      </c>
      <c r="K26" s="41"/>
    </row>
    <row r="27" spans="1:11" s="37" customFormat="1" ht="14.25" x14ac:dyDescent="0.2">
      <c r="A27" s="155" t="s">
        <v>76</v>
      </c>
      <c r="B27" s="155"/>
      <c r="C27" s="155"/>
      <c r="D27" s="155"/>
      <c r="E27" s="155"/>
      <c r="F27" s="53"/>
      <c r="G27" s="53"/>
      <c r="H27" s="148"/>
      <c r="I27" s="148"/>
      <c r="J27" s="53">
        <f t="shared" si="0"/>
        <v>0</v>
      </c>
      <c r="K27" s="41"/>
    </row>
    <row r="28" spans="1:11" s="37" customFormat="1" ht="14.25" x14ac:dyDescent="0.2">
      <c r="A28" s="155" t="s">
        <v>77</v>
      </c>
      <c r="B28" s="155"/>
      <c r="C28" s="155"/>
      <c r="D28" s="155"/>
      <c r="E28" s="155"/>
      <c r="F28" s="53"/>
      <c r="G28" s="53"/>
      <c r="H28" s="148"/>
      <c r="I28" s="148"/>
      <c r="J28" s="53">
        <f t="shared" si="0"/>
        <v>0</v>
      </c>
      <c r="K28" s="41"/>
    </row>
    <row r="29" spans="1:11" s="37" customFormat="1" ht="14.25" x14ac:dyDescent="0.2">
      <c r="A29" s="155" t="s">
        <v>78</v>
      </c>
      <c r="B29" s="155"/>
      <c r="C29" s="155"/>
      <c r="D29" s="155"/>
      <c r="E29" s="155"/>
      <c r="F29" s="53"/>
      <c r="G29" s="53"/>
      <c r="H29" s="148"/>
      <c r="I29" s="148"/>
      <c r="J29" s="53">
        <f t="shared" si="0"/>
        <v>0</v>
      </c>
      <c r="K29" s="41"/>
    </row>
    <row r="30" spans="1:11" s="37" customFormat="1" ht="14.25" x14ac:dyDescent="0.2">
      <c r="A30" s="155" t="s">
        <v>79</v>
      </c>
      <c r="B30" s="155"/>
      <c r="C30" s="155"/>
      <c r="D30" s="155"/>
      <c r="E30" s="155"/>
      <c r="F30" s="53"/>
      <c r="G30" s="53"/>
      <c r="H30" s="148"/>
      <c r="I30" s="148"/>
      <c r="J30" s="53">
        <f t="shared" si="0"/>
        <v>0</v>
      </c>
      <c r="K30" s="41"/>
    </row>
    <row r="31" spans="1:11" s="37" customFormat="1" ht="29.1" customHeight="1" x14ac:dyDescent="0.2">
      <c r="A31" s="150" t="s">
        <v>80</v>
      </c>
      <c r="B31" s="150"/>
      <c r="C31" s="150"/>
      <c r="D31" s="150"/>
      <c r="E31" s="150"/>
      <c r="F31" s="53"/>
      <c r="G31" s="53"/>
      <c r="H31" s="148"/>
      <c r="I31" s="148"/>
      <c r="J31" s="53">
        <f t="shared" si="0"/>
        <v>0</v>
      </c>
      <c r="K31" s="41"/>
    </row>
    <row r="32" spans="1:11" s="37" customFormat="1" x14ac:dyDescent="0.25">
      <c r="A32" s="39" t="s">
        <v>81</v>
      </c>
      <c r="B32" s="40"/>
      <c r="C32" s="40"/>
      <c r="D32" s="40"/>
      <c r="E32" s="40"/>
      <c r="F32" s="53"/>
      <c r="G32" s="53"/>
      <c r="H32" s="148"/>
      <c r="I32" s="148"/>
      <c r="J32" s="53">
        <f t="shared" si="0"/>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140</v>
      </c>
      <c r="C35" s="141"/>
      <c r="D35" s="141"/>
      <c r="F35" s="56">
        <f>SUM(F16:F34)</f>
        <v>912493829.04999995</v>
      </c>
      <c r="G35" s="56">
        <f>SUM(G16:G34)</f>
        <v>42375257.409999996</v>
      </c>
      <c r="H35" s="162">
        <f>SUM(H16:H34)</f>
        <v>39558596.769999996</v>
      </c>
      <c r="I35" s="162"/>
      <c r="J35" s="56">
        <f>SUM(J16:J34)</f>
        <v>915310489.69000006</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x14ac:dyDescent="0.25">
      <c r="A40" s="143" t="s">
        <v>273</v>
      </c>
      <c r="B40" s="143"/>
      <c r="C40" s="143"/>
      <c r="D40" s="143"/>
      <c r="E40" s="143"/>
      <c r="F40" s="143"/>
      <c r="G40" s="143"/>
      <c r="H40" s="143"/>
      <c r="I40" s="143"/>
      <c r="J40" s="143"/>
    </row>
    <row r="41" spans="1:11" x14ac:dyDescent="0.25">
      <c r="A41" s="143"/>
      <c r="B41" s="143"/>
      <c r="C41" s="143"/>
      <c r="D41" s="143"/>
      <c r="E41" s="143"/>
      <c r="F41" s="143"/>
      <c r="G41" s="143"/>
      <c r="H41" s="143"/>
      <c r="I41" s="143"/>
      <c r="J41" s="143"/>
    </row>
    <row r="43" spans="1:11" ht="14.45" customHeight="1" x14ac:dyDescent="0.25">
      <c r="A43" s="143" t="s">
        <v>30</v>
      </c>
      <c r="B43" s="143"/>
      <c r="C43" s="143"/>
      <c r="D43" s="143"/>
      <c r="E43" s="143"/>
      <c r="F43" s="143"/>
      <c r="G43" s="143"/>
      <c r="H43" s="143"/>
      <c r="I43" s="143"/>
      <c r="J43" s="143"/>
    </row>
    <row r="44" spans="1:11" x14ac:dyDescent="0.25">
      <c r="A44" s="143"/>
      <c r="B44" s="143"/>
      <c r="C44" s="143"/>
      <c r="D44" s="143"/>
      <c r="E44" s="143"/>
      <c r="F44" s="143"/>
      <c r="G44" s="143"/>
      <c r="H44" s="143"/>
      <c r="I44" s="143"/>
      <c r="J44" s="143"/>
    </row>
    <row r="45" spans="1:11" x14ac:dyDescent="0.25">
      <c r="A45" s="143"/>
      <c r="B45" s="143"/>
      <c r="C45" s="143"/>
      <c r="D45" s="143"/>
      <c r="E45" s="143"/>
      <c r="F45" s="143"/>
      <c r="G45" s="143"/>
      <c r="H45" s="143"/>
      <c r="I45" s="143"/>
      <c r="J45" s="143"/>
    </row>
    <row r="46" spans="1:11" x14ac:dyDescent="0.25">
      <c r="A46" s="143"/>
      <c r="B46" s="143"/>
      <c r="C46" s="143"/>
      <c r="D46" s="143"/>
      <c r="E46" s="143"/>
      <c r="F46" s="143"/>
      <c r="G46" s="143"/>
      <c r="H46" s="143"/>
      <c r="I46" s="143"/>
      <c r="J46" s="143"/>
    </row>
    <row r="47" spans="1:11" x14ac:dyDescent="0.25">
      <c r="A47" s="64"/>
      <c r="B47" s="64"/>
      <c r="C47" s="64"/>
      <c r="D47" s="64"/>
      <c r="E47" s="64"/>
      <c r="F47" s="64"/>
      <c r="G47" s="64"/>
      <c r="H47" s="64"/>
      <c r="I47" s="64"/>
      <c r="J47" s="64"/>
    </row>
    <row r="48" spans="1:11" x14ac:dyDescent="0.25">
      <c r="A48" s="64"/>
      <c r="B48" s="64"/>
      <c r="C48" s="64"/>
      <c r="D48" s="64"/>
      <c r="E48" s="64"/>
      <c r="F48" s="64"/>
      <c r="G48" s="64"/>
      <c r="H48" s="64"/>
      <c r="I48" s="64"/>
      <c r="J48" s="64"/>
    </row>
    <row r="49" spans="1:10" x14ac:dyDescent="0.25">
      <c r="A49" s="144" t="s">
        <v>28</v>
      </c>
      <c r="B49" s="144"/>
      <c r="C49" s="144"/>
      <c r="D49" s="144"/>
      <c r="E49" s="144"/>
      <c r="F49" s="144"/>
      <c r="G49" s="144"/>
      <c r="H49" s="144"/>
      <c r="I49" s="144"/>
      <c r="J49" s="144"/>
    </row>
    <row r="50" spans="1:10" x14ac:dyDescent="0.25">
      <c r="A50" s="74"/>
      <c r="B50" s="74"/>
      <c r="C50" s="74"/>
      <c r="D50" s="74"/>
      <c r="E50" s="74"/>
      <c r="F50" s="74"/>
      <c r="G50" s="74"/>
      <c r="H50" s="74"/>
      <c r="I50" s="74"/>
      <c r="J50" s="74"/>
    </row>
    <row r="51" spans="1:10" x14ac:dyDescent="0.25">
      <c r="A51" s="74"/>
      <c r="B51" s="74"/>
      <c r="C51" s="74"/>
      <c r="D51" s="74"/>
      <c r="E51" s="74"/>
      <c r="F51" s="74"/>
      <c r="G51" s="74"/>
      <c r="H51" s="74"/>
      <c r="I51" s="74"/>
      <c r="J51" s="74"/>
    </row>
    <row r="52" spans="1:10" x14ac:dyDescent="0.25">
      <c r="A52" s="74"/>
      <c r="B52" s="74"/>
      <c r="C52" s="74"/>
      <c r="D52" s="74"/>
      <c r="E52" s="74"/>
      <c r="F52" s="74"/>
      <c r="G52" s="74"/>
      <c r="H52" s="74"/>
      <c r="I52" s="74"/>
      <c r="J52" s="74"/>
    </row>
    <row r="53" spans="1:10" x14ac:dyDescent="0.25">
      <c r="A53" s="64"/>
      <c r="B53" s="64"/>
      <c r="C53" s="64"/>
      <c r="D53" s="64"/>
      <c r="E53" s="64"/>
      <c r="F53" s="64"/>
      <c r="G53" s="64"/>
      <c r="H53" s="64"/>
      <c r="I53" s="64"/>
      <c r="J53" s="64"/>
    </row>
    <row r="54" spans="1:10" x14ac:dyDescent="0.25">
      <c r="A54" s="64"/>
      <c r="B54" s="64"/>
      <c r="C54" s="64"/>
      <c r="D54" s="64"/>
      <c r="E54" s="64"/>
      <c r="F54" s="64"/>
      <c r="G54" s="64"/>
      <c r="H54" s="64"/>
      <c r="I54" s="75"/>
      <c r="J54" s="75"/>
    </row>
    <row r="55" spans="1:10" x14ac:dyDescent="0.25">
      <c r="A55" s="64"/>
      <c r="B55" s="64"/>
      <c r="C55" s="64"/>
      <c r="D55" s="64"/>
      <c r="E55" s="64"/>
      <c r="F55" s="64"/>
      <c r="G55" s="64"/>
      <c r="H55" s="64"/>
      <c r="I55" s="50" t="s">
        <v>31</v>
      </c>
      <c r="J55" s="47"/>
    </row>
    <row r="56" spans="1:10" x14ac:dyDescent="0.25">
      <c r="A56" s="64"/>
      <c r="B56" s="64"/>
      <c r="C56" s="64"/>
      <c r="D56" s="64"/>
      <c r="E56" s="64"/>
      <c r="F56" s="64"/>
      <c r="G56" s="64"/>
      <c r="H56" s="64"/>
      <c r="I56" s="50" t="s">
        <v>32</v>
      </c>
      <c r="J56" s="47"/>
    </row>
    <row r="57" spans="1:10" x14ac:dyDescent="0.25">
      <c r="A57" s="64"/>
      <c r="B57" s="64"/>
      <c r="C57" s="64"/>
      <c r="D57" s="64"/>
      <c r="E57" s="64"/>
      <c r="F57" s="64"/>
      <c r="G57" s="64"/>
      <c r="H57" s="64"/>
      <c r="I57" s="50" t="s">
        <v>33</v>
      </c>
      <c r="J57" s="47"/>
    </row>
    <row r="58" spans="1:10" x14ac:dyDescent="0.25">
      <c r="A58" s="64"/>
      <c r="B58" s="64"/>
      <c r="C58" s="64"/>
      <c r="D58" s="64"/>
      <c r="E58" s="64"/>
      <c r="F58" s="64"/>
      <c r="G58" s="64"/>
      <c r="H58" s="64"/>
      <c r="I58" s="64"/>
      <c r="J58" s="64"/>
    </row>
    <row r="59" spans="1:10" x14ac:dyDescent="0.25">
      <c r="A59" s="64"/>
      <c r="B59" s="64"/>
      <c r="C59" s="64"/>
      <c r="D59" s="64"/>
      <c r="E59" s="64"/>
      <c r="F59" s="64"/>
      <c r="G59" s="64"/>
      <c r="H59" s="64"/>
      <c r="I59" s="64"/>
      <c r="J59" s="64"/>
    </row>
  </sheetData>
  <mergeCells count="54">
    <mergeCell ref="H27:I27"/>
    <mergeCell ref="H28:I28"/>
    <mergeCell ref="H29:I29"/>
    <mergeCell ref="H30:I30"/>
    <mergeCell ref="H31:I31"/>
    <mergeCell ref="A43:J46"/>
    <mergeCell ref="A49:J49"/>
    <mergeCell ref="A28:E28"/>
    <mergeCell ref="A29:E29"/>
    <mergeCell ref="A30:E30"/>
    <mergeCell ref="A31:E31"/>
    <mergeCell ref="B35:D35"/>
    <mergeCell ref="B36:D36"/>
    <mergeCell ref="H32:I32"/>
    <mergeCell ref="H35:I35"/>
    <mergeCell ref="A40:J41"/>
    <mergeCell ref="A15:J15"/>
    <mergeCell ref="A24:E24"/>
    <mergeCell ref="A25:E25"/>
    <mergeCell ref="A26:E26"/>
    <mergeCell ref="A27:E27"/>
    <mergeCell ref="H16:I16"/>
    <mergeCell ref="H17:I17"/>
    <mergeCell ref="H18:I18"/>
    <mergeCell ref="H19:I19"/>
    <mergeCell ref="H20:I20"/>
    <mergeCell ref="H21:I21"/>
    <mergeCell ref="H22:I22"/>
    <mergeCell ref="H23:I23"/>
    <mergeCell ref="H24:I24"/>
    <mergeCell ref="H25:I25"/>
    <mergeCell ref="H26:I26"/>
    <mergeCell ref="A11:J11"/>
    <mergeCell ref="A12:J12"/>
    <mergeCell ref="A13:J13"/>
    <mergeCell ref="A14:E14"/>
    <mergeCell ref="H14:I14"/>
    <mergeCell ref="A9:B9"/>
    <mergeCell ref="C9:H9"/>
    <mergeCell ref="A10:B10"/>
    <mergeCell ref="C10:H10"/>
    <mergeCell ref="I10:J10"/>
    <mergeCell ref="A8:B8"/>
    <mergeCell ref="C8:H8"/>
    <mergeCell ref="A1:C1"/>
    <mergeCell ref="D1:H1"/>
    <mergeCell ref="I1:J1"/>
    <mergeCell ref="A2:J2"/>
    <mergeCell ref="A3:J3"/>
    <mergeCell ref="A4:J4"/>
    <mergeCell ref="A5:J5"/>
    <mergeCell ref="A6:J6"/>
    <mergeCell ref="A7:B7"/>
    <mergeCell ref="C7:H7"/>
  </mergeCells>
  <pageMargins left="0.25" right="0.25" top="0.75" bottom="0.75" header="0.3" footer="0.3"/>
  <pageSetup scale="77" orientation="portrait" horizontalDpi="360" verticalDpi="360"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AB515-0DA5-4545-8B6F-F1DA64756546}">
  <sheetPr>
    <pageSetUpPr fitToPage="1"/>
  </sheetPr>
  <dimension ref="A1:K54"/>
  <sheetViews>
    <sheetView workbookViewId="0">
      <pane ySplit="14" topLeftCell="A33" activePane="bottomLeft" state="frozen"/>
      <selection activeCell="O34" sqref="O34"/>
      <selection pane="bottomLeft" activeCell="O34" sqref="O34"/>
    </sheetView>
  </sheetViews>
  <sheetFormatPr defaultColWidth="9.140625" defaultRowHeight="15" x14ac:dyDescent="0.25"/>
  <cols>
    <col min="1" max="1" width="12.140625" customWidth="1"/>
    <col min="2" max="2" width="5.28515625" customWidth="1"/>
    <col min="3" max="3" width="7.5703125" customWidth="1"/>
    <col min="4" max="4" width="14.42578125" customWidth="1"/>
    <col min="5" max="5" width="19" customWidth="1"/>
    <col min="6" max="6" width="17.42578125" customWidth="1"/>
    <col min="7" max="7" width="16.7109375" customWidth="1"/>
    <col min="8" max="8" width="3.42578125" customWidth="1"/>
    <col min="9" max="9" width="15.85546875" customWidth="1"/>
    <col min="10" max="10" width="22.140625" customWidth="1"/>
  </cols>
  <sheetData>
    <row r="1" spans="1:11" x14ac:dyDescent="0.25">
      <c r="A1" s="161"/>
      <c r="B1" s="161"/>
      <c r="C1" s="161"/>
      <c r="D1" s="161"/>
      <c r="E1" s="161"/>
      <c r="F1" s="161"/>
      <c r="G1" s="161"/>
      <c r="H1" s="161"/>
      <c r="I1" s="147" t="s">
        <v>285</v>
      </c>
      <c r="J1" s="161"/>
    </row>
    <row r="2" spans="1:11" x14ac:dyDescent="0.25">
      <c r="A2" s="157" t="s">
        <v>1</v>
      </c>
      <c r="B2" s="157"/>
      <c r="C2" s="157"/>
      <c r="D2" s="157"/>
      <c r="E2" s="157"/>
      <c r="F2" s="157"/>
      <c r="G2" s="157"/>
      <c r="H2" s="157"/>
      <c r="I2" s="157"/>
      <c r="J2" s="157"/>
    </row>
    <row r="3" spans="1:11" x14ac:dyDescent="0.25">
      <c r="A3" s="156" t="s">
        <v>22</v>
      </c>
      <c r="B3" s="157"/>
      <c r="C3" s="157"/>
      <c r="D3" s="157"/>
      <c r="E3" s="157"/>
      <c r="F3" s="157"/>
      <c r="G3" s="157"/>
      <c r="H3" s="157"/>
      <c r="I3" s="157"/>
      <c r="J3" s="157"/>
    </row>
    <row r="4" spans="1:11" ht="14.45" customHeight="1" x14ac:dyDescent="0.25">
      <c r="A4" s="156" t="s">
        <v>142</v>
      </c>
      <c r="B4" s="157"/>
      <c r="C4" s="157"/>
      <c r="D4" s="157"/>
      <c r="E4" s="157"/>
      <c r="F4" s="157"/>
      <c r="G4" s="157"/>
      <c r="H4" s="157"/>
      <c r="I4" s="157"/>
      <c r="J4" s="157"/>
    </row>
    <row r="5" spans="1:11" x14ac:dyDescent="0.25">
      <c r="A5" s="156" t="s">
        <v>26</v>
      </c>
      <c r="B5" s="157"/>
      <c r="C5" s="157"/>
      <c r="D5" s="157"/>
      <c r="E5" s="157"/>
      <c r="F5" s="157"/>
      <c r="G5" s="157"/>
      <c r="H5" s="157"/>
      <c r="I5" s="157"/>
      <c r="J5" s="157"/>
    </row>
    <row r="6" spans="1:11" x14ac:dyDescent="0.25">
      <c r="A6" s="158" t="s">
        <v>27</v>
      </c>
      <c r="B6" s="157"/>
      <c r="C6" s="157"/>
      <c r="D6" s="157"/>
      <c r="E6" s="157"/>
      <c r="F6" s="157"/>
      <c r="G6" s="157"/>
      <c r="H6" s="157"/>
      <c r="I6" s="157"/>
      <c r="J6" s="157"/>
    </row>
    <row r="7" spans="1:11" ht="14.45" customHeight="1" x14ac:dyDescent="0.25">
      <c r="A7" s="167" t="s">
        <v>2</v>
      </c>
      <c r="B7" s="167"/>
      <c r="C7" s="146" t="s">
        <v>23</v>
      </c>
      <c r="D7" s="147"/>
      <c r="E7" s="147"/>
      <c r="F7" s="147"/>
      <c r="G7" s="147"/>
      <c r="H7" s="147"/>
      <c r="I7" s="8" t="s">
        <v>225</v>
      </c>
      <c r="J7" s="8" t="s">
        <v>216</v>
      </c>
    </row>
    <row r="8" spans="1:11" ht="14.45" customHeight="1" x14ac:dyDescent="0.25">
      <c r="A8" s="167" t="s">
        <v>3</v>
      </c>
      <c r="B8" s="167"/>
      <c r="C8" s="146" t="s">
        <v>143</v>
      </c>
      <c r="D8" s="146"/>
      <c r="E8" s="146"/>
      <c r="F8" s="146"/>
      <c r="G8" s="146"/>
      <c r="H8" s="146"/>
      <c r="I8" s="8" t="s">
        <v>217</v>
      </c>
      <c r="J8" s="26">
        <f ca="1">TODAY()</f>
        <v>45723</v>
      </c>
    </row>
    <row r="9" spans="1:11" ht="14.45" customHeight="1" x14ac:dyDescent="0.25">
      <c r="A9" s="167"/>
      <c r="B9" s="167"/>
      <c r="C9" s="160"/>
      <c r="D9" s="160"/>
      <c r="E9" s="160"/>
      <c r="F9" s="160"/>
      <c r="G9" s="160"/>
      <c r="H9" s="160"/>
      <c r="I9" s="8" t="s">
        <v>218</v>
      </c>
      <c r="J9" s="38">
        <f ca="1">NOW()</f>
        <v>45723.507627430554</v>
      </c>
    </row>
    <row r="10" spans="1:11" x14ac:dyDescent="0.25">
      <c r="A10" s="161"/>
      <c r="B10" s="161"/>
      <c r="C10" s="161"/>
      <c r="D10" s="161"/>
      <c r="E10" s="161"/>
      <c r="F10" s="161"/>
      <c r="G10" s="161"/>
      <c r="H10" s="161"/>
      <c r="I10" s="161"/>
      <c r="J10" s="161"/>
    </row>
    <row r="11" spans="1:11" x14ac:dyDescent="0.25">
      <c r="A11" s="169"/>
      <c r="B11" s="169"/>
      <c r="C11" s="169"/>
      <c r="D11" s="169"/>
      <c r="E11" s="169"/>
      <c r="F11" s="169"/>
      <c r="G11" s="169"/>
      <c r="H11" s="169"/>
      <c r="I11" s="169"/>
      <c r="J11" s="169"/>
    </row>
    <row r="12" spans="1:11" x14ac:dyDescent="0.25">
      <c r="A12" s="170" t="s">
        <v>4</v>
      </c>
      <c r="B12" s="170"/>
      <c r="C12" s="170"/>
      <c r="D12" s="170"/>
      <c r="E12" s="170"/>
      <c r="F12" s="170"/>
      <c r="G12" s="170"/>
      <c r="H12" s="170"/>
      <c r="I12" s="170"/>
      <c r="J12" s="170"/>
    </row>
    <row r="13" spans="1:11" x14ac:dyDescent="0.25">
      <c r="A13" s="169"/>
      <c r="B13" s="169"/>
      <c r="C13" s="169"/>
      <c r="D13" s="169"/>
      <c r="E13" s="169"/>
      <c r="F13" s="169"/>
      <c r="G13" s="169"/>
      <c r="H13" s="169"/>
      <c r="I13" s="169"/>
      <c r="J13" s="169"/>
    </row>
    <row r="14" spans="1:11" ht="24.75" customHeight="1" x14ac:dyDescent="0.25">
      <c r="A14" s="171" t="s">
        <v>5</v>
      </c>
      <c r="B14" s="171"/>
      <c r="C14" s="171"/>
      <c r="D14" s="171"/>
      <c r="E14" s="171"/>
      <c r="F14" s="5" t="s">
        <v>6</v>
      </c>
      <c r="G14" s="5" t="s">
        <v>7</v>
      </c>
      <c r="H14" s="197" t="s">
        <v>8</v>
      </c>
      <c r="I14" s="197"/>
      <c r="J14" s="5" t="s">
        <v>9</v>
      </c>
    </row>
    <row r="15" spans="1:11" ht="17.25" customHeight="1" x14ac:dyDescent="0.25">
      <c r="A15" s="168" t="s">
        <v>10</v>
      </c>
      <c r="B15" s="168"/>
      <c r="C15" s="168"/>
      <c r="D15" s="168"/>
      <c r="E15" s="168"/>
      <c r="F15" s="168"/>
      <c r="G15" s="168"/>
      <c r="H15" s="168"/>
      <c r="I15" s="168"/>
      <c r="J15" s="168"/>
    </row>
    <row r="16" spans="1:11" s="37" customFormat="1" ht="17.25" x14ac:dyDescent="0.25">
      <c r="A16" s="39" t="s">
        <v>219</v>
      </c>
      <c r="B16" s="40"/>
      <c r="C16" s="40"/>
      <c r="D16" s="40"/>
      <c r="E16" s="40"/>
      <c r="F16" s="53">
        <v>64778024.299999997</v>
      </c>
      <c r="G16" s="53">
        <v>0</v>
      </c>
      <c r="H16" s="148">
        <v>0</v>
      </c>
      <c r="I16" s="148"/>
      <c r="J16" s="53">
        <f t="shared" ref="J16:J21" si="0">F16+G16-H16</f>
        <v>64778024.299999997</v>
      </c>
      <c r="K16" s="41"/>
    </row>
    <row r="17" spans="1:11" s="37" customFormat="1" x14ac:dyDescent="0.25">
      <c r="A17" s="39" t="s">
        <v>71</v>
      </c>
      <c r="B17" s="40"/>
      <c r="C17" s="40"/>
      <c r="D17" s="40"/>
      <c r="E17" s="40"/>
      <c r="F17" s="53"/>
      <c r="G17" s="53"/>
      <c r="H17" s="148">
        <v>0</v>
      </c>
      <c r="I17" s="148"/>
      <c r="J17" s="53">
        <f t="shared" si="0"/>
        <v>0</v>
      </c>
      <c r="K17" s="41"/>
    </row>
    <row r="18" spans="1:11" s="37" customFormat="1" x14ac:dyDescent="0.25">
      <c r="A18" s="39" t="s">
        <v>83</v>
      </c>
      <c r="B18" s="40"/>
      <c r="C18" s="40"/>
      <c r="D18" s="40"/>
      <c r="E18" s="40"/>
      <c r="F18" s="53"/>
      <c r="G18" s="53"/>
      <c r="H18" s="148">
        <v>0</v>
      </c>
      <c r="I18" s="148"/>
      <c r="J18" s="53">
        <f t="shared" si="0"/>
        <v>0</v>
      </c>
      <c r="K18" s="41"/>
    </row>
    <row r="19" spans="1:11" s="37" customFormat="1" x14ac:dyDescent="0.25">
      <c r="A19" s="39" t="s">
        <v>72</v>
      </c>
      <c r="B19" s="40"/>
      <c r="C19" s="40"/>
      <c r="D19" s="40"/>
      <c r="E19" s="40"/>
      <c r="F19" s="53"/>
      <c r="G19" s="53"/>
      <c r="H19" s="148"/>
      <c r="I19" s="148"/>
      <c r="J19" s="53">
        <f t="shared" si="0"/>
        <v>0</v>
      </c>
      <c r="K19" s="41"/>
    </row>
    <row r="20" spans="1:11" s="37" customFormat="1" ht="17.25" x14ac:dyDescent="0.25">
      <c r="A20" s="39" t="s">
        <v>220</v>
      </c>
      <c r="B20" s="40"/>
      <c r="C20" s="40"/>
      <c r="D20" s="40"/>
      <c r="E20" s="40"/>
      <c r="F20" s="53">
        <v>82137767.320000023</v>
      </c>
      <c r="G20" s="53">
        <v>0</v>
      </c>
      <c r="H20" s="148">
        <v>0</v>
      </c>
      <c r="I20" s="148"/>
      <c r="J20" s="53">
        <f t="shared" si="0"/>
        <v>82137767.320000023</v>
      </c>
      <c r="K20" s="41"/>
    </row>
    <row r="21" spans="1:11" s="37" customFormat="1" ht="17.25" x14ac:dyDescent="0.25">
      <c r="A21" s="67" t="s">
        <v>268</v>
      </c>
      <c r="B21" s="40"/>
      <c r="C21" s="40"/>
      <c r="D21" s="40"/>
      <c r="E21" s="40"/>
      <c r="F21" s="53">
        <v>467972198.54969996</v>
      </c>
      <c r="G21" s="53"/>
      <c r="H21" s="148">
        <v>0</v>
      </c>
      <c r="I21" s="148"/>
      <c r="J21" s="53">
        <f t="shared" si="0"/>
        <v>467972198.54969996</v>
      </c>
      <c r="K21" s="41"/>
    </row>
    <row r="22" spans="1:11" s="37" customFormat="1" ht="14.25" x14ac:dyDescent="0.2">
      <c r="A22" s="42"/>
      <c r="B22" s="42"/>
      <c r="C22" s="42"/>
      <c r="D22" s="42"/>
      <c r="E22" s="42"/>
      <c r="F22" s="53"/>
      <c r="G22" s="53"/>
      <c r="H22" s="148"/>
      <c r="I22" s="148"/>
      <c r="J22" s="53"/>
      <c r="K22" s="41"/>
    </row>
    <row r="23" spans="1:11" s="37" customFormat="1" x14ac:dyDescent="0.25">
      <c r="A23" s="40" t="s">
        <v>11</v>
      </c>
      <c r="B23" s="40"/>
      <c r="C23" s="40"/>
      <c r="D23" s="40"/>
      <c r="E23" s="40"/>
      <c r="F23" s="53"/>
      <c r="G23" s="53"/>
      <c r="H23" s="148"/>
      <c r="I23" s="148"/>
      <c r="J23" s="53"/>
      <c r="K23" s="41"/>
    </row>
    <row r="24" spans="1:11" s="37" customFormat="1" ht="14.25" x14ac:dyDescent="0.2">
      <c r="A24" s="155" t="s">
        <v>73</v>
      </c>
      <c r="B24" s="155"/>
      <c r="C24" s="155"/>
      <c r="D24" s="155"/>
      <c r="E24" s="155"/>
      <c r="F24" s="53"/>
      <c r="G24" s="53"/>
      <c r="H24" s="148"/>
      <c r="I24" s="148"/>
      <c r="J24" s="53">
        <f>F24+G24-H24</f>
        <v>0</v>
      </c>
      <c r="K24" s="41"/>
    </row>
    <row r="25" spans="1:11" s="37" customFormat="1" ht="14.25" x14ac:dyDescent="0.2">
      <c r="A25" s="155" t="s">
        <v>74</v>
      </c>
      <c r="B25" s="155"/>
      <c r="C25" s="155"/>
      <c r="D25" s="155"/>
      <c r="E25" s="155"/>
      <c r="F25" s="53"/>
      <c r="G25" s="53"/>
      <c r="H25" s="148"/>
      <c r="I25" s="148"/>
      <c r="J25" s="53">
        <f t="shared" ref="J25:J32" si="1">F25+G25-H25</f>
        <v>0</v>
      </c>
      <c r="K25" s="41"/>
    </row>
    <row r="26" spans="1:11" s="37" customFormat="1" ht="14.25" x14ac:dyDescent="0.2">
      <c r="A26" s="155" t="s">
        <v>75</v>
      </c>
      <c r="B26" s="155"/>
      <c r="C26" s="155"/>
      <c r="D26" s="155"/>
      <c r="E26" s="155"/>
      <c r="F26" s="53"/>
      <c r="G26" s="53"/>
      <c r="H26" s="148"/>
      <c r="I26" s="148"/>
      <c r="J26" s="53">
        <f t="shared" si="1"/>
        <v>0</v>
      </c>
      <c r="K26" s="41"/>
    </row>
    <row r="27" spans="1:11" s="37" customFormat="1" ht="14.25" x14ac:dyDescent="0.2">
      <c r="A27" s="155" t="s">
        <v>76</v>
      </c>
      <c r="B27" s="155"/>
      <c r="C27" s="155"/>
      <c r="D27" s="155"/>
      <c r="E27" s="155"/>
      <c r="F27" s="53"/>
      <c r="G27" s="53"/>
      <c r="H27" s="148"/>
      <c r="I27" s="148"/>
      <c r="J27" s="53">
        <f t="shared" si="1"/>
        <v>0</v>
      </c>
      <c r="K27" s="41"/>
    </row>
    <row r="28" spans="1:11" s="37" customFormat="1" ht="14.25" x14ac:dyDescent="0.2">
      <c r="A28" s="155" t="s">
        <v>77</v>
      </c>
      <c r="B28" s="155"/>
      <c r="C28" s="155"/>
      <c r="D28" s="155"/>
      <c r="E28" s="155"/>
      <c r="F28" s="53"/>
      <c r="G28" s="53"/>
      <c r="H28" s="148"/>
      <c r="I28" s="148"/>
      <c r="J28" s="53">
        <f t="shared" si="1"/>
        <v>0</v>
      </c>
      <c r="K28" s="41"/>
    </row>
    <row r="29" spans="1:11" s="37" customFormat="1" ht="14.25" x14ac:dyDescent="0.2">
      <c r="A29" s="155" t="s">
        <v>78</v>
      </c>
      <c r="B29" s="155"/>
      <c r="C29" s="155"/>
      <c r="D29" s="155"/>
      <c r="E29" s="155"/>
      <c r="F29" s="53"/>
      <c r="G29" s="53"/>
      <c r="H29" s="148"/>
      <c r="I29" s="148"/>
      <c r="J29" s="53">
        <f t="shared" si="1"/>
        <v>0</v>
      </c>
      <c r="K29" s="41"/>
    </row>
    <row r="30" spans="1:11" s="37" customFormat="1" ht="14.25" x14ac:dyDescent="0.2">
      <c r="A30" s="155" t="s">
        <v>79</v>
      </c>
      <c r="B30" s="155"/>
      <c r="C30" s="155"/>
      <c r="D30" s="155"/>
      <c r="E30" s="155"/>
      <c r="F30" s="53"/>
      <c r="G30" s="53"/>
      <c r="H30" s="148"/>
      <c r="I30" s="148"/>
      <c r="J30" s="53">
        <f t="shared" si="1"/>
        <v>0</v>
      </c>
      <c r="K30" s="41"/>
    </row>
    <row r="31" spans="1:11" s="37" customFormat="1" ht="29.1" customHeight="1" x14ac:dyDescent="0.2">
      <c r="A31" s="150" t="s">
        <v>80</v>
      </c>
      <c r="B31" s="150"/>
      <c r="C31" s="150"/>
      <c r="D31" s="150"/>
      <c r="E31" s="150"/>
      <c r="F31" s="53"/>
      <c r="G31" s="53"/>
      <c r="H31" s="148"/>
      <c r="I31" s="148"/>
      <c r="J31" s="53">
        <f t="shared" si="1"/>
        <v>0</v>
      </c>
      <c r="K31" s="41"/>
    </row>
    <row r="32" spans="1:11" s="37" customFormat="1" x14ac:dyDescent="0.25">
      <c r="A32" s="39" t="s">
        <v>81</v>
      </c>
      <c r="B32" s="40"/>
      <c r="C32" s="40"/>
      <c r="D32" s="40"/>
      <c r="E32" s="40"/>
      <c r="F32" s="53"/>
      <c r="G32" s="53"/>
      <c r="H32" s="148"/>
      <c r="I32" s="148"/>
      <c r="J32" s="53">
        <f t="shared" si="1"/>
        <v>0</v>
      </c>
      <c r="K32" s="41"/>
    </row>
    <row r="33" spans="1:11" s="37" customFormat="1" ht="14.25" x14ac:dyDescent="0.2">
      <c r="A33" s="6"/>
      <c r="B33" s="6"/>
      <c r="C33" s="6"/>
      <c r="D33" s="6"/>
      <c r="E33" s="6"/>
      <c r="F33" s="21"/>
      <c r="G33" s="21"/>
      <c r="H33" s="21"/>
      <c r="I33" s="21"/>
      <c r="J33" s="21"/>
      <c r="K33" s="41"/>
    </row>
    <row r="34" spans="1:11" s="37" customFormat="1" ht="15.75" customHeight="1" x14ac:dyDescent="0.2">
      <c r="A34" s="43"/>
      <c r="B34" s="43"/>
      <c r="C34" s="43"/>
      <c r="D34" s="43"/>
      <c r="E34" s="43"/>
      <c r="F34" s="44"/>
      <c r="G34" s="44"/>
      <c r="H34" s="44"/>
      <c r="I34" s="44"/>
      <c r="J34" s="44"/>
    </row>
    <row r="35" spans="1:11" s="37" customFormat="1" ht="46.5" customHeight="1" x14ac:dyDescent="0.2">
      <c r="A35" s="45" t="s">
        <v>3</v>
      </c>
      <c r="B35" s="140" t="s">
        <v>226</v>
      </c>
      <c r="C35" s="141"/>
      <c r="D35" s="141"/>
      <c r="F35" s="56">
        <f>SUM(F16:F34)</f>
        <v>614887990.16969991</v>
      </c>
      <c r="G35" s="56">
        <f>SUM(G16:G34)</f>
        <v>0</v>
      </c>
      <c r="H35" s="162">
        <f>SUM(H16:H34)</f>
        <v>0</v>
      </c>
      <c r="I35" s="162"/>
      <c r="J35" s="56">
        <f>SUM(J16:J34)</f>
        <v>614887990.16969991</v>
      </c>
    </row>
    <row r="36" spans="1:11" s="37" customFormat="1" ht="14.25" x14ac:dyDescent="0.2">
      <c r="A36" s="45"/>
      <c r="B36" s="142"/>
      <c r="C36" s="142"/>
      <c r="D36" s="142"/>
      <c r="E36" s="56"/>
      <c r="F36" s="56"/>
      <c r="G36" s="56"/>
      <c r="H36" s="56"/>
      <c r="I36" s="56"/>
      <c r="J36" s="56"/>
    </row>
    <row r="37" spans="1:11" s="37" customFormat="1" ht="14.25" x14ac:dyDescent="0.2">
      <c r="A37" s="46" t="s">
        <v>35</v>
      </c>
    </row>
    <row r="38" spans="1:11" s="47" customFormat="1" ht="14.25" x14ac:dyDescent="0.2">
      <c r="A38" s="47" t="s">
        <v>86</v>
      </c>
    </row>
    <row r="39" spans="1:11" s="47" customFormat="1" ht="14.25" x14ac:dyDescent="0.2"/>
    <row r="40" spans="1:11" ht="14.45" customHeight="1" x14ac:dyDescent="0.25">
      <c r="A40" s="143" t="s">
        <v>30</v>
      </c>
      <c r="B40" s="143"/>
      <c r="C40" s="143"/>
      <c r="D40" s="143"/>
      <c r="E40" s="143"/>
      <c r="F40" s="143"/>
      <c r="G40" s="143"/>
      <c r="H40" s="143"/>
      <c r="I40" s="143"/>
      <c r="J40" s="143"/>
    </row>
    <row r="41" spans="1:11" x14ac:dyDescent="0.25">
      <c r="A41" s="143"/>
      <c r="B41" s="143"/>
      <c r="C41" s="143"/>
      <c r="D41" s="143"/>
      <c r="E41" s="143"/>
      <c r="F41" s="143"/>
      <c r="G41" s="143"/>
      <c r="H41" s="143"/>
      <c r="I41" s="143"/>
      <c r="J41" s="143"/>
    </row>
    <row r="42" spans="1:11" x14ac:dyDescent="0.25">
      <c r="A42" s="143"/>
      <c r="B42" s="143"/>
      <c r="C42" s="143"/>
      <c r="D42" s="143"/>
      <c r="E42" s="143"/>
      <c r="F42" s="143"/>
      <c r="G42" s="143"/>
      <c r="H42" s="143"/>
      <c r="I42" s="143"/>
      <c r="J42" s="143"/>
    </row>
    <row r="43" spans="1:11" x14ac:dyDescent="0.25">
      <c r="A43" s="143"/>
      <c r="B43" s="143"/>
      <c r="C43" s="143"/>
      <c r="D43" s="143"/>
      <c r="E43" s="143"/>
      <c r="F43" s="143"/>
      <c r="G43" s="143"/>
      <c r="H43" s="143"/>
      <c r="I43" s="143"/>
      <c r="J43" s="143"/>
    </row>
    <row r="44" spans="1:11" x14ac:dyDescent="0.25">
      <c r="A44" s="64"/>
      <c r="B44" s="64"/>
      <c r="C44" s="64"/>
      <c r="D44" s="64"/>
      <c r="E44" s="64"/>
      <c r="F44" s="64"/>
      <c r="G44" s="64"/>
      <c r="H44" s="64"/>
      <c r="I44" s="64"/>
      <c r="J44" s="64"/>
    </row>
    <row r="45" spans="1:11" x14ac:dyDescent="0.25">
      <c r="A45" s="64"/>
      <c r="B45" s="64"/>
      <c r="C45" s="64"/>
      <c r="D45" s="64"/>
      <c r="E45" s="64"/>
      <c r="F45" s="64"/>
      <c r="G45" s="64"/>
      <c r="H45" s="64"/>
      <c r="I45" s="64"/>
      <c r="J45" s="64"/>
    </row>
    <row r="46" spans="1:11" x14ac:dyDescent="0.25">
      <c r="A46" s="144" t="s">
        <v>28</v>
      </c>
      <c r="B46" s="144"/>
      <c r="C46" s="144"/>
      <c r="D46" s="144"/>
      <c r="E46" s="144"/>
      <c r="F46" s="144"/>
      <c r="G46" s="144"/>
      <c r="H46" s="144"/>
      <c r="I46" s="144"/>
      <c r="J46" s="144"/>
    </row>
    <row r="47" spans="1:11" x14ac:dyDescent="0.25">
      <c r="A47" s="74"/>
      <c r="B47" s="74"/>
      <c r="C47" s="74"/>
      <c r="D47" s="74"/>
      <c r="E47" s="74"/>
      <c r="F47" s="74"/>
      <c r="G47" s="74"/>
      <c r="H47" s="74"/>
      <c r="I47" s="74"/>
      <c r="J47" s="74"/>
    </row>
    <row r="48" spans="1:11" x14ac:dyDescent="0.25">
      <c r="A48" s="74"/>
      <c r="B48" s="74"/>
      <c r="C48" s="74"/>
      <c r="D48" s="74"/>
      <c r="E48" s="74"/>
      <c r="F48" s="74"/>
      <c r="G48" s="74"/>
      <c r="H48" s="74"/>
      <c r="I48" s="74"/>
      <c r="J48" s="74"/>
    </row>
    <row r="49" spans="1:10" x14ac:dyDescent="0.25">
      <c r="A49" s="74"/>
      <c r="B49" s="74"/>
      <c r="C49" s="74"/>
      <c r="D49" s="74"/>
      <c r="E49" s="74"/>
      <c r="F49" s="74"/>
      <c r="G49" s="74"/>
      <c r="H49" s="74"/>
      <c r="I49" s="74"/>
      <c r="J49" s="74"/>
    </row>
    <row r="50" spans="1:10" x14ac:dyDescent="0.25">
      <c r="A50" s="64"/>
      <c r="B50" s="64"/>
      <c r="C50" s="64"/>
      <c r="D50" s="64"/>
      <c r="E50" s="64"/>
      <c r="F50" s="64"/>
      <c r="G50" s="64"/>
      <c r="H50" s="64"/>
      <c r="I50" s="64"/>
      <c r="J50" s="64"/>
    </row>
    <row r="51" spans="1:10" x14ac:dyDescent="0.25">
      <c r="A51" s="64"/>
      <c r="B51" s="64"/>
      <c r="C51" s="64"/>
      <c r="D51" s="64"/>
      <c r="E51" s="64"/>
      <c r="F51" s="64"/>
      <c r="G51" s="64"/>
      <c r="H51" s="64"/>
      <c r="I51" s="75"/>
      <c r="J51" s="75"/>
    </row>
    <row r="52" spans="1:10" x14ac:dyDescent="0.25">
      <c r="A52" s="64"/>
      <c r="B52" s="64"/>
      <c r="C52" s="64"/>
      <c r="D52" s="64"/>
      <c r="E52" s="64"/>
      <c r="F52" s="64"/>
      <c r="G52" s="64"/>
      <c r="H52" s="64"/>
      <c r="I52" s="50" t="s">
        <v>31</v>
      </c>
      <c r="J52" s="47"/>
    </row>
    <row r="53" spans="1:10" x14ac:dyDescent="0.25">
      <c r="A53" s="64"/>
      <c r="B53" s="64"/>
      <c r="C53" s="64"/>
      <c r="D53" s="64"/>
      <c r="E53" s="64"/>
      <c r="F53" s="64"/>
      <c r="G53" s="64"/>
      <c r="H53" s="64"/>
      <c r="I53" s="50" t="s">
        <v>32</v>
      </c>
      <c r="J53" s="47"/>
    </row>
    <row r="54" spans="1:10" x14ac:dyDescent="0.25">
      <c r="A54" s="64"/>
      <c r="B54" s="64"/>
      <c r="C54" s="64"/>
      <c r="D54" s="64"/>
      <c r="E54" s="64"/>
      <c r="F54" s="64"/>
      <c r="G54" s="64"/>
      <c r="H54" s="64"/>
      <c r="I54" s="50" t="s">
        <v>33</v>
      </c>
      <c r="J54" s="47"/>
    </row>
  </sheetData>
  <mergeCells count="53">
    <mergeCell ref="H31:I31"/>
    <mergeCell ref="H32:I32"/>
    <mergeCell ref="H35:I35"/>
    <mergeCell ref="H26:I26"/>
    <mergeCell ref="H27:I27"/>
    <mergeCell ref="H28:I28"/>
    <mergeCell ref="H29:I29"/>
    <mergeCell ref="H30:I30"/>
    <mergeCell ref="H21:I21"/>
    <mergeCell ref="H22:I22"/>
    <mergeCell ref="H23:I23"/>
    <mergeCell ref="H24:I24"/>
    <mergeCell ref="H25:I25"/>
    <mergeCell ref="H16:I16"/>
    <mergeCell ref="H17:I17"/>
    <mergeCell ref="H18:I18"/>
    <mergeCell ref="H19:I19"/>
    <mergeCell ref="H20:I20"/>
    <mergeCell ref="A40:J43"/>
    <mergeCell ref="A46:J46"/>
    <mergeCell ref="A15:J15"/>
    <mergeCell ref="A9:B9"/>
    <mergeCell ref="C9:H9"/>
    <mergeCell ref="A10:B10"/>
    <mergeCell ref="C10:H10"/>
    <mergeCell ref="I10:J10"/>
    <mergeCell ref="A11:J11"/>
    <mergeCell ref="A12:J12"/>
    <mergeCell ref="A13:J13"/>
    <mergeCell ref="A14:E14"/>
    <mergeCell ref="H14:I14"/>
    <mergeCell ref="A24:E24"/>
    <mergeCell ref="A25:E25"/>
    <mergeCell ref="A26:E26"/>
    <mergeCell ref="A8:B8"/>
    <mergeCell ref="C8:H8"/>
    <mergeCell ref="A1:C1"/>
    <mergeCell ref="D1:H1"/>
    <mergeCell ref="I1:J1"/>
    <mergeCell ref="A2:J2"/>
    <mergeCell ref="A3:J3"/>
    <mergeCell ref="A4:J4"/>
    <mergeCell ref="A5:J5"/>
    <mergeCell ref="A6:J6"/>
    <mergeCell ref="A7:B7"/>
    <mergeCell ref="C7:H7"/>
    <mergeCell ref="A27:E27"/>
    <mergeCell ref="A28:E28"/>
    <mergeCell ref="B36:D36"/>
    <mergeCell ref="A29:E29"/>
    <mergeCell ref="A30:E30"/>
    <mergeCell ref="A31:E31"/>
    <mergeCell ref="B35:D35"/>
  </mergeCells>
  <pageMargins left="0.25" right="0.25" top="0.75" bottom="0.75" header="0.3" footer="0.3"/>
  <pageSetup scale="76" orientation="portrait" horizontalDpi="360" verticalDpi="36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79014-8872-49B1-85DF-F5911083B1AA}">
  <sheetPr>
    <pageSetUpPr fitToPage="1"/>
  </sheetPr>
  <dimension ref="A1:AE81"/>
  <sheetViews>
    <sheetView zoomScaleNormal="100" workbookViewId="0">
      <pane ySplit="10" topLeftCell="A11" activePane="bottomLeft" state="frozen"/>
      <selection activeCell="O34" sqref="O34"/>
      <selection pane="bottomLeft" activeCell="G16" sqref="G16"/>
    </sheetView>
  </sheetViews>
  <sheetFormatPr defaultColWidth="8.7109375" defaultRowHeight="15" x14ac:dyDescent="0.25"/>
  <cols>
    <col min="1" max="1" width="58.28515625" style="9" customWidth="1"/>
    <col min="2" max="2" width="1.85546875" style="9" customWidth="1"/>
    <col min="3" max="3" width="22.28515625" style="9" customWidth="1"/>
    <col min="4" max="4" width="2.140625" style="9" customWidth="1"/>
    <col min="5" max="5" width="3" style="9" customWidth="1"/>
    <col min="6" max="6" width="14.42578125" style="9" customWidth="1"/>
    <col min="7" max="7" width="10.85546875" style="9" bestFit="1" customWidth="1"/>
    <col min="8" max="8" width="1.140625" style="9" customWidth="1"/>
    <col min="9" max="9" width="8.7109375" style="9" customWidth="1"/>
    <col min="10" max="10" width="9.42578125" style="9" customWidth="1"/>
    <col min="11" max="11" width="18.85546875" style="9" bestFit="1" customWidth="1"/>
    <col min="12" max="12" width="16.42578125" style="9" bestFit="1" customWidth="1"/>
    <col min="13" max="13" width="15.42578125" style="9" customWidth="1"/>
    <col min="14" max="15" width="16.42578125" style="9" bestFit="1" customWidth="1"/>
    <col min="16" max="16" width="18.28515625" style="9" bestFit="1" customWidth="1"/>
    <col min="17" max="17" width="14" style="9" bestFit="1" customWidth="1"/>
    <col min="18" max="18" width="12.7109375" style="9" customWidth="1"/>
    <col min="19" max="19" width="14.140625" style="9" bestFit="1" customWidth="1"/>
    <col min="20" max="21" width="11.7109375" style="9" customWidth="1"/>
    <col min="22" max="22" width="14" style="9" bestFit="1" customWidth="1"/>
    <col min="23" max="23" width="16.28515625" style="9" bestFit="1" customWidth="1"/>
    <col min="24" max="24" width="11.85546875" style="9" bestFit="1" customWidth="1"/>
    <col min="25" max="25" width="8.7109375" style="9"/>
    <col min="26" max="28" width="17.5703125" style="9" bestFit="1" customWidth="1"/>
    <col min="29" max="29" width="15.28515625" style="9" bestFit="1" customWidth="1"/>
    <col min="30" max="30" width="9.42578125" style="9" bestFit="1" customWidth="1"/>
    <col min="31" max="31" width="18.140625" style="9" bestFit="1" customWidth="1"/>
    <col min="32" max="16384" width="8.7109375" style="9"/>
  </cols>
  <sheetData>
    <row r="1" spans="1:31" ht="14.45" customHeight="1" x14ac:dyDescent="0.25">
      <c r="A1" s="81" t="s">
        <v>41</v>
      </c>
      <c r="B1" s="81"/>
      <c r="C1" s="81"/>
      <c r="D1" s="81"/>
      <c r="E1" s="81"/>
      <c r="F1" s="147" t="s">
        <v>242</v>
      </c>
      <c r="G1" s="161"/>
      <c r="J1" s="7"/>
      <c r="K1" s="222" t="s">
        <v>21</v>
      </c>
      <c r="L1" s="222" t="s">
        <v>183</v>
      </c>
      <c r="M1" s="220" t="s">
        <v>20</v>
      </c>
      <c r="N1" s="222" t="s">
        <v>19</v>
      </c>
      <c r="O1" s="222" t="s">
        <v>185</v>
      </c>
      <c r="P1" s="220" t="s">
        <v>184</v>
      </c>
      <c r="Q1" s="220" t="s">
        <v>186</v>
      </c>
      <c r="R1" s="220" t="s">
        <v>18</v>
      </c>
      <c r="S1" s="220" t="s">
        <v>17</v>
      </c>
      <c r="T1" s="220" t="s">
        <v>16</v>
      </c>
      <c r="U1" s="220" t="s">
        <v>15</v>
      </c>
      <c r="V1" s="220" t="s">
        <v>188</v>
      </c>
      <c r="W1" s="220" t="s">
        <v>14</v>
      </c>
      <c r="X1" s="220" t="s">
        <v>187</v>
      </c>
      <c r="Y1" s="220" t="s">
        <v>13</v>
      </c>
      <c r="Z1" s="222" t="s">
        <v>12</v>
      </c>
      <c r="AA1" s="224" t="s">
        <v>189</v>
      </c>
      <c r="AB1" s="27"/>
      <c r="AC1" s="7"/>
    </row>
    <row r="2" spans="1:31" x14ac:dyDescent="0.25">
      <c r="A2" s="209" t="s">
        <v>42</v>
      </c>
      <c r="B2" s="209"/>
      <c r="C2" s="209"/>
      <c r="D2" s="209"/>
      <c r="E2" s="209"/>
      <c r="F2" s="209"/>
      <c r="J2" s="7" t="s">
        <v>43</v>
      </c>
      <c r="K2" s="222"/>
      <c r="L2" s="222"/>
      <c r="M2" s="220"/>
      <c r="N2" s="222"/>
      <c r="O2" s="222"/>
      <c r="P2" s="220"/>
      <c r="Q2" s="220"/>
      <c r="R2" s="220"/>
      <c r="S2" s="220"/>
      <c r="T2" s="220"/>
      <c r="U2" s="220"/>
      <c r="V2" s="220"/>
      <c r="W2" s="220"/>
      <c r="X2" s="220"/>
      <c r="Y2" s="220"/>
      <c r="Z2" s="222"/>
      <c r="AA2" s="224"/>
      <c r="AB2" s="27"/>
      <c r="AC2" s="7"/>
    </row>
    <row r="3" spans="1:31" x14ac:dyDescent="0.25">
      <c r="A3" s="209" t="s">
        <v>144</v>
      </c>
      <c r="B3" s="209"/>
      <c r="C3" s="209"/>
      <c r="D3" s="209"/>
      <c r="E3" s="209"/>
      <c r="F3" s="209"/>
      <c r="J3" s="7"/>
      <c r="K3" s="222"/>
      <c r="L3" s="222"/>
      <c r="M3" s="220"/>
      <c r="N3" s="222"/>
      <c r="O3" s="222"/>
      <c r="P3" s="220"/>
      <c r="Q3" s="220"/>
      <c r="R3" s="220"/>
      <c r="S3" s="220"/>
      <c r="T3" s="220"/>
      <c r="U3" s="220"/>
      <c r="V3" s="220"/>
      <c r="W3" s="220"/>
      <c r="X3" s="220"/>
      <c r="Y3" s="220"/>
      <c r="Z3" s="222"/>
      <c r="AA3" s="224"/>
      <c r="AB3" s="27"/>
      <c r="AC3" s="7"/>
    </row>
    <row r="4" spans="1:31" x14ac:dyDescent="0.25">
      <c r="A4" s="209" t="s">
        <v>26</v>
      </c>
      <c r="B4" s="209"/>
      <c r="C4" s="209"/>
      <c r="D4" s="209"/>
      <c r="E4" s="209"/>
      <c r="F4" s="209"/>
      <c r="J4" s="7"/>
      <c r="K4" s="222"/>
      <c r="L4" s="222"/>
      <c r="M4" s="220"/>
      <c r="N4" s="222"/>
      <c r="O4" s="222"/>
      <c r="P4" s="220"/>
      <c r="Q4" s="220"/>
      <c r="R4" s="220"/>
      <c r="S4" s="220"/>
      <c r="T4" s="220"/>
      <c r="U4" s="220"/>
      <c r="V4" s="220"/>
      <c r="W4" s="220"/>
      <c r="X4" s="220"/>
      <c r="Y4" s="220"/>
      <c r="Z4" s="222"/>
      <c r="AA4" s="224"/>
      <c r="AB4" s="27"/>
      <c r="AC4" s="7"/>
    </row>
    <row r="5" spans="1:31" ht="15" customHeight="1" thickBot="1" x14ac:dyDescent="0.3">
      <c r="A5" s="209" t="s">
        <v>27</v>
      </c>
      <c r="B5" s="209"/>
      <c r="C5" s="209"/>
      <c r="D5" s="209"/>
      <c r="E5" s="209"/>
      <c r="F5" s="209"/>
      <c r="J5" s="7"/>
      <c r="K5" s="223"/>
      <c r="L5" s="223"/>
      <c r="M5" s="221"/>
      <c r="N5" s="223"/>
      <c r="O5" s="223"/>
      <c r="P5" s="221"/>
      <c r="Q5" s="221"/>
      <c r="R5" s="221"/>
      <c r="S5" s="221"/>
      <c r="T5" s="221"/>
      <c r="U5" s="221"/>
      <c r="V5" s="221"/>
      <c r="W5" s="221"/>
      <c r="X5" s="221"/>
      <c r="Y5" s="221"/>
      <c r="Z5" s="223"/>
      <c r="AA5" s="224"/>
      <c r="AB5" s="27" t="s">
        <v>190</v>
      </c>
      <c r="AC5" s="7"/>
      <c r="AD5" s="63" t="s">
        <v>257</v>
      </c>
    </row>
    <row r="6" spans="1:31" ht="15.75" thickTop="1" x14ac:dyDescent="0.25">
      <c r="A6" s="210" t="s">
        <v>145</v>
      </c>
      <c r="B6" s="211"/>
      <c r="C6" s="211"/>
      <c r="D6" s="211"/>
      <c r="E6" s="211"/>
      <c r="F6" s="82" t="s">
        <v>286</v>
      </c>
      <c r="G6" s="83" t="s">
        <v>287</v>
      </c>
      <c r="J6" s="7" t="s">
        <v>191</v>
      </c>
      <c r="K6" s="28">
        <v>955511.52</v>
      </c>
      <c r="L6" s="28">
        <v>105422.6</v>
      </c>
      <c r="M6" s="28">
        <v>0</v>
      </c>
      <c r="N6" s="28">
        <v>642153.22</v>
      </c>
      <c r="O6" s="28">
        <v>116959971.7</v>
      </c>
      <c r="P6" s="28">
        <v>56121305.920000002</v>
      </c>
      <c r="Q6" s="28">
        <v>0</v>
      </c>
      <c r="R6" s="28">
        <v>0</v>
      </c>
      <c r="S6" s="28">
        <v>0</v>
      </c>
      <c r="T6" s="28">
        <v>0</v>
      </c>
      <c r="U6" s="28">
        <v>0</v>
      </c>
      <c r="V6" s="28">
        <v>0</v>
      </c>
      <c r="W6" s="28">
        <v>0</v>
      </c>
      <c r="X6" s="28">
        <v>0</v>
      </c>
      <c r="Y6" s="28">
        <v>0</v>
      </c>
      <c r="Z6" s="28">
        <v>174784364.96000001</v>
      </c>
      <c r="AA6" s="29">
        <f>SUM(K6:Y6)</f>
        <v>174784364.96000001</v>
      </c>
      <c r="AB6" s="27">
        <f>Z6-AA6</f>
        <v>0</v>
      </c>
      <c r="AC6" s="7"/>
      <c r="AD6" s="7" t="s">
        <v>191</v>
      </c>
      <c r="AE6" s="28">
        <v>71934470.569999993</v>
      </c>
    </row>
    <row r="7" spans="1:31" x14ac:dyDescent="0.25">
      <c r="A7" s="212"/>
      <c r="B7" s="212"/>
      <c r="C7" s="212"/>
      <c r="D7" s="212"/>
      <c r="E7" s="212"/>
      <c r="F7" s="23" t="s">
        <v>146</v>
      </c>
      <c r="G7" s="26">
        <f ca="1">TODAY()</f>
        <v>45723</v>
      </c>
      <c r="J7" s="7" t="s">
        <v>192</v>
      </c>
      <c r="K7" s="28">
        <v>0</v>
      </c>
      <c r="L7" s="28">
        <v>0</v>
      </c>
      <c r="M7" s="28">
        <v>0</v>
      </c>
      <c r="N7" s="28">
        <v>1161084.3999999999</v>
      </c>
      <c r="O7" s="28">
        <v>0</v>
      </c>
      <c r="P7" s="28">
        <v>0</v>
      </c>
      <c r="Q7" s="28">
        <v>46857.88</v>
      </c>
      <c r="R7" s="28">
        <v>0</v>
      </c>
      <c r="S7" s="28">
        <v>0</v>
      </c>
      <c r="T7" s="28">
        <v>0</v>
      </c>
      <c r="U7" s="28">
        <v>0</v>
      </c>
      <c r="V7" s="28">
        <v>0</v>
      </c>
      <c r="W7" s="28">
        <v>0</v>
      </c>
      <c r="X7" s="28">
        <v>2471.9148744683248</v>
      </c>
      <c r="Y7" s="28">
        <v>0</v>
      </c>
      <c r="Z7" s="28">
        <v>1210414.194874468</v>
      </c>
      <c r="AA7" s="29">
        <f t="shared" ref="AA7:AA31" si="0">SUM(K7:Y7)</f>
        <v>1210414.194874468</v>
      </c>
      <c r="AB7" s="27">
        <f>Z7-AA7</f>
        <v>0</v>
      </c>
      <c r="AC7" s="7"/>
      <c r="AD7" s="7" t="s">
        <v>192</v>
      </c>
      <c r="AE7" s="28">
        <v>1210614.4899999998</v>
      </c>
    </row>
    <row r="8" spans="1:31" x14ac:dyDescent="0.25">
      <c r="A8" s="212"/>
      <c r="B8" s="212"/>
      <c r="C8" s="212"/>
      <c r="D8" s="212"/>
      <c r="E8" s="212"/>
      <c r="F8" s="24" t="s">
        <v>147</v>
      </c>
      <c r="G8" s="38">
        <f ca="1">NOW()</f>
        <v>45723.507627430554</v>
      </c>
      <c r="J8" s="7" t="s">
        <v>193</v>
      </c>
      <c r="K8" s="28">
        <v>15712105725.409998</v>
      </c>
      <c r="L8" s="28">
        <v>1458264866.9400005</v>
      </c>
      <c r="M8" s="28">
        <v>0</v>
      </c>
      <c r="N8" s="28">
        <v>1623413208.6600003</v>
      </c>
      <c r="O8" s="28">
        <v>8474665589.4499998</v>
      </c>
      <c r="P8" s="28">
        <v>76987311795.960007</v>
      </c>
      <c r="Q8" s="28">
        <v>209828054.85899997</v>
      </c>
      <c r="R8" s="28">
        <v>0</v>
      </c>
      <c r="S8" s="28">
        <v>374638.98</v>
      </c>
      <c r="T8" s="28">
        <v>0</v>
      </c>
      <c r="U8" s="28">
        <v>0</v>
      </c>
      <c r="V8" s="28">
        <v>106666138.78999999</v>
      </c>
      <c r="W8" s="28">
        <v>0</v>
      </c>
      <c r="X8" s="28">
        <v>7305084.8812777316</v>
      </c>
      <c r="Y8" s="28">
        <v>0</v>
      </c>
      <c r="Z8" s="28">
        <v>104579935103.93027</v>
      </c>
      <c r="AA8" s="29">
        <f t="shared" si="0"/>
        <v>104579935103.93027</v>
      </c>
      <c r="AB8" s="27">
        <f t="shared" ref="AB8:AB31" si="1">Z8-AA8</f>
        <v>0</v>
      </c>
      <c r="AC8" s="7"/>
      <c r="AD8" s="7" t="s">
        <v>193</v>
      </c>
      <c r="AE8" s="28">
        <v>102723109200.66</v>
      </c>
    </row>
    <row r="9" spans="1:31" x14ac:dyDescent="0.25">
      <c r="A9" s="213" t="s">
        <v>43</v>
      </c>
      <c r="B9" s="213"/>
      <c r="C9" s="213"/>
      <c r="D9" s="213"/>
      <c r="E9" s="213"/>
      <c r="F9" s="213"/>
      <c r="G9" s="213"/>
      <c r="H9" s="213"/>
      <c r="J9" s="7" t="s">
        <v>194</v>
      </c>
      <c r="K9" s="28">
        <v>0</v>
      </c>
      <c r="L9" s="28">
        <v>0</v>
      </c>
      <c r="M9" s="28">
        <v>0</v>
      </c>
      <c r="N9" s="28">
        <v>41332295.340000004</v>
      </c>
      <c r="O9" s="28">
        <v>0</v>
      </c>
      <c r="P9" s="28">
        <v>7120136.4699999997</v>
      </c>
      <c r="Q9" s="28">
        <v>2626111.9300000002</v>
      </c>
      <c r="R9" s="28">
        <v>0</v>
      </c>
      <c r="S9" s="28">
        <v>0</v>
      </c>
      <c r="T9" s="28">
        <v>0</v>
      </c>
      <c r="U9" s="28">
        <v>0</v>
      </c>
      <c r="V9" s="28">
        <v>0</v>
      </c>
      <c r="W9" s="28">
        <v>17089707.534362476</v>
      </c>
      <c r="X9" s="28">
        <v>117526.95379053397</v>
      </c>
      <c r="Y9" s="28">
        <v>0</v>
      </c>
      <c r="Z9" s="28">
        <v>68285778.228153005</v>
      </c>
      <c r="AA9" s="29">
        <f t="shared" si="0"/>
        <v>68285778.228153005</v>
      </c>
      <c r="AB9" s="27">
        <f t="shared" si="1"/>
        <v>0</v>
      </c>
      <c r="AC9" s="7"/>
      <c r="AD9" s="7" t="s">
        <v>194</v>
      </c>
      <c r="AE9" s="28">
        <v>66604007.204362474</v>
      </c>
    </row>
    <row r="10" spans="1:31" x14ac:dyDescent="0.25">
      <c r="A10" s="214" t="s">
        <v>44</v>
      </c>
      <c r="B10" s="214"/>
      <c r="C10" s="215" t="s">
        <v>45</v>
      </c>
      <c r="D10" s="215"/>
      <c r="E10" s="215" t="s">
        <v>46</v>
      </c>
      <c r="F10" s="215"/>
      <c r="G10" s="215"/>
      <c r="J10" s="7" t="s">
        <v>195</v>
      </c>
      <c r="K10" s="28">
        <v>0</v>
      </c>
      <c r="L10" s="28">
        <v>0</v>
      </c>
      <c r="M10" s="28">
        <v>0</v>
      </c>
      <c r="N10" s="28">
        <v>0</v>
      </c>
      <c r="O10" s="28">
        <v>61012094.340000004</v>
      </c>
      <c r="P10" s="28">
        <v>1657162.12</v>
      </c>
      <c r="Q10" s="28">
        <v>0</v>
      </c>
      <c r="R10" s="28">
        <v>0</v>
      </c>
      <c r="S10" s="28">
        <v>0</v>
      </c>
      <c r="T10" s="28">
        <v>0</v>
      </c>
      <c r="U10" s="28">
        <v>0</v>
      </c>
      <c r="V10" s="28">
        <v>0</v>
      </c>
      <c r="W10" s="28">
        <v>0</v>
      </c>
      <c r="X10" s="28">
        <v>0</v>
      </c>
      <c r="Y10" s="28">
        <v>0</v>
      </c>
      <c r="Z10" s="28">
        <v>62669256.460000001</v>
      </c>
      <c r="AA10" s="29">
        <f t="shared" si="0"/>
        <v>62669256.460000001</v>
      </c>
      <c r="AB10" s="27">
        <f t="shared" si="1"/>
        <v>0</v>
      </c>
      <c r="AC10" s="7"/>
      <c r="AD10" s="7" t="s">
        <v>195</v>
      </c>
      <c r="AE10" s="28">
        <v>62669256.460000001</v>
      </c>
    </row>
    <row r="11" spans="1:31" x14ac:dyDescent="0.25">
      <c r="A11" s="216" t="s">
        <v>47</v>
      </c>
      <c r="B11" s="216"/>
      <c r="C11" s="216"/>
      <c r="D11" s="216"/>
      <c r="E11" s="216"/>
      <c r="F11" s="216"/>
      <c r="G11" s="216"/>
      <c r="H11" s="216"/>
      <c r="J11" s="7" t="s">
        <v>196</v>
      </c>
      <c r="K11" s="28">
        <v>8000000</v>
      </c>
      <c r="L11" s="28">
        <v>285275906.63</v>
      </c>
      <c r="M11" s="28">
        <v>0</v>
      </c>
      <c r="N11" s="28">
        <v>0</v>
      </c>
      <c r="O11" s="28">
        <v>0</v>
      </c>
      <c r="P11" s="28">
        <v>0</v>
      </c>
      <c r="Q11" s="28">
        <v>0</v>
      </c>
      <c r="R11" s="28">
        <v>0</v>
      </c>
      <c r="S11" s="28">
        <v>0</v>
      </c>
      <c r="T11" s="28">
        <v>0</v>
      </c>
      <c r="U11" s="28">
        <v>0</v>
      </c>
      <c r="V11" s="28">
        <v>0</v>
      </c>
      <c r="W11" s="28">
        <v>0</v>
      </c>
      <c r="X11" s="28">
        <v>0</v>
      </c>
      <c r="Y11" s="28">
        <v>0</v>
      </c>
      <c r="Z11" s="28">
        <v>293275906.63</v>
      </c>
      <c r="AA11" s="29">
        <f t="shared" si="0"/>
        <v>293275906.63</v>
      </c>
      <c r="AB11" s="27">
        <f t="shared" si="1"/>
        <v>0</v>
      </c>
      <c r="AC11" s="7"/>
      <c r="AD11" s="7" t="s">
        <v>196</v>
      </c>
      <c r="AE11" s="28">
        <v>293275906.63</v>
      </c>
    </row>
    <row r="12" spans="1:31" x14ac:dyDescent="0.25">
      <c r="A12" s="16" t="s">
        <v>48</v>
      </c>
      <c r="B12" s="206">
        <f>K32</f>
        <v>16210783118.429996</v>
      </c>
      <c r="C12" s="206"/>
      <c r="D12" s="58"/>
      <c r="E12" s="58"/>
      <c r="F12" s="58"/>
      <c r="J12" s="7" t="s">
        <v>197</v>
      </c>
      <c r="K12" s="28">
        <v>0</v>
      </c>
      <c r="L12" s="28">
        <v>56772760.979999997</v>
      </c>
      <c r="M12" s="28">
        <v>0</v>
      </c>
      <c r="N12" s="28">
        <v>0</v>
      </c>
      <c r="O12" s="28">
        <v>0</v>
      </c>
      <c r="P12" s="28">
        <v>0</v>
      </c>
      <c r="Q12" s="28">
        <v>0</v>
      </c>
      <c r="R12" s="28">
        <v>0</v>
      </c>
      <c r="S12" s="28">
        <v>0</v>
      </c>
      <c r="T12" s="28">
        <v>0</v>
      </c>
      <c r="U12" s="28">
        <v>0</v>
      </c>
      <c r="V12" s="28">
        <v>0</v>
      </c>
      <c r="W12" s="28">
        <v>0</v>
      </c>
      <c r="X12" s="28">
        <v>0</v>
      </c>
      <c r="Y12" s="28">
        <v>0</v>
      </c>
      <c r="Z12" s="28">
        <v>56772760.979999997</v>
      </c>
      <c r="AA12" s="29">
        <f t="shared" si="0"/>
        <v>56772760.979999997</v>
      </c>
      <c r="AB12" s="27">
        <f t="shared" si="1"/>
        <v>0</v>
      </c>
      <c r="AC12" s="7"/>
      <c r="AD12" s="7" t="s">
        <v>197</v>
      </c>
      <c r="AE12" s="28">
        <v>56772760.979999997</v>
      </c>
    </row>
    <row r="13" spans="1:31" x14ac:dyDescent="0.25">
      <c r="A13" s="16" t="s">
        <v>148</v>
      </c>
      <c r="B13" s="206">
        <f>L32</f>
        <v>1825784098.7800007</v>
      </c>
      <c r="C13" s="206"/>
      <c r="D13" s="10"/>
      <c r="E13" s="10"/>
      <c r="F13" s="10"/>
      <c r="J13" s="7" t="s">
        <v>198</v>
      </c>
      <c r="K13" s="28">
        <v>300093.58999999997</v>
      </c>
      <c r="L13" s="28">
        <v>13055909.689999999</v>
      </c>
      <c r="M13" s="28">
        <v>0</v>
      </c>
      <c r="N13" s="28">
        <v>267582.18</v>
      </c>
      <c r="O13" s="28">
        <v>1743959.1500000001</v>
      </c>
      <c r="P13" s="28">
        <v>61523709.200000003</v>
      </c>
      <c r="Q13" s="28">
        <v>0</v>
      </c>
      <c r="R13" s="28">
        <v>0</v>
      </c>
      <c r="S13" s="28">
        <v>0</v>
      </c>
      <c r="T13" s="28">
        <v>0</v>
      </c>
      <c r="U13" s="28">
        <v>0</v>
      </c>
      <c r="V13" s="28">
        <v>0</v>
      </c>
      <c r="W13" s="28">
        <v>0</v>
      </c>
      <c r="X13" s="28">
        <v>0</v>
      </c>
      <c r="Y13" s="28">
        <v>0</v>
      </c>
      <c r="Z13" s="28">
        <v>76891253.810000002</v>
      </c>
      <c r="AA13" s="29">
        <f t="shared" si="0"/>
        <v>76891253.810000002</v>
      </c>
      <c r="AB13" s="27">
        <f t="shared" si="1"/>
        <v>0</v>
      </c>
      <c r="AC13" s="7"/>
      <c r="AD13" s="7" t="s">
        <v>198</v>
      </c>
      <c r="AE13" s="28">
        <v>76891253.810000002</v>
      </c>
    </row>
    <row r="14" spans="1:31" x14ac:dyDescent="0.25">
      <c r="A14" s="16" t="s">
        <v>49</v>
      </c>
      <c r="B14" s="206">
        <f>N32</f>
        <v>1973511530.4999998</v>
      </c>
      <c r="C14" s="206"/>
      <c r="D14" s="58"/>
      <c r="E14" s="58"/>
      <c r="F14" s="58"/>
      <c r="J14" s="7" t="s">
        <v>199</v>
      </c>
      <c r="K14" s="28">
        <v>0</v>
      </c>
      <c r="L14" s="28">
        <v>0</v>
      </c>
      <c r="M14" s="28">
        <v>0</v>
      </c>
      <c r="N14" s="28">
        <v>6674000</v>
      </c>
      <c r="O14" s="28">
        <v>0</v>
      </c>
      <c r="P14" s="28">
        <v>0</v>
      </c>
      <c r="Q14" s="28">
        <v>0</v>
      </c>
      <c r="R14" s="28">
        <v>0</v>
      </c>
      <c r="S14" s="28">
        <v>0</v>
      </c>
      <c r="T14" s="28">
        <v>0</v>
      </c>
      <c r="U14" s="28">
        <v>0</v>
      </c>
      <c r="V14" s="28">
        <v>0</v>
      </c>
      <c r="W14" s="28">
        <v>0</v>
      </c>
      <c r="X14" s="28">
        <v>0</v>
      </c>
      <c r="Y14" s="28">
        <v>0</v>
      </c>
      <c r="Z14" s="28">
        <v>6674000</v>
      </c>
      <c r="AA14" s="29">
        <f t="shared" si="0"/>
        <v>6674000</v>
      </c>
      <c r="AB14" s="27">
        <f>Z14-AA14</f>
        <v>0</v>
      </c>
      <c r="AC14" s="7"/>
      <c r="AD14" s="7" t="s">
        <v>199</v>
      </c>
      <c r="AE14" s="28">
        <v>6674000</v>
      </c>
    </row>
    <row r="15" spans="1:31" x14ac:dyDescent="0.25">
      <c r="A15" s="16" t="s">
        <v>50</v>
      </c>
      <c r="B15" s="206">
        <f>O32</f>
        <v>10488664441.099998</v>
      </c>
      <c r="C15" s="206"/>
      <c r="D15" s="58"/>
      <c r="E15" s="207"/>
      <c r="F15" s="207"/>
      <c r="J15" s="7" t="s">
        <v>200</v>
      </c>
      <c r="K15" s="28">
        <v>0</v>
      </c>
      <c r="L15" s="28">
        <v>0</v>
      </c>
      <c r="M15" s="28">
        <v>0</v>
      </c>
      <c r="N15" s="28">
        <v>70479745.319999993</v>
      </c>
      <c r="O15" s="28">
        <v>0</v>
      </c>
      <c r="P15" s="28">
        <v>0</v>
      </c>
      <c r="Q15" s="28">
        <v>0</v>
      </c>
      <c r="R15" s="28">
        <v>0</v>
      </c>
      <c r="S15" s="28">
        <v>0</v>
      </c>
      <c r="T15" s="28">
        <v>0</v>
      </c>
      <c r="U15" s="28">
        <v>0</v>
      </c>
      <c r="V15" s="28">
        <v>0</v>
      </c>
      <c r="W15" s="28">
        <v>0</v>
      </c>
      <c r="X15" s="28">
        <v>0</v>
      </c>
      <c r="Y15" s="28">
        <v>0</v>
      </c>
      <c r="Z15" s="28">
        <v>70479745.319999993</v>
      </c>
      <c r="AA15" s="29">
        <f t="shared" si="0"/>
        <v>70479745.319999993</v>
      </c>
      <c r="AB15" s="27">
        <f t="shared" si="1"/>
        <v>0</v>
      </c>
      <c r="AC15" s="7"/>
      <c r="AD15" s="7" t="s">
        <v>200</v>
      </c>
      <c r="AE15" s="28">
        <v>70479745.319999993</v>
      </c>
    </row>
    <row r="16" spans="1:31" x14ac:dyDescent="0.25">
      <c r="A16" s="16" t="s">
        <v>157</v>
      </c>
      <c r="B16" s="206">
        <f>P32</f>
        <v>84499031500.7397</v>
      </c>
      <c r="C16" s="206"/>
      <c r="D16" s="10"/>
      <c r="E16" s="10"/>
      <c r="F16" s="10"/>
      <c r="J16" s="7" t="s">
        <v>201</v>
      </c>
      <c r="K16" s="28">
        <v>0</v>
      </c>
      <c r="L16" s="28">
        <v>0</v>
      </c>
      <c r="M16" s="28">
        <v>0</v>
      </c>
      <c r="N16" s="28">
        <v>101756037.84</v>
      </c>
      <c r="O16" s="28">
        <v>0</v>
      </c>
      <c r="P16" s="28">
        <v>0</v>
      </c>
      <c r="Q16" s="28">
        <v>0</v>
      </c>
      <c r="R16" s="28">
        <v>0</v>
      </c>
      <c r="S16" s="28">
        <v>0</v>
      </c>
      <c r="T16" s="28">
        <v>0</v>
      </c>
      <c r="U16" s="28">
        <v>0</v>
      </c>
      <c r="V16" s="28">
        <v>0</v>
      </c>
      <c r="W16" s="28">
        <v>0</v>
      </c>
      <c r="X16" s="28">
        <v>0</v>
      </c>
      <c r="Y16" s="28">
        <v>0</v>
      </c>
      <c r="Z16" s="28">
        <v>101756037.84</v>
      </c>
      <c r="AA16" s="29">
        <f t="shared" si="0"/>
        <v>101756037.84</v>
      </c>
      <c r="AB16" s="27">
        <f t="shared" si="1"/>
        <v>0</v>
      </c>
      <c r="AC16" s="7"/>
      <c r="AD16" s="7" t="s">
        <v>201</v>
      </c>
      <c r="AE16" s="28">
        <v>101756037.84</v>
      </c>
    </row>
    <row r="17" spans="1:31" x14ac:dyDescent="0.25">
      <c r="A17" s="16"/>
      <c r="B17" s="10"/>
      <c r="C17" s="10"/>
      <c r="D17" s="10"/>
      <c r="E17" s="10"/>
      <c r="F17" s="10"/>
      <c r="J17" s="7" t="s">
        <v>202</v>
      </c>
      <c r="K17" s="28">
        <v>0</v>
      </c>
      <c r="L17" s="28">
        <v>0</v>
      </c>
      <c r="M17" s="28">
        <v>0</v>
      </c>
      <c r="N17" s="28">
        <v>0</v>
      </c>
      <c r="O17" s="28">
        <v>56415040.030000001</v>
      </c>
      <c r="P17" s="28">
        <v>0</v>
      </c>
      <c r="Q17" s="28">
        <v>0</v>
      </c>
      <c r="R17" s="28">
        <v>0</v>
      </c>
      <c r="S17" s="28">
        <v>0</v>
      </c>
      <c r="T17" s="28">
        <v>0</v>
      </c>
      <c r="U17" s="28">
        <v>0</v>
      </c>
      <c r="V17" s="28">
        <v>0</v>
      </c>
      <c r="W17" s="28">
        <v>0</v>
      </c>
      <c r="X17" s="28">
        <v>0</v>
      </c>
      <c r="Y17" s="28">
        <v>0</v>
      </c>
      <c r="Z17" s="28">
        <v>56415040.030000001</v>
      </c>
      <c r="AA17" s="29">
        <f t="shared" si="0"/>
        <v>56415040.030000001</v>
      </c>
      <c r="AB17" s="27">
        <f>Z17-AA17</f>
        <v>0</v>
      </c>
      <c r="AC17" s="7"/>
      <c r="AD17" s="7" t="s">
        <v>202</v>
      </c>
      <c r="AE17" s="28">
        <v>56384988.329999998</v>
      </c>
    </row>
    <row r="18" spans="1:31" x14ac:dyDescent="0.25">
      <c r="A18" s="16"/>
      <c r="B18" s="10"/>
      <c r="C18" s="10"/>
      <c r="D18" s="10"/>
      <c r="E18" s="10"/>
      <c r="F18" s="10"/>
      <c r="J18" s="7" t="s">
        <v>245</v>
      </c>
      <c r="K18" s="28">
        <v>0</v>
      </c>
      <c r="L18" s="28">
        <v>0</v>
      </c>
      <c r="M18" s="28">
        <v>0</v>
      </c>
      <c r="N18" s="28">
        <v>0</v>
      </c>
      <c r="O18" s="28">
        <v>0</v>
      </c>
      <c r="P18" s="28">
        <v>0</v>
      </c>
      <c r="Q18" s="28">
        <v>0</v>
      </c>
      <c r="R18" s="28">
        <v>3187845</v>
      </c>
      <c r="S18" s="28">
        <v>0</v>
      </c>
      <c r="T18" s="28">
        <v>0</v>
      </c>
      <c r="U18" s="28">
        <v>0</v>
      </c>
      <c r="V18" s="28">
        <v>0</v>
      </c>
      <c r="W18" s="28">
        <v>0</v>
      </c>
      <c r="X18" s="28">
        <v>0</v>
      </c>
      <c r="Y18" s="28">
        <v>0</v>
      </c>
      <c r="Z18" s="28">
        <v>3187845</v>
      </c>
      <c r="AA18" s="29">
        <f>SUM(K18:Y18)</f>
        <v>3187845</v>
      </c>
      <c r="AB18" s="27">
        <f>Z18-AA18</f>
        <v>0</v>
      </c>
      <c r="AC18" s="7"/>
      <c r="AD18" s="7" t="s">
        <v>245</v>
      </c>
      <c r="AE18" s="28">
        <v>0</v>
      </c>
    </row>
    <row r="19" spans="1:31" x14ac:dyDescent="0.25">
      <c r="A19" s="11" t="s">
        <v>51</v>
      </c>
      <c r="B19" s="11"/>
      <c r="C19" s="11"/>
      <c r="D19" s="11"/>
      <c r="E19" s="11"/>
      <c r="F19" s="11"/>
      <c r="G19" s="11"/>
      <c r="H19" s="11"/>
      <c r="J19" s="7" t="s">
        <v>203</v>
      </c>
      <c r="K19" s="28">
        <v>324820448.74000001</v>
      </c>
      <c r="L19" s="28">
        <v>0</v>
      </c>
      <c r="M19" s="28">
        <v>0</v>
      </c>
      <c r="N19" s="28">
        <v>122733.78</v>
      </c>
      <c r="O19" s="28">
        <v>306646239.75</v>
      </c>
      <c r="P19" s="28">
        <v>557024086.91999996</v>
      </c>
      <c r="Q19" s="28">
        <v>0</v>
      </c>
      <c r="R19" s="28">
        <v>0</v>
      </c>
      <c r="S19" s="28">
        <v>0</v>
      </c>
      <c r="T19" s="28">
        <v>0</v>
      </c>
      <c r="U19" s="28">
        <v>0</v>
      </c>
      <c r="V19" s="28">
        <v>0</v>
      </c>
      <c r="W19" s="28">
        <v>0</v>
      </c>
      <c r="X19" s="28">
        <v>0</v>
      </c>
      <c r="Y19" s="28">
        <v>0</v>
      </c>
      <c r="Z19" s="28">
        <v>1188613509.1900001</v>
      </c>
      <c r="AA19" s="29">
        <f t="shared" si="0"/>
        <v>1188613509.1900001</v>
      </c>
      <c r="AB19" s="27">
        <f t="shared" si="1"/>
        <v>0</v>
      </c>
      <c r="AC19" s="7"/>
      <c r="AD19" s="7" t="s">
        <v>203</v>
      </c>
      <c r="AE19" s="28">
        <v>1188564168.5999999</v>
      </c>
    </row>
    <row r="20" spans="1:31" x14ac:dyDescent="0.25">
      <c r="A20" s="16" t="s">
        <v>149</v>
      </c>
      <c r="B20" s="206">
        <f>Q32</f>
        <v>213955014.68899998</v>
      </c>
      <c r="C20" s="206"/>
      <c r="D20" s="16"/>
      <c r="E20" s="16"/>
      <c r="F20" s="11"/>
      <c r="G20" s="11"/>
      <c r="H20" s="11"/>
      <c r="J20" s="7" t="s">
        <v>204</v>
      </c>
      <c r="K20" s="28">
        <v>22066908.120000001</v>
      </c>
      <c r="L20" s="28">
        <v>9485.68</v>
      </c>
      <c r="M20" s="28">
        <v>0</v>
      </c>
      <c r="N20" s="28">
        <v>1516824.5599999998</v>
      </c>
      <c r="O20" s="28">
        <v>411904129.13000005</v>
      </c>
      <c r="P20" s="28">
        <v>475127931.23000002</v>
      </c>
      <c r="Q20" s="28">
        <v>1148806.8500000001</v>
      </c>
      <c r="R20" s="28">
        <v>0</v>
      </c>
      <c r="S20" s="28">
        <v>0</v>
      </c>
      <c r="T20" s="28">
        <v>0</v>
      </c>
      <c r="U20" s="28">
        <v>0</v>
      </c>
      <c r="V20" s="28">
        <v>12114958</v>
      </c>
      <c r="W20" s="28">
        <v>0</v>
      </c>
      <c r="X20" s="28">
        <v>36450.18</v>
      </c>
      <c r="Y20" s="28">
        <v>0</v>
      </c>
      <c r="Z20" s="28">
        <v>923925493.75</v>
      </c>
      <c r="AA20" s="29">
        <f t="shared" si="0"/>
        <v>923925493.75</v>
      </c>
      <c r="AB20" s="27">
        <f t="shared" si="1"/>
        <v>0</v>
      </c>
      <c r="AC20" s="7"/>
      <c r="AD20" s="7" t="s">
        <v>204</v>
      </c>
      <c r="AE20" s="28">
        <v>752828264.16000009</v>
      </c>
    </row>
    <row r="21" spans="1:31" x14ac:dyDescent="0.25">
      <c r="A21" s="16" t="s">
        <v>52</v>
      </c>
      <c r="B21" s="206">
        <f>R32</f>
        <v>3187845</v>
      </c>
      <c r="C21" s="206"/>
      <c r="D21" s="16"/>
      <c r="E21" s="11"/>
      <c r="F21" s="16"/>
      <c r="J21" s="7" t="s">
        <v>205</v>
      </c>
      <c r="K21" s="28">
        <v>22981244.23</v>
      </c>
      <c r="L21" s="28">
        <v>0</v>
      </c>
      <c r="M21" s="28">
        <v>0</v>
      </c>
      <c r="N21" s="28">
        <v>0</v>
      </c>
      <c r="O21" s="28">
        <v>278007998.40000004</v>
      </c>
      <c r="P21" s="28">
        <v>116312428.46000001</v>
      </c>
      <c r="Q21" s="28">
        <v>0</v>
      </c>
      <c r="R21" s="28">
        <v>0</v>
      </c>
      <c r="S21" s="28">
        <v>0</v>
      </c>
      <c r="T21" s="28">
        <v>0</v>
      </c>
      <c r="U21" s="28">
        <v>0</v>
      </c>
      <c r="V21" s="28">
        <v>138842.33000000002</v>
      </c>
      <c r="W21" s="28">
        <v>0</v>
      </c>
      <c r="X21" s="28">
        <v>0</v>
      </c>
      <c r="Y21" s="28">
        <v>0</v>
      </c>
      <c r="Z21" s="28">
        <v>417440513.42000002</v>
      </c>
      <c r="AA21" s="29">
        <f t="shared" si="0"/>
        <v>417440513.42000002</v>
      </c>
      <c r="AB21" s="27">
        <f t="shared" si="1"/>
        <v>0</v>
      </c>
      <c r="AC21" s="7"/>
      <c r="AD21" s="7" t="s">
        <v>205</v>
      </c>
      <c r="AE21" s="28">
        <v>284783741.26999998</v>
      </c>
    </row>
    <row r="22" spans="1:31" ht="16.5" customHeight="1" x14ac:dyDescent="0.25">
      <c r="A22" s="16" t="s">
        <v>150</v>
      </c>
      <c r="B22" s="206">
        <f>S32</f>
        <v>374638.98</v>
      </c>
      <c r="C22" s="206"/>
      <c r="D22" s="10"/>
      <c r="E22" s="207"/>
      <c r="F22" s="207"/>
      <c r="G22" s="11"/>
      <c r="H22" s="16"/>
      <c r="J22" s="7" t="s">
        <v>206</v>
      </c>
      <c r="K22" s="28">
        <v>0</v>
      </c>
      <c r="L22" s="28">
        <v>23461.91</v>
      </c>
      <c r="M22" s="28">
        <v>0</v>
      </c>
      <c r="N22" s="28">
        <v>0</v>
      </c>
      <c r="O22" s="28">
        <v>409237230.99000001</v>
      </c>
      <c r="P22" s="28">
        <v>2904638312.8100004</v>
      </c>
      <c r="Q22" s="28">
        <v>163795.70000000001</v>
      </c>
      <c r="R22" s="28">
        <v>0</v>
      </c>
      <c r="S22" s="28">
        <v>0</v>
      </c>
      <c r="T22" s="28">
        <v>0</v>
      </c>
      <c r="U22" s="28">
        <v>0</v>
      </c>
      <c r="V22" s="28">
        <v>0</v>
      </c>
      <c r="W22" s="28">
        <v>0</v>
      </c>
      <c r="X22" s="28">
        <v>0</v>
      </c>
      <c r="Y22" s="28">
        <v>0</v>
      </c>
      <c r="Z22" s="28">
        <v>3314062801.4100003</v>
      </c>
      <c r="AA22" s="29">
        <f t="shared" si="0"/>
        <v>3314062801.4100003</v>
      </c>
      <c r="AB22" s="27">
        <f t="shared" si="1"/>
        <v>0</v>
      </c>
      <c r="AC22" s="7"/>
      <c r="AD22" s="7" t="s">
        <v>206</v>
      </c>
      <c r="AE22" s="28">
        <v>3314019731.3800001</v>
      </c>
    </row>
    <row r="23" spans="1:31" x14ac:dyDescent="0.25">
      <c r="A23" s="16" t="s">
        <v>151</v>
      </c>
      <c r="B23" s="206">
        <f>T32</f>
        <v>0</v>
      </c>
      <c r="C23" s="206"/>
      <c r="D23" s="206"/>
      <c r="E23" s="206"/>
      <c r="F23" s="206"/>
      <c r="J23" s="7" t="s">
        <v>207</v>
      </c>
      <c r="K23" s="28">
        <v>0</v>
      </c>
      <c r="L23" s="28">
        <v>0</v>
      </c>
      <c r="M23" s="28">
        <v>0</v>
      </c>
      <c r="N23" s="28">
        <v>0</v>
      </c>
      <c r="O23" s="28">
        <v>122335728.14999999</v>
      </c>
      <c r="P23" s="28">
        <v>245782374.48999998</v>
      </c>
      <c r="Q23" s="28">
        <v>7255.8600000000006</v>
      </c>
      <c r="R23" s="28">
        <v>0</v>
      </c>
      <c r="S23" s="28">
        <v>0</v>
      </c>
      <c r="T23" s="28">
        <v>0</v>
      </c>
      <c r="U23" s="28">
        <v>0</v>
      </c>
      <c r="V23" s="28">
        <v>0</v>
      </c>
      <c r="W23" s="28">
        <v>0</v>
      </c>
      <c r="X23" s="28">
        <v>0</v>
      </c>
      <c r="Y23" s="28">
        <v>0</v>
      </c>
      <c r="Z23" s="28">
        <v>368125358.5</v>
      </c>
      <c r="AA23" s="29">
        <f t="shared" si="0"/>
        <v>368125358.5</v>
      </c>
      <c r="AB23" s="27">
        <f t="shared" si="1"/>
        <v>0</v>
      </c>
      <c r="AC23" s="7"/>
      <c r="AD23" s="7" t="s">
        <v>207</v>
      </c>
      <c r="AE23" s="28">
        <v>362074643.87</v>
      </c>
    </row>
    <row r="24" spans="1:31" x14ac:dyDescent="0.25">
      <c r="A24" s="16" t="s">
        <v>154</v>
      </c>
      <c r="B24" s="206">
        <f>U32</f>
        <v>0</v>
      </c>
      <c r="C24" s="206"/>
      <c r="D24" s="10"/>
      <c r="E24" s="207"/>
      <c r="F24" s="207"/>
      <c r="J24" s="7" t="s">
        <v>208</v>
      </c>
      <c r="K24" s="28">
        <v>0</v>
      </c>
      <c r="L24" s="28">
        <v>0</v>
      </c>
      <c r="M24" s="28">
        <v>0</v>
      </c>
      <c r="N24" s="28">
        <v>5131.6000000000004</v>
      </c>
      <c r="O24" s="28">
        <v>87779637.649999976</v>
      </c>
      <c r="P24" s="28">
        <v>1463164562.79</v>
      </c>
      <c r="Q24" s="28">
        <v>46218.78</v>
      </c>
      <c r="R24" s="28">
        <v>0</v>
      </c>
      <c r="S24" s="28">
        <v>0</v>
      </c>
      <c r="T24" s="28">
        <v>0</v>
      </c>
      <c r="U24" s="28">
        <v>0</v>
      </c>
      <c r="V24" s="28">
        <v>0</v>
      </c>
      <c r="W24" s="28">
        <v>0</v>
      </c>
      <c r="X24" s="28">
        <v>0</v>
      </c>
      <c r="Y24" s="28">
        <v>0</v>
      </c>
      <c r="Z24" s="28">
        <v>1550995550.8199999</v>
      </c>
      <c r="AA24" s="29">
        <f t="shared" si="0"/>
        <v>1550995550.8199999</v>
      </c>
      <c r="AB24" s="27">
        <f t="shared" si="1"/>
        <v>0</v>
      </c>
      <c r="AC24" s="7"/>
      <c r="AD24" s="7" t="s">
        <v>208</v>
      </c>
      <c r="AE24" s="28">
        <v>1539242988.4099998</v>
      </c>
    </row>
    <row r="25" spans="1:31" x14ac:dyDescent="0.25">
      <c r="A25" s="16" t="s">
        <v>152</v>
      </c>
      <c r="B25" s="206">
        <f>V32</f>
        <v>118919939.11999999</v>
      </c>
      <c r="C25" s="206"/>
      <c r="D25" s="206"/>
      <c r="E25" s="206"/>
      <c r="F25" s="206"/>
      <c r="J25" s="7" t="s">
        <v>209</v>
      </c>
      <c r="K25" s="28">
        <v>0</v>
      </c>
      <c r="L25" s="28">
        <v>0</v>
      </c>
      <c r="M25" s="28">
        <v>0</v>
      </c>
      <c r="N25" s="28">
        <v>126114265.32000005</v>
      </c>
      <c r="O25" s="28">
        <v>0</v>
      </c>
      <c r="P25" s="28">
        <v>0</v>
      </c>
      <c r="Q25" s="28">
        <v>17650</v>
      </c>
      <c r="R25" s="28">
        <v>0</v>
      </c>
      <c r="S25" s="28">
        <v>0</v>
      </c>
      <c r="T25" s="28">
        <v>0</v>
      </c>
      <c r="U25" s="28">
        <v>0</v>
      </c>
      <c r="V25" s="28">
        <v>0</v>
      </c>
      <c r="W25" s="28">
        <v>0</v>
      </c>
      <c r="X25" s="28">
        <v>0</v>
      </c>
      <c r="Y25" s="28">
        <v>0</v>
      </c>
      <c r="Z25" s="28">
        <v>126131915.32000005</v>
      </c>
      <c r="AA25" s="29">
        <f t="shared" si="0"/>
        <v>126131915.32000005</v>
      </c>
      <c r="AB25" s="27">
        <f t="shared" si="1"/>
        <v>0</v>
      </c>
      <c r="AC25" s="7"/>
      <c r="AD25" s="7" t="s">
        <v>209</v>
      </c>
      <c r="AE25" s="28">
        <v>119769995.32000005</v>
      </c>
    </row>
    <row r="26" spans="1:31" x14ac:dyDescent="0.25">
      <c r="A26" s="16" t="s">
        <v>155</v>
      </c>
      <c r="B26" s="206">
        <f>W32</f>
        <v>17089707.534362476</v>
      </c>
      <c r="C26" s="206"/>
      <c r="D26" s="58"/>
      <c r="E26" s="208"/>
      <c r="F26" s="208"/>
      <c r="J26" s="7" t="s">
        <v>210</v>
      </c>
      <c r="K26" s="28">
        <v>0</v>
      </c>
      <c r="L26" s="28">
        <v>0</v>
      </c>
      <c r="M26" s="28">
        <v>0</v>
      </c>
      <c r="N26" s="28">
        <v>0</v>
      </c>
      <c r="O26" s="28">
        <v>68980945.589999974</v>
      </c>
      <c r="P26" s="28">
        <v>163255348.47</v>
      </c>
      <c r="Q26" s="28">
        <v>13398.02</v>
      </c>
      <c r="R26" s="28">
        <v>0</v>
      </c>
      <c r="S26" s="28">
        <v>0</v>
      </c>
      <c r="T26" s="28">
        <v>0</v>
      </c>
      <c r="U26" s="28">
        <v>0</v>
      </c>
      <c r="V26" s="28">
        <v>0</v>
      </c>
      <c r="W26" s="28">
        <v>0</v>
      </c>
      <c r="X26" s="28">
        <v>0</v>
      </c>
      <c r="Y26" s="28">
        <v>0</v>
      </c>
      <c r="Z26" s="28">
        <v>232249692.07999998</v>
      </c>
      <c r="AA26" s="29">
        <f t="shared" si="0"/>
        <v>232249692.07999998</v>
      </c>
      <c r="AB26" s="27">
        <f t="shared" si="1"/>
        <v>0</v>
      </c>
      <c r="AC26" s="7"/>
      <c r="AD26" s="7" t="s">
        <v>210</v>
      </c>
      <c r="AE26" s="28">
        <v>232249692.07999998</v>
      </c>
    </row>
    <row r="27" spans="1:31" x14ac:dyDescent="0.25">
      <c r="A27" s="16" t="s">
        <v>153</v>
      </c>
      <c r="B27" s="206">
        <f>X32</f>
        <v>7461533.9299427336</v>
      </c>
      <c r="C27" s="206"/>
      <c r="D27" s="206"/>
      <c r="E27" s="206"/>
      <c r="F27" s="206"/>
      <c r="J27" s="7" t="s">
        <v>211</v>
      </c>
      <c r="K27" s="28">
        <v>0</v>
      </c>
      <c r="L27" s="28">
        <v>0</v>
      </c>
      <c r="M27" s="28">
        <v>0</v>
      </c>
      <c r="N27" s="28">
        <v>0</v>
      </c>
      <c r="O27" s="28">
        <v>0</v>
      </c>
      <c r="P27" s="28">
        <v>0</v>
      </c>
      <c r="Q27" s="28">
        <v>3704.16</v>
      </c>
      <c r="R27" s="28">
        <v>0</v>
      </c>
      <c r="S27" s="28">
        <v>0</v>
      </c>
      <c r="T27" s="28">
        <v>0</v>
      </c>
      <c r="U27" s="28">
        <v>0</v>
      </c>
      <c r="V27" s="28">
        <v>0</v>
      </c>
      <c r="W27" s="28">
        <v>0</v>
      </c>
      <c r="X27" s="28">
        <v>0</v>
      </c>
      <c r="Y27" s="28">
        <v>0</v>
      </c>
      <c r="Z27" s="28">
        <v>3704.16</v>
      </c>
      <c r="AA27" s="29">
        <f t="shared" si="0"/>
        <v>3704.16</v>
      </c>
      <c r="AB27" s="27">
        <f t="shared" si="1"/>
        <v>0</v>
      </c>
      <c r="AC27" s="7"/>
      <c r="AD27" s="7" t="s">
        <v>211</v>
      </c>
      <c r="AE27" s="28">
        <v>3704.16</v>
      </c>
    </row>
    <row r="28" spans="1:31" x14ac:dyDescent="0.25">
      <c r="A28" s="16" t="s">
        <v>156</v>
      </c>
      <c r="B28" s="206">
        <f>Y32</f>
        <v>0</v>
      </c>
      <c r="C28" s="206"/>
      <c r="D28" s="206"/>
      <c r="E28" s="206"/>
      <c r="F28" s="206"/>
      <c r="J28" s="7" t="s">
        <v>212</v>
      </c>
      <c r="K28" s="28">
        <v>0</v>
      </c>
      <c r="L28" s="28">
        <v>0</v>
      </c>
      <c r="M28" s="28">
        <v>0</v>
      </c>
      <c r="N28" s="28">
        <v>0</v>
      </c>
      <c r="O28" s="28">
        <v>0</v>
      </c>
      <c r="P28" s="28">
        <v>0</v>
      </c>
      <c r="Q28" s="28">
        <v>7986.09</v>
      </c>
      <c r="R28" s="28">
        <v>0</v>
      </c>
      <c r="S28" s="28">
        <v>0</v>
      </c>
      <c r="T28" s="28">
        <v>0</v>
      </c>
      <c r="U28" s="28">
        <v>0</v>
      </c>
      <c r="V28" s="28">
        <v>0</v>
      </c>
      <c r="W28" s="28">
        <v>0</v>
      </c>
      <c r="X28" s="28">
        <v>0</v>
      </c>
      <c r="Y28" s="28">
        <v>0</v>
      </c>
      <c r="Z28" s="28">
        <v>7986.09</v>
      </c>
      <c r="AA28" s="29">
        <f t="shared" si="0"/>
        <v>7986.09</v>
      </c>
      <c r="AB28" s="27">
        <f t="shared" si="1"/>
        <v>0</v>
      </c>
      <c r="AC28" s="7"/>
      <c r="AD28" s="7" t="s">
        <v>212</v>
      </c>
      <c r="AE28" s="28">
        <v>7986.09</v>
      </c>
    </row>
    <row r="29" spans="1:31" x14ac:dyDescent="0.25">
      <c r="A29" s="218" t="s">
        <v>53</v>
      </c>
      <c r="B29" s="219" t="s">
        <v>4</v>
      </c>
      <c r="C29" s="219"/>
      <c r="D29" s="219"/>
      <c r="E29" s="219" t="s">
        <v>54</v>
      </c>
      <c r="F29" s="219"/>
      <c r="J29" s="7" t="s">
        <v>213</v>
      </c>
      <c r="K29" s="28">
        <v>44393.46</v>
      </c>
      <c r="L29" s="28">
        <v>12276284.35</v>
      </c>
      <c r="M29" s="28">
        <v>0</v>
      </c>
      <c r="N29" s="28">
        <v>11381.36</v>
      </c>
      <c r="O29" s="28">
        <v>2150338.7800000012</v>
      </c>
      <c r="P29" s="28">
        <v>140168625.84999999</v>
      </c>
      <c r="Q29" s="28">
        <v>19833.02</v>
      </c>
      <c r="R29" s="28">
        <v>0</v>
      </c>
      <c r="S29" s="28">
        <v>0</v>
      </c>
      <c r="T29" s="28">
        <v>0</v>
      </c>
      <c r="U29" s="28">
        <v>0</v>
      </c>
      <c r="V29" s="28">
        <v>0</v>
      </c>
      <c r="W29" s="28">
        <v>0</v>
      </c>
      <c r="X29" s="28">
        <v>0</v>
      </c>
      <c r="Y29" s="28">
        <v>0</v>
      </c>
      <c r="Z29" s="28">
        <v>154670856.81999999</v>
      </c>
      <c r="AA29" s="29">
        <f t="shared" si="0"/>
        <v>154670856.81999999</v>
      </c>
      <c r="AB29" s="27">
        <f t="shared" si="1"/>
        <v>0</v>
      </c>
      <c r="AC29" s="7"/>
      <c r="AD29" s="7" t="s">
        <v>213</v>
      </c>
      <c r="AE29" s="28">
        <v>153906202.60999998</v>
      </c>
    </row>
    <row r="30" spans="1:31" ht="15" customHeight="1" x14ac:dyDescent="0.25">
      <c r="A30" s="218"/>
      <c r="B30" s="206">
        <f>SUM(B12:C28)</f>
        <v>115358763368.80299</v>
      </c>
      <c r="C30" s="206"/>
      <c r="D30" s="59"/>
      <c r="E30" s="206"/>
      <c r="F30" s="206"/>
      <c r="J30" s="7" t="s">
        <v>214</v>
      </c>
      <c r="K30" s="28">
        <v>54730769.060000002</v>
      </c>
      <c r="L30" s="28">
        <v>0</v>
      </c>
      <c r="M30" s="28">
        <v>0</v>
      </c>
      <c r="N30" s="28">
        <v>15086.92</v>
      </c>
      <c r="O30" s="28">
        <v>8687770.6700000539</v>
      </c>
      <c r="P30" s="28">
        <v>851851521.5</v>
      </c>
      <c r="Q30" s="28">
        <v>25341.54</v>
      </c>
      <c r="R30" s="28">
        <v>0</v>
      </c>
      <c r="S30" s="28">
        <v>0</v>
      </c>
      <c r="T30" s="28">
        <v>0</v>
      </c>
      <c r="U30" s="28">
        <v>0</v>
      </c>
      <c r="V30" s="28">
        <v>0</v>
      </c>
      <c r="W30" s="28">
        <v>0</v>
      </c>
      <c r="X30" s="28">
        <v>0</v>
      </c>
      <c r="Y30" s="28">
        <v>0</v>
      </c>
      <c r="Z30" s="28">
        <v>915310489.69000006</v>
      </c>
      <c r="AA30" s="29">
        <f t="shared" si="0"/>
        <v>915310489.69000006</v>
      </c>
      <c r="AB30" s="27">
        <f t="shared" si="1"/>
        <v>0</v>
      </c>
      <c r="AC30" s="7"/>
      <c r="AD30" s="7" t="s">
        <v>214</v>
      </c>
      <c r="AE30" s="28">
        <v>912493829.04999995</v>
      </c>
    </row>
    <row r="31" spans="1:31" ht="14.45" customHeight="1" thickBot="1" x14ac:dyDescent="0.3">
      <c r="A31" s="217" t="s">
        <v>4</v>
      </c>
      <c r="B31" s="217"/>
      <c r="C31" s="217"/>
      <c r="D31" s="217"/>
      <c r="E31" s="217"/>
      <c r="F31" s="217"/>
      <c r="G31" s="217"/>
      <c r="H31" s="217"/>
      <c r="J31" s="7" t="s">
        <v>215</v>
      </c>
      <c r="K31" s="28">
        <v>64778024.299999997</v>
      </c>
      <c r="L31" s="28">
        <v>0</v>
      </c>
      <c r="M31" s="28">
        <v>0</v>
      </c>
      <c r="N31" s="28">
        <v>0</v>
      </c>
      <c r="O31" s="28">
        <v>82137767.320000023</v>
      </c>
      <c r="P31" s="28">
        <v>467972198.54969996</v>
      </c>
      <c r="Q31" s="28">
        <v>0</v>
      </c>
      <c r="R31" s="28">
        <v>0</v>
      </c>
      <c r="S31" s="28">
        <v>0</v>
      </c>
      <c r="T31" s="28">
        <v>0</v>
      </c>
      <c r="U31" s="28">
        <v>0</v>
      </c>
      <c r="V31" s="28">
        <v>0</v>
      </c>
      <c r="W31" s="28">
        <v>0</v>
      </c>
      <c r="X31" s="28">
        <v>0</v>
      </c>
      <c r="Y31" s="28">
        <v>0</v>
      </c>
      <c r="Z31" s="28">
        <v>614887990.16969991</v>
      </c>
      <c r="AA31" s="29">
        <f t="shared" si="0"/>
        <v>614887990.16969991</v>
      </c>
      <c r="AB31" s="27">
        <f t="shared" si="1"/>
        <v>0</v>
      </c>
      <c r="AC31" s="7"/>
      <c r="AD31" s="7" t="s">
        <v>215</v>
      </c>
      <c r="AE31" s="28">
        <v>614887990.16969991</v>
      </c>
    </row>
    <row r="32" spans="1:31" ht="16.5" thickTop="1" thickBot="1" x14ac:dyDescent="0.3">
      <c r="A32" s="216" t="s">
        <v>55</v>
      </c>
      <c r="B32" s="216"/>
      <c r="C32" s="216"/>
      <c r="D32" s="216"/>
      <c r="E32" s="216"/>
      <c r="F32" s="216"/>
      <c r="G32" s="216"/>
      <c r="H32" s="216"/>
      <c r="J32" s="7"/>
      <c r="K32" s="31">
        <f t="shared" ref="K32:AA32" si="2">SUM(K6:K31)</f>
        <v>16210783118.429996</v>
      </c>
      <c r="L32" s="31">
        <f t="shared" si="2"/>
        <v>1825784098.7800007</v>
      </c>
      <c r="M32" s="31">
        <f t="shared" si="2"/>
        <v>0</v>
      </c>
      <c r="N32" s="31">
        <f t="shared" si="2"/>
        <v>1973511530.4999998</v>
      </c>
      <c r="O32" s="31">
        <f t="shared" si="2"/>
        <v>10488664441.099998</v>
      </c>
      <c r="P32" s="31">
        <f t="shared" si="2"/>
        <v>84499031500.7397</v>
      </c>
      <c r="Q32" s="31">
        <f t="shared" si="2"/>
        <v>213955014.68899998</v>
      </c>
      <c r="R32" s="31">
        <f t="shared" si="2"/>
        <v>3187845</v>
      </c>
      <c r="S32" s="31">
        <f t="shared" si="2"/>
        <v>374638.98</v>
      </c>
      <c r="T32" s="31">
        <f t="shared" si="2"/>
        <v>0</v>
      </c>
      <c r="U32" s="31">
        <f t="shared" si="2"/>
        <v>0</v>
      </c>
      <c r="V32" s="31">
        <f t="shared" si="2"/>
        <v>118919939.11999999</v>
      </c>
      <c r="W32" s="31">
        <f t="shared" si="2"/>
        <v>17089707.534362476</v>
      </c>
      <c r="X32" s="31">
        <f t="shared" si="2"/>
        <v>7461533.9299427336</v>
      </c>
      <c r="Y32" s="31">
        <f t="shared" si="2"/>
        <v>0</v>
      </c>
      <c r="Z32" s="31">
        <f t="shared" si="2"/>
        <v>115358763368.80302</v>
      </c>
      <c r="AA32" s="32">
        <f t="shared" si="2"/>
        <v>115358763368.80302</v>
      </c>
      <c r="AB32" s="33">
        <f>SUM(AB7:AB31)</f>
        <v>0</v>
      </c>
      <c r="AC32" s="7"/>
      <c r="AE32" s="31">
        <f>SUM(AE6:AE31)</f>
        <v>113062595179.4641</v>
      </c>
    </row>
    <row r="33" spans="1:29" ht="15.75" thickTop="1" x14ac:dyDescent="0.25">
      <c r="A33" s="217" t="s">
        <v>4</v>
      </c>
      <c r="B33" s="217"/>
      <c r="C33" s="217"/>
      <c r="D33" s="217"/>
      <c r="E33" s="217"/>
      <c r="F33" s="217"/>
      <c r="G33" s="217"/>
      <c r="H33" s="217"/>
      <c r="J33" s="7"/>
      <c r="K33" s="7"/>
      <c r="L33" s="7"/>
      <c r="M33" s="7"/>
      <c r="N33" s="7"/>
      <c r="O33" s="7"/>
      <c r="P33" s="7"/>
      <c r="Q33" s="7"/>
      <c r="R33" s="7"/>
      <c r="S33" s="7"/>
      <c r="T33" s="7"/>
      <c r="U33" s="7"/>
      <c r="V33" s="7"/>
      <c r="W33" s="7"/>
      <c r="X33" s="7"/>
      <c r="Y33" s="7"/>
      <c r="Z33" s="7"/>
      <c r="AA33" s="7"/>
      <c r="AB33" s="7"/>
      <c r="AC33" s="7"/>
    </row>
    <row r="34" spans="1:29" ht="14.25" customHeight="1" x14ac:dyDescent="0.25">
      <c r="A34" s="25" t="s">
        <v>159</v>
      </c>
      <c r="B34" s="206"/>
      <c r="C34" s="206"/>
      <c r="D34" s="206">
        <f>'0001'!J35</f>
        <v>174784364.96000001</v>
      </c>
      <c r="E34" s="206"/>
      <c r="F34" s="206"/>
      <c r="G34" s="58"/>
      <c r="J34" s="34"/>
      <c r="K34" s="7"/>
      <c r="L34" s="7"/>
      <c r="M34" s="7"/>
      <c r="N34" s="7"/>
      <c r="O34" s="7"/>
      <c r="P34" s="7"/>
      <c r="Q34" s="7"/>
      <c r="R34" s="7"/>
      <c r="S34" s="7"/>
      <c r="T34" s="7"/>
      <c r="U34" s="7"/>
      <c r="V34" s="7"/>
      <c r="W34" s="7"/>
      <c r="X34" s="7"/>
      <c r="Y34" s="7"/>
      <c r="Z34" s="7"/>
      <c r="AA34" s="7"/>
      <c r="AB34" s="7"/>
      <c r="AC34" s="7"/>
    </row>
    <row r="35" spans="1:29" x14ac:dyDescent="0.25">
      <c r="A35" s="25" t="s">
        <v>158</v>
      </c>
      <c r="B35" s="206"/>
      <c r="C35" s="206"/>
      <c r="D35" s="206">
        <f>'0041'!J35</f>
        <v>1210414.194874468</v>
      </c>
      <c r="E35" s="206"/>
      <c r="F35" s="206"/>
      <c r="G35" s="58"/>
      <c r="H35" s="58"/>
      <c r="J35" s="34"/>
      <c r="K35" s="30"/>
      <c r="L35" s="7"/>
      <c r="M35" s="7"/>
      <c r="N35"/>
      <c r="O35" s="7"/>
      <c r="P35" s="7"/>
      <c r="Q35" s="7"/>
      <c r="R35" s="7"/>
      <c r="S35" s="7"/>
      <c r="T35" s="7"/>
      <c r="U35" s="7"/>
      <c r="V35" s="7"/>
      <c r="W35" s="7"/>
      <c r="X35" s="7"/>
      <c r="Y35" s="7"/>
      <c r="Z35" s="7"/>
      <c r="AA35" s="7"/>
      <c r="AB35" s="7"/>
      <c r="AC35" s="7"/>
    </row>
    <row r="36" spans="1:29" x14ac:dyDescent="0.25">
      <c r="A36" s="17" t="s">
        <v>160</v>
      </c>
      <c r="B36" s="206"/>
      <c r="C36" s="206"/>
      <c r="D36" s="206">
        <f>'0042'!J35</f>
        <v>104579935103.93027</v>
      </c>
      <c r="E36" s="206"/>
      <c r="F36" s="206"/>
      <c r="G36" s="58"/>
      <c r="J36" s="34"/>
      <c r="K36" s="30"/>
      <c r="L36" s="7"/>
      <c r="M36" s="7"/>
      <c r="N36"/>
      <c r="O36" s="7"/>
      <c r="P36" s="7"/>
      <c r="Q36" s="7"/>
      <c r="R36" s="7"/>
      <c r="S36" s="7"/>
      <c r="T36" s="7"/>
      <c r="U36" s="7"/>
      <c r="V36" s="7"/>
      <c r="W36" s="7"/>
      <c r="X36" s="7"/>
      <c r="Y36" s="7"/>
      <c r="Z36" s="7"/>
      <c r="AA36" s="7"/>
      <c r="AB36" s="7"/>
      <c r="AC36" s="7"/>
    </row>
    <row r="37" spans="1:29" ht="25.5" x14ac:dyDescent="0.25">
      <c r="A37" s="17" t="s">
        <v>161</v>
      </c>
      <c r="B37" s="206"/>
      <c r="C37" s="206"/>
      <c r="D37" s="206">
        <f>'0046'!J35</f>
        <v>68285778.228153005</v>
      </c>
      <c r="E37" s="206"/>
      <c r="F37" s="206"/>
      <c r="G37" s="58"/>
      <c r="J37" s="34"/>
      <c r="K37" s="7"/>
      <c r="L37" s="7"/>
      <c r="M37" s="7"/>
      <c r="N37"/>
      <c r="O37" s="7"/>
      <c r="P37" s="7"/>
      <c r="Q37" s="7"/>
      <c r="R37" s="7"/>
      <c r="S37" s="7"/>
      <c r="T37" s="7"/>
      <c r="U37" s="7"/>
      <c r="V37" s="7"/>
      <c r="W37" s="7"/>
      <c r="X37" s="7"/>
      <c r="Y37" s="7"/>
      <c r="Z37" s="7"/>
      <c r="AA37" s="7"/>
      <c r="AB37" s="7"/>
      <c r="AC37" s="7"/>
    </row>
    <row r="38" spans="1:29" ht="14.45" customHeight="1" x14ac:dyDescent="0.25">
      <c r="A38" s="17" t="s">
        <v>162</v>
      </c>
      <c r="B38" s="206"/>
      <c r="C38" s="206"/>
      <c r="D38" s="58"/>
      <c r="E38" s="206">
        <f>'0183'!J35</f>
        <v>62669256.460000001</v>
      </c>
      <c r="F38" s="206"/>
      <c r="G38" s="58"/>
      <c r="J38" s="34"/>
      <c r="K38" s="12"/>
      <c r="L38" s="12"/>
      <c r="M38" s="36"/>
      <c r="N38"/>
      <c r="O38" s="7"/>
      <c r="P38" s="7"/>
      <c r="Q38" s="7"/>
      <c r="R38" s="7"/>
      <c r="S38" s="7"/>
      <c r="T38" s="7"/>
      <c r="U38" s="7"/>
      <c r="V38" s="7"/>
      <c r="W38" s="7"/>
      <c r="X38" s="7"/>
      <c r="Y38" s="7"/>
      <c r="Z38" s="7"/>
      <c r="AA38" s="7"/>
      <c r="AB38" s="7"/>
      <c r="AC38" s="7"/>
    </row>
    <row r="39" spans="1:29" x14ac:dyDescent="0.25">
      <c r="A39" s="17" t="s">
        <v>163</v>
      </c>
      <c r="B39" s="206"/>
      <c r="C39" s="206"/>
      <c r="D39" s="206">
        <f>'0523'!J35</f>
        <v>293275906.63</v>
      </c>
      <c r="E39" s="206"/>
      <c r="F39" s="206"/>
      <c r="J39" s="34"/>
      <c r="K39" s="7"/>
      <c r="L39" s="7"/>
      <c r="M39" s="7"/>
      <c r="N39"/>
      <c r="O39" s="7"/>
      <c r="P39" s="12"/>
      <c r="Q39" s="12"/>
      <c r="R39" s="12"/>
      <c r="S39" s="12"/>
      <c r="T39" s="12"/>
      <c r="U39" s="12"/>
      <c r="V39" s="12"/>
      <c r="W39" s="12"/>
      <c r="X39" s="12"/>
      <c r="Y39" s="7"/>
      <c r="Z39" s="7"/>
      <c r="AA39" s="7"/>
      <c r="AB39" s="7"/>
      <c r="AC39" s="7"/>
    </row>
    <row r="40" spans="1:29" x14ac:dyDescent="0.25">
      <c r="A40" s="17" t="s">
        <v>164</v>
      </c>
      <c r="B40" s="206"/>
      <c r="C40" s="206"/>
      <c r="D40" s="206">
        <f>'0541'!J35</f>
        <v>56772760.979999997</v>
      </c>
      <c r="E40" s="206"/>
      <c r="F40" s="206"/>
      <c r="J40" s="34"/>
      <c r="K40" s="7"/>
      <c r="L40" s="7"/>
      <c r="M40" s="7"/>
      <c r="N40" s="7"/>
      <c r="O40" s="12"/>
      <c r="P40" s="12"/>
      <c r="Q40" s="12"/>
      <c r="R40" s="12"/>
      <c r="S40" s="12"/>
      <c r="T40" s="12"/>
      <c r="U40" s="12"/>
      <c r="V40" s="12"/>
      <c r="W40" s="12"/>
      <c r="X40" s="12"/>
      <c r="Y40" s="7"/>
      <c r="Z40" s="7"/>
      <c r="AA40" s="7"/>
      <c r="AB40" s="7"/>
      <c r="AC40" s="7"/>
    </row>
    <row r="41" spans="1:29" x14ac:dyDescent="0.25">
      <c r="A41" s="17" t="s">
        <v>165</v>
      </c>
      <c r="B41" s="206"/>
      <c r="C41" s="206"/>
      <c r="D41" s="206">
        <f>'0653'!J35</f>
        <v>76891253.810000002</v>
      </c>
      <c r="E41" s="206"/>
      <c r="F41" s="206"/>
      <c r="J41" s="34"/>
      <c r="K41" s="7"/>
      <c r="L41" s="7"/>
      <c r="M41" s="7"/>
      <c r="N41" s="7"/>
      <c r="O41" s="7"/>
      <c r="P41" s="7"/>
      <c r="Q41" s="7"/>
      <c r="R41" s="7"/>
      <c r="S41" s="7"/>
      <c r="T41" s="7"/>
      <c r="U41" s="7"/>
      <c r="V41" s="7"/>
      <c r="W41" s="7"/>
      <c r="X41" s="7"/>
      <c r="Y41" s="7"/>
      <c r="Z41" s="7"/>
      <c r="AA41" s="7"/>
      <c r="AB41" s="7"/>
      <c r="AC41" s="7"/>
    </row>
    <row r="42" spans="1:29" ht="16.5" customHeight="1" x14ac:dyDescent="0.25">
      <c r="A42" s="17" t="s">
        <v>166</v>
      </c>
      <c r="B42" s="206"/>
      <c r="C42" s="206"/>
      <c r="D42" s="206">
        <f>'0673'!J35</f>
        <v>6674000</v>
      </c>
      <c r="E42" s="206"/>
      <c r="F42" s="206"/>
      <c r="J42" s="34"/>
      <c r="K42" s="7"/>
      <c r="L42" s="7"/>
      <c r="M42" s="7"/>
      <c r="N42" s="7" t="s">
        <v>43</v>
      </c>
      <c r="O42" s="7"/>
      <c r="P42" s="7"/>
      <c r="Q42" s="7"/>
      <c r="R42" s="7"/>
      <c r="S42" s="7"/>
      <c r="T42" s="7"/>
      <c r="U42" s="7"/>
      <c r="V42" s="7"/>
      <c r="W42" s="7"/>
      <c r="X42" s="7"/>
      <c r="Y42" s="7"/>
      <c r="Z42" s="7"/>
      <c r="AA42" s="7"/>
      <c r="AB42" s="7"/>
      <c r="AC42" s="7"/>
    </row>
    <row r="43" spans="1:29" x14ac:dyDescent="0.25">
      <c r="A43" s="17" t="s">
        <v>167</v>
      </c>
      <c r="B43" s="206"/>
      <c r="C43" s="206"/>
      <c r="D43" s="206">
        <f>'0703'!J35</f>
        <v>70479745.319999993</v>
      </c>
      <c r="E43" s="206"/>
      <c r="F43" s="206"/>
      <c r="J43" s="12"/>
      <c r="K43" s="7"/>
      <c r="L43" s="7"/>
      <c r="M43" s="7"/>
      <c r="N43" s="7"/>
      <c r="O43" s="7"/>
      <c r="P43" s="7"/>
      <c r="Q43" s="7"/>
      <c r="R43" s="7"/>
      <c r="S43" s="7"/>
      <c r="T43" s="7"/>
      <c r="U43" s="7"/>
      <c r="V43" s="7"/>
      <c r="W43" s="7"/>
      <c r="X43" s="7"/>
      <c r="Y43" s="7"/>
      <c r="Z43" s="7"/>
      <c r="AA43" s="7"/>
      <c r="AB43" s="7"/>
      <c r="AC43" s="7"/>
    </row>
    <row r="44" spans="1:29" x14ac:dyDescent="0.25">
      <c r="A44" s="17" t="s">
        <v>168</v>
      </c>
      <c r="B44" s="206"/>
      <c r="C44" s="206"/>
      <c r="D44" s="206">
        <f>'0756'!J35</f>
        <v>101756037.84</v>
      </c>
      <c r="E44" s="206"/>
      <c r="F44" s="206"/>
      <c r="J44" s="7"/>
      <c r="K44" s="7"/>
      <c r="L44" s="30"/>
      <c r="M44" s="30"/>
      <c r="N44" s="7"/>
      <c r="O44" s="7"/>
      <c r="P44" s="7"/>
      <c r="Q44" s="7"/>
      <c r="R44" s="7"/>
      <c r="S44" s="7"/>
      <c r="T44" s="7"/>
      <c r="U44" s="7"/>
      <c r="V44" s="7"/>
      <c r="W44" s="7"/>
      <c r="X44" s="7"/>
      <c r="Y44" s="7"/>
      <c r="Z44" s="7"/>
      <c r="AA44" s="7"/>
      <c r="AB44" s="7"/>
      <c r="AC44" s="7"/>
    </row>
    <row r="45" spans="1:29" x14ac:dyDescent="0.25">
      <c r="A45" s="17" t="s">
        <v>169</v>
      </c>
      <c r="B45" s="206"/>
      <c r="C45" s="206"/>
      <c r="D45" s="206">
        <f>'0942'!J35</f>
        <v>56415040.030000001</v>
      </c>
      <c r="E45" s="206"/>
      <c r="F45" s="206"/>
      <c r="J45" s="7"/>
      <c r="K45" s="12"/>
      <c r="L45" s="30"/>
      <c r="M45" s="30"/>
      <c r="N45" s="7"/>
      <c r="O45" s="7"/>
      <c r="P45" s="7"/>
      <c r="Q45" s="7"/>
      <c r="R45" s="7"/>
      <c r="S45" s="7"/>
      <c r="T45" s="7"/>
      <c r="U45" s="7"/>
      <c r="V45" s="7"/>
      <c r="W45" s="7"/>
      <c r="X45" s="7"/>
      <c r="Y45" s="7"/>
      <c r="Z45" s="7"/>
      <c r="AA45" s="7"/>
      <c r="AB45" s="7"/>
      <c r="AC45" s="7"/>
    </row>
    <row r="46" spans="1:29" x14ac:dyDescent="0.25">
      <c r="A46" s="17" t="s">
        <v>243</v>
      </c>
      <c r="B46" s="10"/>
      <c r="C46" s="10"/>
      <c r="D46" s="10"/>
      <c r="E46" s="10"/>
      <c r="F46" s="10">
        <f>'2504'!J35</f>
        <v>3187845</v>
      </c>
      <c r="J46" s="7"/>
      <c r="K46" s="12"/>
      <c r="L46" s="7"/>
      <c r="M46" s="7"/>
      <c r="N46" s="7"/>
      <c r="O46" s="7"/>
      <c r="P46" s="7"/>
      <c r="Q46" s="7"/>
      <c r="R46" s="7"/>
      <c r="S46" s="7"/>
      <c r="T46" s="35"/>
      <c r="U46" s="35"/>
      <c r="V46" s="35"/>
      <c r="W46" s="35"/>
      <c r="X46" s="35"/>
      <c r="Y46" s="7"/>
      <c r="Z46" s="7"/>
      <c r="AA46" s="7"/>
      <c r="AB46" s="7"/>
      <c r="AC46" s="7"/>
    </row>
    <row r="47" spans="1:29" x14ac:dyDescent="0.25">
      <c r="A47" s="17" t="s">
        <v>170</v>
      </c>
      <c r="B47" s="206"/>
      <c r="C47" s="206"/>
      <c r="D47" s="206">
        <f>'3007'!J35</f>
        <v>1188613509.1900001</v>
      </c>
      <c r="E47" s="206"/>
      <c r="F47" s="206"/>
      <c r="J47" s="12"/>
      <c r="K47" s="12"/>
      <c r="L47" s="7"/>
      <c r="M47" s="7"/>
      <c r="N47" s="7"/>
      <c r="O47" s="7"/>
      <c r="P47" s="7"/>
      <c r="Q47" s="7"/>
      <c r="R47" s="7"/>
      <c r="S47" s="7"/>
      <c r="T47" s="7"/>
      <c r="U47" s="7"/>
      <c r="V47" s="7"/>
      <c r="W47" s="7"/>
      <c r="X47" s="7"/>
      <c r="Y47" s="7"/>
      <c r="Z47" s="7"/>
      <c r="AA47" s="7"/>
    </row>
    <row r="48" spans="1:29" x14ac:dyDescent="0.25">
      <c r="A48" s="17" t="s">
        <v>171</v>
      </c>
      <c r="B48" s="206"/>
      <c r="C48" s="206"/>
      <c r="D48" s="206">
        <f>'3290'!J35</f>
        <v>923925493.75</v>
      </c>
      <c r="E48" s="206"/>
      <c r="F48" s="206"/>
      <c r="J48" s="7"/>
      <c r="K48" s="12"/>
      <c r="L48" s="30"/>
      <c r="M48" s="30"/>
      <c r="N48" s="7"/>
      <c r="O48" s="7"/>
      <c r="P48" s="7"/>
      <c r="Q48" s="7"/>
      <c r="R48" s="7"/>
      <c r="S48" s="7"/>
      <c r="T48" s="7"/>
      <c r="U48" s="7"/>
      <c r="V48" s="7"/>
      <c r="W48" s="7"/>
      <c r="X48" s="7"/>
      <c r="Y48" s="7"/>
      <c r="Z48" s="7"/>
      <c r="AA48" s="7"/>
    </row>
    <row r="49" spans="1:29" x14ac:dyDescent="0.25">
      <c r="A49" s="17" t="s">
        <v>172</v>
      </c>
      <c r="B49" s="206"/>
      <c r="C49" s="206"/>
      <c r="D49" s="206">
        <f>'3291'!J35</f>
        <v>417440513.42000002</v>
      </c>
      <c r="E49" s="206"/>
      <c r="F49" s="206"/>
      <c r="J49" s="7"/>
      <c r="K49" s="12"/>
      <c r="L49" s="30"/>
      <c r="M49" s="30"/>
      <c r="N49" s="7"/>
      <c r="O49" s="7"/>
      <c r="P49" s="7"/>
      <c r="Q49" s="7"/>
      <c r="R49" s="7"/>
      <c r="S49" s="7"/>
      <c r="T49" s="7"/>
      <c r="U49" s="7"/>
      <c r="V49" s="7"/>
      <c r="W49" s="7"/>
      <c r="X49" s="7"/>
      <c r="Y49" s="7"/>
      <c r="Z49" s="7"/>
      <c r="AA49" s="7"/>
    </row>
    <row r="50" spans="1:29" ht="38.25" x14ac:dyDescent="0.25">
      <c r="A50" s="17" t="s">
        <v>173</v>
      </c>
      <c r="B50" s="206"/>
      <c r="C50" s="206"/>
      <c r="D50" s="206">
        <f>'6055'!J35</f>
        <v>3314062801.4100003</v>
      </c>
      <c r="E50" s="206"/>
      <c r="F50" s="206"/>
      <c r="J50" s="7"/>
      <c r="K50" s="12"/>
      <c r="L50" s="12"/>
      <c r="M50" s="12"/>
      <c r="N50" s="7"/>
      <c r="O50" s="7"/>
      <c r="P50" s="7"/>
      <c r="Q50" s="7"/>
      <c r="R50" s="7"/>
      <c r="S50" s="7"/>
      <c r="T50" s="7"/>
      <c r="U50" s="7"/>
      <c r="V50" s="7"/>
      <c r="W50" s="7"/>
      <c r="X50" s="7"/>
      <c r="Y50" s="7"/>
      <c r="Z50" s="7"/>
      <c r="AA50" s="7"/>
    </row>
    <row r="51" spans="1:29" x14ac:dyDescent="0.25">
      <c r="A51" s="17" t="s">
        <v>174</v>
      </c>
      <c r="B51" s="206"/>
      <c r="C51" s="206"/>
      <c r="D51" s="206">
        <f>'6056'!J35</f>
        <v>368125358.5</v>
      </c>
      <c r="E51" s="206"/>
      <c r="F51" s="206"/>
      <c r="J51" s="7"/>
      <c r="K51" s="12"/>
      <c r="L51" s="12"/>
      <c r="M51" s="12"/>
      <c r="N51" s="7"/>
      <c r="O51" s="7"/>
      <c r="P51" s="7"/>
      <c r="Q51" s="7"/>
      <c r="R51" s="7"/>
      <c r="S51" s="7"/>
      <c r="T51" s="7"/>
      <c r="U51" s="7"/>
      <c r="V51" s="7"/>
      <c r="W51" s="7"/>
      <c r="X51" s="7"/>
      <c r="Y51" s="7"/>
      <c r="Z51" s="7"/>
      <c r="AA51" s="7"/>
    </row>
    <row r="52" spans="1:29" ht="25.5" x14ac:dyDescent="0.25">
      <c r="A52" s="17" t="s">
        <v>175</v>
      </c>
      <c r="B52" s="206"/>
      <c r="C52" s="206"/>
      <c r="D52" s="206">
        <f>'6058'!J35</f>
        <v>1550995550.8199999</v>
      </c>
      <c r="E52" s="206"/>
      <c r="F52" s="206"/>
      <c r="J52" s="7"/>
      <c r="K52" s="12"/>
      <c r="L52" s="12"/>
      <c r="M52" s="12"/>
      <c r="N52" s="7"/>
      <c r="O52" s="7"/>
      <c r="P52" s="7"/>
      <c r="Q52" s="7"/>
      <c r="R52" s="7"/>
      <c r="S52" s="7"/>
      <c r="T52" s="7"/>
      <c r="U52" s="7"/>
      <c r="V52" s="7"/>
      <c r="W52" s="7"/>
      <c r="X52" s="7"/>
      <c r="Y52" s="7"/>
      <c r="Z52" s="7"/>
      <c r="AA52" s="7"/>
    </row>
    <row r="53" spans="1:29" ht="38.25" x14ac:dyDescent="0.25">
      <c r="A53" s="17" t="s">
        <v>176</v>
      </c>
      <c r="B53" s="206"/>
      <c r="C53" s="206"/>
      <c r="D53" s="206">
        <f>'6059'!J35</f>
        <v>126131915.32000005</v>
      </c>
      <c r="E53" s="206"/>
      <c r="F53" s="206"/>
      <c r="J53" s="7"/>
      <c r="K53" s="12"/>
      <c r="L53" s="12"/>
      <c r="M53" s="12"/>
      <c r="N53" s="7"/>
      <c r="O53" s="7"/>
      <c r="P53" s="7"/>
      <c r="Q53" s="7"/>
      <c r="R53" s="7"/>
      <c r="S53" s="7"/>
      <c r="T53" s="7"/>
      <c r="U53" s="7"/>
      <c r="V53" s="7"/>
      <c r="W53" s="7"/>
      <c r="X53" s="7"/>
      <c r="Y53" s="7"/>
      <c r="Z53" s="7"/>
      <c r="AA53" s="7"/>
    </row>
    <row r="54" spans="1:29" ht="38.25" x14ac:dyDescent="0.25">
      <c r="A54" s="17" t="s">
        <v>177</v>
      </c>
      <c r="B54" s="206"/>
      <c r="C54" s="206"/>
      <c r="D54" s="206">
        <f>'6060'!J35</f>
        <v>232249692.07999998</v>
      </c>
      <c r="E54" s="206"/>
      <c r="F54" s="206"/>
      <c r="J54" s="7"/>
      <c r="K54" s="12"/>
      <c r="L54" s="12"/>
      <c r="M54" s="12"/>
      <c r="N54" s="7"/>
      <c r="O54" s="7"/>
      <c r="P54" s="7"/>
      <c r="Q54" s="7"/>
      <c r="R54" s="7"/>
      <c r="S54" s="7"/>
      <c r="T54" s="7"/>
      <c r="U54" s="7"/>
      <c r="V54" s="7"/>
      <c r="W54" s="7"/>
      <c r="X54" s="7"/>
      <c r="Y54" s="7"/>
      <c r="Z54" s="7"/>
      <c r="AA54" s="7"/>
    </row>
    <row r="55" spans="1:29" ht="38.25" x14ac:dyDescent="0.25">
      <c r="A55" s="17" t="s">
        <v>178</v>
      </c>
      <c r="B55" s="206"/>
      <c r="C55" s="206"/>
      <c r="D55" s="206">
        <f>'6062'!J35</f>
        <v>3704.16</v>
      </c>
      <c r="E55" s="206"/>
      <c r="F55" s="206"/>
      <c r="J55" s="7"/>
      <c r="K55" s="12"/>
      <c r="L55" s="12"/>
      <c r="M55" s="12"/>
      <c r="N55" s="7"/>
      <c r="O55" s="7"/>
      <c r="P55" s="7"/>
      <c r="Q55" s="7"/>
      <c r="R55" s="7"/>
      <c r="S55" s="7"/>
      <c r="T55" s="7"/>
      <c r="U55" s="7"/>
      <c r="V55" s="7"/>
      <c r="W55" s="7"/>
      <c r="X55" s="7"/>
      <c r="Y55" s="7"/>
      <c r="Z55" s="7"/>
      <c r="AA55" s="7"/>
      <c r="AB55" s="7"/>
      <c r="AC55" s="7"/>
    </row>
    <row r="56" spans="1:29" ht="38.25" x14ac:dyDescent="0.25">
      <c r="A56" s="17" t="s">
        <v>179</v>
      </c>
      <c r="B56" s="206"/>
      <c r="C56" s="206"/>
      <c r="D56" s="206">
        <f>'6063'!J35</f>
        <v>7986.09</v>
      </c>
      <c r="E56" s="206"/>
      <c r="F56" s="206"/>
      <c r="J56" s="7"/>
      <c r="K56" s="12"/>
      <c r="L56" s="12"/>
      <c r="M56" s="12"/>
      <c r="N56" s="7"/>
      <c r="O56" s="7"/>
      <c r="P56" s="7"/>
      <c r="Q56" s="7"/>
      <c r="R56" s="7"/>
      <c r="S56" s="7"/>
      <c r="T56" s="7"/>
      <c r="U56" s="7"/>
      <c r="V56" s="7"/>
      <c r="W56" s="7"/>
      <c r="X56" s="7"/>
      <c r="Y56" s="7"/>
      <c r="Z56" s="7"/>
      <c r="AA56" s="7"/>
      <c r="AB56" s="7"/>
      <c r="AC56" s="7"/>
    </row>
    <row r="57" spans="1:29" ht="38.25" x14ac:dyDescent="0.25">
      <c r="A57" s="17" t="s">
        <v>180</v>
      </c>
      <c r="B57" s="206"/>
      <c r="C57" s="206"/>
      <c r="D57" s="206">
        <f>'6064'!J35</f>
        <v>154670856.81999999</v>
      </c>
      <c r="E57" s="206"/>
      <c r="F57" s="206"/>
      <c r="J57" s="7"/>
      <c r="K57" s="12"/>
      <c r="L57" s="12"/>
      <c r="M57" s="12"/>
      <c r="N57" s="7"/>
      <c r="O57" s="7"/>
      <c r="P57" s="7"/>
      <c r="Q57" s="7"/>
      <c r="R57" s="7"/>
      <c r="S57" s="7"/>
      <c r="T57" s="7"/>
      <c r="U57" s="7"/>
      <c r="V57" s="7"/>
      <c r="W57" s="7"/>
      <c r="X57" s="7"/>
      <c r="Y57" s="7"/>
      <c r="Z57" s="7"/>
      <c r="AA57" s="7"/>
      <c r="AB57" s="7"/>
      <c r="AC57" s="7"/>
    </row>
    <row r="58" spans="1:29" ht="25.5" x14ac:dyDescent="0.25">
      <c r="A58" s="17" t="s">
        <v>181</v>
      </c>
      <c r="B58" s="206"/>
      <c r="C58" s="206"/>
      <c r="D58" s="206">
        <f>'6072'!J35</f>
        <v>915310489.69000006</v>
      </c>
      <c r="E58" s="206"/>
      <c r="F58" s="206"/>
      <c r="J58" s="7"/>
      <c r="K58" s="12"/>
      <c r="L58" s="12"/>
      <c r="M58" s="12"/>
      <c r="N58" s="7"/>
      <c r="O58" s="7"/>
      <c r="P58" s="7"/>
      <c r="Q58" s="7"/>
      <c r="R58" s="7"/>
      <c r="S58" s="7"/>
      <c r="T58" s="7"/>
      <c r="U58" s="7"/>
      <c r="V58" s="7"/>
      <c r="W58" s="7"/>
      <c r="X58" s="7"/>
      <c r="Y58" s="7"/>
      <c r="Z58" s="7"/>
      <c r="AA58" s="7"/>
      <c r="AB58" s="7"/>
      <c r="AC58" s="7"/>
    </row>
    <row r="59" spans="1:29" x14ac:dyDescent="0.25">
      <c r="A59" s="17" t="s">
        <v>182</v>
      </c>
      <c r="B59" s="206"/>
      <c r="C59" s="206"/>
      <c r="D59" s="206">
        <f>'6801'!J35</f>
        <v>614887990.16969991</v>
      </c>
      <c r="E59" s="206"/>
      <c r="F59" s="206"/>
      <c r="J59" s="7"/>
      <c r="K59" s="12"/>
      <c r="L59" s="12"/>
      <c r="M59" s="12"/>
      <c r="N59" s="7"/>
      <c r="O59" s="7"/>
      <c r="P59" s="7"/>
      <c r="Q59" s="7"/>
      <c r="R59" s="7"/>
      <c r="S59" s="7"/>
      <c r="T59" s="7"/>
      <c r="U59" s="7"/>
      <c r="V59" s="7"/>
      <c r="W59" s="7"/>
      <c r="X59" s="7"/>
      <c r="Y59" s="7"/>
      <c r="Z59" s="7"/>
      <c r="AA59" s="7"/>
      <c r="AB59" s="7"/>
      <c r="AC59" s="7"/>
    </row>
    <row r="60" spans="1:29" x14ac:dyDescent="0.25">
      <c r="A60" s="18" t="s">
        <v>56</v>
      </c>
      <c r="B60" s="206"/>
      <c r="C60" s="206"/>
      <c r="D60" s="206">
        <f>SUM(D34:G59)</f>
        <v>115358763368.80302</v>
      </c>
      <c r="E60" s="206"/>
      <c r="F60" s="206"/>
      <c r="J60" s="7"/>
      <c r="K60" s="12"/>
      <c r="L60" s="12"/>
      <c r="M60" s="12"/>
      <c r="N60" s="7"/>
      <c r="O60" s="7"/>
      <c r="P60" s="7"/>
      <c r="Q60" s="7"/>
      <c r="R60" s="7"/>
      <c r="S60" s="7"/>
      <c r="T60" s="7"/>
      <c r="U60" s="7"/>
      <c r="V60" s="7"/>
      <c r="W60" s="7"/>
      <c r="X60" s="7"/>
      <c r="Y60" s="7"/>
      <c r="Z60" s="7"/>
      <c r="AA60" s="7"/>
      <c r="AB60" s="7"/>
      <c r="AC60" s="7"/>
    </row>
    <row r="61" spans="1:29" x14ac:dyDescent="0.25">
      <c r="A61" s="225"/>
      <c r="B61" s="225"/>
      <c r="C61" s="225"/>
      <c r="D61" s="225"/>
      <c r="E61" s="225"/>
      <c r="F61" s="225"/>
      <c r="G61" s="225"/>
      <c r="H61" s="225"/>
      <c r="J61" s="7"/>
      <c r="K61" s="12"/>
      <c r="L61" s="12"/>
      <c r="M61" s="12"/>
      <c r="N61" s="7"/>
      <c r="O61" s="7"/>
      <c r="P61" s="7"/>
      <c r="Q61" s="7"/>
      <c r="R61" s="7"/>
      <c r="S61" s="7"/>
      <c r="T61" s="7"/>
      <c r="U61" s="7"/>
      <c r="V61" s="7"/>
      <c r="W61" s="7"/>
      <c r="X61" s="7"/>
      <c r="Y61" s="7"/>
      <c r="Z61" s="7"/>
      <c r="AA61" s="7"/>
      <c r="AB61" s="7"/>
      <c r="AC61" s="7"/>
    </row>
    <row r="62" spans="1:29" x14ac:dyDescent="0.25">
      <c r="J62" s="7"/>
      <c r="K62" s="12"/>
      <c r="L62" s="12"/>
      <c r="M62" s="12"/>
      <c r="N62" s="7"/>
      <c r="O62" s="7"/>
      <c r="P62" s="7"/>
      <c r="Q62" s="7"/>
      <c r="R62" s="7"/>
      <c r="S62" s="7"/>
      <c r="T62" s="7"/>
      <c r="U62" s="7"/>
      <c r="V62" s="7"/>
      <c r="W62" s="7"/>
      <c r="X62" s="7"/>
      <c r="Y62" s="7"/>
      <c r="Z62" s="7"/>
      <c r="AA62" s="7"/>
      <c r="AB62" s="7"/>
      <c r="AC62" s="7"/>
    </row>
    <row r="63" spans="1:29" x14ac:dyDescent="0.25">
      <c r="A63" s="226" t="s">
        <v>57</v>
      </c>
      <c r="B63" s="226"/>
      <c r="C63" s="226"/>
      <c r="D63" s="226"/>
      <c r="E63" s="226"/>
      <c r="F63" s="226"/>
      <c r="G63" s="226"/>
      <c r="H63" s="226"/>
      <c r="J63" s="7"/>
      <c r="K63" s="12"/>
      <c r="L63" s="12"/>
      <c r="M63" s="12"/>
      <c r="N63" s="7"/>
      <c r="O63" s="7"/>
      <c r="P63" s="7"/>
      <c r="Q63" s="7"/>
      <c r="R63" s="7"/>
      <c r="S63" s="7"/>
      <c r="T63" s="7"/>
      <c r="U63" s="7"/>
      <c r="V63" s="7"/>
      <c r="W63" s="7"/>
      <c r="X63" s="7"/>
      <c r="Y63" s="7"/>
      <c r="Z63" s="7"/>
      <c r="AA63" s="7"/>
      <c r="AB63" s="7"/>
      <c r="AC63" s="7"/>
    </row>
    <row r="64" spans="1:29" x14ac:dyDescent="0.25">
      <c r="A64" s="226" t="s">
        <v>58</v>
      </c>
      <c r="B64" s="226"/>
      <c r="C64" s="226"/>
      <c r="D64" s="226"/>
      <c r="E64" s="226"/>
      <c r="F64" s="226"/>
      <c r="G64" s="226"/>
      <c r="H64" s="226"/>
      <c r="J64" s="7"/>
      <c r="K64" s="12"/>
      <c r="L64" s="12"/>
      <c r="M64" s="12"/>
      <c r="N64" s="7"/>
      <c r="O64" s="7"/>
      <c r="P64" s="7"/>
      <c r="Q64" s="7"/>
      <c r="R64" s="7"/>
      <c r="S64" s="7"/>
      <c r="T64" s="7"/>
      <c r="U64" s="7"/>
      <c r="V64" s="7"/>
      <c r="W64" s="7"/>
      <c r="X64" s="7"/>
      <c r="Y64" s="7"/>
      <c r="Z64" s="7"/>
      <c r="AA64" s="7"/>
      <c r="AB64" s="7"/>
      <c r="AC64" s="7"/>
    </row>
    <row r="65" spans="1:29" x14ac:dyDescent="0.25">
      <c r="A65" s="216"/>
      <c r="B65" s="216"/>
      <c r="C65" s="216"/>
      <c r="D65" s="216"/>
      <c r="E65" s="216"/>
      <c r="F65" s="216"/>
      <c r="G65" s="216"/>
      <c r="H65" s="216"/>
      <c r="J65" s="7"/>
      <c r="K65" s="12"/>
      <c r="L65" s="12"/>
      <c r="M65" s="12"/>
      <c r="N65" s="7"/>
      <c r="O65" s="7"/>
      <c r="P65" s="7"/>
      <c r="Q65" s="7"/>
      <c r="R65" s="7"/>
      <c r="S65" s="7"/>
      <c r="T65" s="7"/>
      <c r="U65" s="7"/>
      <c r="V65" s="7"/>
      <c r="W65" s="7"/>
      <c r="X65" s="7"/>
      <c r="Y65" s="7"/>
      <c r="Z65" s="7"/>
      <c r="AA65" s="7"/>
      <c r="AB65" s="7"/>
      <c r="AC65" s="7"/>
    </row>
    <row r="66" spans="1:29" x14ac:dyDescent="0.25">
      <c r="J66" s="7"/>
      <c r="K66" s="12"/>
    </row>
    <row r="67" spans="1:29" ht="14.45" customHeight="1" x14ac:dyDescent="0.25">
      <c r="A67" s="143" t="s">
        <v>30</v>
      </c>
      <c r="B67" s="143"/>
      <c r="C67" s="143"/>
      <c r="D67" s="143"/>
      <c r="E67" s="143"/>
      <c r="F67" s="143"/>
      <c r="G67" s="78"/>
      <c r="H67" s="78"/>
      <c r="I67" s="78"/>
      <c r="J67" s="78"/>
      <c r="K67" s="12"/>
    </row>
    <row r="68" spans="1:29" x14ac:dyDescent="0.25">
      <c r="A68" s="143"/>
      <c r="B68" s="143"/>
      <c r="C68" s="143"/>
      <c r="D68" s="143"/>
      <c r="E68" s="143"/>
      <c r="F68" s="143"/>
      <c r="G68" s="78"/>
      <c r="H68" s="78"/>
      <c r="I68" s="78"/>
      <c r="J68" s="78"/>
      <c r="K68" s="12"/>
    </row>
    <row r="69" spans="1:29" x14ac:dyDescent="0.25">
      <c r="A69" s="143"/>
      <c r="B69" s="143"/>
      <c r="C69" s="143"/>
      <c r="D69" s="143"/>
      <c r="E69" s="143"/>
      <c r="F69" s="143"/>
      <c r="G69" s="78"/>
      <c r="H69" s="78"/>
      <c r="I69" s="78"/>
      <c r="J69" s="78"/>
      <c r="K69" s="12"/>
    </row>
    <row r="70" spans="1:29" x14ac:dyDescent="0.25">
      <c r="A70" s="143"/>
      <c r="B70" s="143"/>
      <c r="C70" s="143"/>
      <c r="D70" s="143"/>
      <c r="E70" s="143"/>
      <c r="F70" s="143"/>
      <c r="G70" s="78"/>
      <c r="H70" s="78"/>
      <c r="I70" s="78"/>
      <c r="J70" s="78"/>
    </row>
    <row r="71" spans="1:29" x14ac:dyDescent="0.25">
      <c r="A71" s="78"/>
      <c r="B71" s="78"/>
      <c r="C71" s="78"/>
      <c r="D71" s="78"/>
      <c r="E71" s="78"/>
      <c r="F71" s="78"/>
      <c r="G71" s="78"/>
      <c r="H71" s="78"/>
      <c r="I71" s="64"/>
      <c r="J71" s="64"/>
    </row>
    <row r="72" spans="1:29" x14ac:dyDescent="0.25">
      <c r="A72" s="144" t="s">
        <v>28</v>
      </c>
      <c r="B72" s="144"/>
      <c r="C72" s="144"/>
      <c r="D72" s="144"/>
      <c r="E72" s="144"/>
      <c r="F72" s="144"/>
      <c r="G72" s="144"/>
      <c r="H72" s="79"/>
      <c r="I72" s="79"/>
      <c r="J72" s="79"/>
    </row>
    <row r="73" spans="1:29" x14ac:dyDescent="0.25">
      <c r="A73" s="78"/>
      <c r="B73" s="78"/>
      <c r="C73" s="78"/>
      <c r="D73" s="78"/>
      <c r="E73" s="78"/>
      <c r="F73" s="78"/>
      <c r="G73" s="78"/>
      <c r="H73" s="78"/>
      <c r="I73" s="79"/>
      <c r="J73" s="79"/>
    </row>
    <row r="74" spans="1:29" x14ac:dyDescent="0.25">
      <c r="A74" s="78"/>
      <c r="B74" s="78"/>
      <c r="C74" s="78"/>
      <c r="D74" s="78"/>
      <c r="E74" s="78"/>
      <c r="F74" s="78"/>
      <c r="G74" s="78"/>
      <c r="H74" s="78"/>
      <c r="I74" s="74"/>
      <c r="J74" s="74"/>
    </row>
    <row r="75" spans="1:29" x14ac:dyDescent="0.25">
      <c r="A75" s="78"/>
      <c r="B75" s="78"/>
      <c r="C75" s="78"/>
      <c r="D75" s="64"/>
      <c r="E75" s="64"/>
      <c r="F75" s="78"/>
      <c r="G75" s="78"/>
      <c r="H75" s="78"/>
      <c r="I75" s="74"/>
      <c r="J75" s="74"/>
    </row>
    <row r="76" spans="1:29" x14ac:dyDescent="0.25">
      <c r="A76" s="78"/>
      <c r="B76" s="78"/>
      <c r="C76" s="78"/>
      <c r="D76" s="76" t="s">
        <v>31</v>
      </c>
      <c r="E76" s="77"/>
      <c r="F76" s="80"/>
      <c r="G76" s="78"/>
      <c r="H76" s="78"/>
      <c r="I76" s="74"/>
      <c r="J76" s="74"/>
    </row>
    <row r="77" spans="1:29" x14ac:dyDescent="0.25">
      <c r="A77" s="78"/>
      <c r="B77" s="78"/>
      <c r="C77" s="78"/>
      <c r="D77" s="50" t="s">
        <v>32</v>
      </c>
      <c r="E77" s="47"/>
      <c r="F77" s="78"/>
      <c r="G77" s="78"/>
      <c r="H77" s="78"/>
      <c r="I77" s="64"/>
      <c r="J77" s="64"/>
    </row>
    <row r="78" spans="1:29" x14ac:dyDescent="0.25">
      <c r="A78" s="78"/>
      <c r="B78" s="78"/>
      <c r="C78" s="78"/>
      <c r="D78" s="50" t="s">
        <v>33</v>
      </c>
      <c r="E78" s="47"/>
      <c r="F78" s="78"/>
      <c r="G78" s="78"/>
      <c r="H78" s="78"/>
    </row>
    <row r="79" spans="1:29" x14ac:dyDescent="0.25">
      <c r="A79" s="64"/>
      <c r="B79" s="64"/>
      <c r="C79" s="64"/>
      <c r="D79" s="64"/>
      <c r="E79" s="64"/>
      <c r="F79" s="64"/>
      <c r="G79" s="64"/>
      <c r="H79" s="64"/>
    </row>
    <row r="80" spans="1:29" x14ac:dyDescent="0.25">
      <c r="A80" s="64"/>
      <c r="B80" s="64"/>
      <c r="C80" s="64"/>
      <c r="D80" s="64"/>
      <c r="E80" s="64"/>
      <c r="F80" s="64"/>
      <c r="G80" s="64"/>
      <c r="H80" s="64"/>
    </row>
    <row r="81" spans="1:8" x14ac:dyDescent="0.25">
      <c r="A81" s="64"/>
      <c r="B81" s="64"/>
      <c r="C81" s="64"/>
      <c r="D81" s="64"/>
      <c r="E81" s="64"/>
      <c r="F81" s="64"/>
      <c r="G81" s="64"/>
      <c r="H81" s="64"/>
    </row>
  </sheetData>
  <mergeCells count="118">
    <mergeCell ref="Y1:Y5"/>
    <mergeCell ref="Z1:Z5"/>
    <mergeCell ref="AA1:AA5"/>
    <mergeCell ref="X1:X5"/>
    <mergeCell ref="A65:H65"/>
    <mergeCell ref="A61:H61"/>
    <mergeCell ref="A63:H63"/>
    <mergeCell ref="A64:H64"/>
    <mergeCell ref="Q1:Q5"/>
    <mergeCell ref="S1:S5"/>
    <mergeCell ref="T1:T5"/>
    <mergeCell ref="W1:W5"/>
    <mergeCell ref="V1:V5"/>
    <mergeCell ref="K1:K5"/>
    <mergeCell ref="L1:L5"/>
    <mergeCell ref="N1:N5"/>
    <mergeCell ref="P1:P5"/>
    <mergeCell ref="O1:O5"/>
    <mergeCell ref="M1:M5"/>
    <mergeCell ref="R1:R5"/>
    <mergeCell ref="U1:U5"/>
    <mergeCell ref="B21:C21"/>
    <mergeCell ref="B23:C23"/>
    <mergeCell ref="B27:C27"/>
    <mergeCell ref="D23:F23"/>
    <mergeCell ref="B25:C25"/>
    <mergeCell ref="D25:F25"/>
    <mergeCell ref="D35:F35"/>
    <mergeCell ref="D27:F27"/>
    <mergeCell ref="B28:C28"/>
    <mergeCell ref="D28:F28"/>
    <mergeCell ref="A31:H31"/>
    <mergeCell ref="A32:H32"/>
    <mergeCell ref="A33:H33"/>
    <mergeCell ref="B34:C34"/>
    <mergeCell ref="D34:F34"/>
    <mergeCell ref="A29:A30"/>
    <mergeCell ref="B29:D29"/>
    <mergeCell ref="E29:F29"/>
    <mergeCell ref="E30:F30"/>
    <mergeCell ref="A5:F5"/>
    <mergeCell ref="A2:F2"/>
    <mergeCell ref="A3:F3"/>
    <mergeCell ref="A4:F4"/>
    <mergeCell ref="B15:C15"/>
    <mergeCell ref="A6:E6"/>
    <mergeCell ref="A7:E7"/>
    <mergeCell ref="A8:E8"/>
    <mergeCell ref="A9:H9"/>
    <mergeCell ref="A10:B10"/>
    <mergeCell ref="C10:D10"/>
    <mergeCell ref="E10:G10"/>
    <mergeCell ref="A11:H11"/>
    <mergeCell ref="B12:C12"/>
    <mergeCell ref="B14:C14"/>
    <mergeCell ref="D58:F58"/>
    <mergeCell ref="D59:F59"/>
    <mergeCell ref="E38:F38"/>
    <mergeCell ref="B58:C58"/>
    <mergeCell ref="B59:C59"/>
    <mergeCell ref="B53:C53"/>
    <mergeCell ref="B54:C54"/>
    <mergeCell ref="B55:C55"/>
    <mergeCell ref="B56:C56"/>
    <mergeCell ref="B57:C57"/>
    <mergeCell ref="B48:C48"/>
    <mergeCell ref="B49:C49"/>
    <mergeCell ref="B50:C50"/>
    <mergeCell ref="B51:C51"/>
    <mergeCell ref="B52:C52"/>
    <mergeCell ref="D43:F43"/>
    <mergeCell ref="D44:F44"/>
    <mergeCell ref="D45:F45"/>
    <mergeCell ref="D47:F47"/>
    <mergeCell ref="D56:F56"/>
    <mergeCell ref="D57:F57"/>
    <mergeCell ref="D48:F48"/>
    <mergeCell ref="D49:F49"/>
    <mergeCell ref="D53:F53"/>
    <mergeCell ref="D54:F54"/>
    <mergeCell ref="D55:F55"/>
    <mergeCell ref="B37:C37"/>
    <mergeCell ref="B38:C38"/>
    <mergeCell ref="B39:C39"/>
    <mergeCell ref="B40:C40"/>
    <mergeCell ref="B41:C41"/>
    <mergeCell ref="B42:C42"/>
    <mergeCell ref="B43:C43"/>
    <mergeCell ref="B44:C44"/>
    <mergeCell ref="B45:C45"/>
    <mergeCell ref="B47:C47"/>
    <mergeCell ref="D50:F50"/>
    <mergeCell ref="D51:F51"/>
    <mergeCell ref="D52:F52"/>
    <mergeCell ref="A72:G72"/>
    <mergeCell ref="A67:F70"/>
    <mergeCell ref="F1:G1"/>
    <mergeCell ref="B60:C60"/>
    <mergeCell ref="E15:F15"/>
    <mergeCell ref="B13:C13"/>
    <mergeCell ref="B16:C16"/>
    <mergeCell ref="B20:C20"/>
    <mergeCell ref="B22:C22"/>
    <mergeCell ref="B24:C24"/>
    <mergeCell ref="B26:C26"/>
    <mergeCell ref="B30:C30"/>
    <mergeCell ref="D36:F36"/>
    <mergeCell ref="D37:F37"/>
    <mergeCell ref="D39:F39"/>
    <mergeCell ref="D40:F40"/>
    <mergeCell ref="D41:F41"/>
    <mergeCell ref="D42:F42"/>
    <mergeCell ref="E22:F22"/>
    <mergeCell ref="E24:F24"/>
    <mergeCell ref="E26:F26"/>
    <mergeCell ref="B35:C35"/>
    <mergeCell ref="B36:C36"/>
    <mergeCell ref="D60:F60"/>
  </mergeCells>
  <pageMargins left="0.25" right="0" top="0.75" bottom="0.75" header="0.3" footer="0.3"/>
  <pageSetup paperSize="5" scale="72" orientation="portrait"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428E3CE3565E469DF091B467FF6F24" ma:contentTypeVersion="1" ma:contentTypeDescription="Create a new document." ma:contentTypeScope="" ma:versionID="3a3140222a53b1c25bd28ea3f642dc41">
  <xsd:schema xmlns:xsd="http://www.w3.org/2001/XMLSchema" xmlns:xs="http://www.w3.org/2001/XMLSchema" xmlns:p="http://schemas.microsoft.com/office/2006/metadata/properties" xmlns:ns2="f07ec452-7b44-4588-98ac-f6c5a119d4d6" xmlns:ns3="7feaafa9-84d6-4bb5-a842-309e3db02b63" targetNamespace="http://schemas.microsoft.com/office/2006/metadata/properties" ma:root="true" ma:fieldsID="cc302608072a9c5c3abf43153b30e829" ns2:_="" ns3:_="">
    <xsd:import namespace="f07ec452-7b44-4588-98ac-f6c5a119d4d6"/>
    <xsd:import namespace="7feaafa9-84d6-4bb5-a842-309e3db02b63"/>
    <xsd:element name="properties">
      <xsd:complexType>
        <xsd:sequence>
          <xsd:element name="documentManagement">
            <xsd:complexType>
              <xsd:all>
                <xsd:element ref="ns2:CommentTest" minOccurs="0"/>
                <xsd:element ref="ns2:Analyst" minOccurs="0"/>
                <xsd:element ref="ns2:Reviewer" minOccurs="0"/>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7ec452-7b44-4588-98ac-f6c5a119d4d6" elementFormDefault="qualified">
    <xsd:import namespace="http://schemas.microsoft.com/office/2006/documentManagement/types"/>
    <xsd:import namespace="http://schemas.microsoft.com/office/infopath/2007/PartnerControls"/>
    <xsd:element name="CommentTest" ma:index="2" nillable="true" ma:displayName="Status" ma:format="Dropdown" ma:internalName="CommentTest">
      <xsd:simpleType>
        <xsd:restriction base="dms:Choice">
          <xsd:enumeration value="Processing"/>
          <xsd:enumeration value="Ready for review"/>
          <xsd:enumeration value="Reviewed"/>
          <xsd:enumeration value="Updated in Wdesk"/>
          <xsd:enumeration value="No Issues Confirmed"/>
        </xsd:restriction>
      </xsd:simpleType>
    </xsd:element>
    <xsd:element name="Analyst" ma:index="3" nillable="true" ma:displayName="ACFR Reviewer" ma:description="Person assigned to complete" ma:format="Dropdown" ma:list="UserInfo" ma:SharePointGroup="0" ma:internalName="Analyst"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ewer" ma:index="4" nillable="true" ma:displayName="MGR Review" ma:description="Mgr reviewing " ma:format="Dropdown" ma:list="UserInfo" ma:SharePointGroup="0" ma:internalName="Review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eaafa9-84d6-4bb5-a842-309e3db02b63" elementFormDefault="qualified">
    <xsd:import namespace="http://schemas.microsoft.com/office/2006/documentManagement/types"/>
    <xsd:import namespace="http://schemas.microsoft.com/office/infopath/2007/PartnerControls"/>
    <xsd:element name="SharedWithUsers" ma:index="11"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viewer xmlns="f07ec452-7b44-4588-98ac-f6c5a119d4d6">
      <UserInfo>
        <DisplayName/>
        <AccountId xsi:nil="true"/>
        <AccountType/>
      </UserInfo>
    </Reviewer>
    <Analyst xmlns="f07ec452-7b44-4588-98ac-f6c5a119d4d6">
      <UserInfo>
        <DisplayName/>
        <AccountId xsi:nil="true"/>
        <AccountType/>
      </UserInfo>
    </Analyst>
    <CommentTest xmlns="f07ec452-7b44-4588-98ac-f6c5a119d4d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14D19F-76D9-4655-8D85-2F4CC30622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7ec452-7b44-4588-98ac-f6c5a119d4d6"/>
    <ds:schemaRef ds:uri="7feaafa9-84d6-4bb5-a842-309e3db02b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26D11A5-4B9F-4818-A934-E870AF6F4899}">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7feaafa9-84d6-4bb5-a842-309e3db02b63"/>
    <ds:schemaRef ds:uri="http://purl.org/dc/terms/"/>
    <ds:schemaRef ds:uri="http://schemas.openxmlformats.org/package/2006/metadata/core-properties"/>
    <ds:schemaRef ds:uri="f07ec452-7b44-4588-98ac-f6c5a119d4d6"/>
    <ds:schemaRef ds:uri="http://www.w3.org/XML/1998/namespace"/>
    <ds:schemaRef ds:uri="http://purl.org/dc/dcmitype/"/>
  </ds:schemaRefs>
</ds:datastoreItem>
</file>

<file path=customXml/itemProps3.xml><?xml version="1.0" encoding="utf-8"?>
<ds:datastoreItem xmlns:ds="http://schemas.openxmlformats.org/officeDocument/2006/customXml" ds:itemID="{18A1DD1F-941B-4757-B34C-7036D772AA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35</vt:i4>
      </vt:variant>
    </vt:vector>
  </HeadingPairs>
  <TitlesOfParts>
    <vt:vector size="70" baseType="lpstr">
      <vt:lpstr>0001</vt:lpstr>
      <vt:lpstr>0041</vt:lpstr>
      <vt:lpstr>0042</vt:lpstr>
      <vt:lpstr>F0042 Diff</vt:lpstr>
      <vt:lpstr>0042 Revised</vt:lpstr>
      <vt:lpstr>F0042 Diff Revised</vt:lpstr>
      <vt:lpstr>0046</vt:lpstr>
      <vt:lpstr>0183</vt:lpstr>
      <vt:lpstr>0523</vt:lpstr>
      <vt:lpstr>0541</vt:lpstr>
      <vt:lpstr>0653</vt:lpstr>
      <vt:lpstr>0673</vt:lpstr>
      <vt:lpstr>0703</vt:lpstr>
      <vt:lpstr>0756</vt:lpstr>
      <vt:lpstr>0942</vt:lpstr>
      <vt:lpstr>2504</vt:lpstr>
      <vt:lpstr>3007</vt:lpstr>
      <vt:lpstr>F3007 Diff</vt:lpstr>
      <vt:lpstr>3290</vt:lpstr>
      <vt:lpstr>F3290 Diff </vt:lpstr>
      <vt:lpstr>3291</vt:lpstr>
      <vt:lpstr>F3291 Diff </vt:lpstr>
      <vt:lpstr>6055</vt:lpstr>
      <vt:lpstr>6056</vt:lpstr>
      <vt:lpstr>F6056 Diff</vt:lpstr>
      <vt:lpstr>6058</vt:lpstr>
      <vt:lpstr>F6058 Diff </vt:lpstr>
      <vt:lpstr>6059</vt:lpstr>
      <vt:lpstr>6060</vt:lpstr>
      <vt:lpstr>6062</vt:lpstr>
      <vt:lpstr>6063</vt:lpstr>
      <vt:lpstr>6064</vt:lpstr>
      <vt:lpstr>6072</vt:lpstr>
      <vt:lpstr>6801</vt:lpstr>
      <vt:lpstr>Report 19</vt:lpstr>
      <vt:lpstr>'0001'!Print_Area</vt:lpstr>
      <vt:lpstr>'0041'!Print_Area</vt:lpstr>
      <vt:lpstr>'0042'!Print_Area</vt:lpstr>
      <vt:lpstr>'0042 Revised'!Print_Area</vt:lpstr>
      <vt:lpstr>'0046'!Print_Area</vt:lpstr>
      <vt:lpstr>'0183'!Print_Area</vt:lpstr>
      <vt:lpstr>'0523'!Print_Area</vt:lpstr>
      <vt:lpstr>'0541'!Print_Area</vt:lpstr>
      <vt:lpstr>'0653'!Print_Area</vt:lpstr>
      <vt:lpstr>'0673'!Print_Area</vt:lpstr>
      <vt:lpstr>'0703'!Print_Area</vt:lpstr>
      <vt:lpstr>'0756'!Print_Area</vt:lpstr>
      <vt:lpstr>'0942'!Print_Area</vt:lpstr>
      <vt:lpstr>'2504'!Print_Area</vt:lpstr>
      <vt:lpstr>'3007'!Print_Area</vt:lpstr>
      <vt:lpstr>'3290'!Print_Area</vt:lpstr>
      <vt:lpstr>'3291'!Print_Area</vt:lpstr>
      <vt:lpstr>'6055'!Print_Area</vt:lpstr>
      <vt:lpstr>'6056'!Print_Area</vt:lpstr>
      <vt:lpstr>'6058'!Print_Area</vt:lpstr>
      <vt:lpstr>'6059'!Print_Area</vt:lpstr>
      <vt:lpstr>'6060'!Print_Area</vt:lpstr>
      <vt:lpstr>'6062'!Print_Area</vt:lpstr>
      <vt:lpstr>'6063'!Print_Area</vt:lpstr>
      <vt:lpstr>'6064'!Print_Area</vt:lpstr>
      <vt:lpstr>'6072'!Print_Area</vt:lpstr>
      <vt:lpstr>'6801'!Print_Area</vt:lpstr>
      <vt:lpstr>'F0042 Diff'!Print_Area</vt:lpstr>
      <vt:lpstr>'F0042 Diff Revised'!Print_Area</vt:lpstr>
      <vt:lpstr>'F3007 Diff'!Print_Area</vt:lpstr>
      <vt:lpstr>'F3290 Diff '!Print_Area</vt:lpstr>
      <vt:lpstr>'F3291 Diff '!Print_Area</vt:lpstr>
      <vt:lpstr>'F6056 Diff'!Print_Area</vt:lpstr>
      <vt:lpstr>'F6058 Diff '!Print_Area</vt:lpstr>
      <vt:lpstr>'Report 19'!Print_Area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2024-04-09T23:12:00Z</dcterms:created>
  <dcterms:modified xsi:type="dcterms:W3CDTF">2025-03-07T20:11:19Z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0x01010087428E3CE3565E469DF091B467FF6F24</vt:lpwstr>
  </property>
</Properties>
</file>