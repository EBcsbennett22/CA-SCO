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3860\"/>
    </mc:Choice>
  </mc:AlternateContent>
  <xr:revisionPtr revIDLastSave="0" documentId="13_ncr:1_{2DCE107A-2A79-4C33-A8CF-76580A0F1E8B}" xr6:coauthVersionLast="47" xr6:coauthVersionMax="47" xr10:uidLastSave="{00000000-0000-0000-0000-000000000000}"/>
  <bookViews>
    <workbookView xWindow="-24120" yWindow="-120" windowWidth="24240" windowHeight="13140" tabRatio="869" firstSheet="5" activeTab="19" xr2:uid="{10C7F58D-AD37-4D25-BAF9-D8E198426EE9}"/>
  </bookViews>
  <sheets>
    <sheet name="F0001" sheetId="2" r:id="rId1"/>
    <sheet name="F0001 Diff" sheetId="3" r:id="rId2"/>
    <sheet name="F0140" sheetId="4" r:id="rId3"/>
    <sheet name="F0140 Diff" sheetId="5" r:id="rId4"/>
    <sheet name="F0465" sheetId="6" r:id="rId5"/>
    <sheet name="F0465 Diff" sheetId="7" r:id="rId6"/>
    <sheet name="F0545" sheetId="8" r:id="rId7"/>
    <sheet name="F0545 Diff" sheetId="9" r:id="rId8"/>
    <sheet name="F0890" sheetId="10" r:id="rId9"/>
    <sheet name="F0890 Diff" sheetId="11" r:id="rId10"/>
    <sheet name="F3057" sheetId="12" r:id="rId11"/>
    <sheet name="F3057 Diff" sheetId="13" r:id="rId12"/>
    <sheet name="F3100" sheetId="14" r:id="rId13"/>
    <sheet name="F3100 Diff" sheetId="15" r:id="rId14"/>
    <sheet name="F3237" sheetId="16" r:id="rId15"/>
    <sheet name="F3237 Diff" sheetId="17" r:id="rId16"/>
    <sheet name="F3398" sheetId="18" r:id="rId17"/>
    <sheet name="F3398 Diff" sheetId="19" r:id="rId18"/>
    <sheet name="F3413" sheetId="20" r:id="rId19"/>
    <sheet name="F3413 Diff" sheetId="21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4">#REF!</definedName>
    <definedName name="\A" localSheetId="15">#REF!</definedName>
    <definedName name="\A" localSheetId="16">#REF!</definedName>
    <definedName name="\A" localSheetId="17">#REF!</definedName>
    <definedName name="\A" localSheetId="18">#REF!</definedName>
    <definedName name="\A" localSheetId="19">#REF!</definedName>
    <definedName name="\A">#REF!</definedName>
    <definedName name="\B" localSheetId="4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4">#REF!</definedName>
    <definedName name="\B" localSheetId="15">#REF!</definedName>
    <definedName name="\B" localSheetId="16">#REF!</definedName>
    <definedName name="\B" localSheetId="17">#REF!</definedName>
    <definedName name="\B" localSheetId="18">#REF!</definedName>
    <definedName name="\B" localSheetId="19">#REF!</definedName>
    <definedName name="\B">#REF!</definedName>
    <definedName name="\C" localSheetId="4">#REF!</definedName>
    <definedName name="\C" localSheetId="5">#REF!</definedName>
    <definedName name="\C" localSheetId="10">#REF!</definedName>
    <definedName name="\C" localSheetId="11">#REF!</definedName>
    <definedName name="\C" localSheetId="14">#REF!</definedName>
    <definedName name="\C" localSheetId="15">#REF!</definedName>
    <definedName name="\C" localSheetId="16">#REF!</definedName>
    <definedName name="\C" localSheetId="17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mm">#REF!</definedName>
    <definedName name="\Q">#REF!</definedName>
    <definedName name="\R">#REF!</definedName>
    <definedName name="\S">#REF!</definedName>
    <definedName name="\W">#REF!</definedName>
    <definedName name="\X">#REF!</definedName>
    <definedName name="\Y">#REF!</definedName>
    <definedName name="\Z" localSheetId="0">#REF!</definedName>
    <definedName name="\Z" localSheetId="10">#REF!</definedName>
    <definedName name="\Z">#REF!</definedName>
    <definedName name="___rep5" localSheetId="18">#REF!</definedName>
    <definedName name="___rep5" localSheetId="19">#REF!</definedName>
    <definedName name="___rep5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rep5" localSheetId="18">#REF!</definedName>
    <definedName name="__rep5" localSheetId="19">#REF!</definedName>
    <definedName name="__rep5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joe1">#REF!</definedName>
    <definedName name="_rep5" localSheetId="8">#REF!</definedName>
    <definedName name="_rep5" localSheetId="10">#REF!</definedName>
    <definedName name="_rep5" localSheetId="18">#REF!</definedName>
    <definedName name="_rep5">#REF!</definedName>
    <definedName name="Account_List">#REF!</definedName>
    <definedName name="Acct_Name">#REF!</definedName>
    <definedName name="Acct_No">#REF!</definedName>
    <definedName name="CC" localSheetId="18">#REF!</definedName>
    <definedName name="CC">#REF!</definedName>
    <definedName name="DATA">#REF!</definedName>
    <definedName name="DATA1" localSheetId="0">#REF!</definedName>
    <definedName name="DATA1" localSheetId="8">#REF!</definedName>
    <definedName name="DATA1" localSheetId="10">#REF!</definedName>
    <definedName name="DATA1">#REF!</definedName>
    <definedName name="DATA10" localSheetId="0">#REF!</definedName>
    <definedName name="DATA10" localSheetId="8">#REF!</definedName>
    <definedName name="DATA10" localSheetId="10">#REF!</definedName>
    <definedName name="DATA10">#REF!</definedName>
    <definedName name="DATA11" localSheetId="0">#REF!</definedName>
    <definedName name="DATA11" localSheetId="8">#REF!</definedName>
    <definedName name="DATA11" localSheetId="10">#REF!</definedName>
    <definedName name="DATA11">#REF!</definedName>
    <definedName name="DATA12" localSheetId="0">#REF!</definedName>
    <definedName name="DATA12" localSheetId="8">#REF!</definedName>
    <definedName name="DATA12" localSheetId="10">#REF!</definedName>
    <definedName name="DATA12">#REF!</definedName>
    <definedName name="DATA13" localSheetId="0">'[1]Raw Data'!#REF!</definedName>
    <definedName name="DATA13" localSheetId="4">'[1]Raw Data'!#REF!</definedName>
    <definedName name="DATA13" localSheetId="6">'[2]Raw Data'!#REF!</definedName>
    <definedName name="DATA13" localSheetId="7">'[2]Raw Data'!#REF!</definedName>
    <definedName name="DATA13" localSheetId="8">'[1]Raw Data'!#REF!</definedName>
    <definedName name="DATA13" localSheetId="10">'[1]Raw Data'!#REF!</definedName>
    <definedName name="DATA13" localSheetId="14">#REF!</definedName>
    <definedName name="DATA13" localSheetId="15">#REF!</definedName>
    <definedName name="DATA13" localSheetId="16">'[2]Raw Data'!#REF!</definedName>
    <definedName name="DATA13" localSheetId="17">'[2]Raw Data'!#REF!</definedName>
    <definedName name="DATA13" localSheetId="18">'[2]Raw Data'!#REF!</definedName>
    <definedName name="DATA13">#REF!</definedName>
    <definedName name="DATA14" localSheetId="0">#REF!</definedName>
    <definedName name="DATA14" localSheetId="4">#REF!</definedName>
    <definedName name="DATA14" localSheetId="6">#REF!</definedName>
    <definedName name="DATA14" localSheetId="7">#REF!</definedName>
    <definedName name="DATA14" localSheetId="8">#REF!</definedName>
    <definedName name="DATA14" localSheetId="10">#REF!</definedName>
    <definedName name="DATA14" localSheetId="11">#REF!</definedName>
    <definedName name="DATA14" localSheetId="16">#REF!</definedName>
    <definedName name="DATA14" localSheetId="17">#REF!</definedName>
    <definedName name="DATA14" localSheetId="18">#REF!</definedName>
    <definedName name="DATA14" localSheetId="19">#REF!</definedName>
    <definedName name="DATA14">#REF!</definedName>
    <definedName name="DATA15" localSheetId="0">#REF!</definedName>
    <definedName name="DATA15" localSheetId="4">#REF!</definedName>
    <definedName name="DATA15" localSheetId="6">#REF!</definedName>
    <definedName name="DATA15" localSheetId="7">#REF!</definedName>
    <definedName name="DATA15" localSheetId="8">#REF!</definedName>
    <definedName name="DATA15" localSheetId="10">#REF!</definedName>
    <definedName name="DATA15" localSheetId="16">#REF!</definedName>
    <definedName name="DATA15" localSheetId="17">#REF!</definedName>
    <definedName name="DATA15" localSheetId="18">#REF!</definedName>
    <definedName name="DATA15">#REF!</definedName>
    <definedName name="DATA16" localSheetId="0">#REF!</definedName>
    <definedName name="DATA16" localSheetId="4">#REF!</definedName>
    <definedName name="DATA16" localSheetId="6">#REF!</definedName>
    <definedName name="DATA16" localSheetId="7">#REF!</definedName>
    <definedName name="DATA16" localSheetId="8">#REF!</definedName>
    <definedName name="DATA16" localSheetId="10">#REF!</definedName>
    <definedName name="DATA16" localSheetId="16">#REF!</definedName>
    <definedName name="DATA16" localSheetId="17">#REF!</definedName>
    <definedName name="DATA16" localSheetId="18">#REF!</definedName>
    <definedName name="DATA16">#REF!</definedName>
    <definedName name="DATA17">#REF!</definedName>
    <definedName name="DATA18">#REF!</definedName>
    <definedName name="DATA19" localSheetId="4">'[3]0793'!#REF!</definedName>
    <definedName name="DATA19" localSheetId="5">'[3]0793'!#REF!</definedName>
    <definedName name="DATA19" localSheetId="6">'[4]0793'!#REF!</definedName>
    <definedName name="DATA19" localSheetId="7">'[4]0793'!#REF!</definedName>
    <definedName name="DATA19" localSheetId="16">'[4]0793'!#REF!</definedName>
    <definedName name="DATA19" localSheetId="17">'[4]0793'!#REF!</definedName>
    <definedName name="DATA19" localSheetId="18">'[4]0793'!#REF!</definedName>
    <definedName name="DATA19">'[3]0793'!#REF!</definedName>
    <definedName name="DATA2" localSheetId="0">#REF!</definedName>
    <definedName name="DATA2" localSheetId="4">#REF!</definedName>
    <definedName name="DATA2" localSheetId="5">#REF!</definedName>
    <definedName name="DATA2" localSheetId="6">#REF!</definedName>
    <definedName name="DATA2" localSheetId="7">#REF!</definedName>
    <definedName name="DATA2" localSheetId="8">#REF!</definedName>
    <definedName name="DATA2" localSheetId="10">#REF!</definedName>
    <definedName name="DATA2" localSheetId="11">#REF!</definedName>
    <definedName name="DATA2" localSheetId="14">#REF!</definedName>
    <definedName name="DATA2" localSheetId="15">#REF!</definedName>
    <definedName name="DATA2" localSheetId="16">#REF!</definedName>
    <definedName name="DATA2" localSheetId="17">#REF!</definedName>
    <definedName name="DATA2" localSheetId="18">#REF!</definedName>
    <definedName name="DATA2" localSheetId="19">#REF!</definedName>
    <definedName name="DATA2">#REF!</definedName>
    <definedName name="DATA20" localSheetId="0">#REF!</definedName>
    <definedName name="DATA20" localSheetId="4">#REF!</definedName>
    <definedName name="DATA20" localSheetId="5">'[3]0793'!#REF!</definedName>
    <definedName name="DATA20" localSheetId="6">#REF!</definedName>
    <definedName name="DATA20" localSheetId="7">#REF!</definedName>
    <definedName name="DATA20" localSheetId="8">#REF!</definedName>
    <definedName name="DATA20" localSheetId="10">#REF!</definedName>
    <definedName name="DATA20" localSheetId="11">#REF!</definedName>
    <definedName name="DATA20" localSheetId="14">'[3]0793'!#REF!</definedName>
    <definedName name="DATA20" localSheetId="15">'[3]0793'!#REF!</definedName>
    <definedName name="DATA20" localSheetId="16">#REF!</definedName>
    <definedName name="DATA20" localSheetId="17">#REF!</definedName>
    <definedName name="DATA20" localSheetId="18">#REF!</definedName>
    <definedName name="DATA20">'[3]0793'!#REF!</definedName>
    <definedName name="DATA21">#REF!</definedName>
    <definedName name="DATA22">#REF!</definedName>
    <definedName name="DATA23">#REF!</definedName>
    <definedName name="DATA24" localSheetId="4">'[3]0793'!#REF!</definedName>
    <definedName name="DATA24" localSheetId="5">'[3]0793'!#REF!</definedName>
    <definedName name="DATA24" localSheetId="6">'[4]0793'!#REF!</definedName>
    <definedName name="DATA24" localSheetId="7">'[4]0793'!#REF!</definedName>
    <definedName name="DATA24" localSheetId="8">'[3]0793'!#REF!</definedName>
    <definedName name="DATA24" localSheetId="9">'[3]0793'!#REF!</definedName>
    <definedName name="DATA24" localSheetId="16">'[4]0793'!#REF!</definedName>
    <definedName name="DATA24" localSheetId="17">'[4]0793'!#REF!</definedName>
    <definedName name="DATA24" localSheetId="18">'[4]0793'!#REF!</definedName>
    <definedName name="DATA24" localSheetId="19">'[3]0793'!#REF!</definedName>
    <definedName name="DATA24">'[3]0793'!#REF!</definedName>
    <definedName name="DATA25" localSheetId="4">'[3]6026'!#REF!</definedName>
    <definedName name="DATA25" localSheetId="5">'[3]6026'!#REF!</definedName>
    <definedName name="DATA25" localSheetId="6">#REF!</definedName>
    <definedName name="DATA25" localSheetId="7">#REF!</definedName>
    <definedName name="DATA25" localSheetId="8">'[3]6026'!#REF!</definedName>
    <definedName name="DATA25" localSheetId="9">'[3]6026'!#REF!</definedName>
    <definedName name="DATA25" localSheetId="16">#REF!</definedName>
    <definedName name="DATA25" localSheetId="17">#REF!</definedName>
    <definedName name="DATA25" localSheetId="18">#REF!</definedName>
    <definedName name="DATA25" localSheetId="19">'[3]6026'!#REF!</definedName>
    <definedName name="DATA25">'[3]6026'!#REF!</definedName>
    <definedName name="DATA26" localSheetId="4">'[3]6026'!#REF!</definedName>
    <definedName name="DATA26" localSheetId="5">'[3]6026'!#REF!</definedName>
    <definedName name="DATA26" localSheetId="6">#REF!</definedName>
    <definedName name="DATA26" localSheetId="7">#REF!</definedName>
    <definedName name="DATA26" localSheetId="8">'[3]6026'!#REF!</definedName>
    <definedName name="DATA26" localSheetId="9">'[3]6026'!#REF!</definedName>
    <definedName name="DATA26" localSheetId="16">#REF!</definedName>
    <definedName name="DATA26" localSheetId="17">#REF!</definedName>
    <definedName name="DATA26" localSheetId="18">#REF!</definedName>
    <definedName name="DATA26" localSheetId="19">'[3]6026'!#REF!</definedName>
    <definedName name="DATA26">'[3]6026'!#REF!</definedName>
    <definedName name="DATA27" localSheetId="4">'[3]6026'!#REF!</definedName>
    <definedName name="DATA27" localSheetId="5">'[3]6026'!#REF!</definedName>
    <definedName name="DATA27" localSheetId="6">#REF!</definedName>
    <definedName name="DATA27" localSheetId="7">#REF!</definedName>
    <definedName name="DATA27" localSheetId="8">'[3]6026'!#REF!</definedName>
    <definedName name="DATA27" localSheetId="9">'[3]6026'!#REF!</definedName>
    <definedName name="DATA27" localSheetId="16">#REF!</definedName>
    <definedName name="DATA27" localSheetId="17">#REF!</definedName>
    <definedName name="DATA27" localSheetId="18">#REF!</definedName>
    <definedName name="DATA27" localSheetId="19">'[3]6026'!#REF!</definedName>
    <definedName name="DATA27">'[3]6026'!#REF!</definedName>
    <definedName name="DATA28" localSheetId="6">#REF!</definedName>
    <definedName name="DATA28" localSheetId="7">#REF!</definedName>
    <definedName name="DATA28" localSheetId="16">#REF!</definedName>
    <definedName name="DATA28" localSheetId="17">#REF!</definedName>
    <definedName name="DATA28" localSheetId="18">#REF!</definedName>
    <definedName name="DATA28" localSheetId="19">#REF!</definedName>
    <definedName name="DATA28">'[5]6026 Encumbrance Reduction'!$N$2</definedName>
    <definedName name="DATA29" localSheetId="6">#REF!</definedName>
    <definedName name="DATA29" localSheetId="7">#REF!</definedName>
    <definedName name="DATA29" localSheetId="16">#REF!</definedName>
    <definedName name="DATA29" localSheetId="17">#REF!</definedName>
    <definedName name="DATA29" localSheetId="18">#REF!</definedName>
    <definedName name="DATA29" localSheetId="19">#REF!</definedName>
    <definedName name="DATA29">'[5]6026 Encumbrance Reduction'!$O$2</definedName>
    <definedName name="DATA3" localSheetId="0">#REF!</definedName>
    <definedName name="DATA3" localSheetId="4">#REF!</definedName>
    <definedName name="DATA3" localSheetId="5">#REF!</definedName>
    <definedName name="DATA3" localSheetId="6">#REF!</definedName>
    <definedName name="DATA3" localSheetId="7">#REF!</definedName>
    <definedName name="DATA3" localSheetId="8">#REF!</definedName>
    <definedName name="DATA3" localSheetId="10">#REF!</definedName>
    <definedName name="DATA3" localSheetId="11">#REF!</definedName>
    <definedName name="DATA3" localSheetId="14">#REF!</definedName>
    <definedName name="DATA3" localSheetId="15">#REF!</definedName>
    <definedName name="DATA3">#REF!</definedName>
    <definedName name="DATA30" localSheetId="6">#REF!</definedName>
    <definedName name="DATA30" localSheetId="7">#REF!</definedName>
    <definedName name="DATA30" localSheetId="16">#REF!</definedName>
    <definedName name="DATA30" localSheetId="17">#REF!</definedName>
    <definedName name="DATA30" localSheetId="18">#REF!</definedName>
    <definedName name="DATA30" localSheetId="19">#REF!</definedName>
    <definedName name="DATA30">'[5]6026 Encumbrance Reduction'!$P$2</definedName>
    <definedName name="DATA31" localSheetId="0">'[3]6026'!#REF!</definedName>
    <definedName name="DATA31" localSheetId="4">'[3]6026'!#REF!</definedName>
    <definedName name="DATA31" localSheetId="6">#REF!</definedName>
    <definedName name="DATA31" localSheetId="7">#REF!</definedName>
    <definedName name="DATA31" localSheetId="8">'[3]6026'!#REF!</definedName>
    <definedName name="DATA31" localSheetId="10">'[3]6026'!#REF!</definedName>
    <definedName name="DATA31" localSheetId="11">'[3]6026'!#REF!</definedName>
    <definedName name="DATA31" localSheetId="14">'[3]6026'!#REF!</definedName>
    <definedName name="DATA31" localSheetId="15">'[3]6026'!#REF!</definedName>
    <definedName name="DATA31" localSheetId="16">#REF!</definedName>
    <definedName name="DATA31" localSheetId="17">#REF!</definedName>
    <definedName name="DATA31" localSheetId="18">#REF!</definedName>
    <definedName name="DATA31" localSheetId="19">'[3]6026'!#REF!</definedName>
    <definedName name="DATA31">'[3]6026'!#REF!</definedName>
    <definedName name="DATA33" localSheetId="0">'[3]0140'!#REF!</definedName>
    <definedName name="DATA33" localSheetId="4">'[3]0140'!#REF!</definedName>
    <definedName name="DATA33" localSheetId="6">'[4]0140'!#REF!</definedName>
    <definedName name="DATA33" localSheetId="7">'[4]0140'!#REF!</definedName>
    <definedName name="DATA33" localSheetId="8">'[3]0140'!#REF!</definedName>
    <definedName name="DATA33" localSheetId="10">'[3]0140'!#REF!</definedName>
    <definedName name="DATA33" localSheetId="11">'[3]0140'!#REF!</definedName>
    <definedName name="DATA33" localSheetId="16">'[4]0140'!#REF!</definedName>
    <definedName name="DATA33" localSheetId="17">'[4]0140'!#REF!</definedName>
    <definedName name="DATA33" localSheetId="18">'[4]0140'!#REF!</definedName>
    <definedName name="DATA33">'[3]0140'!#REF!</definedName>
    <definedName name="DATA35" localSheetId="0">'[3]3057'!#REF!</definedName>
    <definedName name="DATA35" localSheetId="4">'[3]3057'!#REF!</definedName>
    <definedName name="DATA35" localSheetId="6">'[4]3057'!#REF!</definedName>
    <definedName name="DATA35" localSheetId="7">'[4]3057'!#REF!</definedName>
    <definedName name="DATA35" localSheetId="8">'[3]3057'!#REF!</definedName>
    <definedName name="DATA35" localSheetId="10">'[3]3057'!#REF!</definedName>
    <definedName name="DATA35" localSheetId="16">'[4]3057'!#REF!</definedName>
    <definedName name="DATA35" localSheetId="17">'[4]3057'!#REF!</definedName>
    <definedName name="DATA35" localSheetId="18">'[4]3057'!#REF!</definedName>
    <definedName name="DATA35">'[3]3057'!#REF!</definedName>
    <definedName name="DATA4" localSheetId="0">#REF!</definedName>
    <definedName name="DATA4" localSheetId="4">#REF!</definedName>
    <definedName name="DATA4" localSheetId="5">#REF!</definedName>
    <definedName name="DATA4" localSheetId="6">#REF!</definedName>
    <definedName name="DATA4" localSheetId="7">#REF!</definedName>
    <definedName name="DATA4" localSheetId="8">#REF!</definedName>
    <definedName name="DATA4" localSheetId="10">#REF!</definedName>
    <definedName name="DATA4" localSheetId="11">#REF!</definedName>
    <definedName name="DATA4" localSheetId="14">#REF!</definedName>
    <definedName name="DATA4" localSheetId="15">#REF!</definedName>
    <definedName name="DATA4" localSheetId="16">#REF!</definedName>
    <definedName name="DATA4" localSheetId="17">#REF!</definedName>
    <definedName name="DATA4" localSheetId="18">#REF!</definedName>
    <definedName name="DATA4" localSheetId="19">#REF!</definedName>
    <definedName name="DATA4">#REF!</definedName>
    <definedName name="DATA5" localSheetId="0">#REF!</definedName>
    <definedName name="DATA5" localSheetId="4">#REF!</definedName>
    <definedName name="DATA5" localSheetId="5">#REF!</definedName>
    <definedName name="DATA5" localSheetId="6">#REF!</definedName>
    <definedName name="DATA5" localSheetId="7">#REF!</definedName>
    <definedName name="DATA5" localSheetId="8">#REF!</definedName>
    <definedName name="DATA5" localSheetId="10">#REF!</definedName>
    <definedName name="DATA5" localSheetId="14">#REF!</definedName>
    <definedName name="DATA5" localSheetId="15">#REF!</definedName>
    <definedName name="DATA5" localSheetId="16">#REF!</definedName>
    <definedName name="DATA5" localSheetId="17">#REF!</definedName>
    <definedName name="DATA5" localSheetId="18">#REF!</definedName>
    <definedName name="DATA5">#REF!</definedName>
    <definedName name="DATA6" localSheetId="0">#REF!</definedName>
    <definedName name="DATA6" localSheetId="4">#REF!</definedName>
    <definedName name="DATA6" localSheetId="5">#REF!</definedName>
    <definedName name="DATA6" localSheetId="6">#REF!</definedName>
    <definedName name="DATA6" localSheetId="7">#REF!</definedName>
    <definedName name="DATA6" localSheetId="8">#REF!</definedName>
    <definedName name="DATA6" localSheetId="10">#REF!</definedName>
    <definedName name="DATA6" localSheetId="14">#REF!</definedName>
    <definedName name="DATA6" localSheetId="15">#REF!</definedName>
    <definedName name="DATA6" localSheetId="16">#REF!</definedName>
    <definedName name="DATA6" localSheetId="17">#REF!</definedName>
    <definedName name="DATA6" localSheetId="18">#REF!</definedName>
    <definedName name="DATA6">#REF!</definedName>
    <definedName name="DATA7" localSheetId="0">#REF!</definedName>
    <definedName name="DATA7" localSheetId="8">#REF!</definedName>
    <definedName name="DATA7" localSheetId="10">#REF!</definedName>
    <definedName name="DATA7">#REF!</definedName>
    <definedName name="DATA8" localSheetId="0">#REF!</definedName>
    <definedName name="DATA8" localSheetId="8">#REF!</definedName>
    <definedName name="DATA8" localSheetId="10">#REF!</definedName>
    <definedName name="DATA8">#REF!</definedName>
    <definedName name="DATA9" localSheetId="0">#REF!</definedName>
    <definedName name="DATA9" localSheetId="8">#REF!</definedName>
    <definedName name="DATA9" localSheetId="10">#REF!</definedName>
    <definedName name="DATA9">#REF!</definedName>
    <definedName name="dd">#REF!</definedName>
    <definedName name="Fund" localSheetId="0">#REF!</definedName>
    <definedName name="Fund" localSheetId="4">#REF!</definedName>
    <definedName name="Fund" localSheetId="8">#REF!</definedName>
    <definedName name="Fund" localSheetId="10">#REF!</definedName>
    <definedName name="Fund">[6]FundOrder!$A$1:$C$296</definedName>
    <definedName name="g" localSheetId="6">#REF!</definedName>
    <definedName name="g" localSheetId="7">#REF!</definedName>
    <definedName name="g" localSheetId="8">#REF!</definedName>
    <definedName name="g" localSheetId="9">#REF!</definedName>
    <definedName name="g" localSheetId="10">#REF!</definedName>
    <definedName name="g" localSheetId="11">#REF!</definedName>
    <definedName name="g" localSheetId="14">#REF!</definedName>
    <definedName name="g" localSheetId="15">#REF!</definedName>
    <definedName name="g" localSheetId="16">#REF!</definedName>
    <definedName name="g" localSheetId="17">#REF!</definedName>
    <definedName name="g" localSheetId="18">#REF!</definedName>
    <definedName name="g" localSheetId="19">#REF!</definedName>
    <definedName name="g">#REF!</definedName>
    <definedName name="groupdata" localSheetId="0">[7]groupdata!$A$1:$X$34</definedName>
    <definedName name="groupdata" localSheetId="4">[7]groupdata!$A$1:$X$34</definedName>
    <definedName name="groupdata" localSheetId="6">[8]groupdata!$A$1:$X$34</definedName>
    <definedName name="groupdata" localSheetId="7">[8]groupdata!$A$1:$X$34</definedName>
    <definedName name="groupdata" localSheetId="8">[7]groupdata!$A$1:$X$34</definedName>
    <definedName name="groupdata" localSheetId="9">[7]groupdata!$A$1:$X$34</definedName>
    <definedName name="groupdata" localSheetId="10">[7]groupdata!$A$1:$X$34</definedName>
    <definedName name="groupdata" localSheetId="11">[8]groupdata!$A$1:$X$34</definedName>
    <definedName name="groupdata" localSheetId="14">[15]groupdata!$A$1:$X$34</definedName>
    <definedName name="groupdata" localSheetId="15">[15]groupdata!$A$1:$X$34</definedName>
    <definedName name="groupdata" localSheetId="16">[8]groupdata!$A$1:$X$34</definedName>
    <definedName name="groupdata" localSheetId="17">[8]groupdata!$A$1:$X$34</definedName>
    <definedName name="groupdata" localSheetId="18">[8]groupdata!$A$1:$X$34</definedName>
    <definedName name="groupdata" localSheetId="19">[8]groupdata!$A$1:$X$34</definedName>
    <definedName name="groupdata">[9]groupdata!$A$1:$X$34</definedName>
    <definedName name="ll" localSheetId="0">#REF!</definedName>
    <definedName name="ll" localSheetId="4">#REF!</definedName>
    <definedName name="ll" localSheetId="6">#REF!</definedName>
    <definedName name="ll" localSheetId="7">#REF!</definedName>
    <definedName name="ll" localSheetId="8">#REF!</definedName>
    <definedName name="ll" localSheetId="9">#REF!</definedName>
    <definedName name="ll" localSheetId="10">#REF!</definedName>
    <definedName name="ll" localSheetId="11">#REF!</definedName>
    <definedName name="ll" localSheetId="14">#REF!</definedName>
    <definedName name="ll" localSheetId="15">#REF!</definedName>
    <definedName name="ll" localSheetId="16">#REF!</definedName>
    <definedName name="ll" localSheetId="17">#REF!</definedName>
    <definedName name="ll" localSheetId="18">#REF!</definedName>
    <definedName name="ll" localSheetId="19">#REF!</definedName>
    <definedName name="ll">#REF!</definedName>
    <definedName name="m" localSheetId="6">#REF!</definedName>
    <definedName name="m" localSheetId="7">#REF!</definedName>
    <definedName name="m" localSheetId="8">#REF!</definedName>
    <definedName name="m" localSheetId="9">#REF!</definedName>
    <definedName name="m" localSheetId="10">#REF!</definedName>
    <definedName name="m" localSheetId="14">#REF!</definedName>
    <definedName name="m" localSheetId="15">#REF!</definedName>
    <definedName name="m" localSheetId="16">#REF!</definedName>
    <definedName name="m" localSheetId="17">#REF!</definedName>
    <definedName name="m" localSheetId="18">#REF!</definedName>
    <definedName name="m">#REF!</definedName>
    <definedName name="page\x2dtotal" localSheetId="0">#REF!</definedName>
    <definedName name="page\x2dtotal" localSheetId="2">#REF!</definedName>
    <definedName name="page\x2dtotal" localSheetId="3">#REF!</definedName>
    <definedName name="page\x2dtotal" localSheetId="4">#REF!</definedName>
    <definedName name="page\x2dtotal" localSheetId="6">#REF!</definedName>
    <definedName name="page\x2dtotal" localSheetId="8">#REF!</definedName>
    <definedName name="page\x2dtotal" localSheetId="10">#REF!</definedName>
    <definedName name="page\x2dtotal" localSheetId="12">#REF!</definedName>
    <definedName name="page\x2dtotal" localSheetId="13">#REF!</definedName>
    <definedName name="page\x2dtotal" localSheetId="14">#REF!</definedName>
    <definedName name="page\x2dtotal" localSheetId="16">#REF!</definedName>
    <definedName name="page\x2dtotal" localSheetId="17">#REF!</definedName>
    <definedName name="page\x2dtotal" localSheetId="19">#REF!</definedName>
    <definedName name="page\x2dtotal">#REF!</definedName>
    <definedName name="page\x2dtotal\x2dmaster0" localSheetId="0">#REF!</definedName>
    <definedName name="page\x2dtotal\x2dmaster0" localSheetId="2">#REF!</definedName>
    <definedName name="page\x2dtotal\x2dmaster0" localSheetId="3">#REF!</definedName>
    <definedName name="page\x2dtotal\x2dmaster0" localSheetId="4">#REF!</definedName>
    <definedName name="page\x2dtotal\x2dmaster0" localSheetId="6">#REF!</definedName>
    <definedName name="page\x2dtotal\x2dmaster0" localSheetId="8">#REF!</definedName>
    <definedName name="page\x2dtotal\x2dmaster0" localSheetId="10">#REF!</definedName>
    <definedName name="page\x2dtotal\x2dmaster0" localSheetId="12">#REF!</definedName>
    <definedName name="page\x2dtotal\x2dmaster0" localSheetId="13">#REF!</definedName>
    <definedName name="page\x2dtotal\x2dmaster0" localSheetId="14">#REF!</definedName>
    <definedName name="page\x2dtotal\x2dmaster0" localSheetId="19">#REF!</definedName>
    <definedName name="page\x2dtotal\x2dmaster0">#REF!</definedName>
    <definedName name="page\x2dtotal\x2dmaster0_1_1" localSheetId="0">#REF!</definedName>
    <definedName name="page\x2dtotal\x2dmaster0_1_1" localSheetId="2">#REF!</definedName>
    <definedName name="page\x2dtotal\x2dmaster0_1_1" localSheetId="3">#REF!</definedName>
    <definedName name="page\x2dtotal\x2dmaster0_1_1" localSheetId="4">#REF!</definedName>
    <definedName name="page\x2dtotal\x2dmaster0_1_1" localSheetId="6">#REF!</definedName>
    <definedName name="page\x2dtotal\x2dmaster0_1_1" localSheetId="8">#REF!</definedName>
    <definedName name="page\x2dtotal\x2dmaster0_1_1" localSheetId="10">#REF!</definedName>
    <definedName name="page\x2dtotal\x2dmaster0_1_1" localSheetId="12">#REF!</definedName>
    <definedName name="page\x2dtotal\x2dmaster0_1_1" localSheetId="13">#REF!</definedName>
    <definedName name="page\x2dtotal\x2dmaster0_1_1" localSheetId="14">#REF!</definedName>
    <definedName name="page\x2dtotal\x2dmaster0_1_1" localSheetId="19">#REF!</definedName>
    <definedName name="page\x2dtotal\x2dmaster0_1_1">#REF!</definedName>
    <definedName name="page\x2dtotal\x2dmaster0_2_1" localSheetId="2">'F0140'!$A$31</definedName>
    <definedName name="page\x2dtotal\x2dmaster0_2_1" localSheetId="3">'F0140'!$A$31</definedName>
    <definedName name="page\x2dtotal\x2dmaster0_2_1" localSheetId="4">'F0465'!$A$32</definedName>
    <definedName name="page\x2dtotal\x2dmaster0_2_1" localSheetId="5">'F0465'!$A$32</definedName>
    <definedName name="page\x2dtotal\x2dmaster0_2_1" localSheetId="6">'F0545'!$A$29</definedName>
    <definedName name="page\x2dtotal\x2dmaster0_2_1" localSheetId="7">'F0545'!$A$29</definedName>
    <definedName name="page\x2dtotal\x2dmaster0_2_1" localSheetId="8">'F0890'!$A$32</definedName>
    <definedName name="page\x2dtotal\x2dmaster0_2_1" localSheetId="9">'F0890'!$A$32</definedName>
    <definedName name="page\x2dtotal\x2dmaster0_2_1" localSheetId="10">'F3057'!$A$32</definedName>
    <definedName name="page\x2dtotal\x2dmaster0_2_1" localSheetId="11">#REF!</definedName>
    <definedName name="page\x2dtotal\x2dmaster0_2_1" localSheetId="12">'F3100'!$A$27</definedName>
    <definedName name="page\x2dtotal\x2dmaster0_2_1" localSheetId="13">'F3100'!$A$27</definedName>
    <definedName name="page\x2dtotal\x2dmaster0_2_1" localSheetId="14">'F3237'!$A$31</definedName>
    <definedName name="page\x2dtotal\x2dmaster0_2_1" localSheetId="15">#REF!</definedName>
    <definedName name="page\x2dtotal\x2dmaster0_2_1" localSheetId="16">'F3398'!$A$31</definedName>
    <definedName name="page\x2dtotal\x2dmaster0_2_1" localSheetId="17">'F3398'!$A$31</definedName>
    <definedName name="page\x2dtotal\x2dmaster0_2_1" localSheetId="18">'F3413'!$A$31</definedName>
    <definedName name="page\x2dtotal\x2dmaster0_2_1" localSheetId="19">'F3413'!$A$31</definedName>
    <definedName name="page\x2dtotal\x2dmaster0_2_1">'F0001'!$A$34</definedName>
    <definedName name="page\x2dtotal\x2dmaster0_3_1" localSheetId="0">#REF!</definedName>
    <definedName name="page\x2dtotal\x2dmaster0_3_1" localSheetId="2">#REF!</definedName>
    <definedName name="page\x2dtotal\x2dmaster0_3_1" localSheetId="3">#REF!</definedName>
    <definedName name="page\x2dtotal\x2dmaster0_3_1" localSheetId="4">#REF!</definedName>
    <definedName name="page\x2dtotal\x2dmaster0_3_1" localSheetId="5">#REF!</definedName>
    <definedName name="page\x2dtotal\x2dmaster0_3_1" localSheetId="6">#REF!</definedName>
    <definedName name="page\x2dtotal\x2dmaster0_3_1" localSheetId="7">#REF!</definedName>
    <definedName name="page\x2dtotal\x2dmaster0_3_1" localSheetId="8">#REF!</definedName>
    <definedName name="page\x2dtotal\x2dmaster0_3_1" localSheetId="9">#REF!</definedName>
    <definedName name="page\x2dtotal\x2dmaster0_3_1" localSheetId="10">#REF!</definedName>
    <definedName name="page\x2dtotal\x2dmaster0_3_1" localSheetId="11">#REF!</definedName>
    <definedName name="page\x2dtotal\x2dmaster0_3_1" localSheetId="12">#REF!</definedName>
    <definedName name="page\x2dtotal\x2dmaster0_3_1" localSheetId="13">#REF!</definedName>
    <definedName name="page\x2dtotal\x2dmaster0_3_1" localSheetId="14">#REF!</definedName>
    <definedName name="page\x2dtotal\x2dmaster0_3_1" localSheetId="15">#REF!</definedName>
    <definedName name="page\x2dtotal\x2dmaster0_3_1" localSheetId="16">#REF!</definedName>
    <definedName name="page\x2dtotal\x2dmaster0_3_1" localSheetId="17">#REF!</definedName>
    <definedName name="page\x2dtotal\x2dmaster0_3_1" localSheetId="18">#REF!</definedName>
    <definedName name="page\x2dtotal\x2dmaster0_3_1" localSheetId="19">#REF!</definedName>
    <definedName name="page\x2dtotal\x2dmaster0_3_1">#REF!</definedName>
    <definedName name="page\x2dtotal\x2dmaster0_4_1" localSheetId="0">#REF!</definedName>
    <definedName name="page\x2dtotal\x2dmaster0_4_1" localSheetId="2">#REF!</definedName>
    <definedName name="page\x2dtotal\x2dmaster0_4_1" localSheetId="3">#REF!</definedName>
    <definedName name="page\x2dtotal\x2dmaster0_4_1" localSheetId="4">#REF!</definedName>
    <definedName name="page\x2dtotal\x2dmaster0_4_1" localSheetId="6">#REF!</definedName>
    <definedName name="page\x2dtotal\x2dmaster0_4_1" localSheetId="8">#REF!</definedName>
    <definedName name="page\x2dtotal\x2dmaster0_4_1" localSheetId="10">#REF!</definedName>
    <definedName name="page\x2dtotal\x2dmaster0_4_1" localSheetId="12">#REF!</definedName>
    <definedName name="page\x2dtotal\x2dmaster0_4_1" localSheetId="13">#REF!</definedName>
    <definedName name="page\x2dtotal\x2dmaster0_4_1" localSheetId="14">#REF!</definedName>
    <definedName name="page\x2dtotal\x2dmaster0_4_1" localSheetId="15">#REF!</definedName>
    <definedName name="page\x2dtotal\x2dmaster0_4_1" localSheetId="16">#REF!</definedName>
    <definedName name="page\x2dtotal\x2dmaster0_4_1" localSheetId="17">#REF!</definedName>
    <definedName name="page\x2dtotal\x2dmaster0_4_1" localSheetId="19">#REF!</definedName>
    <definedName name="page\x2dtotal\x2dmaster0_4_1">#REF!</definedName>
    <definedName name="page\x2dtotal\x2dmaster0_5_1" localSheetId="0">#REF!</definedName>
    <definedName name="page\x2dtotal\x2dmaster0_5_1" localSheetId="2">#REF!</definedName>
    <definedName name="page\x2dtotal\x2dmaster0_5_1" localSheetId="3">#REF!</definedName>
    <definedName name="page\x2dtotal\x2dmaster0_5_1" localSheetId="4">#REF!</definedName>
    <definedName name="page\x2dtotal\x2dmaster0_5_1" localSheetId="6">#REF!</definedName>
    <definedName name="page\x2dtotal\x2dmaster0_5_1" localSheetId="8">#REF!</definedName>
    <definedName name="page\x2dtotal\x2dmaster0_5_1" localSheetId="10">#REF!</definedName>
    <definedName name="page\x2dtotal\x2dmaster0_5_1" localSheetId="12">#REF!</definedName>
    <definedName name="page\x2dtotal\x2dmaster0_5_1" localSheetId="13">#REF!</definedName>
    <definedName name="page\x2dtotal\x2dmaster0_5_1" localSheetId="14">#REF!</definedName>
    <definedName name="page\x2dtotal\x2dmaster0_5_1" localSheetId="15">#REF!</definedName>
    <definedName name="page\x2dtotal\x2dmaster0_5_1" localSheetId="16">#REF!</definedName>
    <definedName name="page\x2dtotal\x2dmaster0_5_1" localSheetId="17">#REF!</definedName>
    <definedName name="page\x2dtotal\x2dmaster0_5_1" localSheetId="19">#REF!</definedName>
    <definedName name="page\x2dtotal\x2dmaster0_5_1">#REF!</definedName>
    <definedName name="page\x2dtotal_1_1" localSheetId="19">#REF!</definedName>
    <definedName name="page\x2dtotal_1_1">#REF!</definedName>
    <definedName name="page\x2dtotal_2_1" localSheetId="2">'F0140'!$A$31</definedName>
    <definedName name="page\x2dtotal_2_1" localSheetId="3">'F0140'!$A$31</definedName>
    <definedName name="page\x2dtotal_2_1" localSheetId="4">'F0465'!$A$32</definedName>
    <definedName name="page\x2dtotal_2_1" localSheetId="5">'F0465'!$A$32</definedName>
    <definedName name="page\x2dtotal_2_1" localSheetId="6">'F0545'!$A$29</definedName>
    <definedName name="page\x2dtotal_2_1" localSheetId="7">'F0545'!$A$29</definedName>
    <definedName name="page\x2dtotal_2_1" localSheetId="8">'F0890'!$A$32</definedName>
    <definedName name="page\x2dtotal_2_1" localSheetId="9">'F0890'!$A$32</definedName>
    <definedName name="page\x2dtotal_2_1" localSheetId="10">'F3057'!$A$32</definedName>
    <definedName name="page\x2dtotal_2_1" localSheetId="11">#REF!</definedName>
    <definedName name="page\x2dtotal_2_1" localSheetId="12">'F3100'!$A$27</definedName>
    <definedName name="page\x2dtotal_2_1" localSheetId="13">'F3100'!$A$27</definedName>
    <definedName name="page\x2dtotal_2_1" localSheetId="14">'F3237'!$A$31</definedName>
    <definedName name="page\x2dtotal_2_1" localSheetId="15">#REF!</definedName>
    <definedName name="page\x2dtotal_2_1" localSheetId="16">'F3398'!$A$31</definedName>
    <definedName name="page\x2dtotal_2_1" localSheetId="17">'F3398'!$A$31</definedName>
    <definedName name="page\x2dtotal_2_1" localSheetId="18">'F3413'!$A$31</definedName>
    <definedName name="page\x2dtotal_2_1" localSheetId="19">'F3413'!$A$31</definedName>
    <definedName name="page\x2dtotal_2_1">'F0001'!$A$34</definedName>
    <definedName name="page\x2dtotal_3_1" localSheetId="0">#REF!</definedName>
    <definedName name="page\x2dtotal_3_1" localSheetId="2">#REF!</definedName>
    <definedName name="page\x2dtotal_3_1" localSheetId="3">#REF!</definedName>
    <definedName name="page\x2dtotal_3_1" localSheetId="4">#REF!</definedName>
    <definedName name="page\x2dtotal_3_1" localSheetId="5">#REF!</definedName>
    <definedName name="page\x2dtotal_3_1" localSheetId="6">#REF!</definedName>
    <definedName name="page\x2dtotal_3_1" localSheetId="7">#REF!</definedName>
    <definedName name="page\x2dtotal_3_1" localSheetId="8">#REF!</definedName>
    <definedName name="page\x2dtotal_3_1" localSheetId="9">#REF!</definedName>
    <definedName name="page\x2dtotal_3_1" localSheetId="10">#REF!</definedName>
    <definedName name="page\x2dtotal_3_1" localSheetId="11">#REF!</definedName>
    <definedName name="page\x2dtotal_3_1" localSheetId="12">#REF!</definedName>
    <definedName name="page\x2dtotal_3_1" localSheetId="13">#REF!</definedName>
    <definedName name="page\x2dtotal_3_1" localSheetId="14">#REF!</definedName>
    <definedName name="page\x2dtotal_3_1" localSheetId="15">#REF!</definedName>
    <definedName name="page\x2dtotal_3_1" localSheetId="16">#REF!</definedName>
    <definedName name="page\x2dtotal_3_1" localSheetId="17">#REF!</definedName>
    <definedName name="page\x2dtotal_3_1" localSheetId="18">#REF!</definedName>
    <definedName name="page\x2dtotal_3_1" localSheetId="19">#REF!</definedName>
    <definedName name="page\x2dtotal_3_1">#REF!</definedName>
    <definedName name="page\x2dtotal_4_1" localSheetId="0">#REF!</definedName>
    <definedName name="page\x2dtotal_4_1" localSheetId="2">#REF!</definedName>
    <definedName name="page\x2dtotal_4_1" localSheetId="3">#REF!</definedName>
    <definedName name="page\x2dtotal_4_1" localSheetId="4">#REF!</definedName>
    <definedName name="page\x2dtotal_4_1" localSheetId="6">#REF!</definedName>
    <definedName name="page\x2dtotal_4_1" localSheetId="8">#REF!</definedName>
    <definedName name="page\x2dtotal_4_1" localSheetId="10">#REF!</definedName>
    <definedName name="page\x2dtotal_4_1" localSheetId="12">#REF!</definedName>
    <definedName name="page\x2dtotal_4_1" localSheetId="13">#REF!</definedName>
    <definedName name="page\x2dtotal_4_1" localSheetId="14">#REF!</definedName>
    <definedName name="page\x2dtotal_4_1" localSheetId="15">#REF!</definedName>
    <definedName name="page\x2dtotal_4_1" localSheetId="16">#REF!</definedName>
    <definedName name="page\x2dtotal_4_1" localSheetId="17">#REF!</definedName>
    <definedName name="page\x2dtotal_4_1" localSheetId="19">#REF!</definedName>
    <definedName name="page\x2dtotal_4_1">#REF!</definedName>
    <definedName name="page\x2dtotal_5_1" localSheetId="0">#REF!</definedName>
    <definedName name="page\x2dtotal_5_1" localSheetId="2">#REF!</definedName>
    <definedName name="page\x2dtotal_5_1" localSheetId="3">#REF!</definedName>
    <definedName name="page\x2dtotal_5_1" localSheetId="4">#REF!</definedName>
    <definedName name="page\x2dtotal_5_1" localSheetId="6">#REF!</definedName>
    <definedName name="page\x2dtotal_5_1" localSheetId="8">#REF!</definedName>
    <definedName name="page\x2dtotal_5_1" localSheetId="10">#REF!</definedName>
    <definedName name="page\x2dtotal_5_1" localSheetId="12">#REF!</definedName>
    <definedName name="page\x2dtotal_5_1" localSheetId="13">#REF!</definedName>
    <definedName name="page\x2dtotal_5_1" localSheetId="14">#REF!</definedName>
    <definedName name="page\x2dtotal_5_1" localSheetId="15">#REF!</definedName>
    <definedName name="page\x2dtotal_5_1" localSheetId="16">#REF!</definedName>
    <definedName name="page\x2dtotal_5_1" localSheetId="17">#REF!</definedName>
    <definedName name="page\x2dtotal_5_1" localSheetId="19">#REF!</definedName>
    <definedName name="page\x2dtotal_5_1">#REF!</definedName>
    <definedName name="parenthst" localSheetId="19">#REF!</definedName>
    <definedName name="parenthst">#REF!</definedName>
    <definedName name="parentparcel" localSheetId="19">#REF!</definedName>
    <definedName name="parentparcel">#REF!</definedName>
    <definedName name="_xlnm.Print_Area" localSheetId="0">'F0001'!$A$1:$J$32</definedName>
    <definedName name="_xlnm.Print_Area" localSheetId="2">'F0140'!$A$1:$J$29</definedName>
    <definedName name="_xlnm.Print_Area" localSheetId="4">'F0465'!$A$1:$J$30</definedName>
    <definedName name="_xlnm.Print_Area" localSheetId="6">'F0545'!$A$1:$J$27</definedName>
    <definedName name="_xlnm.Print_Area" localSheetId="8">'F0890'!$A$1:$J$30</definedName>
    <definedName name="_xlnm.Print_Area" localSheetId="10">'F3057'!$A$1:$J$30</definedName>
    <definedName name="_xlnm.Print_Area" localSheetId="12">'F3100'!$A$1:$J$25</definedName>
    <definedName name="_xlnm.Print_Area" localSheetId="14">'F3237'!$A$1:$J$29</definedName>
    <definedName name="_xlnm.Print_Area" localSheetId="16">'F3398'!$A$1:$J$29</definedName>
    <definedName name="_xlnm.Print_Area" localSheetId="18">'F3413'!$A$1:$J$29</definedName>
    <definedName name="Report_5_FY_2019" localSheetId="0">#REF!</definedName>
    <definedName name="Report_5_FY_2019" localSheetId="4">#REF!</definedName>
    <definedName name="Report_5_FY_2019" localSheetId="6">#REF!</definedName>
    <definedName name="Report_5_FY_2019" localSheetId="7">#REF!</definedName>
    <definedName name="Report_5_FY_2019" localSheetId="8">#REF!</definedName>
    <definedName name="Report_5_FY_2019" localSheetId="9">#REF!</definedName>
    <definedName name="Report_5_FY_2019" localSheetId="10">#REF!</definedName>
    <definedName name="Report_5_FY_2019" localSheetId="11">#REF!</definedName>
    <definedName name="Report_5_FY_2019" localSheetId="16">#REF!</definedName>
    <definedName name="Report_5_FY_2019" localSheetId="17">#REF!</definedName>
    <definedName name="Report_5_FY_2019" localSheetId="18">#REF!</definedName>
    <definedName name="Report_5_FY_2019" localSheetId="19">#REF!</definedName>
    <definedName name="Report_5_FY_2019">#REF!</definedName>
    <definedName name="Report1Pg3o3" localSheetId="0">#REF!</definedName>
    <definedName name="Report1Pg3o3" localSheetId="4">#REF!</definedName>
    <definedName name="Report1Pg3o3" localSheetId="6">#REF!</definedName>
    <definedName name="Report1Pg3o3" localSheetId="7">#REF!</definedName>
    <definedName name="Report1Pg3o3" localSheetId="8">#REF!</definedName>
    <definedName name="Report1Pg3o3" localSheetId="9">#REF!</definedName>
    <definedName name="Report1Pg3o3" localSheetId="10">#REF!</definedName>
    <definedName name="Report1Pg3o3" localSheetId="16">#REF!</definedName>
    <definedName name="Report1Pg3o3" localSheetId="17">#REF!</definedName>
    <definedName name="Report1Pg3o3" localSheetId="18">#REF!</definedName>
    <definedName name="Report1Pg3o3">#REF!</definedName>
    <definedName name="Report1Pg6" localSheetId="0">#REF!</definedName>
    <definedName name="Report1Pg6" localSheetId="4">#REF!</definedName>
    <definedName name="Report1Pg6" localSheetId="6">#REF!</definedName>
    <definedName name="Report1Pg6" localSheetId="7">#REF!</definedName>
    <definedName name="Report1Pg6" localSheetId="8">#REF!</definedName>
    <definedName name="Report1Pg6" localSheetId="9">#REF!</definedName>
    <definedName name="Report1Pg6" localSheetId="10">#REF!</definedName>
    <definedName name="Report1Pg6" localSheetId="16">#REF!</definedName>
    <definedName name="Report1Pg6" localSheetId="17">#REF!</definedName>
    <definedName name="Report1Pg6" localSheetId="18">#REF!</definedName>
    <definedName name="Report1Pg6">#REF!</definedName>
    <definedName name="s" localSheetId="8">#REF!</definedName>
    <definedName name="s" localSheetId="14">#REF!</definedName>
    <definedName name="s" localSheetId="15">#REF!</definedName>
    <definedName name="s">#REF!</definedName>
    <definedName name="TEST0" localSheetId="0">#REF!</definedName>
    <definedName name="TEST0" localSheetId="10">#REF!</definedName>
    <definedName name="TEST0" localSheetId="14">#REF!</definedName>
    <definedName name="TEST0" localSheetId="15">#REF!</definedName>
    <definedName name="TEST0">#REF!</definedName>
    <definedName name="TEST1" localSheetId="0">'[10]SAP Data'!#REF!</definedName>
    <definedName name="TEST1" localSheetId="4">'[10]SAP Data'!#REF!</definedName>
    <definedName name="TEST1" localSheetId="6">#REF!</definedName>
    <definedName name="TEST1" localSheetId="7">#REF!</definedName>
    <definedName name="TEST1" localSheetId="8">'[10]SAP Data'!#REF!</definedName>
    <definedName name="TEST1" localSheetId="9">#REF!</definedName>
    <definedName name="TEST1" localSheetId="10">'[10]SAP Data'!#REF!</definedName>
    <definedName name="TEST1" localSheetId="11">#REF!</definedName>
    <definedName name="TEST1" localSheetId="14">#REF!</definedName>
    <definedName name="TEST1" localSheetId="15">#REF!</definedName>
    <definedName name="TEST1" localSheetId="16">#REF!</definedName>
    <definedName name="TEST1" localSheetId="17">#REF!</definedName>
    <definedName name="TEST1" localSheetId="18">#REF!</definedName>
    <definedName name="TEST1" localSheetId="19">#REF!</definedName>
    <definedName name="TEST1">#REF!</definedName>
    <definedName name="TEST10" localSheetId="8">#REF!</definedName>
    <definedName name="TEST10" localSheetId="9">#REF!</definedName>
    <definedName name="TEST10">#REF!</definedName>
    <definedName name="TEST11" localSheetId="8">#REF!</definedName>
    <definedName name="TEST11" localSheetId="9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 localSheetId="0">'[10]SAP Data'!#REF!</definedName>
    <definedName name="TEST2" localSheetId="4">'[10]SAP Data'!#REF!</definedName>
    <definedName name="TEST2" localSheetId="6">#REF!</definedName>
    <definedName name="TEST2" localSheetId="7">#REF!</definedName>
    <definedName name="TEST2" localSheetId="8">'[10]SAP Data'!#REF!</definedName>
    <definedName name="TEST2" localSheetId="9">#REF!</definedName>
    <definedName name="TEST2" localSheetId="10">'[10]SAP Data'!#REF!</definedName>
    <definedName name="TEST2" localSheetId="11">#REF!</definedName>
    <definedName name="TEST2" localSheetId="14">#REF!</definedName>
    <definedName name="TEST2" localSheetId="15">#REF!</definedName>
    <definedName name="TEST2" localSheetId="16">#REF!</definedName>
    <definedName name="TEST2" localSheetId="17">#REF!</definedName>
    <definedName name="TEST2" localSheetId="18">#REF!</definedName>
    <definedName name="TEST2" localSheetId="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 localSheetId="0">#REF!</definedName>
    <definedName name="TEST3" localSheetId="4">#REF!</definedName>
    <definedName name="TEST3" localSheetId="5">#REF!</definedName>
    <definedName name="TEST3" localSheetId="8">#REF!</definedName>
    <definedName name="TEST3" localSheetId="9">#REF!</definedName>
    <definedName name="TEST3" localSheetId="10">#REF!</definedName>
    <definedName name="TEST3" localSheetId="11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4" localSheetId="0">#REF!</definedName>
    <definedName name="TEST4" localSheetId="4">#REF!</definedName>
    <definedName name="TEST4" localSheetId="8">#REF!</definedName>
    <definedName name="TEST4" localSheetId="10">#REF!</definedName>
    <definedName name="TEST4">#REF!</definedName>
    <definedName name="TEST5" localSheetId="0">#REF!</definedName>
    <definedName name="TEST5" localSheetId="4">#REF!</definedName>
    <definedName name="TEST5" localSheetId="8">#REF!</definedName>
    <definedName name="TEST5" localSheetId="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8">#REF!</definedName>
    <definedName name="TESTHKEY" localSheetId="10">#REF!</definedName>
    <definedName name="TESTHKEY">#REF!</definedName>
    <definedName name="TESTKEYS" localSheetId="0">#REF!</definedName>
    <definedName name="TESTKEYS" localSheetId="8">#REF!</definedName>
    <definedName name="TESTKEYS" localSheetId="10">#REF!</definedName>
    <definedName name="TESTKEYS">#REF!</definedName>
    <definedName name="TESTVKEY" localSheetId="8">#REF!</definedName>
    <definedName name="TESTVKEY" localSheetId="10">#REF!</definedName>
    <definedName name="TESTVKEY">#REF!</definedName>
    <definedName name="title" localSheetId="8">#REF!</definedName>
    <definedName name="title">#REF!</definedName>
    <definedName name="X">#REF!</definedName>
    <definedName name="XXXX" localSheetId="18">#REF!</definedName>
    <definedName name="XXXX" localSheetId="19">#REF!</definedName>
    <definedName name="XXXX">#REF!</definedName>
    <definedName name="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21" l="1"/>
  <c r="V13" i="21"/>
  <c r="V14" i="21"/>
  <c r="V15" i="21"/>
  <c r="V16" i="21"/>
  <c r="V17" i="21"/>
  <c r="V19" i="21"/>
  <c r="V20" i="21"/>
  <c r="V21" i="21"/>
  <c r="V22" i="21"/>
  <c r="V23" i="21"/>
  <c r="I24" i="21"/>
  <c r="I31" i="21" s="1"/>
  <c r="V24" i="21"/>
  <c r="V25" i="21"/>
  <c r="I26" i="21"/>
  <c r="V26" i="21"/>
  <c r="V27" i="21"/>
  <c r="I28" i="21"/>
  <c r="V28" i="21"/>
  <c r="V29" i="21"/>
  <c r="V30" i="21"/>
  <c r="E31" i="21"/>
  <c r="G31" i="21"/>
  <c r="K31" i="21"/>
  <c r="M31" i="21"/>
  <c r="O31" i="21"/>
  <c r="Q31" i="21"/>
  <c r="S31" i="21"/>
  <c r="T31" i="21"/>
  <c r="J16" i="20"/>
  <c r="J17" i="20"/>
  <c r="J20" i="20"/>
  <c r="J21" i="20"/>
  <c r="J22" i="20"/>
  <c r="J23" i="20"/>
  <c r="J24" i="20"/>
  <c r="J27" i="20" s="1"/>
  <c r="E27" i="20"/>
  <c r="G27" i="20"/>
  <c r="H27" i="20"/>
  <c r="V31" i="21" l="1"/>
  <c r="I12" i="19"/>
  <c r="V12" i="19"/>
  <c r="I13" i="19"/>
  <c r="V13" i="19"/>
  <c r="I14" i="19"/>
  <c r="V14" i="19"/>
  <c r="I15" i="19"/>
  <c r="V15" i="19"/>
  <c r="I16" i="19"/>
  <c r="V16" i="19"/>
  <c r="I17" i="19"/>
  <c r="V17" i="19"/>
  <c r="I19" i="19"/>
  <c r="V19" i="19"/>
  <c r="I20" i="19"/>
  <c r="V20" i="19"/>
  <c r="I21" i="19"/>
  <c r="V21" i="19"/>
  <c r="I22" i="19"/>
  <c r="V22" i="19"/>
  <c r="I23" i="19"/>
  <c r="V23" i="19"/>
  <c r="I24" i="19"/>
  <c r="V24" i="19"/>
  <c r="I25" i="19"/>
  <c r="V25" i="19"/>
  <c r="I26" i="19"/>
  <c r="V26" i="19"/>
  <c r="I27" i="19"/>
  <c r="V27" i="19"/>
  <c r="I28" i="19"/>
  <c r="V28" i="19"/>
  <c r="I29" i="19"/>
  <c r="V29" i="19"/>
  <c r="I30" i="19"/>
  <c r="V30" i="19"/>
  <c r="E31" i="19"/>
  <c r="G31" i="19"/>
  <c r="I31" i="19"/>
  <c r="K31" i="19"/>
  <c r="M31" i="19"/>
  <c r="O31" i="19"/>
  <c r="Q31" i="19"/>
  <c r="S31" i="19"/>
  <c r="T31" i="19"/>
  <c r="J16" i="18"/>
  <c r="J17" i="18"/>
  <c r="J20" i="18"/>
  <c r="J21" i="18"/>
  <c r="J22" i="18"/>
  <c r="J23" i="18"/>
  <c r="J27" i="18" s="1"/>
  <c r="J24" i="18"/>
  <c r="E27" i="18"/>
  <c r="G27" i="18"/>
  <c r="H27" i="18"/>
  <c r="V12" i="17"/>
  <c r="V13" i="17"/>
  <c r="V14" i="17"/>
  <c r="V15" i="17"/>
  <c r="V16" i="17"/>
  <c r="V17" i="17"/>
  <c r="V19" i="17"/>
  <c r="V20" i="17"/>
  <c r="V21" i="17"/>
  <c r="V22" i="17"/>
  <c r="V23" i="17"/>
  <c r="I24" i="17"/>
  <c r="V24" i="17"/>
  <c r="V25" i="17"/>
  <c r="I26" i="17"/>
  <c r="V26" i="17"/>
  <c r="V27" i="17"/>
  <c r="I28" i="17"/>
  <c r="V28" i="17"/>
  <c r="V29" i="17"/>
  <c r="V30" i="17"/>
  <c r="E31" i="17"/>
  <c r="G31" i="17"/>
  <c r="I31" i="17"/>
  <c r="K31" i="17"/>
  <c r="M31" i="17"/>
  <c r="O31" i="17"/>
  <c r="Q31" i="17"/>
  <c r="S31" i="17"/>
  <c r="T31" i="17"/>
  <c r="J16" i="16"/>
  <c r="J17" i="16"/>
  <c r="J20" i="16"/>
  <c r="J21" i="16"/>
  <c r="J22" i="16"/>
  <c r="J23" i="16"/>
  <c r="J24" i="16"/>
  <c r="E27" i="16"/>
  <c r="G27" i="16"/>
  <c r="H27" i="16"/>
  <c r="J27" i="16"/>
  <c r="V12" i="15"/>
  <c r="V13" i="15"/>
  <c r="V14" i="15"/>
  <c r="I15" i="15"/>
  <c r="V15" i="15"/>
  <c r="V16" i="15"/>
  <c r="V17" i="15"/>
  <c r="V30" i="15" s="1"/>
  <c r="I19" i="15"/>
  <c r="I30" i="15" s="1"/>
  <c r="V19" i="15"/>
  <c r="V20" i="15"/>
  <c r="V21" i="15"/>
  <c r="V22" i="15"/>
  <c r="V23" i="15"/>
  <c r="I24" i="15"/>
  <c r="V24" i="15"/>
  <c r="V25" i="15"/>
  <c r="V26" i="15"/>
  <c r="V27" i="15"/>
  <c r="V28" i="15"/>
  <c r="V29" i="15"/>
  <c r="E30" i="15"/>
  <c r="G30" i="15"/>
  <c r="K30" i="15"/>
  <c r="M30" i="15"/>
  <c r="O30" i="15"/>
  <c r="Q30" i="15"/>
  <c r="S30" i="15"/>
  <c r="T30" i="15"/>
  <c r="J17" i="14"/>
  <c r="J20" i="14"/>
  <c r="J21" i="14"/>
  <c r="E23" i="14"/>
  <c r="H23" i="14"/>
  <c r="V12" i="13"/>
  <c r="V13" i="13"/>
  <c r="V14" i="13"/>
  <c r="V15" i="13"/>
  <c r="V16" i="13"/>
  <c r="V17" i="13"/>
  <c r="V19" i="13"/>
  <c r="V20" i="13"/>
  <c r="V21" i="13"/>
  <c r="V22" i="13"/>
  <c r="V23" i="13"/>
  <c r="I24" i="13"/>
  <c r="T24" i="13" s="1"/>
  <c r="V25" i="13"/>
  <c r="I26" i="13"/>
  <c r="S26" i="13" s="1"/>
  <c r="V27" i="13"/>
  <c r="I28" i="13"/>
  <c r="V28" i="13"/>
  <c r="V29" i="13"/>
  <c r="V30" i="13"/>
  <c r="E31" i="13"/>
  <c r="G31" i="13"/>
  <c r="K31" i="13"/>
  <c r="M31" i="13"/>
  <c r="O31" i="13"/>
  <c r="Q31" i="13"/>
  <c r="J16" i="12"/>
  <c r="J17" i="12"/>
  <c r="J18" i="12"/>
  <c r="J21" i="12"/>
  <c r="J22" i="12"/>
  <c r="J23" i="12"/>
  <c r="J24" i="12"/>
  <c r="J25" i="12"/>
  <c r="E28" i="12"/>
  <c r="G28" i="12"/>
  <c r="H28" i="12"/>
  <c r="J28" i="12"/>
  <c r="V31" i="19" l="1"/>
  <c r="V31" i="17"/>
  <c r="V24" i="13"/>
  <c r="T31" i="13"/>
  <c r="V26" i="13"/>
  <c r="S31" i="13"/>
  <c r="V31" i="13"/>
  <c r="I31" i="13"/>
  <c r="V12" i="11"/>
  <c r="V13" i="11"/>
  <c r="V14" i="11"/>
  <c r="V15" i="11"/>
  <c r="V16" i="11"/>
  <c r="V17" i="11"/>
  <c r="V19" i="11"/>
  <c r="V20" i="11"/>
  <c r="V21" i="11"/>
  <c r="V22" i="11"/>
  <c r="V23" i="11"/>
  <c r="V24" i="11"/>
  <c r="I25" i="11"/>
  <c r="I31" i="11" s="1"/>
  <c r="T25" i="11"/>
  <c r="V25" i="11" s="1"/>
  <c r="V26" i="11"/>
  <c r="I27" i="11"/>
  <c r="S27" i="11" s="1"/>
  <c r="I28" i="11"/>
  <c r="V28" i="11"/>
  <c r="V29" i="11"/>
  <c r="V30" i="11"/>
  <c r="E31" i="11"/>
  <c r="G31" i="11"/>
  <c r="K31" i="11"/>
  <c r="M31" i="11"/>
  <c r="O31" i="11"/>
  <c r="Q31" i="11"/>
  <c r="J16" i="10"/>
  <c r="J17" i="10"/>
  <c r="J18" i="10"/>
  <c r="J21" i="10"/>
  <c r="J22" i="10"/>
  <c r="J23" i="10"/>
  <c r="J24" i="10"/>
  <c r="J25" i="10"/>
  <c r="E28" i="10"/>
  <c r="G28" i="10"/>
  <c r="H28" i="10"/>
  <c r="J28" i="10"/>
  <c r="T31" i="11" l="1"/>
  <c r="V27" i="11"/>
  <c r="V31" i="11" s="1"/>
  <c r="S31" i="11"/>
  <c r="A1" i="9"/>
  <c r="V12" i="9"/>
  <c r="V13" i="9"/>
  <c r="V14" i="9"/>
  <c r="V15" i="9"/>
  <c r="V16" i="9"/>
  <c r="V17" i="9"/>
  <c r="V19" i="9"/>
  <c r="V20" i="9"/>
  <c r="V21" i="9"/>
  <c r="V22" i="9"/>
  <c r="V23" i="9"/>
  <c r="I24" i="9"/>
  <c r="V24" i="9"/>
  <c r="I25" i="9"/>
  <c r="V25" i="9"/>
  <c r="V26" i="9"/>
  <c r="V27" i="9"/>
  <c r="V28" i="9"/>
  <c r="V29" i="9"/>
  <c r="E30" i="9"/>
  <c r="G30" i="9"/>
  <c r="I30" i="9"/>
  <c r="K30" i="9"/>
  <c r="M30" i="9"/>
  <c r="O30" i="9"/>
  <c r="Q30" i="9"/>
  <c r="S30" i="9"/>
  <c r="T30" i="9"/>
  <c r="A3" i="8"/>
  <c r="J16" i="8"/>
  <c r="J17" i="8"/>
  <c r="J25" i="8" s="1"/>
  <c r="J20" i="8"/>
  <c r="J21" i="8"/>
  <c r="J22" i="8"/>
  <c r="E25" i="8"/>
  <c r="G25" i="8"/>
  <c r="H25" i="8"/>
  <c r="V30" i="9" l="1"/>
  <c r="V12" i="7"/>
  <c r="V13" i="7"/>
  <c r="V14" i="7"/>
  <c r="I15" i="7"/>
  <c r="I31" i="7" s="1"/>
  <c r="V15" i="7"/>
  <c r="V16" i="7"/>
  <c r="V17" i="7"/>
  <c r="V19" i="7"/>
  <c r="V20" i="7"/>
  <c r="V21" i="7"/>
  <c r="V22" i="7"/>
  <c r="V23" i="7"/>
  <c r="I24" i="7"/>
  <c r="T24" i="7"/>
  <c r="T31" i="7" s="1"/>
  <c r="V25" i="7"/>
  <c r="I26" i="7"/>
  <c r="S26" i="7" s="1"/>
  <c r="V26" i="7" s="1"/>
  <c r="V27" i="7"/>
  <c r="I28" i="7"/>
  <c r="V28" i="7"/>
  <c r="V29" i="7"/>
  <c r="V30" i="7"/>
  <c r="E31" i="7"/>
  <c r="G31" i="7"/>
  <c r="K31" i="7"/>
  <c r="M31" i="7"/>
  <c r="O31" i="7"/>
  <c r="Q31" i="7"/>
  <c r="J16" i="6"/>
  <c r="J17" i="6"/>
  <c r="J18" i="6"/>
  <c r="J21" i="6"/>
  <c r="J22" i="6"/>
  <c r="J23" i="6"/>
  <c r="J24" i="6"/>
  <c r="J28" i="6" s="1"/>
  <c r="J25" i="6"/>
  <c r="E28" i="6"/>
  <c r="G28" i="6"/>
  <c r="H28" i="6"/>
  <c r="I12" i="5"/>
  <c r="V12" i="5"/>
  <c r="I13" i="5"/>
  <c r="V13" i="5"/>
  <c r="I14" i="5"/>
  <c r="V14" i="5"/>
  <c r="I15" i="5"/>
  <c r="V15" i="5"/>
  <c r="I16" i="5"/>
  <c r="V16" i="5"/>
  <c r="I17" i="5"/>
  <c r="V17" i="5"/>
  <c r="I19" i="5"/>
  <c r="V19" i="5"/>
  <c r="I20" i="5"/>
  <c r="V20" i="5"/>
  <c r="I21" i="5"/>
  <c r="V21" i="5"/>
  <c r="I22" i="5"/>
  <c r="V22" i="5"/>
  <c r="I23" i="5"/>
  <c r="V23" i="5"/>
  <c r="I24" i="5"/>
  <c r="V24" i="5"/>
  <c r="I25" i="5"/>
  <c r="V25" i="5"/>
  <c r="I26" i="5"/>
  <c r="V26" i="5"/>
  <c r="I27" i="5"/>
  <c r="V27" i="5"/>
  <c r="I28" i="5"/>
  <c r="V28" i="5"/>
  <c r="I29" i="5"/>
  <c r="V29" i="5"/>
  <c r="V30" i="5"/>
  <c r="E31" i="5"/>
  <c r="G31" i="5"/>
  <c r="K31" i="5"/>
  <c r="M31" i="5"/>
  <c r="O31" i="5"/>
  <c r="Q31" i="5"/>
  <c r="S31" i="5"/>
  <c r="T31" i="5"/>
  <c r="J16" i="4"/>
  <c r="J17" i="4"/>
  <c r="J20" i="4"/>
  <c r="J21" i="4"/>
  <c r="J27" i="4" s="1"/>
  <c r="J22" i="4"/>
  <c r="J23" i="4"/>
  <c r="J24" i="4"/>
  <c r="E27" i="4"/>
  <c r="G27" i="4"/>
  <c r="H27" i="4"/>
  <c r="S31" i="7" l="1"/>
  <c r="V24" i="7"/>
  <c r="V31" i="7" s="1"/>
  <c r="I31" i="5"/>
  <c r="V31" i="5"/>
  <c r="V12" i="3" l="1"/>
  <c r="V13" i="3"/>
  <c r="V14" i="3"/>
  <c r="V15" i="3"/>
  <c r="V16" i="3"/>
  <c r="V17" i="3"/>
  <c r="V19" i="3"/>
  <c r="V20" i="3"/>
  <c r="V21" i="3"/>
  <c r="V22" i="3"/>
  <c r="V23" i="3"/>
  <c r="I24" i="3"/>
  <c r="T24" i="3" s="1"/>
  <c r="V25" i="3"/>
  <c r="I26" i="3"/>
  <c r="I31" i="3" s="1"/>
  <c r="S26" i="3"/>
  <c r="V26" i="3" s="1"/>
  <c r="V27" i="3"/>
  <c r="I28" i="3"/>
  <c r="V28" i="3"/>
  <c r="V29" i="3"/>
  <c r="V30" i="3"/>
  <c r="E31" i="3"/>
  <c r="G31" i="3"/>
  <c r="K31" i="3"/>
  <c r="M31" i="3"/>
  <c r="O31" i="3"/>
  <c r="Q31" i="3"/>
  <c r="J16" i="2"/>
  <c r="J30" i="2" s="1"/>
  <c r="J17" i="2"/>
  <c r="J18" i="2"/>
  <c r="J19" i="2"/>
  <c r="J22" i="2"/>
  <c r="J23" i="2"/>
  <c r="J24" i="2"/>
  <c r="J25" i="2"/>
  <c r="J26" i="2"/>
  <c r="J27" i="2"/>
  <c r="E30" i="2"/>
  <c r="G30" i="2"/>
  <c r="H30" i="2"/>
  <c r="V24" i="3" l="1"/>
  <c r="V31" i="3" s="1"/>
  <c r="T31" i="3"/>
  <c r="S31" i="3"/>
</calcChain>
</file>

<file path=xl/sharedStrings.xml><?xml version="1.0" encoding="utf-8"?>
<sst xmlns="http://schemas.openxmlformats.org/spreadsheetml/2006/main" count="865" uniqueCount="131">
  <si>
    <t>0001</t>
  </si>
  <si>
    <t>Fund:</t>
  </si>
  <si>
    <r>
      <rPr>
        <sz val="11"/>
        <color theme="1"/>
        <rFont val="Calibri"/>
        <family val="2"/>
      </rPr>
      <t>2422</t>
    </r>
    <r>
      <rPr>
        <sz val="10"/>
        <color theme="1"/>
        <rFont val="Arial"/>
        <family val="2"/>
      </rPr>
      <t xml:space="preserve"> - Land Use Rights - Non-Amorti</t>
    </r>
  </si>
  <si>
    <t xml:space="preserve">2418 - Right-to-Use SBITA - Amortizable </t>
  </si>
  <si>
    <r>
      <t>2416</t>
    </r>
    <r>
      <rPr>
        <sz val="10"/>
        <color theme="1"/>
        <rFont val="Arial"/>
        <family val="2"/>
      </rPr>
      <t xml:space="preserve"> - Right-to-Use Leased Buildings - Amortizable</t>
    </r>
  </si>
  <si>
    <r>
      <rPr>
        <sz val="11"/>
        <color theme="1"/>
        <rFont val="Calibri"/>
        <family val="2"/>
      </rPr>
      <t>2414</t>
    </r>
    <r>
      <rPr>
        <sz val="10"/>
        <color theme="1"/>
        <rFont val="Arial"/>
        <family val="2"/>
      </rPr>
      <t xml:space="preserve"> - Other Intangible Assets-Amorti</t>
    </r>
  </si>
  <si>
    <r>
      <rPr>
        <sz val="11"/>
        <color theme="1"/>
        <rFont val="Calibri"/>
        <family val="2"/>
      </rPr>
      <t>2412</t>
    </r>
    <r>
      <rPr>
        <sz val="10"/>
        <color theme="1"/>
        <rFont val="Arial"/>
        <family val="2"/>
      </rPr>
      <t xml:space="preserve"> - Land Use Rights - Amortizable</t>
    </r>
  </si>
  <si>
    <r>
      <rPr>
        <sz val="11"/>
        <color theme="1"/>
        <rFont val="Calibri"/>
        <family val="2"/>
      </rPr>
      <t>2411</t>
    </r>
    <r>
      <rPr>
        <sz val="10"/>
        <color theme="1"/>
        <rFont val="Arial"/>
        <family val="2"/>
      </rPr>
      <t xml:space="preserve"> - Computer Software - Amortizable</t>
    </r>
  </si>
  <si>
    <t>Intangible Assets</t>
  </si>
  <si>
    <r>
      <rPr>
        <sz val="11"/>
        <color theme="1"/>
        <rFont val="Calibri"/>
        <family val="2"/>
      </rPr>
      <t>2350</t>
    </r>
    <r>
      <rPr>
        <sz val="10"/>
        <color theme="1"/>
        <rFont val="Arial"/>
        <family val="2"/>
      </rPr>
      <t xml:space="preserve"> - Construction Work in Progress</t>
    </r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</si>
  <si>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 </t>
    </r>
  </si>
  <si>
    <r>
      <rPr>
        <sz val="11"/>
        <color theme="1"/>
        <rFont val="Calibri"/>
        <family val="2"/>
      </rPr>
      <t>2321</t>
    </r>
    <r>
      <rPr>
        <sz val="10"/>
        <color theme="1"/>
        <rFont val="Arial"/>
        <family val="2"/>
      </rPr>
      <t xml:space="preserve"> - Buildings</t>
    </r>
  </si>
  <si>
    <r>
      <rPr>
        <sz val="11"/>
        <color theme="1"/>
        <rFont val="Calibri"/>
        <family val="2"/>
      </rPr>
      <t>2310</t>
    </r>
    <r>
      <rPr>
        <sz val="10"/>
        <color theme="1"/>
        <rFont val="Arial"/>
        <family val="2"/>
      </rPr>
      <t xml:space="preserve"> - Land</t>
    </r>
  </si>
  <si>
    <t>Tangible Assets</t>
  </si>
  <si>
    <t>Ending Balance</t>
  </si>
  <si>
    <t>Deductions</t>
  </si>
  <si>
    <t>Additions</t>
  </si>
  <si>
    <t>Beginning Balance</t>
  </si>
  <si>
    <t>Account – Description</t>
  </si>
  <si>
    <t xml:space="preserve">  </t>
  </si>
  <si>
    <t>0001 - General Fund</t>
  </si>
  <si>
    <t>3860 - Department of Water Resources</t>
  </si>
  <si>
    <t>Business Unit:</t>
  </si>
  <si>
    <t>As of 06/30/2024</t>
  </si>
  <si>
    <t>Fiscal Year 2023-24</t>
  </si>
  <si>
    <t>General Fund (0001)</t>
  </si>
  <si>
    <t>Department of Water Resources (3860)</t>
  </si>
  <si>
    <t>REPORT 18 – STATEMENT OF CHANGES IN CAPITAL ASSETS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</si>
  <si>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</si>
  <si>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Compute the sum of columns 4 to 8. The amount should agree with the computed difference in column 3.</t>
  </si>
  <si>
    <t>Col. 10 -</t>
  </si>
  <si>
    <t>Breakdown and categorize the differences in columns 4 to 9.</t>
  </si>
  <si>
    <t>Col. 4 - 9</t>
  </si>
  <si>
    <t>Research posting and source documents to identify and explain the difference.</t>
  </si>
  <si>
    <t>Compute difference between current year beginning balance and prior year ending balance.</t>
  </si>
  <si>
    <t>Col. 3 -</t>
  </si>
  <si>
    <t>Enter Beginning Balance from Current Year Report 18.</t>
  </si>
  <si>
    <t>Col. 2 -</t>
  </si>
  <si>
    <t>Enter Ending Balance from Prior Year Report 18.</t>
  </si>
  <si>
    <t>Col. 1 -</t>
  </si>
  <si>
    <t>Report Instructions:</t>
  </si>
  <si>
    <t>Total</t>
  </si>
  <si>
    <t>Internally Generated Intangible Assets in Progress</t>
  </si>
  <si>
    <t>Other Intangible Assets - Non-Amortizable</t>
  </si>
  <si>
    <t>Patents, Copyrights, and Trademarks - Non-Amortizable</t>
  </si>
  <si>
    <t>Land Use Rights - Non-Amortizable</t>
  </si>
  <si>
    <t>Right-to-Use SBITA - Amortizable</t>
  </si>
  <si>
    <t>Right-to-Use Leased Equipment - Amortizable</t>
  </si>
  <si>
    <t>Right-to-Use Leased Buildings - Amortizable</t>
  </si>
  <si>
    <t>Right-to-Use Leased Land - Amortizable</t>
  </si>
  <si>
    <t>Other Intangible Assets - Amortizable</t>
  </si>
  <si>
    <t>Patents, Copyrights, and Trademarks - Amortizable</t>
  </si>
  <si>
    <t>Land Use Rights - Amortizable</t>
  </si>
  <si>
    <t>Computer Software - Amortizable</t>
  </si>
  <si>
    <t>Infrastructure - Depreciable</t>
  </si>
  <si>
    <t>Construction Work in Progress</t>
  </si>
  <si>
    <t>Equipment</t>
  </si>
  <si>
    <t>Improvements Other Than Buildings</t>
  </si>
  <si>
    <t>Buildings</t>
  </si>
  <si>
    <t>Land</t>
  </si>
  <si>
    <r>
      <t xml:space="preserve">Restatement Amount 
</t>
    </r>
    <r>
      <rPr>
        <sz val="11"/>
        <color theme="1"/>
        <rFont val="Calibri"/>
        <family val="2"/>
      </rPr>
      <t>(should agree to the difference calculated)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</si>
  <si>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87 - 
Year over Year Cost Allocation Percentage Difference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</si>
  <si>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96 - 
Year over Year Cost Allocation Percentage Difference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</si>
  <si>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
</t>
    </r>
    <r>
      <rPr>
        <b/>
        <u/>
        <sz val="8"/>
        <color theme="1"/>
        <rFont val="Aptos Narrow"/>
        <family val="2"/>
        <scheme val="minor"/>
      </rPr>
      <t>prior year asset classification was incorrect</t>
    </r>
  </si>
  <si>
    <r>
      <t xml:space="preserve">Transfers from other departments
</t>
    </r>
    <r>
      <rPr>
        <sz val="11"/>
        <color theme="1"/>
        <rFont val="Calibri"/>
        <family val="2"/>
      </rPr>
      <t>(at historical cost/book value)</t>
    </r>
  </si>
  <si>
    <t>Non-capitalizable assets reported as capital assets in the prior year</t>
  </si>
  <si>
    <t>Assets unreported in the prior year</t>
  </si>
  <si>
    <t>Difference</t>
  </si>
  <si>
    <t>Current Year Beginning Balance</t>
  </si>
  <si>
    <t>Prior Year Ending Balance</t>
  </si>
  <si>
    <t>(10)</t>
  </si>
  <si>
    <t>(9)</t>
  </si>
  <si>
    <t>(8)</t>
  </si>
  <si>
    <t>(7)</t>
  </si>
  <si>
    <t>(6)</t>
  </si>
  <si>
    <t>(5)</t>
  </si>
  <si>
    <t>(4)</t>
  </si>
  <si>
    <t>(3)</t>
  </si>
  <si>
    <t>(2)</t>
  </si>
  <si>
    <t>(1)</t>
  </si>
  <si>
    <t>Breakdown of Difference:</t>
  </si>
  <si>
    <t>As of June 30, 2024</t>
  </si>
  <si>
    <t>Beginning Balance Differential Report</t>
  </si>
  <si>
    <t>Statement of Changes in Capital Assets Group of Accounts - Report 18</t>
  </si>
  <si>
    <t>Fund#</t>
  </si>
  <si>
    <t>2418 - Right-to-Use SBITA - Amortizable</t>
  </si>
  <si>
    <t>2416 - Right-to-Use Leased Buildings - Amortizable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</si>
  <si>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</si>
  <si>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</t>
    </r>
  </si>
  <si>
    <t>0140 - California Encironmental License Plate Fund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</si>
  <si>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</t>
    </r>
  </si>
  <si>
    <t>California Environmental License Plate Fund (0140)</t>
  </si>
  <si>
    <t>California License Plate Fund (0140)</t>
  </si>
  <si>
    <t>Department Name (BU#)</t>
  </si>
  <si>
    <t>0465</t>
  </si>
  <si>
    <t>0465 - Energy Resources Programs Account</t>
  </si>
  <si>
    <t>Energy Resources Programs Account (0465)</t>
  </si>
  <si>
    <t>0545000</t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</si>
  <si>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Right-to-Use Leased Buildings - Amortizable</t>
    </r>
  </si>
  <si>
    <t>2341 - Equipment</t>
  </si>
  <si>
    <t>Run Date:</t>
  </si>
  <si>
    <t>0545000 - River Parkway Subaccount</t>
  </si>
  <si>
    <t>River Parkway Subaccount (0545000)</t>
  </si>
  <si>
    <t>0890</t>
  </si>
  <si>
    <t>0890 - Federal Trust Fund</t>
  </si>
  <si>
    <t>Federal Trust Fund (0890)</t>
  </si>
  <si>
    <t>3057</t>
  </si>
  <si>
    <t>3057 - Dam Safety Fund</t>
  </si>
  <si>
    <t>Dam Safety Fund (3057)</t>
  </si>
  <si>
    <t>2340 - Equipment</t>
  </si>
  <si>
    <t>3100 - Electric Power Fund</t>
  </si>
  <si>
    <t>Electric Power Fund (3100)</t>
  </si>
  <si>
    <t>Other Intangible Assets - Amortizable (Right-to-Use SBITA)</t>
  </si>
  <si>
    <t xml:space="preserve">Computer Software - Amortizable </t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</si>
  <si>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87 FY 2021-2022 implementation beginning balance adjustment.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</si>
  <si>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incorrect entry was made in current year balance</t>
    </r>
  </si>
  <si>
    <r>
      <t>2418</t>
    </r>
    <r>
      <rPr>
        <sz val="10"/>
        <color theme="1"/>
        <rFont val="Arial"/>
        <family val="2"/>
      </rPr>
      <t xml:space="preserve"> - Right-to-Use SBITA - Amortizable</t>
    </r>
  </si>
  <si>
    <t>3237 - Cost of Implementation Account, Air Pollution Control Fund</t>
  </si>
  <si>
    <t>COST OF IMPLEMENTATION, AIR POLLUTION CONTROL FUND (3237)</t>
  </si>
  <si>
    <t>DEPARTMENT OF WATER RESOURCES (3860)</t>
  </si>
  <si>
    <t>COST OF IMPLENTATION ACCOUNT, AIR POLLUTION CONTROL FUND (3237)</t>
  </si>
  <si>
    <t>3398 - California Emergency Relief Fund</t>
  </si>
  <si>
    <t>California Emergency Relief Fund (3398000)</t>
  </si>
  <si>
    <r>
      <t xml:space="preserve">Restatement Amount 
</t>
    </r>
    <r>
      <rPr>
        <sz val="11"/>
        <color theme="1"/>
        <rFont val="Aptos Narrow"/>
        <family val="2"/>
        <scheme val="minor"/>
      </rPr>
      <t>(should agree to the difference calculated)</t>
    </r>
  </si>
  <si>
    <r>
      <t xml:space="preserve">Other amounts that make up the difference </t>
    </r>
    <r>
      <rPr>
        <sz val="11"/>
        <color theme="1"/>
        <rFont val="Aptos Narrow"/>
        <family val="2"/>
        <scheme val="minor"/>
      </rPr>
      <t xml:space="preserve">(provide description):   </t>
    </r>
    <r>
      <rPr>
        <b/>
        <u/>
        <sz val="8"/>
        <color theme="1"/>
        <rFont val="Aptos Narrow"/>
        <family val="2"/>
        <scheme val="minor"/>
      </rPr>
      <t>GASB 87 - 
Year over Year Cost Allocation Percentage Difference</t>
    </r>
  </si>
  <si>
    <r>
      <t xml:space="preserve">Other amounts that make up the difference </t>
    </r>
    <r>
      <rPr>
        <sz val="11"/>
        <color theme="1"/>
        <rFont val="Aptos Narrow"/>
        <family val="2"/>
        <scheme val="minor"/>
      </rPr>
      <t xml:space="preserve">(provide description):   </t>
    </r>
    <r>
      <rPr>
        <b/>
        <u/>
        <sz val="8"/>
        <color theme="1"/>
        <rFont val="Aptos Narrow"/>
        <family val="2"/>
        <scheme val="minor"/>
      </rPr>
      <t>GASB 96 - 
Year over Year Cost Allocation Percentage Difference</t>
    </r>
  </si>
  <si>
    <r>
      <t xml:space="preserve">Other amounts that make up the difference </t>
    </r>
    <r>
      <rPr>
        <sz val="11"/>
        <color theme="1"/>
        <rFont val="Aptos Narrow"/>
        <family val="2"/>
        <scheme val="minor"/>
      </rPr>
      <t xml:space="preserve">(provide description): 
</t>
    </r>
    <r>
      <rPr>
        <b/>
        <u/>
        <sz val="8"/>
        <color theme="1"/>
        <rFont val="Aptos Narrow"/>
        <family val="2"/>
        <scheme val="minor"/>
      </rPr>
      <t>prior year asset classification was incorrect</t>
    </r>
  </si>
  <si>
    <r>
      <t xml:space="preserve">Transfers from other departments
</t>
    </r>
    <r>
      <rPr>
        <sz val="11"/>
        <color theme="1"/>
        <rFont val="Aptos Narrow"/>
        <family val="2"/>
        <scheme val="minor"/>
      </rPr>
      <t>(at historical cost/book value)</t>
    </r>
  </si>
  <si>
    <t>3413</t>
  </si>
  <si>
    <t>3413 - Diablo Canyon Extension Fund</t>
  </si>
  <si>
    <t>Diablo Canyon Extension Fund (3413000)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</si>
</sst>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u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</cellStyleXfs>
  <cellXfs count="209">
    <xf numFmtId="0" fontId="0" fillId="0" borderId="0" xfId="0"/>
    <xf numFmtId="0" fontId="3" fillId="0" borderId="0" xfId="1"/>
    <xf numFmtId="0" fontId="3" fillId="0" borderId="0" xfId="1" applyAlignment="1">
      <alignment horizontal="left" inden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horizontal="left" vertical="top"/>
    </xf>
    <xf numFmtId="39" fontId="5" fillId="0" borderId="0" xfId="1" applyNumberFormat="1" applyFont="1" applyAlignment="1">
      <alignment horizontal="right" vertical="top" wrapText="1"/>
    </xf>
    <xf numFmtId="0" fontId="3" fillId="0" borderId="0" xfId="1" applyAlignment="1">
      <alignment horizontal="left" vertical="top" wrapText="1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right" vertical="center" wrapText="1"/>
    </xf>
    <xf numFmtId="0" fontId="1" fillId="0" borderId="0" xfId="2"/>
    <xf numFmtId="43" fontId="1" fillId="0" borderId="0" xfId="2" applyNumberFormat="1"/>
    <xf numFmtId="0" fontId="1" fillId="0" borderId="0" xfId="2" applyProtection="1">
      <protection locked="0"/>
    </xf>
    <xf numFmtId="43" fontId="1" fillId="0" borderId="0" xfId="2" applyNumberFormat="1" applyProtection="1">
      <protection locked="0"/>
    </xf>
    <xf numFmtId="41" fontId="2" fillId="0" borderId="1" xfId="2" applyNumberFormat="1" applyFont="1" applyBorder="1"/>
    <xf numFmtId="41" fontId="1" fillId="0" borderId="0" xfId="2" applyNumberFormat="1"/>
    <xf numFmtId="41" fontId="1" fillId="2" borderId="0" xfId="2" applyNumberFormat="1" applyFill="1"/>
    <xf numFmtId="0" fontId="2" fillId="0" borderId="0" xfId="2" applyFont="1"/>
    <xf numFmtId="41" fontId="1" fillId="0" borderId="0" xfId="2" applyNumberFormat="1" applyProtection="1">
      <protection locked="0"/>
    </xf>
    <xf numFmtId="41" fontId="1" fillId="0" borderId="2" xfId="2" applyNumberFormat="1" applyBorder="1" applyProtection="1">
      <protection locked="0"/>
    </xf>
    <xf numFmtId="41" fontId="1" fillId="2" borderId="0" xfId="2" applyNumberFormat="1" applyFill="1" applyProtection="1">
      <protection locked="0"/>
    </xf>
    <xf numFmtId="41" fontId="0" fillId="0" borderId="0" xfId="0" applyNumberFormat="1"/>
    <xf numFmtId="43" fontId="0" fillId="0" borderId="0" xfId="0" applyNumberFormat="1" applyProtection="1">
      <protection locked="0"/>
    </xf>
    <xf numFmtId="43" fontId="0" fillId="0" borderId="0" xfId="0" applyNumberFormat="1"/>
    <xf numFmtId="0" fontId="0" fillId="0" borderId="0" xfId="0" applyProtection="1">
      <protection locked="0"/>
    </xf>
    <xf numFmtId="0" fontId="2" fillId="0" borderId="0" xfId="2" applyFont="1" applyProtection="1">
      <protection locked="0"/>
    </xf>
    <xf numFmtId="43" fontId="1" fillId="2" borderId="0" xfId="2" applyNumberFormat="1" applyFill="1" applyProtection="1">
      <protection locked="0"/>
    </xf>
    <xf numFmtId="0" fontId="2" fillId="0" borderId="2" xfId="2" applyFont="1" applyBorder="1" applyAlignment="1" applyProtection="1">
      <alignment horizontal="center" vertical="top" wrapText="1"/>
      <protection locked="0"/>
    </xf>
    <xf numFmtId="0" fontId="1" fillId="0" borderId="0" xfId="2" applyAlignment="1" applyProtection="1">
      <alignment horizontal="center"/>
      <protection locked="0"/>
    </xf>
    <xf numFmtId="0" fontId="1" fillId="2" borderId="0" xfId="2" applyFill="1" applyAlignment="1" applyProtection="1">
      <alignment horizontal="center"/>
      <protection locked="0"/>
    </xf>
    <xf numFmtId="0" fontId="2" fillId="0" borderId="2" xfId="2" applyFont="1" applyBorder="1" applyAlignment="1" applyProtection="1">
      <alignment horizontal="center" vertical="top"/>
      <protection locked="0"/>
    </xf>
    <xf numFmtId="0" fontId="1" fillId="0" borderId="0" xfId="2" quotePrefix="1" applyAlignment="1" applyProtection="1">
      <alignment horizontal="center"/>
      <protection locked="0"/>
    </xf>
    <xf numFmtId="43" fontId="2" fillId="0" borderId="3" xfId="2" applyNumberFormat="1" applyFont="1" applyBorder="1" applyAlignment="1" applyProtection="1">
      <alignment horizontal="centerContinuous"/>
      <protection locked="0"/>
    </xf>
    <xf numFmtId="0" fontId="2" fillId="0" borderId="0" xfId="2" applyFont="1" applyAlignment="1" applyProtection="1">
      <alignment horizontal="centerContinuous"/>
      <protection locked="0"/>
    </xf>
    <xf numFmtId="164" fontId="0" fillId="0" borderId="0" xfId="0" applyNumberFormat="1" applyProtection="1">
      <protection locked="0"/>
    </xf>
    <xf numFmtId="0" fontId="12" fillId="0" borderId="0" xfId="1" applyFont="1" applyAlignment="1">
      <alignment horizontal="center" vertical="top" wrapText="1"/>
    </xf>
    <xf numFmtId="43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165" fontId="1" fillId="0" borderId="0" xfId="2" applyNumberFormat="1" applyProtection="1">
      <protection locked="0"/>
    </xf>
    <xf numFmtId="0" fontId="3" fillId="0" borderId="0" xfId="3"/>
    <xf numFmtId="37" fontId="6" fillId="0" borderId="0" xfId="3" applyNumberFormat="1" applyFont="1" applyAlignment="1">
      <alignment horizontal="left" vertical="center" wrapText="1"/>
    </xf>
    <xf numFmtId="37" fontId="7" fillId="0" borderId="0" xfId="3" applyNumberFormat="1" applyFont="1" applyAlignment="1">
      <alignment vertical="top" wrapText="1"/>
    </xf>
    <xf numFmtId="37" fontId="7" fillId="0" borderId="0" xfId="3" applyNumberFormat="1" applyFont="1" applyAlignment="1">
      <alignment horizontal="left" vertical="top"/>
    </xf>
    <xf numFmtId="37" fontId="5" fillId="0" borderId="0" xfId="3" applyNumberFormat="1" applyFont="1" applyAlignment="1">
      <alignment horizontal="right" vertical="top" wrapText="1"/>
    </xf>
    <xf numFmtId="37" fontId="3" fillId="0" borderId="0" xfId="3" applyNumberFormat="1" applyAlignment="1">
      <alignment horizontal="left" vertical="top" wrapText="1"/>
    </xf>
    <xf numFmtId="39" fontId="5" fillId="0" borderId="0" xfId="3" applyNumberFormat="1" applyFont="1" applyAlignment="1">
      <alignment horizontal="right" vertical="top" wrapText="1"/>
    </xf>
    <xf numFmtId="37" fontId="8" fillId="0" borderId="0" xfId="3" applyNumberFormat="1" applyFont="1" applyAlignment="1">
      <alignment horizontal="left" indent="1"/>
    </xf>
    <xf numFmtId="37" fontId="3" fillId="0" borderId="0" xfId="3" applyNumberFormat="1" applyAlignment="1">
      <alignment horizontal="left" indent="1"/>
    </xf>
    <xf numFmtId="0" fontId="6" fillId="0" borderId="0" xfId="3" applyFont="1" applyAlignment="1">
      <alignment horizontal="right" vertical="center" wrapText="1"/>
    </xf>
    <xf numFmtId="0" fontId="1" fillId="0" borderId="0" xfId="4"/>
    <xf numFmtId="43" fontId="1" fillId="0" borderId="0" xfId="4" applyNumberFormat="1"/>
    <xf numFmtId="0" fontId="1" fillId="0" borderId="0" xfId="4" applyProtection="1">
      <protection locked="0"/>
    </xf>
    <xf numFmtId="43" fontId="1" fillId="0" borderId="0" xfId="4" applyNumberFormat="1" applyProtection="1">
      <protection locked="0"/>
    </xf>
    <xf numFmtId="41" fontId="1" fillId="0" borderId="0" xfId="4" applyNumberFormat="1" applyProtection="1">
      <protection locked="0"/>
    </xf>
    <xf numFmtId="41" fontId="2" fillId="0" borderId="1" xfId="4" applyNumberFormat="1" applyFont="1" applyBorder="1"/>
    <xf numFmtId="165" fontId="1" fillId="0" borderId="0" xfId="4" applyNumberFormat="1"/>
    <xf numFmtId="41" fontId="1" fillId="0" borderId="0" xfId="4" applyNumberFormat="1"/>
    <xf numFmtId="41" fontId="1" fillId="2" borderId="0" xfId="4" applyNumberFormat="1" applyFill="1"/>
    <xf numFmtId="0" fontId="2" fillId="0" borderId="0" xfId="4" applyFont="1"/>
    <xf numFmtId="41" fontId="1" fillId="0" borderId="2" xfId="4" applyNumberFormat="1" applyBorder="1" applyProtection="1">
      <protection locked="0"/>
    </xf>
    <xf numFmtId="41" fontId="1" fillId="2" borderId="0" xfId="4" applyNumberFormat="1" applyFill="1" applyProtection="1">
      <protection locked="0"/>
    </xf>
    <xf numFmtId="0" fontId="2" fillId="0" borderId="0" xfId="4" applyFont="1" applyProtection="1">
      <protection locked="0"/>
    </xf>
    <xf numFmtId="43" fontId="1" fillId="2" borderId="0" xfId="4" applyNumberFormat="1" applyFill="1" applyProtection="1">
      <protection locked="0"/>
    </xf>
    <xf numFmtId="0" fontId="2" fillId="0" borderId="2" xfId="4" applyFont="1" applyBorder="1" applyAlignment="1" applyProtection="1">
      <alignment horizontal="center" vertical="top" wrapText="1"/>
      <protection locked="0"/>
    </xf>
    <xf numFmtId="0" fontId="1" fillId="0" borderId="0" xfId="4" applyAlignment="1" applyProtection="1">
      <alignment horizontal="center"/>
      <protection locked="0"/>
    </xf>
    <xf numFmtId="0" fontId="1" fillId="2" borderId="0" xfId="4" applyFill="1" applyAlignment="1" applyProtection="1">
      <alignment horizontal="center"/>
      <protection locked="0"/>
    </xf>
    <xf numFmtId="0" fontId="2" fillId="0" borderId="2" xfId="4" applyFont="1" applyBorder="1" applyAlignment="1" applyProtection="1">
      <alignment horizontal="center" vertical="top"/>
      <protection locked="0"/>
    </xf>
    <xf numFmtId="0" fontId="1" fillId="0" borderId="0" xfId="4" quotePrefix="1" applyAlignment="1" applyProtection="1">
      <alignment horizontal="center"/>
      <protection locked="0"/>
    </xf>
    <xf numFmtId="43" fontId="2" fillId="0" borderId="3" xfId="4" applyNumberFormat="1" applyFont="1" applyBorder="1" applyAlignment="1" applyProtection="1">
      <alignment horizontal="centerContinuous"/>
      <protection locked="0"/>
    </xf>
    <xf numFmtId="0" fontId="2" fillId="0" borderId="0" xfId="4" applyFont="1" applyAlignment="1" applyProtection="1">
      <alignment horizontal="centerContinuous"/>
      <protection locked="0"/>
    </xf>
    <xf numFmtId="39" fontId="2" fillId="0" borderId="0" xfId="4" applyNumberFormat="1" applyFont="1" applyAlignment="1" applyProtection="1">
      <alignment horizontal="centerContinuous"/>
      <protection locked="0"/>
    </xf>
    <xf numFmtId="41" fontId="0" fillId="0" borderId="0" xfId="0" applyNumberFormat="1" applyProtection="1">
      <protection locked="0"/>
    </xf>
    <xf numFmtId="41" fontId="0" fillId="2" borderId="0" xfId="0" applyNumberFormat="1" applyFill="1" applyProtection="1">
      <protection locked="0"/>
    </xf>
    <xf numFmtId="0" fontId="12" fillId="0" borderId="0" xfId="1" applyFont="1" applyAlignment="1">
      <alignment horizontal="center" vertical="top" wrapText="1"/>
    </xf>
    <xf numFmtId="0" fontId="3" fillId="0" borderId="0" xfId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8" fillId="0" borderId="0" xfId="1" applyFont="1" applyAlignment="1">
      <alignment horizontal="left" indent="1"/>
    </xf>
    <xf numFmtId="0" fontId="11" fillId="0" borderId="0" xfId="1" applyFont="1" applyAlignment="1">
      <alignment horizontal="left" vertical="top" wrapText="1"/>
    </xf>
    <xf numFmtId="0" fontId="3" fillId="0" borderId="0" xfId="1" applyAlignment="1">
      <alignment horizontal="left" indent="1"/>
    </xf>
    <xf numFmtId="0" fontId="9" fillId="0" borderId="0" xfId="1" applyFont="1" applyAlignment="1">
      <alignment horizontal="left" inden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right" vertical="center" wrapText="1"/>
    </xf>
    <xf numFmtId="39" fontId="5" fillId="0" borderId="0" xfId="1" applyNumberFormat="1" applyFont="1" applyAlignment="1">
      <alignment horizontal="right" vertical="top" wrapText="1"/>
    </xf>
    <xf numFmtId="0" fontId="3" fillId="0" borderId="0" xfId="1" applyAlignment="1">
      <alignment horizontal="center" indent="1"/>
    </xf>
    <xf numFmtId="0" fontId="5" fillId="0" borderId="0" xfId="1" quotePrefix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39" fontId="4" fillId="0" borderId="0" xfId="1" applyNumberFormat="1" applyFont="1" applyAlignment="1">
      <alignment horizontal="right" vertical="center" wrapText="1"/>
    </xf>
    <xf numFmtId="0" fontId="5" fillId="0" borderId="0" xfId="1" applyFont="1" applyAlignment="1">
      <alignment horizontal="right" vertical="center" wrapText="1"/>
    </xf>
    <xf numFmtId="37" fontId="5" fillId="0" borderId="0" xfId="3" applyNumberFormat="1" applyFont="1" applyAlignment="1">
      <alignment horizontal="right" vertical="center" wrapText="1"/>
    </xf>
    <xf numFmtId="0" fontId="3" fillId="0" borderId="0" xfId="3" applyAlignment="1">
      <alignment horizontal="left" indent="1"/>
    </xf>
    <xf numFmtId="0" fontId="3" fillId="0" borderId="0" xfId="3" applyAlignment="1">
      <alignment horizontal="center" indent="1"/>
    </xf>
    <xf numFmtId="37" fontId="3" fillId="0" borderId="0" xfId="3" applyNumberFormat="1" applyAlignment="1">
      <alignment horizontal="left" vertical="top" wrapText="1"/>
    </xf>
    <xf numFmtId="39" fontId="5" fillId="0" borderId="0" xfId="3" applyNumberFormat="1" applyFont="1" applyAlignment="1">
      <alignment horizontal="right" vertical="top" wrapText="1"/>
    </xf>
    <xf numFmtId="37" fontId="5" fillId="0" borderId="0" xfId="3" applyNumberFormat="1" applyFont="1" applyAlignment="1">
      <alignment horizontal="right" vertical="top" wrapText="1"/>
    </xf>
    <xf numFmtId="37" fontId="5" fillId="0" borderId="0" xfId="3" quotePrefix="1" applyNumberFormat="1" applyFont="1" applyAlignment="1">
      <alignment horizontal="right" vertical="center" wrapText="1"/>
    </xf>
    <xf numFmtId="39" fontId="4" fillId="0" borderId="0" xfId="3" applyNumberFormat="1" applyFont="1" applyAlignment="1">
      <alignment horizontal="right" vertical="center" wrapText="1"/>
    </xf>
    <xf numFmtId="0" fontId="3" fillId="0" borderId="0" xfId="3" applyAlignment="1">
      <alignment horizontal="left" vertical="top" wrapText="1"/>
    </xf>
    <xf numFmtId="0" fontId="9" fillId="0" borderId="0" xfId="3" applyFont="1" applyAlignment="1">
      <alignment horizontal="left" indent="1"/>
    </xf>
    <xf numFmtId="0" fontId="6" fillId="0" borderId="0" xfId="3" applyFont="1" applyAlignment="1">
      <alignment horizontal="left" vertical="center" wrapText="1"/>
    </xf>
    <xf numFmtId="0" fontId="6" fillId="0" borderId="0" xfId="3" applyFont="1" applyAlignment="1">
      <alignment horizontal="right" vertical="center" wrapText="1"/>
    </xf>
    <xf numFmtId="0" fontId="12" fillId="0" borderId="0" xfId="3" applyFont="1" applyAlignment="1">
      <alignment horizontal="center" vertical="top" wrapText="1"/>
    </xf>
    <xf numFmtId="39" fontId="12" fillId="0" borderId="0" xfId="3" applyNumberFormat="1" applyFont="1" applyAlignment="1">
      <alignment horizontal="center" vertical="top" wrapText="1"/>
    </xf>
    <xf numFmtId="0" fontId="8" fillId="0" borderId="0" xfId="3" applyFont="1" applyAlignment="1">
      <alignment horizontal="left" indent="1"/>
    </xf>
    <xf numFmtId="0" fontId="12" fillId="0" borderId="0" xfId="3" applyFont="1" applyAlignment="1">
      <alignment horizontal="left" vertical="top" wrapText="1"/>
    </xf>
    <xf numFmtId="0" fontId="11" fillId="0" borderId="0" xfId="3" applyFont="1" applyAlignment="1">
      <alignment horizontal="left" vertical="top" wrapText="1"/>
    </xf>
    <xf numFmtId="0" fontId="10" fillId="0" borderId="0" xfId="3" applyFont="1" applyAlignment="1">
      <alignment horizontal="left" vertical="top" wrapText="1"/>
    </xf>
    <xf numFmtId="0" fontId="3" fillId="0" borderId="0" xfId="5"/>
    <xf numFmtId="0" fontId="3" fillId="0" borderId="0" xfId="5" applyAlignment="1">
      <alignment horizontal="center" indent="1"/>
    </xf>
    <xf numFmtId="0" fontId="3" fillId="0" borderId="0" xfId="5" applyAlignment="1">
      <alignment horizontal="left" indent="1"/>
    </xf>
    <xf numFmtId="39" fontId="4" fillId="0" borderId="0" xfId="5" applyNumberFormat="1" applyFont="1" applyAlignment="1">
      <alignment horizontal="right" vertical="center" wrapText="1"/>
    </xf>
    <xf numFmtId="0" fontId="5" fillId="0" borderId="0" xfId="5" applyFont="1" applyAlignment="1">
      <alignment horizontal="right" vertical="center" wrapText="1"/>
    </xf>
    <xf numFmtId="0" fontId="6" fillId="0" borderId="0" xfId="5" applyFont="1" applyAlignment="1">
      <alignment horizontal="left" vertical="center" wrapText="1"/>
    </xf>
    <xf numFmtId="0" fontId="5" fillId="0" borderId="0" xfId="5" applyFont="1" applyAlignment="1">
      <alignment horizontal="left" vertical="center" wrapText="1"/>
    </xf>
    <xf numFmtId="0" fontId="5" fillId="0" borderId="0" xfId="5" quotePrefix="1" applyFont="1" applyAlignment="1">
      <alignment horizontal="left" vertical="center" wrapText="1"/>
    </xf>
    <xf numFmtId="0" fontId="7" fillId="0" borderId="0" xfId="5" applyFont="1" applyAlignment="1">
      <alignment vertical="top" wrapText="1"/>
    </xf>
    <xf numFmtId="0" fontId="7" fillId="0" borderId="0" xfId="5" applyFont="1" applyAlignment="1">
      <alignment horizontal="left" vertical="top"/>
    </xf>
    <xf numFmtId="39" fontId="5" fillId="0" borderId="0" xfId="5" applyNumberFormat="1" applyFont="1" applyAlignment="1">
      <alignment horizontal="right" vertical="top" wrapText="1"/>
    </xf>
    <xf numFmtId="0" fontId="3" fillId="0" borderId="0" xfId="5" applyAlignment="1">
      <alignment horizontal="left" vertical="top" wrapText="1"/>
    </xf>
    <xf numFmtId="39" fontId="5" fillId="0" borderId="0" xfId="5" applyNumberFormat="1" applyFont="1" applyAlignment="1">
      <alignment horizontal="right" vertical="top" wrapText="1"/>
    </xf>
    <xf numFmtId="0" fontId="3" fillId="0" borderId="0" xfId="5" applyAlignment="1">
      <alignment horizontal="left" vertical="top" wrapText="1"/>
    </xf>
    <xf numFmtId="0" fontId="8" fillId="0" borderId="0" xfId="5" applyFont="1" applyAlignment="1">
      <alignment horizontal="left" indent="1"/>
    </xf>
    <xf numFmtId="0" fontId="3" fillId="0" borderId="0" xfId="5" applyAlignment="1">
      <alignment horizontal="left" indent="1"/>
    </xf>
    <xf numFmtId="0" fontId="8" fillId="0" borderId="0" xfId="5" applyFont="1" applyAlignment="1">
      <alignment horizontal="left" indent="1"/>
    </xf>
    <xf numFmtId="0" fontId="6" fillId="0" borderId="0" xfId="5" applyFont="1" applyAlignment="1">
      <alignment horizontal="right" vertical="center" wrapText="1"/>
    </xf>
    <xf numFmtId="0" fontId="6" fillId="0" borderId="0" xfId="5" applyFont="1" applyAlignment="1">
      <alignment horizontal="right" vertical="center" wrapText="1"/>
    </xf>
    <xf numFmtId="0" fontId="6" fillId="0" borderId="0" xfId="5" applyFont="1" applyAlignment="1">
      <alignment horizontal="left" vertical="center" wrapText="1"/>
    </xf>
    <xf numFmtId="0" fontId="9" fillId="0" borderId="0" xfId="5" applyFont="1" applyAlignment="1">
      <alignment horizontal="left" indent="1"/>
    </xf>
    <xf numFmtId="0" fontId="10" fillId="0" borderId="0" xfId="5" applyFont="1" applyAlignment="1">
      <alignment horizontal="left" vertical="top" wrapText="1"/>
    </xf>
    <xf numFmtId="0" fontId="11" fillId="0" borderId="0" xfId="5" applyFont="1" applyAlignment="1">
      <alignment horizontal="left" vertical="top" wrapText="1"/>
    </xf>
    <xf numFmtId="0" fontId="12" fillId="0" borderId="0" xfId="5" applyFont="1" applyAlignment="1">
      <alignment horizontal="left" vertical="top" wrapText="1"/>
    </xf>
    <xf numFmtId="0" fontId="12" fillId="0" borderId="0" xfId="5" applyFont="1" applyAlignment="1">
      <alignment horizontal="center" vertical="top" wrapText="1"/>
    </xf>
    <xf numFmtId="41" fontId="1" fillId="0" borderId="0" xfId="6" applyNumberFormat="1"/>
    <xf numFmtId="41" fontId="1" fillId="0" borderId="0" xfId="6" applyNumberFormat="1" applyProtection="1">
      <protection locked="0"/>
    </xf>
    <xf numFmtId="41" fontId="1" fillId="2" borderId="0" xfId="6" applyNumberFormat="1" applyFill="1" applyProtection="1">
      <protection locked="0"/>
    </xf>
    <xf numFmtId="0" fontId="1" fillId="0" borderId="0" xfId="6" applyProtection="1">
      <protection locked="0"/>
    </xf>
    <xf numFmtId="43" fontId="3" fillId="0" borderId="0" xfId="1" applyNumberFormat="1" applyAlignment="1">
      <alignment horizontal="left" indent="1"/>
    </xf>
    <xf numFmtId="43" fontId="0" fillId="0" borderId="0" xfId="7" applyNumberFormat="1" applyFont="1" applyAlignment="1">
      <alignment horizontal="left" indent="1"/>
    </xf>
    <xf numFmtId="165" fontId="2" fillId="0" borderId="1" xfId="2" applyNumberFormat="1" applyFont="1" applyBorder="1"/>
    <xf numFmtId="0" fontId="3" fillId="0" borderId="0" xfId="8"/>
    <xf numFmtId="0" fontId="3" fillId="0" borderId="0" xfId="8" applyAlignment="1">
      <alignment horizontal="center" indent="1"/>
    </xf>
    <xf numFmtId="0" fontId="3" fillId="0" borderId="0" xfId="8" applyAlignment="1">
      <alignment horizontal="left" indent="1"/>
    </xf>
    <xf numFmtId="39" fontId="4" fillId="0" borderId="0" xfId="8" applyNumberFormat="1" applyFont="1" applyAlignment="1">
      <alignment horizontal="right" vertical="center" wrapText="1"/>
    </xf>
    <xf numFmtId="0" fontId="5" fillId="0" borderId="0" xfId="8" applyFont="1" applyAlignment="1">
      <alignment horizontal="right" vertical="center" wrapText="1"/>
    </xf>
    <xf numFmtId="0" fontId="6" fillId="0" borderId="0" xfId="8" applyFont="1" applyAlignment="1">
      <alignment horizontal="left" vertical="center" wrapText="1"/>
    </xf>
    <xf numFmtId="0" fontId="7" fillId="0" borderId="0" xfId="8" applyFont="1" applyAlignment="1">
      <alignment vertical="top" wrapText="1"/>
    </xf>
    <xf numFmtId="0" fontId="7" fillId="0" borderId="0" xfId="8" applyFont="1" applyAlignment="1">
      <alignment horizontal="left" vertical="top"/>
    </xf>
    <xf numFmtId="39" fontId="5" fillId="0" borderId="0" xfId="8" applyNumberFormat="1" applyFont="1" applyAlignment="1">
      <alignment horizontal="right" vertical="top" wrapText="1"/>
    </xf>
    <xf numFmtId="0" fontId="3" fillId="0" borderId="0" xfId="8" applyAlignment="1">
      <alignment horizontal="left" vertical="top" wrapText="1"/>
    </xf>
    <xf numFmtId="39" fontId="5" fillId="0" borderId="0" xfId="8" applyNumberFormat="1" applyFont="1" applyAlignment="1">
      <alignment horizontal="right" vertical="top" wrapText="1"/>
    </xf>
    <xf numFmtId="0" fontId="3" fillId="0" borderId="0" xfId="8" applyAlignment="1">
      <alignment horizontal="left" vertical="top" wrapText="1"/>
    </xf>
    <xf numFmtId="0" fontId="8" fillId="0" borderId="0" xfId="8" applyFont="1" applyAlignment="1">
      <alignment horizontal="left" indent="1"/>
    </xf>
    <xf numFmtId="0" fontId="3" fillId="0" borderId="0" xfId="8" applyAlignment="1">
      <alignment horizontal="left" indent="1"/>
    </xf>
    <xf numFmtId="0" fontId="8" fillId="0" borderId="0" xfId="8" applyFont="1" applyAlignment="1">
      <alignment horizontal="left" indent="1"/>
    </xf>
    <xf numFmtId="0" fontId="6" fillId="0" borderId="0" xfId="8" applyFont="1" applyAlignment="1">
      <alignment horizontal="right" vertical="center" wrapText="1"/>
    </xf>
    <xf numFmtId="0" fontId="6" fillId="0" borderId="0" xfId="8" applyFont="1" applyAlignment="1">
      <alignment horizontal="right" vertical="center" wrapText="1"/>
    </xf>
    <xf numFmtId="0" fontId="6" fillId="0" borderId="0" xfId="8" applyFont="1" applyAlignment="1">
      <alignment horizontal="left" vertical="center" wrapText="1"/>
    </xf>
    <xf numFmtId="0" fontId="9" fillId="0" borderId="0" xfId="8" applyFont="1" applyAlignment="1">
      <alignment horizontal="left" indent="1"/>
    </xf>
    <xf numFmtId="0" fontId="10" fillId="0" borderId="0" xfId="8" applyFont="1" applyAlignment="1">
      <alignment horizontal="left" vertical="top" wrapText="1"/>
    </xf>
    <xf numFmtId="0" fontId="11" fillId="0" borderId="0" xfId="8" applyFont="1" applyAlignment="1">
      <alignment horizontal="left" vertical="top" wrapText="1"/>
    </xf>
    <xf numFmtId="0" fontId="12" fillId="0" borderId="0" xfId="8" applyFont="1" applyAlignment="1">
      <alignment horizontal="left" vertical="top" wrapText="1"/>
    </xf>
    <xf numFmtId="0" fontId="12" fillId="0" borderId="0" xfId="8" applyFont="1" applyAlignment="1">
      <alignment horizontal="center" vertical="top" wrapText="1"/>
    </xf>
    <xf numFmtId="2" fontId="1" fillId="0" borderId="0" xfId="2" applyNumberFormat="1" applyProtection="1">
      <protection locked="0"/>
    </xf>
    <xf numFmtId="2" fontId="1" fillId="0" borderId="0" xfId="2" applyNumberFormat="1"/>
    <xf numFmtId="0" fontId="3" fillId="0" borderId="0" xfId="9"/>
    <xf numFmtId="0" fontId="3" fillId="0" borderId="0" xfId="9" applyAlignment="1">
      <alignment horizontal="center" indent="1"/>
    </xf>
    <xf numFmtId="0" fontId="3" fillId="0" borderId="0" xfId="9" applyAlignment="1">
      <alignment horizontal="left" indent="1"/>
    </xf>
    <xf numFmtId="39" fontId="4" fillId="0" borderId="0" xfId="9" applyNumberFormat="1" applyFont="1" applyAlignment="1">
      <alignment horizontal="right" vertical="center" wrapText="1"/>
    </xf>
    <xf numFmtId="0" fontId="5" fillId="0" borderId="0" xfId="9" applyFont="1" applyAlignment="1">
      <alignment horizontal="right" vertical="center" wrapText="1"/>
    </xf>
    <xf numFmtId="0" fontId="6" fillId="0" borderId="0" xfId="9" applyFont="1" applyAlignment="1">
      <alignment horizontal="left" vertical="center" wrapText="1"/>
    </xf>
    <xf numFmtId="0" fontId="7" fillId="0" borderId="0" xfId="9" applyFont="1" applyAlignment="1">
      <alignment vertical="top" wrapText="1"/>
    </xf>
    <xf numFmtId="0" fontId="7" fillId="0" borderId="0" xfId="9" applyFont="1" applyAlignment="1">
      <alignment horizontal="left" vertical="top"/>
    </xf>
    <xf numFmtId="39" fontId="5" fillId="0" borderId="0" xfId="9" applyNumberFormat="1" applyFont="1" applyAlignment="1">
      <alignment horizontal="right" vertical="top" wrapText="1"/>
    </xf>
    <xf numFmtId="0" fontId="3" fillId="0" borderId="0" xfId="9" applyAlignment="1">
      <alignment horizontal="left" vertical="top" wrapText="1"/>
    </xf>
    <xf numFmtId="39" fontId="5" fillId="0" borderId="0" xfId="9" applyNumberFormat="1" applyFont="1" applyAlignment="1">
      <alignment horizontal="right" vertical="top" wrapText="1"/>
    </xf>
    <xf numFmtId="0" fontId="3" fillId="0" borderId="0" xfId="9" applyAlignment="1">
      <alignment horizontal="left" vertical="top" wrapText="1"/>
    </xf>
    <xf numFmtId="0" fontId="8" fillId="0" borderId="0" xfId="9" applyFont="1" applyAlignment="1">
      <alignment horizontal="left" indent="1"/>
    </xf>
    <xf numFmtId="0" fontId="3" fillId="0" borderId="0" xfId="9" applyAlignment="1">
      <alignment horizontal="left" indent="1"/>
    </xf>
    <xf numFmtId="0" fontId="8" fillId="0" borderId="0" xfId="9" applyFont="1" applyAlignment="1">
      <alignment horizontal="left" indent="1"/>
    </xf>
    <xf numFmtId="0" fontId="6" fillId="0" borderId="0" xfId="9" applyFont="1" applyAlignment="1">
      <alignment horizontal="right" vertical="center" wrapText="1"/>
    </xf>
    <xf numFmtId="0" fontId="6" fillId="0" borderId="0" xfId="9" applyFont="1" applyAlignment="1">
      <alignment horizontal="right" vertical="center" wrapText="1"/>
    </xf>
    <xf numFmtId="0" fontId="6" fillId="0" borderId="0" xfId="9" applyFont="1" applyAlignment="1">
      <alignment horizontal="left" vertical="center" wrapText="1"/>
    </xf>
    <xf numFmtId="0" fontId="9" fillId="0" borderId="0" xfId="9" applyFont="1" applyAlignment="1">
      <alignment horizontal="left" indent="1"/>
    </xf>
    <xf numFmtId="0" fontId="10" fillId="0" borderId="0" xfId="9" applyFont="1" applyAlignment="1">
      <alignment horizontal="left" vertical="top" wrapText="1"/>
    </xf>
    <xf numFmtId="0" fontId="11" fillId="0" borderId="0" xfId="9" applyFont="1" applyAlignment="1">
      <alignment horizontal="left" vertical="top" wrapText="1"/>
    </xf>
    <xf numFmtId="0" fontId="12" fillId="0" borderId="0" xfId="9" applyFont="1" applyAlignment="1">
      <alignment horizontal="left" vertical="top" wrapText="1"/>
    </xf>
    <xf numFmtId="0" fontId="12" fillId="0" borderId="0" xfId="9" applyFont="1" applyAlignment="1">
      <alignment horizontal="center" vertical="top" wrapText="1"/>
    </xf>
    <xf numFmtId="0" fontId="1" fillId="0" borderId="0" xfId="10"/>
    <xf numFmtId="43" fontId="1" fillId="0" borderId="0" xfId="10" applyNumberFormat="1"/>
    <xf numFmtId="0" fontId="1" fillId="0" borderId="0" xfId="10" applyProtection="1">
      <protection locked="0"/>
    </xf>
    <xf numFmtId="43" fontId="1" fillId="0" borderId="0" xfId="10" applyNumberFormat="1" applyProtection="1">
      <protection locked="0"/>
    </xf>
    <xf numFmtId="41" fontId="2" fillId="0" borderId="1" xfId="10" applyNumberFormat="1" applyFont="1" applyBorder="1"/>
    <xf numFmtId="41" fontId="1" fillId="0" borderId="0" xfId="10" applyNumberFormat="1"/>
    <xf numFmtId="41" fontId="1" fillId="2" borderId="0" xfId="10" applyNumberFormat="1" applyFill="1"/>
    <xf numFmtId="0" fontId="2" fillId="0" borderId="0" xfId="10" applyFont="1"/>
    <xf numFmtId="41" fontId="1" fillId="0" borderId="0" xfId="10" applyNumberFormat="1" applyProtection="1">
      <protection locked="0"/>
    </xf>
    <xf numFmtId="41" fontId="1" fillId="0" borderId="2" xfId="10" applyNumberFormat="1" applyBorder="1" applyProtection="1">
      <protection locked="0"/>
    </xf>
    <xf numFmtId="41" fontId="1" fillId="2" borderId="0" xfId="10" applyNumberFormat="1" applyFill="1" applyProtection="1">
      <protection locked="0"/>
    </xf>
    <xf numFmtId="0" fontId="2" fillId="0" borderId="0" xfId="10" applyFont="1" applyProtection="1">
      <protection locked="0"/>
    </xf>
    <xf numFmtId="43" fontId="1" fillId="2" borderId="0" xfId="10" applyNumberFormat="1" applyFill="1" applyProtection="1">
      <protection locked="0"/>
    </xf>
    <xf numFmtId="0" fontId="2" fillId="0" borderId="2" xfId="10" applyFont="1" applyBorder="1" applyAlignment="1" applyProtection="1">
      <alignment horizontal="center" vertical="top" wrapText="1"/>
      <protection locked="0"/>
    </xf>
    <xf numFmtId="0" fontId="1" fillId="0" borderId="0" xfId="10" applyAlignment="1" applyProtection="1">
      <alignment horizontal="center"/>
      <protection locked="0"/>
    </xf>
    <xf numFmtId="0" fontId="1" fillId="2" borderId="0" xfId="10" applyFill="1" applyAlignment="1" applyProtection="1">
      <alignment horizontal="center"/>
      <protection locked="0"/>
    </xf>
    <xf numFmtId="0" fontId="2" fillId="0" borderId="2" xfId="10" applyFont="1" applyBorder="1" applyAlignment="1" applyProtection="1">
      <alignment horizontal="center" vertical="top"/>
      <protection locked="0"/>
    </xf>
    <xf numFmtId="0" fontId="1" fillId="0" borderId="0" xfId="10" quotePrefix="1" applyAlignment="1" applyProtection="1">
      <alignment horizontal="center"/>
      <protection locked="0"/>
    </xf>
    <xf numFmtId="43" fontId="2" fillId="0" borderId="3" xfId="10" applyNumberFormat="1" applyFont="1" applyBorder="1" applyAlignment="1" applyProtection="1">
      <alignment horizontal="centerContinuous"/>
      <protection locked="0"/>
    </xf>
    <xf numFmtId="0" fontId="2" fillId="0" borderId="0" xfId="10" applyFont="1" applyAlignment="1" applyProtection="1">
      <alignment horizontal="centerContinuous"/>
      <protection locked="0"/>
    </xf>
    <xf numFmtId="0" fontId="2" fillId="0" borderId="0" xfId="6" applyFont="1" applyAlignment="1" applyProtection="1">
      <alignment horizontal="centerContinuous"/>
      <protection locked="0"/>
    </xf>
    <xf numFmtId="0" fontId="5" fillId="0" borderId="0" xfId="9" quotePrefix="1" applyFont="1" applyAlignment="1">
      <alignment horizontal="right" vertical="center" wrapText="1"/>
    </xf>
  </cellXfs>
  <cellStyles count="11">
    <cellStyle name="Currency 2" xfId="7" xr:uid="{BB72C27C-7D05-491E-9315-FB657A427391}"/>
    <cellStyle name="Normal" xfId="0" builtinId="0"/>
    <cellStyle name="Normal 17" xfId="1" xr:uid="{477CAB47-5EA4-4D58-A4B9-EBB3F73A9B21}"/>
    <cellStyle name="Normal 17 2" xfId="5" xr:uid="{0061C1DB-19EF-4AB3-A66E-68C78F722926}"/>
    <cellStyle name="Normal 2 3" xfId="2" xr:uid="{036AFF61-4B8E-47F5-85DE-2DCB5785C387}"/>
    <cellStyle name="Normal 2 5" xfId="4" xr:uid="{ABB44FBE-B9F6-4D60-BCA8-3E52F3C43027}"/>
    <cellStyle name="Normal 20" xfId="6" xr:uid="{DCF63C13-4D13-4064-8781-B83E7C8BDE84}"/>
    <cellStyle name="Normal 24" xfId="10" xr:uid="{2E4B42B6-83D4-4411-B307-030B6BE2C555}"/>
    <cellStyle name="Normal 25" xfId="3" xr:uid="{29ABFA30-F2B5-4BAA-9094-D4DA3E7BD2F3}"/>
    <cellStyle name="Normal 26" xfId="9" xr:uid="{CCC86007-4221-46CF-9BC5-E3E077AB15C7}"/>
    <cellStyle name="Normal 5" xfId="8" xr:uid="{09400A61-C639-425A-ADD4-F7F8A34FF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neral%20Ledger%20Section\SCO%20Reconciliations%20-%202016\6026-2016\Period%2013%206026000%20Jun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eneral%20Ledger%20Section\SCO%20Reconciliations%20-%202016\6026-2016\Period%2013%206026000%20Jun%20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ts\FISCAL%20SHARE\Fiscal\Fiscal%20Share\General%20Ledger%20Section\LEGAL%20STATEMENTS\JUNE%202021%20FISCAL%20YEAR%20END\Encumbrance%20Adjustments%20FY20-21\Encumbrance%20Revision%20FY20-21%20IN-PROGRES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eneral%20Ledger%20Section\LEGAL%20STATEMENTS\JUNE%202021%20FISCAL%20YEAR%20END\Encumbrance%20Adjustments%20FY20-21\Encumbrance%20Revision%20FY20-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eneral%20Ledger%20Section\LEGAL%20STATEMENTS\JUNE%202021%20FISCAL%20YEAR%20END\2021%20Legal%20Statements%20-%20All%20Funds\6026-2021%20Bay-Delta%20Multipurpose%20Water\6026000%20%20Legal%20Statement%20FY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ts\FISCAL%20SHARE\Fiscal%20Share\General%20Ledger%20Section\SCO%20Reconciliations%20-%202016\6052-2016\6052001-2016\Period%206-%20December%2020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ts\FISCAL%20SHARE\WIP%20SCO%20Rec's\13-6031-June%202007%20per%20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P%20SCO%20Rec's\13-6031-June%202007%20per%201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P%20SCO%20Rec's\13-6031-June%202007%20per%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neral%20Ledger%20Section\SCO%20Reconciliations%20-%202020\6051-2020\6051016-2020\P-8%206051016%20February%202020%20-%20Park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iscal\FISCAL%20SHARE\General%20Ledger%20Section\LEGAL%20STATEMENTS\JUNE%202024%20FISCAL%20YEAR%20END\2024%20Legal%20Statements%20-%20All%20GAB%20Funds\6026-2024%20Bay-Delta%20Multipurpose%20Water\Support%20Docs\6026000%20%20Legal%20Statement%20FY23-24.xlsx" TargetMode="External"/><Relationship Id="rId1" Type="http://schemas.openxmlformats.org/officeDocument/2006/relationships/externalLinkPath" Target="file:///Z:\Fiscal\FISCAL%20SHARE\General%20Ledger%20Section\LEGAL%20STATEMENTS\JUNE%202024%20FISCAL%20YEAR%20END\2024%20Legal%20Statements%20-%20All%20GAB%20Funds\6026-2024%20Bay-Delta%20Multipurpose%20Water\Support%20Docs\6026000%20%20Legal%20Statement%20FY23-2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3057.xlsx" TargetMode="External"/><Relationship Id="rId1" Type="http://schemas.openxmlformats.org/officeDocument/2006/relationships/externalLinkPath" Target="3057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3100.xlsx" TargetMode="External"/><Relationship Id="rId1" Type="http://schemas.openxmlformats.org/officeDocument/2006/relationships/externalLinkPath" Target="3100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3237.xlsx" TargetMode="External"/><Relationship Id="rId1" Type="http://schemas.openxmlformats.org/officeDocument/2006/relationships/externalLinkPath" Target="323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water-my.sharepoint.com/WIP%20SCO%20Rec's/13-6031-June%202007%20per%2013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3398.xlsx" TargetMode="External"/><Relationship Id="rId1" Type="http://schemas.openxmlformats.org/officeDocument/2006/relationships/externalLinkPath" Target="339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3413.xlsx" TargetMode="External"/><Relationship Id="rId1" Type="http://schemas.openxmlformats.org/officeDocument/2006/relationships/externalLinkPath" Target="34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Pivot"/>
      <sheetName val="PT Col Order"/>
      <sheetName val="RevExp Rec"/>
      <sheetName val="AA Rec"/>
      <sheetName val="9000"/>
      <sheetName val="114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Pivot"/>
      <sheetName val="PT Col Order"/>
      <sheetName val="RevExp Rec"/>
      <sheetName val="AA Rec"/>
      <sheetName val="9000"/>
      <sheetName val="114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"/>
      <sheetName val="0001"/>
      <sheetName val="0140"/>
      <sheetName val="0465"/>
      <sheetName val="0793"/>
      <sheetName val="0890"/>
      <sheetName val="3057"/>
      <sheetName val="6026"/>
      <sheetName val="6031"/>
      <sheetName val="6051"/>
      <sheetName val="6052"/>
      <sheetName val="6083"/>
      <sheetName val="60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"/>
      <sheetName val="0001"/>
      <sheetName val="0140"/>
      <sheetName val="0465"/>
      <sheetName val="0793"/>
      <sheetName val="0890"/>
      <sheetName val="3057"/>
      <sheetName val="6031"/>
      <sheetName val="6051"/>
      <sheetName val="6052"/>
      <sheetName val="6083"/>
      <sheetName val="60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CERT"/>
      <sheetName val="Rept 1A"/>
      <sheetName val="Rpt 1A"/>
      <sheetName val="Rpt 1B"/>
      <sheetName val="Rpt 1AB"/>
      <sheetName val="Rpt 1C"/>
      <sheetName val="Rpt 2"/>
      <sheetName val="RPT4"/>
      <sheetName val="Rpt 5 2009 301"/>
      <sheetName val="Rpt 5 2017 001"/>
      <sheetName val="Rpt 5 2018 001"/>
      <sheetName val="Rpt 5 2019 001"/>
      <sheetName val="Rpt 5 2020 001"/>
      <sheetName val="Rpt 15"/>
      <sheetName val="Rpt 7"/>
      <sheetName val="Rpt 8"/>
      <sheetName val="Report 18"/>
      <sheetName val="Rpt 18"/>
      <sheetName val="DTDF_Supplement"/>
      <sheetName val="MVF"/>
      <sheetName val="6026 Encumbrance Reduction"/>
      <sheetName val="TB FY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N2">
            <v>425.08</v>
          </cell>
          <cell r="O2">
            <v>44392</v>
          </cell>
          <cell r="P2">
            <v>44392</v>
          </cell>
        </row>
      </sheetData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0"/>
      <sheetName val="FY2016"/>
      <sheetName val="FY2015"/>
      <sheetName val="FY2014"/>
      <sheetName val="FY2013"/>
      <sheetName val="FY2012"/>
      <sheetName val="FY2011"/>
      <sheetName val="FY2010"/>
      <sheetName val="FY2009"/>
      <sheetName val="FY2008"/>
      <sheetName val="6052RRR001_FY1966_FY1991"/>
      <sheetName val="All Funds"/>
      <sheetName val="Pivot"/>
      <sheetName val="Data"/>
      <sheetName val="FundOr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Fund</v>
          </cell>
          <cell r="B1" t="str">
            <v>PT Col Order</v>
          </cell>
          <cell r="C1" t="str">
            <v>SCO Account PT</v>
          </cell>
        </row>
        <row r="2">
          <cell r="A2" t="str">
            <v>6052999999</v>
          </cell>
          <cell r="B2">
            <v>1</v>
          </cell>
          <cell r="C2">
            <v>6052999</v>
          </cell>
        </row>
        <row r="3">
          <cell r="A3" t="str">
            <v>6052RRR001</v>
          </cell>
          <cell r="B3">
            <v>2</v>
          </cell>
          <cell r="C3">
            <v>6052001</v>
          </cell>
        </row>
        <row r="4">
          <cell r="A4" t="str">
            <v>6052S31966</v>
          </cell>
          <cell r="B4">
            <v>3</v>
          </cell>
          <cell r="C4" t="str">
            <v>6052001 3860 1965 501</v>
          </cell>
        </row>
        <row r="5">
          <cell r="A5" t="str">
            <v>6052S11988</v>
          </cell>
          <cell r="B5">
            <v>9999</v>
          </cell>
          <cell r="C5" t="str">
            <v>6052001 3860 1987 504</v>
          </cell>
        </row>
        <row r="6">
          <cell r="A6" t="str">
            <v>6052S21992</v>
          </cell>
          <cell r="B6">
            <v>5</v>
          </cell>
          <cell r="C6" t="str">
            <v>6052001  3860 1991 595</v>
          </cell>
        </row>
        <row r="7">
          <cell r="A7" t="str">
            <v>6052S31992</v>
          </cell>
          <cell r="B7">
            <v>6</v>
          </cell>
          <cell r="C7" t="str">
            <v>6052001  3860 1991 596</v>
          </cell>
        </row>
        <row r="8">
          <cell r="A8" t="str">
            <v>6052L12008</v>
          </cell>
          <cell r="B8">
            <v>201</v>
          </cell>
          <cell r="C8" t="str">
            <v>6052001 3860 2007 001</v>
          </cell>
        </row>
        <row r="9">
          <cell r="A9" t="str">
            <v>6052S12008</v>
          </cell>
          <cell r="B9">
            <v>202</v>
          </cell>
          <cell r="C9" t="str">
            <v>6052001 3860 2007 001 10</v>
          </cell>
        </row>
        <row r="10">
          <cell r="A10" t="str">
            <v>6052S32008</v>
          </cell>
          <cell r="B10">
            <v>2500</v>
          </cell>
          <cell r="C10" t="str">
            <v>6052001 3860 2007  001 30</v>
          </cell>
        </row>
        <row r="11">
          <cell r="A11" t="str">
            <v>6052CI2008</v>
          </cell>
          <cell r="B11">
            <v>203</v>
          </cell>
          <cell r="C11" t="str">
            <v>6052001 3860 2007  301 30 95 245</v>
          </cell>
        </row>
        <row r="12">
          <cell r="A12" t="str">
            <v>6052DH2008</v>
          </cell>
          <cell r="B12">
            <v>2501</v>
          </cell>
          <cell r="C12" t="str">
            <v>6052001 3860 2007  301 30 95 260</v>
          </cell>
        </row>
        <row r="13">
          <cell r="A13" t="str">
            <v>6052FH2008</v>
          </cell>
          <cell r="B13">
            <v>204</v>
          </cell>
          <cell r="C13" t="str">
            <v>6052001 3860 2007  301 90 30 95 260</v>
          </cell>
        </row>
        <row r="14">
          <cell r="A14" t="str">
            <v>6052DO2008</v>
          </cell>
          <cell r="B14">
            <v>205</v>
          </cell>
          <cell r="C14" t="str">
            <v>6052001 3860 2007  301 30 95 328</v>
          </cell>
        </row>
        <row r="15">
          <cell r="A15" t="str">
            <v>6052FO2008</v>
          </cell>
          <cell r="B15">
            <v>206</v>
          </cell>
          <cell r="C15" t="str">
            <v>6052001 3860 2007  301 90 30 95 328</v>
          </cell>
        </row>
        <row r="16">
          <cell r="A16" t="str">
            <v>6052CQ2008</v>
          </cell>
          <cell r="B16">
            <v>2502</v>
          </cell>
          <cell r="C16" t="str">
            <v>6052001 3860 2007  302 30 95 341</v>
          </cell>
        </row>
        <row r="17">
          <cell r="A17" t="str">
            <v>6052S82008</v>
          </cell>
          <cell r="B17">
            <v>207</v>
          </cell>
          <cell r="C17" t="str">
            <v>6052001  2007   00107 30</v>
          </cell>
        </row>
        <row r="18">
          <cell r="A18" t="str">
            <v>6052S92008</v>
          </cell>
          <cell r="B18">
            <v>208</v>
          </cell>
          <cell r="C18" t="str">
            <v>6052001 2007 001 30</v>
          </cell>
        </row>
        <row r="19">
          <cell r="A19" t="str">
            <v>6052L32008</v>
          </cell>
          <cell r="B19">
            <v>209</v>
          </cell>
          <cell r="C19" t="str">
            <v>6052001 3860 2007 101</v>
          </cell>
        </row>
        <row r="20">
          <cell r="A20" t="str">
            <v>6052DD2008</v>
          </cell>
          <cell r="B20">
            <v>210</v>
          </cell>
          <cell r="C20" t="str">
            <v>6052001 3860 2007  301 30 95 155</v>
          </cell>
        </row>
        <row r="21">
          <cell r="A21" t="str">
            <v>6052GD2008</v>
          </cell>
          <cell r="B21">
            <v>211</v>
          </cell>
          <cell r="C21" t="str">
            <v>6052001 3860 2007  301 30 95 155</v>
          </cell>
        </row>
        <row r="22">
          <cell r="A22" t="str">
            <v>6052FD2008</v>
          </cell>
          <cell r="B22">
            <v>212</v>
          </cell>
          <cell r="C22" t="str">
            <v>6052001 3860 2007  301 90 30 95 155</v>
          </cell>
        </row>
        <row r="23">
          <cell r="A23" t="str">
            <v>6052GH2008</v>
          </cell>
          <cell r="B23">
            <v>2503</v>
          </cell>
          <cell r="C23" t="str">
            <v>6052001 3860 2007  301 30 95 260</v>
          </cell>
        </row>
        <row r="24">
          <cell r="A24" t="str">
            <v>6052GO2008</v>
          </cell>
          <cell r="B24">
            <v>2504</v>
          </cell>
          <cell r="C24" t="str">
            <v>6052001 3860 2007  301 30 95 328</v>
          </cell>
        </row>
        <row r="25">
          <cell r="A25" t="str">
            <v>6052GM2008</v>
          </cell>
          <cell r="B25">
            <v>215</v>
          </cell>
          <cell r="C25" t="str">
            <v>6052001 3860 2007  301 30 95 330</v>
          </cell>
        </row>
        <row r="26">
          <cell r="A26" t="str">
            <v>6052CR2008</v>
          </cell>
          <cell r="B26">
            <v>216</v>
          </cell>
          <cell r="C26" t="str">
            <v>6052001 3860 2007  301 30 95 342</v>
          </cell>
        </row>
        <row r="27">
          <cell r="A27" t="str">
            <v>6052CP2008</v>
          </cell>
          <cell r="B27">
            <v>217</v>
          </cell>
          <cell r="C27" t="str">
            <v>6052001 3860 2007  301 30 95 343</v>
          </cell>
        </row>
        <row r="28">
          <cell r="A28" t="str">
            <v>6052DS2008</v>
          </cell>
          <cell r="B28">
            <v>218</v>
          </cell>
          <cell r="C28" t="str">
            <v>6052001 3860 2007  302 30 95 130</v>
          </cell>
        </row>
        <row r="29">
          <cell r="A29" t="str">
            <v>6052GS2008</v>
          </cell>
          <cell r="B29">
            <v>219</v>
          </cell>
          <cell r="C29" t="str">
            <v>6052001 3860 2007  302 30 95 130</v>
          </cell>
        </row>
        <row r="30">
          <cell r="A30" t="str">
            <v>6052FS2008</v>
          </cell>
          <cell r="B30">
            <v>220</v>
          </cell>
          <cell r="C30" t="str">
            <v>6052001 3860 2007  302 90 30 95 130</v>
          </cell>
        </row>
        <row r="31">
          <cell r="A31" t="str">
            <v>6052CN2008</v>
          </cell>
          <cell r="B31">
            <v>221</v>
          </cell>
          <cell r="C31" t="str">
            <v>6052001 3860 2007  302 30 95 340</v>
          </cell>
        </row>
        <row r="32">
          <cell r="A32" t="str">
            <v>6052S32009</v>
          </cell>
          <cell r="B32">
            <v>301</v>
          </cell>
          <cell r="C32" t="str">
            <v>6052001 3860 2008  001 30</v>
          </cell>
        </row>
        <row r="33">
          <cell r="A33" t="str">
            <v>6052L32009</v>
          </cell>
          <cell r="B33">
            <v>302</v>
          </cell>
          <cell r="C33" t="str">
            <v>6052001 3860 2008 101</v>
          </cell>
        </row>
        <row r="34">
          <cell r="A34" t="str">
            <v>6052L12009</v>
          </cell>
          <cell r="B34">
            <v>3500</v>
          </cell>
          <cell r="C34" t="str">
            <v>6052001 3860 2008 001</v>
          </cell>
        </row>
        <row r="35">
          <cell r="A35" t="str">
            <v>6052S12009</v>
          </cell>
          <cell r="B35">
            <v>3501</v>
          </cell>
          <cell r="C35" t="str">
            <v>6052001 3860 2008 001 10</v>
          </cell>
        </row>
        <row r="36">
          <cell r="A36" t="str">
            <v>6052S92009</v>
          </cell>
          <cell r="B36">
            <v>3502</v>
          </cell>
          <cell r="C36" t="str">
            <v>6052001 3860 2008  001 35</v>
          </cell>
        </row>
        <row r="37">
          <cell r="A37" t="str">
            <v>6052DD2009</v>
          </cell>
          <cell r="B37">
            <v>303</v>
          </cell>
          <cell r="C37" t="str">
            <v>6052001 3860 2008  301 30 95 155</v>
          </cell>
        </row>
        <row r="38">
          <cell r="A38" t="str">
            <v>6052GD2009</v>
          </cell>
          <cell r="B38">
            <v>304</v>
          </cell>
          <cell r="C38" t="str">
            <v>6052001 3860 2008  301 30 95 155</v>
          </cell>
        </row>
        <row r="39">
          <cell r="A39" t="str">
            <v>6052DC2009</v>
          </cell>
          <cell r="B39">
            <v>3503</v>
          </cell>
          <cell r="C39" t="str">
            <v>6052001 3860 2008  301 30 95 115</v>
          </cell>
        </row>
        <row r="40">
          <cell r="A40" t="str">
            <v>6052FD2009</v>
          </cell>
          <cell r="B40">
            <v>306</v>
          </cell>
          <cell r="C40" t="str">
            <v>6052001 3860 2008  301 90 30 95 155</v>
          </cell>
        </row>
        <row r="41">
          <cell r="A41" t="str">
            <v>6052GC2009</v>
          </cell>
          <cell r="B41">
            <v>3504</v>
          </cell>
          <cell r="C41" t="str">
            <v>6052001 3860 2008  301 30 95 115</v>
          </cell>
        </row>
        <row r="42">
          <cell r="A42" t="str">
            <v>6052FC2009</v>
          </cell>
          <cell r="B42">
            <v>3505</v>
          </cell>
          <cell r="C42" t="str">
            <v>6052001 3860 2008  301 90 30 95 115</v>
          </cell>
        </row>
        <row r="43">
          <cell r="A43" t="str">
            <v>6052DG2009</v>
          </cell>
          <cell r="B43">
            <v>3506</v>
          </cell>
          <cell r="C43" t="str">
            <v>6052001 3860 2008  301 30 95 250</v>
          </cell>
        </row>
        <row r="44">
          <cell r="A44" t="str">
            <v>6052GG2009</v>
          </cell>
          <cell r="B44">
            <v>3507</v>
          </cell>
          <cell r="C44" t="str">
            <v>6052001 3860 2008  301 30 95 250</v>
          </cell>
        </row>
        <row r="45">
          <cell r="A45" t="str">
            <v>6052FG2009</v>
          </cell>
          <cell r="B45">
            <v>3508</v>
          </cell>
          <cell r="C45" t="str">
            <v>6052001 3860 2008  301 90 30 95 250</v>
          </cell>
        </row>
        <row r="46">
          <cell r="A46" t="str">
            <v>6052DT2009</v>
          </cell>
          <cell r="B46">
            <v>312</v>
          </cell>
          <cell r="C46" t="str">
            <v>6052001 3860 2008  301 30 95 251</v>
          </cell>
        </row>
        <row r="47">
          <cell r="A47" t="str">
            <v>6052GT2009</v>
          </cell>
          <cell r="B47">
            <v>313</v>
          </cell>
          <cell r="C47" t="str">
            <v>6052001 3860 2008  301 30 95 251</v>
          </cell>
        </row>
        <row r="48">
          <cell r="A48" t="str">
            <v>6052FT2009</v>
          </cell>
          <cell r="B48">
            <v>314</v>
          </cell>
          <cell r="C48" t="str">
            <v>6052001 3860 2008  301 90 30 95 251</v>
          </cell>
        </row>
        <row r="49">
          <cell r="A49" t="str">
            <v>6052DH2009</v>
          </cell>
          <cell r="B49">
            <v>3509</v>
          </cell>
          <cell r="C49" t="str">
            <v>6052001 3860 2008  301 30 95 260</v>
          </cell>
        </row>
        <row r="50">
          <cell r="A50" t="str">
            <v>6052GH2009</v>
          </cell>
          <cell r="B50">
            <v>3510</v>
          </cell>
          <cell r="C50" t="str">
            <v>6052001 3860 2008  301 30 95 260</v>
          </cell>
        </row>
        <row r="51">
          <cell r="A51" t="str">
            <v>6052FH2009</v>
          </cell>
          <cell r="B51">
            <v>3511</v>
          </cell>
          <cell r="C51" t="str">
            <v>6052001 3860 2008  301 90 30 95 260</v>
          </cell>
        </row>
        <row r="52">
          <cell r="A52" t="str">
            <v>6052DL2009</v>
          </cell>
          <cell r="B52">
            <v>318</v>
          </cell>
          <cell r="C52" t="str">
            <v>6052001 3860 2008  301 30 95 311</v>
          </cell>
        </row>
        <row r="53">
          <cell r="A53" t="str">
            <v>6052GL2009</v>
          </cell>
          <cell r="B53">
            <v>319</v>
          </cell>
          <cell r="C53" t="str">
            <v>6052001 3860 2008  301 30 95 311</v>
          </cell>
        </row>
        <row r="54">
          <cell r="A54" t="str">
            <v>6052FL2009</v>
          </cell>
          <cell r="B54">
            <v>320</v>
          </cell>
          <cell r="C54" t="str">
            <v>6052001 3860 2008  301 90 30 95 311</v>
          </cell>
        </row>
        <row r="55">
          <cell r="A55" t="str">
            <v>6052DU2009</v>
          </cell>
          <cell r="B55">
            <v>321</v>
          </cell>
          <cell r="C55" t="str">
            <v>6052001 3860 2008  301 30 95 316</v>
          </cell>
        </row>
        <row r="56">
          <cell r="A56" t="str">
            <v>6052GU2009</v>
          </cell>
          <cell r="B56">
            <v>322</v>
          </cell>
          <cell r="C56" t="str">
            <v>6052001 3860 2008  301 30 95 316</v>
          </cell>
        </row>
        <row r="57">
          <cell r="A57" t="str">
            <v>6052FU2009</v>
          </cell>
          <cell r="B57">
            <v>323</v>
          </cell>
          <cell r="C57" t="str">
            <v>6052001 3860 2008  301 90 30 95 316</v>
          </cell>
        </row>
        <row r="58">
          <cell r="A58" t="str">
            <v>6052CP2009</v>
          </cell>
          <cell r="B58">
            <v>324</v>
          </cell>
          <cell r="C58" t="str">
            <v>6052001 3860 2008  301 30 95 343</v>
          </cell>
        </row>
        <row r="59">
          <cell r="A59" t="str">
            <v>6052DS2009</v>
          </cell>
          <cell r="B59">
            <v>3512</v>
          </cell>
          <cell r="C59" t="str">
            <v>6052001 3860 2008  302 30 95 130</v>
          </cell>
        </row>
        <row r="60">
          <cell r="A60" t="str">
            <v>6052GS2009</v>
          </cell>
          <cell r="B60">
            <v>3513</v>
          </cell>
          <cell r="C60" t="str">
            <v>6052001 3860 2008  302 30 95 130</v>
          </cell>
        </row>
        <row r="61">
          <cell r="A61" t="str">
            <v>6052FS2009</v>
          </cell>
          <cell r="B61">
            <v>3514</v>
          </cell>
          <cell r="C61" t="str">
            <v>6052001 3860 2008  302 90 30 95 130</v>
          </cell>
        </row>
        <row r="62">
          <cell r="A62" t="str">
            <v>6052CT2009</v>
          </cell>
          <cell r="B62">
            <v>328</v>
          </cell>
          <cell r="C62" t="str">
            <v>6052001 3860 2008  302 30 95 160</v>
          </cell>
        </row>
        <row r="63">
          <cell r="A63" t="str">
            <v>6052CU2009</v>
          </cell>
          <cell r="B63">
            <v>329</v>
          </cell>
          <cell r="C63" t="str">
            <v>6052001 3860 2008  302 30 95 206</v>
          </cell>
        </row>
        <row r="64">
          <cell r="A64" t="str">
            <v>6052CN2009</v>
          </cell>
          <cell r="B64">
            <v>330</v>
          </cell>
          <cell r="C64" t="str">
            <v>6052001 3860 2008  302 30 95 340</v>
          </cell>
        </row>
        <row r="65">
          <cell r="A65" t="str">
            <v>6052S72009</v>
          </cell>
          <cell r="B65">
            <v>331</v>
          </cell>
          <cell r="C65" t="str">
            <v>6052001 3860 2008 503 10 29</v>
          </cell>
        </row>
        <row r="66">
          <cell r="A66" t="str">
            <v>6052S82009</v>
          </cell>
          <cell r="B66">
            <v>332</v>
          </cell>
          <cell r="C66" t="str">
            <v>6052001 3860 2008 503 30 10</v>
          </cell>
        </row>
        <row r="67">
          <cell r="A67" t="str">
            <v>6052L72009</v>
          </cell>
          <cell r="B67">
            <v>333</v>
          </cell>
          <cell r="C67" t="str">
            <v>6052001 3860 2008 603 10 29</v>
          </cell>
        </row>
        <row r="68">
          <cell r="A68" t="str">
            <v>6052L82009</v>
          </cell>
          <cell r="B68">
            <v>334</v>
          </cell>
          <cell r="C68" t="str">
            <v>6052001 3860 2008 603 30 10</v>
          </cell>
        </row>
        <row r="69">
          <cell r="A69" t="str">
            <v>6052S32010</v>
          </cell>
          <cell r="B69">
            <v>401</v>
          </cell>
          <cell r="C69" t="str">
            <v>6052001 3860 2009 001 30</v>
          </cell>
        </row>
        <row r="70">
          <cell r="A70" t="str">
            <v>6052S82010</v>
          </cell>
          <cell r="B70">
            <v>402</v>
          </cell>
          <cell r="C70" t="str">
            <v>6052001 3860 2009 00109 30</v>
          </cell>
        </row>
        <row r="71">
          <cell r="A71" t="str">
            <v>6052L12010</v>
          </cell>
          <cell r="B71">
            <v>403</v>
          </cell>
          <cell r="C71" t="str">
            <v>6052001 3860 2009 101</v>
          </cell>
        </row>
        <row r="72">
          <cell r="A72" t="str">
            <v>6052L32010</v>
          </cell>
          <cell r="B72">
            <v>4500</v>
          </cell>
          <cell r="C72" t="str">
            <v>6052001 3860 2009 101</v>
          </cell>
        </row>
        <row r="73">
          <cell r="A73" t="str">
            <v>6052DH2010</v>
          </cell>
          <cell r="B73">
            <v>4501</v>
          </cell>
          <cell r="C73" t="str">
            <v>6052001 3860 2009 301 30 95 260</v>
          </cell>
        </row>
        <row r="74">
          <cell r="A74" t="str">
            <v>6052GH2010</v>
          </cell>
          <cell r="B74">
            <v>409</v>
          </cell>
          <cell r="C74" t="str">
            <v>6052001 3860 2009 301 30 95 260</v>
          </cell>
        </row>
        <row r="75">
          <cell r="A75" t="str">
            <v>6052FH2010</v>
          </cell>
          <cell r="B75">
            <v>4508</v>
          </cell>
          <cell r="C75" t="str">
            <v>6052001 3860 2009 301 90 30 95 260</v>
          </cell>
        </row>
        <row r="76">
          <cell r="A76" t="str">
            <v>6052DL2010</v>
          </cell>
          <cell r="B76">
            <v>411</v>
          </cell>
          <cell r="C76" t="str">
            <v>6052001 3860 2009 301 30 95 311</v>
          </cell>
        </row>
        <row r="77">
          <cell r="A77" t="str">
            <v>6052GL2010</v>
          </cell>
          <cell r="B77">
            <v>4502</v>
          </cell>
          <cell r="C77" t="str">
            <v>6052001 3860 2009 301 30 95 311</v>
          </cell>
        </row>
        <row r="78">
          <cell r="A78" t="str">
            <v>6052FL2010</v>
          </cell>
          <cell r="B78">
            <v>413</v>
          </cell>
          <cell r="C78" t="str">
            <v>6052001 3860 2009 301 90 30 95 311</v>
          </cell>
        </row>
        <row r="79">
          <cell r="A79" t="str">
            <v>6052CQ2010</v>
          </cell>
          <cell r="B79">
            <v>414</v>
          </cell>
          <cell r="C79" t="str">
            <v>6052001 3860 2009 301 30 95 341</v>
          </cell>
        </row>
        <row r="80">
          <cell r="A80" t="str">
            <v>6052CR2010</v>
          </cell>
          <cell r="B80">
            <v>4503</v>
          </cell>
          <cell r="C80" t="str">
            <v>6052001 3860 2009 301 30 95 342</v>
          </cell>
        </row>
        <row r="81">
          <cell r="A81" t="str">
            <v>6052CP2010</v>
          </cell>
          <cell r="B81">
            <v>416</v>
          </cell>
          <cell r="C81" t="str">
            <v>6052001 3860 2009 301 30 95 343</v>
          </cell>
        </row>
        <row r="82">
          <cell r="A82" t="str">
            <v>6052CV2010</v>
          </cell>
          <cell r="B82">
            <v>417</v>
          </cell>
          <cell r="C82" t="str">
            <v>6052001 3860 2009 301 30 95 344</v>
          </cell>
        </row>
        <row r="83">
          <cell r="A83" t="str">
            <v>6052CW2010</v>
          </cell>
          <cell r="B83">
            <v>418</v>
          </cell>
          <cell r="C83" t="str">
            <v>6052001 3860 2009 301 30 95 345</v>
          </cell>
        </row>
        <row r="84">
          <cell r="A84" t="str">
            <v>6052CT2010</v>
          </cell>
          <cell r="B84">
            <v>419</v>
          </cell>
          <cell r="C84" t="str">
            <v>6052001 3860 2009 302 30 95 160</v>
          </cell>
        </row>
        <row r="85">
          <cell r="A85" t="str">
            <v>6052CN2010</v>
          </cell>
          <cell r="B85">
            <v>420</v>
          </cell>
          <cell r="C85" t="str">
            <v>6052001 3860 2009 302 30 95 340</v>
          </cell>
        </row>
        <row r="86">
          <cell r="A86" t="str">
            <v>6052S72010</v>
          </cell>
          <cell r="B86">
            <v>421</v>
          </cell>
          <cell r="C86" t="str">
            <v>6052001 3860 2009 505 10 29</v>
          </cell>
        </row>
        <row r="87">
          <cell r="A87" t="str">
            <v>6052S62010</v>
          </cell>
          <cell r="B87">
            <v>422</v>
          </cell>
          <cell r="C87" t="str">
            <v>6052001 3860 2009 505 30 20</v>
          </cell>
        </row>
        <row r="88">
          <cell r="A88" t="str">
            <v>6052L72010</v>
          </cell>
          <cell r="B88">
            <v>423</v>
          </cell>
          <cell r="C88" t="str">
            <v>6052001 3860 2009 605 10 29</v>
          </cell>
        </row>
        <row r="89">
          <cell r="A89" t="str">
            <v>6052L82010</v>
          </cell>
          <cell r="B89">
            <v>424</v>
          </cell>
          <cell r="C89" t="str">
            <v>6052001 3860 2009 605 30 20</v>
          </cell>
        </row>
        <row r="90">
          <cell r="A90" t="str">
            <v>6052S92010</v>
          </cell>
          <cell r="B90">
            <v>4504</v>
          </cell>
          <cell r="C90" t="str">
            <v>6052001 3860 2009 001 35</v>
          </cell>
        </row>
        <row r="91">
          <cell r="A91" t="str">
            <v>6052DC2010</v>
          </cell>
          <cell r="B91">
            <v>4505</v>
          </cell>
          <cell r="C91" t="str">
            <v>6052001 3860 2009 301 30 95 115</v>
          </cell>
        </row>
        <row r="92">
          <cell r="A92" t="str">
            <v>6052GC2010</v>
          </cell>
          <cell r="B92">
            <v>4506</v>
          </cell>
          <cell r="C92" t="str">
            <v>6052001 3860 2009 301 30 95 115</v>
          </cell>
        </row>
        <row r="93">
          <cell r="A93" t="str">
            <v>6052FC2010</v>
          </cell>
          <cell r="B93">
            <v>4507</v>
          </cell>
          <cell r="C93" t="str">
            <v>6052001 3860 2009 301 90 30 95 115</v>
          </cell>
        </row>
        <row r="94">
          <cell r="A94" t="str">
            <v>6052S32011</v>
          </cell>
          <cell r="B94">
            <v>502</v>
          </cell>
          <cell r="C94" t="str">
            <v>6052001 3860 2010 001 30</v>
          </cell>
        </row>
        <row r="95">
          <cell r="A95" t="str">
            <v>6052S92011</v>
          </cell>
          <cell r="B95">
            <v>5500</v>
          </cell>
          <cell r="C95" t="str">
            <v>6052001 3860 2010 001 35</v>
          </cell>
        </row>
        <row r="96">
          <cell r="A96" t="str">
            <v>6052S82011</v>
          </cell>
          <cell r="B96">
            <v>5504</v>
          </cell>
          <cell r="C96" t="str">
            <v xml:space="preserve">6052001 3860 2010 00110  </v>
          </cell>
        </row>
        <row r="97">
          <cell r="A97" t="str">
            <v>6052L32011</v>
          </cell>
          <cell r="B97">
            <v>505</v>
          </cell>
          <cell r="C97" t="str">
            <v xml:space="preserve">6052001 3860 2010 101  </v>
          </cell>
        </row>
        <row r="98">
          <cell r="A98" t="str">
            <v>6052L12011</v>
          </cell>
          <cell r="B98">
            <v>506</v>
          </cell>
          <cell r="C98" t="str">
            <v>6052001 3860 2010 101</v>
          </cell>
        </row>
        <row r="99">
          <cell r="A99" t="str">
            <v>6052L82011</v>
          </cell>
          <cell r="B99">
            <v>507</v>
          </cell>
          <cell r="C99" t="str">
            <v xml:space="preserve">6052001 3860 2010 10110 </v>
          </cell>
        </row>
        <row r="100">
          <cell r="A100" t="str">
            <v>6052DC2011</v>
          </cell>
          <cell r="B100">
            <v>508</v>
          </cell>
          <cell r="C100" t="str">
            <v>6052001 3860 2010  301 30 95 115</v>
          </cell>
        </row>
        <row r="101">
          <cell r="A101" t="str">
            <v>6052GC2011</v>
          </cell>
          <cell r="B101">
            <v>509</v>
          </cell>
          <cell r="C101" t="str">
            <v>6052001 3860 2010  301 30 95 115</v>
          </cell>
        </row>
        <row r="102">
          <cell r="A102" t="str">
            <v>6052FC2011</v>
          </cell>
          <cell r="B102">
            <v>510</v>
          </cell>
          <cell r="C102" t="str">
            <v>6052001 3860 2010  301 90 30 95 115</v>
          </cell>
        </row>
        <row r="103">
          <cell r="A103" t="str">
            <v>6052DS2011</v>
          </cell>
          <cell r="B103">
            <v>511</v>
          </cell>
          <cell r="C103" t="str">
            <v>6052001 3860 2010  301 30 95 130</v>
          </cell>
        </row>
        <row r="104">
          <cell r="A104" t="str">
            <v>6052GS2011</v>
          </cell>
          <cell r="B104">
            <v>512</v>
          </cell>
          <cell r="C104" t="str">
            <v>6052001 3860 2010  301 30 95 130</v>
          </cell>
        </row>
        <row r="105">
          <cell r="A105" t="str">
            <v>6052FS2011</v>
          </cell>
          <cell r="B105">
            <v>513</v>
          </cell>
          <cell r="C105" t="str">
            <v>6052001 3860 2010  301 90 30 95 130</v>
          </cell>
        </row>
        <row r="106">
          <cell r="A106" t="str">
            <v>6052DD2011</v>
          </cell>
          <cell r="B106">
            <v>515</v>
          </cell>
          <cell r="C106" t="str">
            <v>6052001 3860 2010  301 30 95 155</v>
          </cell>
        </row>
        <row r="107">
          <cell r="A107" t="str">
            <v>6052GD2011</v>
          </cell>
          <cell r="B107">
            <v>516</v>
          </cell>
          <cell r="C107" t="str">
            <v>6052001 3860 2010  301 30 95 155</v>
          </cell>
        </row>
        <row r="108">
          <cell r="A108" t="str">
            <v>6052FD2011</v>
          </cell>
          <cell r="B108">
            <v>517</v>
          </cell>
          <cell r="C108" t="str">
            <v>6052001 3860 2010  301 90 30 95 155</v>
          </cell>
        </row>
        <row r="109">
          <cell r="A109" t="str">
            <v>6052DG2011</v>
          </cell>
          <cell r="B109">
            <v>518</v>
          </cell>
          <cell r="C109" t="str">
            <v>6052001 3860 2010  301 30 95 250</v>
          </cell>
        </row>
        <row r="110">
          <cell r="A110" t="str">
            <v>6052GG2011</v>
          </cell>
          <cell r="B110">
            <v>519</v>
          </cell>
          <cell r="C110" t="str">
            <v>6052001 3860 2010  301 30 95 250</v>
          </cell>
        </row>
        <row r="111">
          <cell r="A111" t="str">
            <v>6052FG2011</v>
          </cell>
          <cell r="B111">
            <v>520</v>
          </cell>
          <cell r="C111" t="str">
            <v>6052001 3860 2010  301 90 30 95 250</v>
          </cell>
        </row>
        <row r="112">
          <cell r="A112" t="str">
            <v>6052DH2011</v>
          </cell>
          <cell r="B112">
            <v>521</v>
          </cell>
          <cell r="C112" t="str">
            <v>6052001 3860 2010  301 30 95 260</v>
          </cell>
        </row>
        <row r="113">
          <cell r="A113" t="str">
            <v>6052GH2011</v>
          </cell>
          <cell r="B113">
            <v>522</v>
          </cell>
          <cell r="C113" t="str">
            <v>6052001 3860 2010  301 30 95 260</v>
          </cell>
        </row>
        <row r="114">
          <cell r="A114" t="str">
            <v>6052FH2011</v>
          </cell>
          <cell r="B114">
            <v>523</v>
          </cell>
          <cell r="C114" t="str">
            <v>6052001 3860 2010  301 90 30 95 260</v>
          </cell>
        </row>
        <row r="115">
          <cell r="A115" t="str">
            <v>6052DI2011</v>
          </cell>
          <cell r="B115">
            <v>524</v>
          </cell>
          <cell r="C115" t="str">
            <v>6052001 3860 2010  301 30 95 280</v>
          </cell>
        </row>
        <row r="116">
          <cell r="A116" t="str">
            <v>6052GI2011</v>
          </cell>
          <cell r="B116">
            <v>525</v>
          </cell>
          <cell r="C116" t="str">
            <v>6052001 3860 2010  301 30 95 280</v>
          </cell>
        </row>
        <row r="117">
          <cell r="A117" t="str">
            <v>6052FI2011</v>
          </cell>
          <cell r="B117">
            <v>526</v>
          </cell>
          <cell r="C117" t="str">
            <v>6052001 3860 2010  301 90 30 95 280</v>
          </cell>
        </row>
        <row r="118">
          <cell r="A118" t="str">
            <v>6052DV2011</v>
          </cell>
          <cell r="B118">
            <v>527</v>
          </cell>
          <cell r="C118" t="str">
            <v>6052001 3860 2010  301 30 95 302</v>
          </cell>
        </row>
        <row r="119">
          <cell r="A119" t="str">
            <v>6052GV2011</v>
          </cell>
          <cell r="B119">
            <v>5505</v>
          </cell>
          <cell r="C119" t="str">
            <v>6052001 3860 2010  301 30 95 302</v>
          </cell>
        </row>
        <row r="120">
          <cell r="A120" t="str">
            <v>6052FV2011</v>
          </cell>
          <cell r="B120">
            <v>529</v>
          </cell>
          <cell r="C120" t="str">
            <v>6052001 3860 2010  301 90 30 95 302</v>
          </cell>
        </row>
        <row r="121">
          <cell r="A121" t="str">
            <v>6052DW2011</v>
          </cell>
          <cell r="B121">
            <v>530</v>
          </cell>
          <cell r="C121" t="str">
            <v>6052001 3860 2010  301 30 95 310</v>
          </cell>
        </row>
        <row r="122">
          <cell r="A122" t="str">
            <v>6052GW2011</v>
          </cell>
          <cell r="B122">
            <v>531</v>
          </cell>
          <cell r="C122" t="str">
            <v>6052001 3860 2010  301 30 95 310</v>
          </cell>
        </row>
        <row r="123">
          <cell r="A123" t="str">
            <v>6052FW2011</v>
          </cell>
          <cell r="B123">
            <v>532</v>
          </cell>
          <cell r="C123" t="str">
            <v>6052001 3860 2010  301 90 30 95 310</v>
          </cell>
        </row>
        <row r="124">
          <cell r="A124" t="str">
            <v>6052DL2011</v>
          </cell>
          <cell r="B124">
            <v>533</v>
          </cell>
          <cell r="C124" t="str">
            <v>6052001 3860 2010  301 30 95 311</v>
          </cell>
        </row>
        <row r="125">
          <cell r="A125" t="str">
            <v>6052GL2011</v>
          </cell>
          <cell r="B125">
            <v>534</v>
          </cell>
          <cell r="C125" t="str">
            <v>6052001 3860 2010  301 30 95 311</v>
          </cell>
        </row>
        <row r="126">
          <cell r="A126" t="str">
            <v>6052FL2011</v>
          </cell>
          <cell r="B126">
            <v>535</v>
          </cell>
          <cell r="C126" t="str">
            <v>6052001 3860 2010  301 90 30 95 311</v>
          </cell>
        </row>
        <row r="127">
          <cell r="A127" t="str">
            <v>6052CX2011</v>
          </cell>
          <cell r="B127">
            <v>5502</v>
          </cell>
          <cell r="C127" t="str">
            <v>6052001 3860 2010  301 30 95 320</v>
          </cell>
        </row>
        <row r="128">
          <cell r="A128" t="str">
            <v>6052CY2011</v>
          </cell>
          <cell r="B128">
            <v>537</v>
          </cell>
          <cell r="C128" t="str">
            <v>6052001 3860 2010  301 30 95 337</v>
          </cell>
        </row>
        <row r="129">
          <cell r="A129" t="str">
            <v>6052CP2011</v>
          </cell>
          <cell r="B129">
            <v>5503</v>
          </cell>
          <cell r="C129" t="str">
            <v>6052001 3860 2010  301 30 95 343</v>
          </cell>
        </row>
        <row r="130">
          <cell r="A130" t="str">
            <v>6052GD0111</v>
          </cell>
          <cell r="B130">
            <v>539</v>
          </cell>
          <cell r="C130" t="str">
            <v>6052001 3860 2010 30113 30 95 155</v>
          </cell>
        </row>
        <row r="131">
          <cell r="A131" t="str">
            <v>6052C12011</v>
          </cell>
          <cell r="B131">
            <v>540</v>
          </cell>
          <cell r="C131" t="str">
            <v>6052001 3860 2010  302 30 95 021</v>
          </cell>
        </row>
        <row r="132">
          <cell r="A132" t="str">
            <v>6052CN2011</v>
          </cell>
          <cell r="B132">
            <v>541</v>
          </cell>
          <cell r="C132" t="str">
            <v>6052001 3860 2010  302 30 95 340</v>
          </cell>
        </row>
        <row r="133">
          <cell r="A133" t="str">
            <v>6052CN0111</v>
          </cell>
          <cell r="B133">
            <v>542</v>
          </cell>
          <cell r="C133" t="str">
            <v>6052001 3860 2010  302 30 95 340</v>
          </cell>
        </row>
        <row r="134">
          <cell r="A134" t="str">
            <v>6052S72011</v>
          </cell>
          <cell r="B134">
            <v>543</v>
          </cell>
          <cell r="C134" t="str">
            <v>6052001 3860 2010 505 10 29</v>
          </cell>
        </row>
        <row r="135">
          <cell r="A135" t="str">
            <v>6052S62011</v>
          </cell>
          <cell r="B135">
            <v>544</v>
          </cell>
          <cell r="C135" t="str">
            <v>6052001 3860 2010 505 30 20</v>
          </cell>
        </row>
        <row r="136">
          <cell r="A136" t="str">
            <v>6052L72011</v>
          </cell>
          <cell r="B136">
            <v>545</v>
          </cell>
          <cell r="C136" t="str">
            <v>6052001 3860 2010 605 10 29</v>
          </cell>
        </row>
        <row r="137">
          <cell r="A137" t="str">
            <v>6052L62011</v>
          </cell>
          <cell r="B137">
            <v>546</v>
          </cell>
          <cell r="C137" t="str">
            <v>6052001 3860 2010 605 30 20</v>
          </cell>
        </row>
        <row r="138">
          <cell r="A138" t="str">
            <v>6052S12011</v>
          </cell>
          <cell r="B138">
            <v>5501</v>
          </cell>
          <cell r="C138" t="str">
            <v>6052001 3860 2010 001 10</v>
          </cell>
        </row>
        <row r="139">
          <cell r="A139" t="str">
            <v>6052S32012</v>
          </cell>
          <cell r="B139">
            <v>602</v>
          </cell>
          <cell r="C139" t="str">
            <v>6052001 3860 2011 001 30</v>
          </cell>
        </row>
        <row r="140">
          <cell r="A140" t="str">
            <v>6052S82012</v>
          </cell>
          <cell r="B140">
            <v>603</v>
          </cell>
          <cell r="C140" t="str">
            <v>6052001 3860 2011 00111 30</v>
          </cell>
        </row>
        <row r="141">
          <cell r="A141" t="str">
            <v>6052L32012</v>
          </cell>
          <cell r="B141">
            <v>605</v>
          </cell>
          <cell r="C141" t="str">
            <v>6052001 3860 2011 101</v>
          </cell>
        </row>
        <row r="142">
          <cell r="A142" t="str">
            <v>6052DC2012</v>
          </cell>
          <cell r="B142">
            <v>606</v>
          </cell>
          <cell r="C142" t="str">
            <v>6052001 3860 2011 301 30 95 115 206</v>
          </cell>
        </row>
        <row r="143">
          <cell r="A143" t="str">
            <v>6052GC2012</v>
          </cell>
          <cell r="B143">
            <v>607</v>
          </cell>
          <cell r="C143" t="str">
            <v>6052001 3860 2011 301 30 95 115 206</v>
          </cell>
        </row>
        <row r="144">
          <cell r="A144" t="str">
            <v>6052FC2012</v>
          </cell>
          <cell r="B144">
            <v>608</v>
          </cell>
          <cell r="C144" t="str">
            <v>6052001 3860 2011 301 90 30 95 115</v>
          </cell>
        </row>
        <row r="145">
          <cell r="A145" t="str">
            <v>6052DS2012</v>
          </cell>
          <cell r="B145">
            <v>609</v>
          </cell>
          <cell r="C145" t="str">
            <v>6052001 3860 2011 301 30 95 130</v>
          </cell>
        </row>
        <row r="146">
          <cell r="A146" t="str">
            <v>6052GS2012</v>
          </cell>
          <cell r="B146">
            <v>610</v>
          </cell>
          <cell r="C146" t="str">
            <v>6052001 3860 2011 301 30 95 130</v>
          </cell>
        </row>
        <row r="147">
          <cell r="A147" t="str">
            <v>6052FS2012</v>
          </cell>
          <cell r="B147">
            <v>611</v>
          </cell>
          <cell r="C147" t="str">
            <v>6052001 3860 2011 301 90 30 95 130</v>
          </cell>
        </row>
        <row r="148">
          <cell r="A148" t="str">
            <v>6052DY2012</v>
          </cell>
          <cell r="B148">
            <v>612</v>
          </cell>
          <cell r="C148" t="str">
            <v>6052001 3860 2011 301 30 95 135</v>
          </cell>
        </row>
        <row r="149">
          <cell r="A149" t="str">
            <v>6052FY2012</v>
          </cell>
          <cell r="B149">
            <v>614</v>
          </cell>
          <cell r="C149" t="str">
            <v>6052001 3860 2011 301 90 30 95 135</v>
          </cell>
        </row>
        <row r="150">
          <cell r="A150" t="str">
            <v>6052DD2012</v>
          </cell>
          <cell r="B150">
            <v>615</v>
          </cell>
          <cell r="C150" t="str">
            <v>6052001 3860 2011 301 30 95 155</v>
          </cell>
        </row>
        <row r="151">
          <cell r="A151" t="str">
            <v>6052GD2012</v>
          </cell>
          <cell r="B151">
            <v>616</v>
          </cell>
          <cell r="C151" t="str">
            <v>6052001 3860 2011 301 30 95 155</v>
          </cell>
        </row>
        <row r="152">
          <cell r="A152" t="str">
            <v>6052FD2012</v>
          </cell>
          <cell r="B152">
            <v>617</v>
          </cell>
          <cell r="C152" t="str">
            <v>6052001 3860 2011 301 90 30 95 155</v>
          </cell>
        </row>
        <row r="153">
          <cell r="A153" t="str">
            <v>6052DG2012</v>
          </cell>
          <cell r="B153">
            <v>618</v>
          </cell>
          <cell r="C153" t="str">
            <v>6052001 3860 2011 301 30 95 250</v>
          </cell>
        </row>
        <row r="154">
          <cell r="A154" t="str">
            <v>6052GG2012</v>
          </cell>
          <cell r="B154">
            <v>619</v>
          </cell>
          <cell r="C154" t="str">
            <v>6052001 3860 2011 301 30 95 250</v>
          </cell>
        </row>
        <row r="155">
          <cell r="A155" t="str">
            <v>6052FG2012</v>
          </cell>
          <cell r="B155">
            <v>620</v>
          </cell>
          <cell r="C155" t="str">
            <v>6052001 3860 2011 301 90 30 95 250</v>
          </cell>
        </row>
        <row r="156">
          <cell r="A156" t="str">
            <v>6052DT2012</v>
          </cell>
          <cell r="B156">
            <v>621</v>
          </cell>
          <cell r="C156" t="str">
            <v>6052001 3860 2011 301 30 95 251</v>
          </cell>
        </row>
        <row r="157">
          <cell r="A157" t="str">
            <v>6052GT2012</v>
          </cell>
          <cell r="B157">
            <v>622</v>
          </cell>
          <cell r="C157" t="str">
            <v>6052001 3860 2011 301 30 95 251</v>
          </cell>
        </row>
        <row r="158">
          <cell r="A158" t="str">
            <v>6052FT2012</v>
          </cell>
          <cell r="B158">
            <v>623</v>
          </cell>
          <cell r="C158" t="str">
            <v>6052001 3860 2011 301 90 30 95 251</v>
          </cell>
        </row>
        <row r="159">
          <cell r="A159" t="str">
            <v>6052DH2012</v>
          </cell>
          <cell r="B159">
            <v>624</v>
          </cell>
          <cell r="C159" t="str">
            <v>6052001 3860 2011 301 30 95 260</v>
          </cell>
        </row>
        <row r="160">
          <cell r="A160" t="str">
            <v>6052GH2012</v>
          </cell>
          <cell r="B160">
            <v>625</v>
          </cell>
          <cell r="C160" t="str">
            <v>6052001 3860 2011 301 30 95 260</v>
          </cell>
        </row>
        <row r="161">
          <cell r="A161" t="str">
            <v>6052FH2012</v>
          </cell>
          <cell r="B161">
            <v>626</v>
          </cell>
          <cell r="C161" t="str">
            <v>6052001 3860 2011 301 90 30 95 260</v>
          </cell>
        </row>
        <row r="162">
          <cell r="A162" t="str">
            <v>6052DV2012</v>
          </cell>
          <cell r="B162">
            <v>627</v>
          </cell>
          <cell r="C162" t="str">
            <v>6052001 3860 2011 301 30 95 302</v>
          </cell>
        </row>
        <row r="163">
          <cell r="A163" t="str">
            <v>6052FV2012</v>
          </cell>
          <cell r="B163">
            <v>629</v>
          </cell>
          <cell r="C163" t="str">
            <v>6052001 3860 2011 301 90 30 95 302</v>
          </cell>
        </row>
        <row r="164">
          <cell r="A164" t="str">
            <v>6052DP2012</v>
          </cell>
          <cell r="B164">
            <v>630</v>
          </cell>
          <cell r="C164" t="str">
            <v>6052001 3860 2011 301 30 95 305</v>
          </cell>
        </row>
        <row r="165">
          <cell r="A165" t="str">
            <v>6052GP2012</v>
          </cell>
          <cell r="B165">
            <v>631</v>
          </cell>
          <cell r="C165" t="str">
            <v>6052001 3860 2011 301 30 95 305 207</v>
          </cell>
        </row>
        <row r="166">
          <cell r="A166" t="str">
            <v>6052FP2012</v>
          </cell>
          <cell r="B166">
            <v>632</v>
          </cell>
          <cell r="C166" t="str">
            <v>6052001 3860 2011 301 90 30 95 305 207</v>
          </cell>
        </row>
        <row r="167">
          <cell r="A167" t="str">
            <v>6052DL2012</v>
          </cell>
          <cell r="B167">
            <v>633</v>
          </cell>
          <cell r="C167" t="str">
            <v>6052001 3860 2011 301 30 95 311</v>
          </cell>
        </row>
        <row r="168">
          <cell r="A168" t="str">
            <v>6052GL2012</v>
          </cell>
          <cell r="B168">
            <v>634</v>
          </cell>
          <cell r="C168" t="str">
            <v>6052001 3860 2011 301 30 95 311</v>
          </cell>
        </row>
        <row r="169">
          <cell r="A169" t="str">
            <v>6052FL2012</v>
          </cell>
          <cell r="B169">
            <v>635</v>
          </cell>
          <cell r="C169" t="str">
            <v>6052001 3860 2011 301 90 30 95 311</v>
          </cell>
        </row>
        <row r="170">
          <cell r="A170" t="str">
            <v>6052DR2012</v>
          </cell>
          <cell r="B170">
            <v>636</v>
          </cell>
          <cell r="C170" t="str">
            <v>6052001 3860 2011 301 30 95 314</v>
          </cell>
        </row>
        <row r="171">
          <cell r="A171" t="str">
            <v>6052GR2012</v>
          </cell>
          <cell r="B171">
            <v>637</v>
          </cell>
          <cell r="C171" t="str">
            <v>6052001 3860 2011 301 30 95 314</v>
          </cell>
        </row>
        <row r="172">
          <cell r="A172" t="str">
            <v>6052FR2012</v>
          </cell>
          <cell r="B172">
            <v>638</v>
          </cell>
          <cell r="C172" t="str">
            <v>6052001 3860 2011 301 90 30 95 314</v>
          </cell>
        </row>
        <row r="173">
          <cell r="A173" t="str">
            <v>6052DQ2012</v>
          </cell>
          <cell r="B173">
            <v>639</v>
          </cell>
          <cell r="C173" t="str">
            <v>6052001 3860 2011 301 30 95 315</v>
          </cell>
        </row>
        <row r="174">
          <cell r="A174" t="str">
            <v>6052GQ2012</v>
          </cell>
          <cell r="B174">
            <v>640</v>
          </cell>
          <cell r="C174" t="str">
            <v>6052001 3860 2011 301 30 95 315</v>
          </cell>
        </row>
        <row r="175">
          <cell r="A175" t="str">
            <v>6052FQ2012</v>
          </cell>
          <cell r="B175">
            <v>641</v>
          </cell>
          <cell r="C175" t="str">
            <v>6052001 3860 2011 301 90 30 95 315</v>
          </cell>
        </row>
        <row r="176">
          <cell r="A176" t="str">
            <v>6052DU2012</v>
          </cell>
          <cell r="B176">
            <v>642</v>
          </cell>
          <cell r="C176" t="str">
            <v>6052001 3860 2011 301 30 95 316</v>
          </cell>
        </row>
        <row r="177">
          <cell r="A177" t="str">
            <v>6052GU2012</v>
          </cell>
          <cell r="B177">
            <v>643</v>
          </cell>
          <cell r="C177" t="str">
            <v>6052001 3860 2011 301 30 95 316</v>
          </cell>
        </row>
        <row r="178">
          <cell r="A178" t="str">
            <v>6052FU2012</v>
          </cell>
          <cell r="B178">
            <v>644</v>
          </cell>
          <cell r="C178" t="str">
            <v>6052001 3860 2011 301 90 30 95 316</v>
          </cell>
        </row>
        <row r="179">
          <cell r="A179" t="str">
            <v>6052DX2012</v>
          </cell>
          <cell r="B179">
            <v>645</v>
          </cell>
          <cell r="C179" t="str">
            <v>6052001 3860 2011 301 30 95 320</v>
          </cell>
        </row>
        <row r="180">
          <cell r="A180" t="str">
            <v>6052GX2012</v>
          </cell>
          <cell r="B180">
            <v>646</v>
          </cell>
          <cell r="C180" t="str">
            <v>6052001 3860 2011 301 30 95 320</v>
          </cell>
        </row>
        <row r="181">
          <cell r="A181" t="str">
            <v>6052FX2012</v>
          </cell>
          <cell r="B181">
            <v>647</v>
          </cell>
          <cell r="C181" t="str">
            <v>6052001 3860 2011 301 90 30 95 320</v>
          </cell>
        </row>
        <row r="182">
          <cell r="A182" t="str">
            <v>6052C12012</v>
          </cell>
          <cell r="B182">
            <v>648</v>
          </cell>
          <cell r="C182" t="str">
            <v>6052001 3860 2011 302 30 95 021</v>
          </cell>
        </row>
        <row r="183">
          <cell r="A183" t="str">
            <v>6052CN2012</v>
          </cell>
          <cell r="B183">
            <v>649</v>
          </cell>
          <cell r="C183" t="str">
            <v>6052001 3860 2011 302 30 95 340</v>
          </cell>
        </row>
        <row r="184">
          <cell r="A184" t="str">
            <v>6052S12012</v>
          </cell>
          <cell r="B184">
            <v>6601</v>
          </cell>
          <cell r="C184" t="str">
            <v>6052001 3860 2011 001 10</v>
          </cell>
        </row>
        <row r="185">
          <cell r="A185" t="str">
            <v>6052S92012</v>
          </cell>
          <cell r="B185">
            <v>6602</v>
          </cell>
          <cell r="C185" t="str">
            <v>6052001 3860 2011 001 35</v>
          </cell>
        </row>
        <row r="186">
          <cell r="A186" t="str">
            <v>6052GY2012</v>
          </cell>
          <cell r="B186">
            <v>6603</v>
          </cell>
          <cell r="C186" t="str">
            <v>6052001 3860 2011 301 30 95 135</v>
          </cell>
        </row>
        <row r="187">
          <cell r="A187" t="str">
            <v>6052GV2012</v>
          </cell>
          <cell r="B187">
            <v>6604</v>
          </cell>
          <cell r="C187" t="str">
            <v>6052001 3860 2011 301 30 95 302</v>
          </cell>
        </row>
        <row r="188">
          <cell r="A188" t="str">
            <v>6052S12013</v>
          </cell>
          <cell r="B188">
            <v>701</v>
          </cell>
          <cell r="C188" t="str">
            <v>6052001 3860 2012 001 10</v>
          </cell>
        </row>
        <row r="189">
          <cell r="A189" t="str">
            <v>6052S32013</v>
          </cell>
          <cell r="B189">
            <v>702</v>
          </cell>
          <cell r="C189" t="str">
            <v>6052001 3860 2012 001 30</v>
          </cell>
        </row>
        <row r="190">
          <cell r="A190" t="str">
            <v>6052S92013</v>
          </cell>
          <cell r="B190">
            <v>703</v>
          </cell>
          <cell r="C190" t="str">
            <v>6052001 3860 2012 001 35</v>
          </cell>
        </row>
        <row r="191">
          <cell r="A191" t="str">
            <v>6052L32013</v>
          </cell>
          <cell r="B191">
            <v>704</v>
          </cell>
          <cell r="C191" t="str">
            <v>6052001 3860 2012 101</v>
          </cell>
        </row>
        <row r="192">
          <cell r="A192" t="str">
            <v>6052L72013</v>
          </cell>
          <cell r="B192">
            <v>705</v>
          </cell>
          <cell r="C192" t="str">
            <v>6052001 3860 2012 10112</v>
          </cell>
        </row>
        <row r="193">
          <cell r="A193" t="str">
            <v>6052C12013</v>
          </cell>
          <cell r="B193">
            <v>706</v>
          </cell>
          <cell r="C193" t="str">
            <v>6052001 3860 2012 301 3095 021</v>
          </cell>
        </row>
        <row r="194">
          <cell r="A194" t="str">
            <v>6052DY2013</v>
          </cell>
          <cell r="B194">
            <v>707</v>
          </cell>
          <cell r="C194" t="str">
            <v>6052001 3860 2012 301 3095 135</v>
          </cell>
        </row>
        <row r="195">
          <cell r="A195" t="str">
            <v>6052GY2013</v>
          </cell>
          <cell r="B195">
            <v>708</v>
          </cell>
          <cell r="C195" t="str">
            <v>6052001 3860 2012 301 3095 135</v>
          </cell>
        </row>
        <row r="196">
          <cell r="A196" t="str">
            <v>6052FY2013</v>
          </cell>
          <cell r="B196">
            <v>709</v>
          </cell>
          <cell r="C196" t="str">
            <v>6052001 3860 2012 301 90 3095 135</v>
          </cell>
        </row>
        <row r="197">
          <cell r="A197" t="str">
            <v>6052CT2013</v>
          </cell>
          <cell r="B197">
            <v>710</v>
          </cell>
          <cell r="C197" t="str">
            <v>6052001 3860 2012 302 3095 160</v>
          </cell>
        </row>
        <row r="198">
          <cell r="A198" t="str">
            <v>6052DV2013</v>
          </cell>
          <cell r="B198">
            <v>711</v>
          </cell>
          <cell r="C198" t="str">
            <v>6052001 3860 2012 301 3095 302</v>
          </cell>
        </row>
        <row r="199">
          <cell r="A199" t="str">
            <v>6052GV2013</v>
          </cell>
          <cell r="B199">
            <v>712</v>
          </cell>
          <cell r="C199" t="str">
            <v>6052001 3860 2012 301 3095 302</v>
          </cell>
        </row>
        <row r="200">
          <cell r="A200" t="str">
            <v>6052FV2013</v>
          </cell>
          <cell r="B200">
            <v>713</v>
          </cell>
          <cell r="C200" t="str">
            <v>6052001 3860 2012 301 90 3095 302</v>
          </cell>
        </row>
        <row r="201">
          <cell r="A201" t="str">
            <v>6052DP2013</v>
          </cell>
          <cell r="B201">
            <v>714</v>
          </cell>
          <cell r="C201" t="str">
            <v>6052001 3860 2012 301 3095 305</v>
          </cell>
        </row>
        <row r="202">
          <cell r="A202" t="str">
            <v>6052GP2013</v>
          </cell>
          <cell r="B202">
            <v>715</v>
          </cell>
          <cell r="C202" t="str">
            <v>6052001 3860 2012 301 3095 305</v>
          </cell>
        </row>
        <row r="203">
          <cell r="A203" t="str">
            <v>6052FP2013</v>
          </cell>
          <cell r="B203">
            <v>716</v>
          </cell>
          <cell r="C203" t="str">
            <v>6052001 3860 2012 301 90 3095 305</v>
          </cell>
        </row>
        <row r="204">
          <cell r="A204" t="str">
            <v>6052DW2013</v>
          </cell>
          <cell r="B204">
            <v>717</v>
          </cell>
          <cell r="C204" t="str">
            <v>6052001 3860 2012 301 3095 310</v>
          </cell>
        </row>
        <row r="205">
          <cell r="A205" t="str">
            <v>6052GW2013</v>
          </cell>
          <cell r="B205">
            <v>718</v>
          </cell>
          <cell r="C205" t="str">
            <v>6052001 3860 2012 301 3095 310</v>
          </cell>
        </row>
        <row r="206">
          <cell r="A206" t="str">
            <v>6052FW2013</v>
          </cell>
          <cell r="B206">
            <v>719</v>
          </cell>
          <cell r="C206" t="str">
            <v>6052001 3860 2012 301 90 3095 310</v>
          </cell>
        </row>
        <row r="207">
          <cell r="A207" t="str">
            <v>6052DL2013</v>
          </cell>
          <cell r="B207">
            <v>720</v>
          </cell>
          <cell r="C207" t="str">
            <v>6052001 3860 2012 301 3095 311</v>
          </cell>
        </row>
        <row r="208">
          <cell r="A208" t="str">
            <v>6052GL2013</v>
          </cell>
          <cell r="B208">
            <v>721</v>
          </cell>
          <cell r="C208" t="str">
            <v>6052001 3860 2012 301 3095 311</v>
          </cell>
        </row>
        <row r="209">
          <cell r="A209" t="str">
            <v>6052FL2013</v>
          </cell>
          <cell r="B209">
            <v>722</v>
          </cell>
          <cell r="C209" t="str">
            <v>6052001 3860 2012 302  90 3095 311</v>
          </cell>
        </row>
        <row r="210">
          <cell r="A210" t="str">
            <v>6052DR2013</v>
          </cell>
          <cell r="B210">
            <v>723</v>
          </cell>
          <cell r="C210" t="str">
            <v>6052001 3860 2012 301 3095 314</v>
          </cell>
        </row>
        <row r="211">
          <cell r="A211" t="str">
            <v>6052GR2013</v>
          </cell>
          <cell r="B211">
            <v>724</v>
          </cell>
          <cell r="C211" t="str">
            <v>6052001 3860 2012 301 3095 314</v>
          </cell>
        </row>
        <row r="212">
          <cell r="A212" t="str">
            <v>6052FR2013</v>
          </cell>
          <cell r="B212">
            <v>725</v>
          </cell>
          <cell r="C212" t="str">
            <v>6052001 3860 2012 301 90 3095 314</v>
          </cell>
        </row>
        <row r="213">
          <cell r="A213" t="str">
            <v>6052DQ2013</v>
          </cell>
          <cell r="B213">
            <v>726</v>
          </cell>
          <cell r="C213" t="str">
            <v>6052001 3860 2012 301 3095 315</v>
          </cell>
        </row>
        <row r="214">
          <cell r="A214" t="str">
            <v>6052GQ2013</v>
          </cell>
          <cell r="B214">
            <v>727</v>
          </cell>
          <cell r="C214" t="str">
            <v>6052001 3860 2012 301 3095 315</v>
          </cell>
        </row>
        <row r="215">
          <cell r="A215" t="str">
            <v>6052FQ2013</v>
          </cell>
          <cell r="B215">
            <v>728</v>
          </cell>
          <cell r="C215" t="str">
            <v>6052001 3860 2012 301 90 3095 315</v>
          </cell>
        </row>
        <row r="216">
          <cell r="A216" t="str">
            <v>6052DU2013</v>
          </cell>
          <cell r="B216">
            <v>729</v>
          </cell>
          <cell r="C216" t="str">
            <v>6052001 3860 2012 301 3095 316</v>
          </cell>
        </row>
        <row r="217">
          <cell r="A217" t="str">
            <v>6052GU2013</v>
          </cell>
          <cell r="B217">
            <v>730</v>
          </cell>
          <cell r="C217" t="str">
            <v>6052001 3860 2012 301 3095 316</v>
          </cell>
        </row>
        <row r="218">
          <cell r="A218" t="str">
            <v>6052FU2013</v>
          </cell>
          <cell r="B218">
            <v>731</v>
          </cell>
          <cell r="C218" t="str">
            <v>6052001 3860 2012 301 90 3095 316</v>
          </cell>
        </row>
        <row r="219">
          <cell r="A219" t="str">
            <v>6052DX2013</v>
          </cell>
          <cell r="B219">
            <v>732</v>
          </cell>
          <cell r="C219" t="str">
            <v>6052001 3860 2012 301 3095 320</v>
          </cell>
        </row>
        <row r="220">
          <cell r="A220" t="str">
            <v>6052GX2013</v>
          </cell>
          <cell r="B220">
            <v>733</v>
          </cell>
          <cell r="C220" t="str">
            <v>6052001 3860 2012 301 3095 320</v>
          </cell>
        </row>
        <row r="221">
          <cell r="A221" t="str">
            <v>6052GX0113</v>
          </cell>
          <cell r="B221">
            <v>734</v>
          </cell>
          <cell r="C221" t="str">
            <v>6052001 3860 2012 301 3095 320</v>
          </cell>
        </row>
        <row r="222">
          <cell r="A222" t="str">
            <v>6052FX2013</v>
          </cell>
          <cell r="B222">
            <v>735</v>
          </cell>
          <cell r="C222" t="str">
            <v>6052001 3860 2012 301 90 3095 320</v>
          </cell>
        </row>
        <row r="223">
          <cell r="A223" t="str">
            <v>6052C32013</v>
          </cell>
          <cell r="B223">
            <v>736</v>
          </cell>
          <cell r="C223" t="str">
            <v>6052001 3860 2012 301 3095 327</v>
          </cell>
        </row>
        <row r="224">
          <cell r="A224" t="str">
            <v>6052C22013</v>
          </cell>
          <cell r="B224">
            <v>737</v>
          </cell>
          <cell r="C224" t="str">
            <v>6052001 3860 2012 302 3095 140</v>
          </cell>
        </row>
        <row r="225">
          <cell r="A225" t="str">
            <v>6052S12014</v>
          </cell>
          <cell r="B225">
            <v>801</v>
          </cell>
          <cell r="C225" t="str">
            <v>6052001 3860 2013 001 10</v>
          </cell>
        </row>
        <row r="226">
          <cell r="A226" t="str">
            <v>6052S32014</v>
          </cell>
          <cell r="B226">
            <v>802</v>
          </cell>
          <cell r="C226" t="str">
            <v>6052001 3860 2013 001 30</v>
          </cell>
        </row>
        <row r="227">
          <cell r="A227" t="str">
            <v>6052S92014</v>
          </cell>
          <cell r="B227">
            <v>803</v>
          </cell>
          <cell r="C227" t="str">
            <v>6052001 3860 2013 001 35</v>
          </cell>
        </row>
        <row r="228">
          <cell r="A228" t="str">
            <v>6052S82014</v>
          </cell>
          <cell r="B228">
            <v>804</v>
          </cell>
          <cell r="C228" t="str">
            <v>6052001 3860 2013 00113 30</v>
          </cell>
        </row>
        <row r="229">
          <cell r="A229" t="str">
            <v>6052L32014</v>
          </cell>
          <cell r="B229">
            <v>805</v>
          </cell>
          <cell r="C229" t="str">
            <v>6052001 3860 2013 101</v>
          </cell>
        </row>
        <row r="230">
          <cell r="A230" t="str">
            <v>6052L82014</v>
          </cell>
          <cell r="B230">
            <v>806</v>
          </cell>
          <cell r="C230" t="str">
            <v>6052001 3860 2013 10113</v>
          </cell>
        </row>
        <row r="231">
          <cell r="A231" t="str">
            <v>6052C42014</v>
          </cell>
          <cell r="B231">
            <v>807</v>
          </cell>
          <cell r="C231" t="str">
            <v>6052001 3860 2013 301 30 95 022</v>
          </cell>
        </row>
        <row r="232">
          <cell r="A232" t="str">
            <v>6052DY2014</v>
          </cell>
          <cell r="B232">
            <v>808</v>
          </cell>
          <cell r="C232" t="str">
            <v>6052001 3860 2013 301 30 95 135</v>
          </cell>
        </row>
        <row r="233">
          <cell r="A233" t="str">
            <v>6052GY2014</v>
          </cell>
          <cell r="B233">
            <v>809</v>
          </cell>
          <cell r="C233" t="str">
            <v>6052001 3860 2013 301 30 95 135</v>
          </cell>
        </row>
        <row r="234">
          <cell r="A234" t="str">
            <v>6052FY2014</v>
          </cell>
          <cell r="B234">
            <v>810</v>
          </cell>
          <cell r="C234" t="str">
            <v>6052001 3860 2013 301 90 30 95 135</v>
          </cell>
        </row>
        <row r="235">
          <cell r="A235" t="str">
            <v>6052DG2014</v>
          </cell>
          <cell r="B235">
            <v>811</v>
          </cell>
          <cell r="C235" t="str">
            <v>6052001 3860 2013 301 30 95 250</v>
          </cell>
        </row>
        <row r="236">
          <cell r="A236" t="str">
            <v>6052GG2014</v>
          </cell>
          <cell r="B236">
            <v>812</v>
          </cell>
          <cell r="C236" t="str">
            <v>6052001 3860 2013 301 30 95 250</v>
          </cell>
        </row>
        <row r="237">
          <cell r="A237" t="str">
            <v>6052FG2014</v>
          </cell>
          <cell r="B237">
            <v>813</v>
          </cell>
          <cell r="C237" t="str">
            <v>6052001 3860 2013 301 90 30 95 250</v>
          </cell>
        </row>
        <row r="238">
          <cell r="A238" t="str">
            <v>6052DT2014</v>
          </cell>
          <cell r="B238">
            <v>814</v>
          </cell>
          <cell r="C238" t="str">
            <v>6052001 3860 2013 301 30 95 251</v>
          </cell>
        </row>
        <row r="239">
          <cell r="A239" t="str">
            <v>6052GT2014</v>
          </cell>
          <cell r="B239">
            <v>815</v>
          </cell>
          <cell r="C239" t="str">
            <v>6052001 3860 2013 301 90 30 95 251</v>
          </cell>
        </row>
        <row r="240">
          <cell r="A240" t="str">
            <v>6052FT2014</v>
          </cell>
          <cell r="B240">
            <v>816</v>
          </cell>
          <cell r="C240" t="str">
            <v>6052001 3860 2013 301 90 30 95 251</v>
          </cell>
        </row>
        <row r="241">
          <cell r="A241" t="str">
            <v>6052DV2014</v>
          </cell>
          <cell r="B241">
            <v>817</v>
          </cell>
          <cell r="C241" t="str">
            <v>6052001 3860 2013 301 30 95 302</v>
          </cell>
        </row>
        <row r="242">
          <cell r="A242" t="str">
            <v>6052GV2014</v>
          </cell>
          <cell r="B242">
            <v>818</v>
          </cell>
          <cell r="C242" t="str">
            <v>6052001 3860 2013 301 30 95 302</v>
          </cell>
        </row>
        <row r="243">
          <cell r="A243" t="str">
            <v>6052FV2014</v>
          </cell>
          <cell r="B243">
            <v>819</v>
          </cell>
          <cell r="C243" t="str">
            <v>6052001 3860 2013 301 90 30 95 302</v>
          </cell>
        </row>
        <row r="244">
          <cell r="A244" t="str">
            <v>6052DW2014</v>
          </cell>
          <cell r="B244">
            <v>820</v>
          </cell>
          <cell r="C244" t="str">
            <v>6052001 3860 2013 301 30 95 310</v>
          </cell>
        </row>
        <row r="245">
          <cell r="A245" t="str">
            <v>6052GW2014</v>
          </cell>
          <cell r="B245">
            <v>821</v>
          </cell>
          <cell r="C245" t="str">
            <v>6052001 3860 2013 301 30 95 310</v>
          </cell>
        </row>
        <row r="246">
          <cell r="A246" t="str">
            <v>6052FW2014</v>
          </cell>
          <cell r="B246">
            <v>822</v>
          </cell>
          <cell r="C246" t="str">
            <v>6052001 3860 2013 301 90 30 95 310</v>
          </cell>
        </row>
        <row r="247">
          <cell r="A247" t="str">
            <v>6052DL2014</v>
          </cell>
          <cell r="B247">
            <v>823</v>
          </cell>
          <cell r="C247" t="str">
            <v>6052001 3860 2013 301 30 95 311</v>
          </cell>
        </row>
        <row r="248">
          <cell r="A248" t="str">
            <v>6052GL2014</v>
          </cell>
          <cell r="B248">
            <v>824</v>
          </cell>
          <cell r="C248" t="str">
            <v>6052001 3860 2013 301 30 95 311</v>
          </cell>
        </row>
        <row r="249">
          <cell r="A249" t="str">
            <v>6052FL2014</v>
          </cell>
          <cell r="B249">
            <v>825</v>
          </cell>
          <cell r="C249" t="str">
            <v>6052001 3860 2013 301 90 30 95 311</v>
          </cell>
        </row>
        <row r="250">
          <cell r="A250" t="str">
            <v>6052GX2014</v>
          </cell>
          <cell r="B250">
            <v>826</v>
          </cell>
          <cell r="C250" t="str">
            <v>6052001 3860 2013 301 30 95 320</v>
          </cell>
        </row>
        <row r="251">
          <cell r="A251" t="str">
            <v>6052C32014</v>
          </cell>
          <cell r="B251">
            <v>827</v>
          </cell>
          <cell r="C251" t="str">
            <v>6052001 3860 2013 301 30 95 327</v>
          </cell>
        </row>
        <row r="252">
          <cell r="A252" t="str">
            <v>6052DO2014</v>
          </cell>
          <cell r="B252">
            <v>828</v>
          </cell>
          <cell r="C252" t="str">
            <v>6052001 3860 2013 301 30 95 328</v>
          </cell>
        </row>
        <row r="253">
          <cell r="A253" t="str">
            <v>6052GO2014</v>
          </cell>
          <cell r="B253">
            <v>829</v>
          </cell>
          <cell r="C253" t="str">
            <v>6052001 3860 2013 301 30 95 328</v>
          </cell>
        </row>
        <row r="254">
          <cell r="A254" t="str">
            <v>6052FO2014</v>
          </cell>
          <cell r="B254">
            <v>830</v>
          </cell>
          <cell r="C254" t="str">
            <v>6052001 3860 2013 301 90 30 95 328</v>
          </cell>
        </row>
        <row r="255">
          <cell r="A255" t="str">
            <v>6052S12015</v>
          </cell>
          <cell r="B255">
            <v>901</v>
          </cell>
          <cell r="C255" t="str">
            <v>6052001 3860 2014 001 10</v>
          </cell>
        </row>
        <row r="256">
          <cell r="A256" t="str">
            <v>6052S32015</v>
          </cell>
          <cell r="B256">
            <v>902</v>
          </cell>
          <cell r="C256" t="str">
            <v>6052001 3860 2014 001 30</v>
          </cell>
        </row>
        <row r="257">
          <cell r="A257" t="str">
            <v>6052S92015</v>
          </cell>
          <cell r="B257">
            <v>903</v>
          </cell>
          <cell r="C257" t="str">
            <v>6052001 3860 2014 001 35</v>
          </cell>
        </row>
        <row r="258">
          <cell r="A258" t="str">
            <v>6052L32015</v>
          </cell>
          <cell r="B258">
            <v>904</v>
          </cell>
          <cell r="C258" t="str">
            <v>6052001 3860 2014 101</v>
          </cell>
        </row>
        <row r="259">
          <cell r="A259" t="str">
            <v>6052GY2015</v>
          </cell>
          <cell r="B259">
            <v>905</v>
          </cell>
          <cell r="C259" t="str">
            <v>6052001 3860 2014 301 30 95 135</v>
          </cell>
        </row>
        <row r="260">
          <cell r="A260" t="str">
            <v>6052G12015</v>
          </cell>
          <cell r="B260">
            <v>906</v>
          </cell>
          <cell r="C260" t="str">
            <v>6052001 3860 2014 301 30 95 350</v>
          </cell>
        </row>
        <row r="261">
          <cell r="A261" t="str">
            <v>6052C52015</v>
          </cell>
          <cell r="B261">
            <v>907</v>
          </cell>
          <cell r="C261" t="str">
            <v>6052001 3860 2014 301 30 95 360</v>
          </cell>
        </row>
        <row r="262">
          <cell r="A262" t="str">
            <v>6052S12016</v>
          </cell>
          <cell r="B262">
            <v>1000</v>
          </cell>
          <cell r="C262" t="str">
            <v>6052001 3860 2015 001 10</v>
          </cell>
        </row>
        <row r="263">
          <cell r="A263" t="str">
            <v>6052S32016</v>
          </cell>
          <cell r="B263">
            <v>1001</v>
          </cell>
          <cell r="C263" t="str">
            <v>6052001 3860 2015 001 30</v>
          </cell>
        </row>
        <row r="264">
          <cell r="A264" t="str">
            <v>6052S92016</v>
          </cell>
          <cell r="B264">
            <v>1002</v>
          </cell>
          <cell r="C264" t="str">
            <v>6052001 3860 2015 001 35</v>
          </cell>
        </row>
        <row r="265">
          <cell r="A265" t="str">
            <v>6052C62016</v>
          </cell>
          <cell r="B265">
            <v>1003</v>
          </cell>
          <cell r="C265" t="str">
            <v>6052001 3860 2015 301 30 95 370</v>
          </cell>
        </row>
        <row r="266">
          <cell r="A266" t="str">
            <v>6052310I09</v>
          </cell>
          <cell r="B266">
            <v>248</v>
          </cell>
        </row>
        <row r="267">
          <cell r="A267" t="str">
            <v>6052320J09</v>
          </cell>
        </row>
        <row r="268">
          <cell r="A268" t="str">
            <v>6052351I10</v>
          </cell>
        </row>
        <row r="269">
          <cell r="A269" t="str">
            <v>6052371J09</v>
          </cell>
        </row>
        <row r="270">
          <cell r="A270" t="str">
            <v>6052RRR302</v>
          </cell>
        </row>
        <row r="271">
          <cell r="A271" t="str">
            <v>6052RRR303</v>
          </cell>
        </row>
        <row r="272">
          <cell r="A272" t="str">
            <v>6052RRR304</v>
          </cell>
        </row>
        <row r="273">
          <cell r="A273" t="str">
            <v>6052RRR305</v>
          </cell>
        </row>
        <row r="274">
          <cell r="A274" t="str">
            <v>6052RRR306</v>
          </cell>
        </row>
        <row r="275">
          <cell r="A275" t="str">
            <v>6052RRR307</v>
          </cell>
        </row>
        <row r="276">
          <cell r="A276" t="str">
            <v>6052RRR308</v>
          </cell>
        </row>
        <row r="277">
          <cell r="A277" t="str">
            <v>6052RRR310</v>
          </cell>
        </row>
        <row r="278">
          <cell r="A278" t="str">
            <v>6052RRR311</v>
          </cell>
        </row>
        <row r="279">
          <cell r="A279" t="str">
            <v>6052RRR312</v>
          </cell>
        </row>
        <row r="280">
          <cell r="A280" t="str">
            <v>6052RRR320</v>
          </cell>
        </row>
        <row r="281">
          <cell r="A281" t="str">
            <v>6052RRR325</v>
          </cell>
        </row>
        <row r="282">
          <cell r="A282" t="str">
            <v>6052RRR330</v>
          </cell>
        </row>
        <row r="283">
          <cell r="A283" t="str">
            <v>6052RRR340</v>
          </cell>
        </row>
        <row r="284">
          <cell r="A284" t="str">
            <v>6052RRR350</v>
          </cell>
        </row>
        <row r="285">
          <cell r="A285" t="str">
            <v>6052RRR351</v>
          </cell>
        </row>
        <row r="286">
          <cell r="A286" t="str">
            <v>6052RRR355</v>
          </cell>
        </row>
        <row r="287">
          <cell r="A287" t="str">
            <v>6052RRR361</v>
          </cell>
        </row>
        <row r="288">
          <cell r="A288" t="str">
            <v>6052RRR365</v>
          </cell>
        </row>
        <row r="289">
          <cell r="A289" t="str">
            <v>6052RRR371</v>
          </cell>
        </row>
        <row r="290">
          <cell r="A290" t="str">
            <v>6052RRR379</v>
          </cell>
        </row>
        <row r="291">
          <cell r="A291" t="str">
            <v>6052RRR381</v>
          </cell>
        </row>
        <row r="292">
          <cell r="A292" t="str">
            <v>6052RRR389</v>
          </cell>
        </row>
        <row r="293">
          <cell r="A293" t="str">
            <v>6052RRR400</v>
          </cell>
        </row>
        <row r="294">
          <cell r="A294" t="str">
            <v>6052RRR401</v>
          </cell>
        </row>
        <row r="295">
          <cell r="A295" t="str">
            <v>6052RRR700</v>
          </cell>
        </row>
        <row r="296">
          <cell r="A296" t="str">
            <v>6052RRR999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13 recon"/>
      <sheetName val="Period 13 Working Data "/>
      <sheetName val="June Fixed Assets"/>
      <sheetName val="groupdata"/>
    </sheetNames>
    <sheetDataSet>
      <sheetData sheetId="0"/>
      <sheetData sheetId="1"/>
      <sheetData sheetId="2"/>
      <sheetData sheetId="3" refreshError="1">
        <row r="1">
          <cell r="A1" t="str">
            <v>DWR Fund</v>
          </cell>
          <cell r="B1" t="str">
            <v>Fund</v>
          </cell>
          <cell r="C1" t="str">
            <v>SCO Account</v>
          </cell>
          <cell r="D1" t="str">
            <v>Name</v>
          </cell>
          <cell r="E1" t="str">
            <v>Type</v>
          </cell>
          <cell r="F1" t="str">
            <v>FY for Group</v>
          </cell>
          <cell r="G1" t="str">
            <v>Fund</v>
          </cell>
          <cell r="H1" t="str">
            <v>Reference</v>
          </cell>
          <cell r="I1" t="str">
            <v>Sub</v>
          </cell>
          <cell r="J1" t="str">
            <v>Federal Ca</v>
          </cell>
          <cell r="K1" t="str">
            <v>Category</v>
          </cell>
          <cell r="L1" t="str">
            <v>Program</v>
          </cell>
          <cell r="M1" t="str">
            <v>Element</v>
          </cell>
          <cell r="N1" t="str">
            <v>Component</v>
          </cell>
          <cell r="O1" t="str">
            <v>Task</v>
          </cell>
          <cell r="P1" t="str">
            <v>Chapter</v>
          </cell>
          <cell r="Q1" t="str">
            <v>Item</v>
          </cell>
          <cell r="R1" t="str">
            <v>Statute</v>
          </cell>
          <cell r="S1" t="str">
            <v>Description</v>
          </cell>
          <cell r="T1" t="str">
            <v>Valid from</v>
          </cell>
          <cell r="U1" t="str">
            <v>Valid to</v>
          </cell>
          <cell r="V1" t="str">
            <v>Active until</v>
          </cell>
          <cell r="W1" t="str">
            <v>Expir.date</v>
          </cell>
          <cell r="X1" t="str">
            <v>ReversDate</v>
          </cell>
        </row>
        <row r="2">
          <cell r="A2" t="str">
            <v>6031S22003</v>
          </cell>
          <cell r="B2" t="str">
            <v>6031</v>
          </cell>
          <cell r="C2" t="str">
            <v>6031001-2002-001--10----</v>
          </cell>
          <cell r="D2" t="str">
            <v>Prop 50 - Wtr Sec-SO</v>
          </cell>
          <cell r="E2" t="str">
            <v>D</v>
          </cell>
          <cell r="F2" t="str">
            <v>2003</v>
          </cell>
          <cell r="G2" t="str">
            <v>6031001</v>
          </cell>
          <cell r="H2" t="str">
            <v>001</v>
          </cell>
          <cell r="I2" t="str">
            <v>001</v>
          </cell>
          <cell r="J2" t="str">
            <v/>
          </cell>
          <cell r="K2" t="str">
            <v/>
          </cell>
          <cell r="L2" t="str">
            <v>10</v>
          </cell>
          <cell r="M2" t="str">
            <v/>
          </cell>
          <cell r="N2" t="str">
            <v/>
          </cell>
          <cell r="O2" t="str">
            <v/>
          </cell>
          <cell r="P2" t="str">
            <v>379</v>
          </cell>
          <cell r="Q2" t="str">
            <v>3860-001-6031</v>
          </cell>
          <cell r="R2" t="str">
            <v>2002</v>
          </cell>
          <cell r="S2" t="str">
            <v>State Ops - Pg10 Wtr Sec,Cln Drnkg Wr,CB</v>
          </cell>
          <cell r="T2">
            <v>37438</v>
          </cell>
          <cell r="U2">
            <v>39263</v>
          </cell>
          <cell r="V2" t="str">
            <v>Active until 6/30/07</v>
          </cell>
          <cell r="W2">
            <v>37803</v>
          </cell>
          <cell r="X2">
            <v>39263</v>
          </cell>
        </row>
        <row r="3">
          <cell r="A3" t="str">
            <v>6031S12003</v>
          </cell>
          <cell r="B3" t="str">
            <v>6031</v>
          </cell>
          <cell r="C3" t="str">
            <v>6031001-2002-001--15----</v>
          </cell>
          <cell r="D3" t="str">
            <v>Prop 50 - Wtr Sec-SO</v>
          </cell>
          <cell r="E3" t="str">
            <v>D</v>
          </cell>
          <cell r="F3" t="str">
            <v>2003</v>
          </cell>
          <cell r="G3" t="str">
            <v>6031001</v>
          </cell>
          <cell r="H3" t="str">
            <v>001</v>
          </cell>
          <cell r="I3" t="str">
            <v>001</v>
          </cell>
          <cell r="J3" t="str">
            <v/>
          </cell>
          <cell r="K3" t="str">
            <v/>
          </cell>
          <cell r="L3" t="str">
            <v>15</v>
          </cell>
          <cell r="M3" t="str">
            <v/>
          </cell>
          <cell r="N3" t="str">
            <v/>
          </cell>
          <cell r="O3" t="str">
            <v/>
          </cell>
          <cell r="P3" t="str">
            <v>379</v>
          </cell>
          <cell r="Q3" t="str">
            <v>3860-001-6031</v>
          </cell>
          <cell r="R3" t="str">
            <v>2002</v>
          </cell>
          <cell r="S3" t="str">
            <v>State Ops - Pg15 Wtr Sec,Cln Drnkg Wr,CB</v>
          </cell>
          <cell r="T3">
            <v>37438</v>
          </cell>
          <cell r="U3">
            <v>39263</v>
          </cell>
          <cell r="V3" t="str">
            <v>Active until 6/30/07</v>
          </cell>
          <cell r="W3">
            <v>37803</v>
          </cell>
          <cell r="X3">
            <v>39263</v>
          </cell>
        </row>
        <row r="4">
          <cell r="A4" t="str">
            <v>6031L12003</v>
          </cell>
          <cell r="B4" t="str">
            <v>6031</v>
          </cell>
          <cell r="C4" t="str">
            <v>6031001-2002-101--10-10---</v>
          </cell>
          <cell r="D4" t="str">
            <v>Prop 50 - Wtr Sec-LA</v>
          </cell>
          <cell r="E4" t="str">
            <v>D</v>
          </cell>
          <cell r="F4" t="str">
            <v>2003</v>
          </cell>
          <cell r="G4" t="str">
            <v>6031001</v>
          </cell>
          <cell r="H4" t="str">
            <v>101</v>
          </cell>
          <cell r="I4" t="str">
            <v>001</v>
          </cell>
          <cell r="J4" t="str">
            <v/>
          </cell>
          <cell r="K4" t="str">
            <v/>
          </cell>
          <cell r="L4" t="str">
            <v>10</v>
          </cell>
          <cell r="M4" t="str">
            <v>10</v>
          </cell>
          <cell r="N4" t="str">
            <v/>
          </cell>
          <cell r="O4" t="str">
            <v/>
          </cell>
          <cell r="P4" t="str">
            <v>379</v>
          </cell>
          <cell r="Q4" t="str">
            <v>3860-101-6031</v>
          </cell>
          <cell r="R4" t="str">
            <v>2002</v>
          </cell>
          <cell r="S4" t="str">
            <v>Local Asst - Pg10 WtrSec,Cln Drnkg Wr,CB</v>
          </cell>
          <cell r="T4">
            <v>37438</v>
          </cell>
          <cell r="U4">
            <v>39263</v>
          </cell>
          <cell r="V4" t="str">
            <v>Active until 6/30/07</v>
          </cell>
          <cell r="W4">
            <v>37803</v>
          </cell>
          <cell r="X4">
            <v>39263</v>
          </cell>
        </row>
        <row r="5">
          <cell r="A5" t="str">
            <v>6031S12005</v>
          </cell>
          <cell r="B5" t="str">
            <v>6031</v>
          </cell>
          <cell r="C5" t="str">
            <v>6031001-2004-001--10----</v>
          </cell>
          <cell r="D5" t="str">
            <v>Prop 50 - SO WS Bond</v>
          </cell>
          <cell r="E5" t="str">
            <v>D</v>
          </cell>
          <cell r="F5" t="str">
            <v>2005</v>
          </cell>
          <cell r="G5" t="str">
            <v>6031001</v>
          </cell>
          <cell r="H5" t="str">
            <v>001</v>
          </cell>
          <cell r="I5" t="str">
            <v>001</v>
          </cell>
          <cell r="J5" t="str">
            <v/>
          </cell>
          <cell r="K5" t="str">
            <v/>
          </cell>
          <cell r="L5" t="str">
            <v>10</v>
          </cell>
          <cell r="M5" t="str">
            <v/>
          </cell>
          <cell r="N5" t="str">
            <v/>
          </cell>
          <cell r="O5" t="str">
            <v/>
          </cell>
          <cell r="P5" t="str">
            <v>208</v>
          </cell>
          <cell r="Q5" t="str">
            <v>3860-001-6031</v>
          </cell>
          <cell r="R5" t="str">
            <v>2004</v>
          </cell>
          <cell r="S5" t="str">
            <v>State Ops - Pg 10 Water Security Prop 50</v>
          </cell>
          <cell r="T5">
            <v>38169</v>
          </cell>
          <cell r="U5">
            <v>39263</v>
          </cell>
          <cell r="V5" t="str">
            <v>Active until 6/30/07</v>
          </cell>
          <cell r="W5">
            <v>38534</v>
          </cell>
          <cell r="X5">
            <v>39263</v>
          </cell>
        </row>
        <row r="6">
          <cell r="A6" t="str">
            <v>6031S32005</v>
          </cell>
          <cell r="B6" t="str">
            <v>6031</v>
          </cell>
          <cell r="C6" t="str">
            <v>6031001-2004-001--30----</v>
          </cell>
          <cell r="D6" t="str">
            <v>Prop 50 - SO WS Bond</v>
          </cell>
          <cell r="E6" t="str">
            <v>D</v>
          </cell>
          <cell r="F6" t="str">
            <v>2005</v>
          </cell>
          <cell r="G6" t="str">
            <v>6031001</v>
          </cell>
          <cell r="H6" t="str">
            <v>001</v>
          </cell>
          <cell r="I6" t="str">
            <v>001</v>
          </cell>
          <cell r="J6" t="str">
            <v/>
          </cell>
          <cell r="K6" t="str">
            <v/>
          </cell>
          <cell r="L6" t="str">
            <v>30</v>
          </cell>
          <cell r="M6" t="str">
            <v/>
          </cell>
          <cell r="N6" t="str">
            <v/>
          </cell>
          <cell r="O6" t="str">
            <v/>
          </cell>
          <cell r="P6" t="str">
            <v>208</v>
          </cell>
          <cell r="Q6" t="str">
            <v>3860-001-6031</v>
          </cell>
          <cell r="R6" t="str">
            <v>2004</v>
          </cell>
          <cell r="S6" t="str">
            <v>State Ops - Pg 30 Water Security Prop 50</v>
          </cell>
          <cell r="T6">
            <v>38169</v>
          </cell>
          <cell r="U6">
            <v>39263</v>
          </cell>
          <cell r="V6" t="str">
            <v>Active until 6/30/07</v>
          </cell>
          <cell r="W6">
            <v>38534</v>
          </cell>
          <cell r="X6">
            <v>39263</v>
          </cell>
        </row>
        <row r="7">
          <cell r="A7" t="str">
            <v>6031L12005</v>
          </cell>
          <cell r="B7" t="str">
            <v>6031</v>
          </cell>
          <cell r="C7" t="str">
            <v>6031001-2004-101-11-----</v>
          </cell>
          <cell r="D7" t="str">
            <v>Prop 50 - LA WS Bond</v>
          </cell>
          <cell r="E7" t="str">
            <v>D</v>
          </cell>
          <cell r="F7" t="str">
            <v>2005</v>
          </cell>
          <cell r="G7" t="str">
            <v>6031001</v>
          </cell>
          <cell r="H7" t="str">
            <v>101</v>
          </cell>
          <cell r="I7" t="str">
            <v>001</v>
          </cell>
          <cell r="J7" t="str">
            <v/>
          </cell>
          <cell r="K7" t="str">
            <v>11</v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>208</v>
          </cell>
          <cell r="Q7" t="str">
            <v/>
          </cell>
          <cell r="R7" t="str">
            <v>2004</v>
          </cell>
          <cell r="S7" t="str">
            <v>Local Assistance Pg 10 Wtr Security Pr50</v>
          </cell>
          <cell r="T7">
            <v>38169</v>
          </cell>
          <cell r="U7">
            <v>39263</v>
          </cell>
          <cell r="V7" t="str">
            <v>Active until 6/30/07</v>
          </cell>
          <cell r="W7">
            <v>38534</v>
          </cell>
          <cell r="X7">
            <v>39263</v>
          </cell>
        </row>
        <row r="8">
          <cell r="A8" t="str">
            <v>6031L32005</v>
          </cell>
          <cell r="B8" t="str">
            <v>6031</v>
          </cell>
          <cell r="C8" t="str">
            <v>6031001-2004-101-11-----</v>
          </cell>
          <cell r="D8" t="str">
            <v>Prop 50 - LA WS Bond</v>
          </cell>
          <cell r="E8" t="str">
            <v>D</v>
          </cell>
          <cell r="F8" t="str">
            <v>2005</v>
          </cell>
          <cell r="G8" t="str">
            <v>6031001</v>
          </cell>
          <cell r="H8" t="str">
            <v>101</v>
          </cell>
          <cell r="I8" t="str">
            <v>001</v>
          </cell>
          <cell r="J8" t="str">
            <v/>
          </cell>
          <cell r="K8" t="str">
            <v>11</v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>208</v>
          </cell>
          <cell r="Q8" t="str">
            <v>3860-101-6031</v>
          </cell>
          <cell r="R8" t="str">
            <v>2004</v>
          </cell>
          <cell r="S8" t="str">
            <v>Local Assistance Pg 30 Wtr Security Pr50</v>
          </cell>
          <cell r="T8">
            <v>38169</v>
          </cell>
          <cell r="U8">
            <v>39263</v>
          </cell>
          <cell r="V8" t="str">
            <v>Active until 6/30/07</v>
          </cell>
          <cell r="W8">
            <v>38534</v>
          </cell>
          <cell r="X8">
            <v>39263</v>
          </cell>
        </row>
        <row r="9">
          <cell r="A9" t="str">
            <v>6031S22004</v>
          </cell>
          <cell r="B9" t="str">
            <v>6031</v>
          </cell>
          <cell r="C9" t="str">
            <v>6031001-2003-00104--30----</v>
          </cell>
          <cell r="D9" t="str">
            <v>Prop 50-SO WtrS Bond</v>
          </cell>
          <cell r="E9" t="str">
            <v>D</v>
          </cell>
          <cell r="F9" t="str">
            <v>2004</v>
          </cell>
          <cell r="G9" t="str">
            <v>6031001</v>
          </cell>
          <cell r="H9" t="str">
            <v>00104</v>
          </cell>
          <cell r="I9" t="str">
            <v>001</v>
          </cell>
          <cell r="J9" t="str">
            <v/>
          </cell>
          <cell r="K9" t="str">
            <v/>
          </cell>
          <cell r="L9" t="str">
            <v>30</v>
          </cell>
          <cell r="M9" t="str">
            <v/>
          </cell>
          <cell r="N9" t="str">
            <v/>
          </cell>
          <cell r="O9" t="str">
            <v/>
          </cell>
          <cell r="P9" t="str">
            <v>157</v>
          </cell>
          <cell r="Q9" t="str">
            <v>3860-00104-6031</v>
          </cell>
          <cell r="R9" t="str">
            <v>2003</v>
          </cell>
          <cell r="S9" t="str">
            <v>REAPPROP Pg 30 SO Water Security Prop 50</v>
          </cell>
          <cell r="T9">
            <v>37803</v>
          </cell>
          <cell r="U9">
            <v>39629</v>
          </cell>
          <cell r="V9" t="str">
            <v>Active until 6/30/08</v>
          </cell>
          <cell r="W9">
            <v>38899</v>
          </cell>
          <cell r="X9">
            <v>39629</v>
          </cell>
        </row>
        <row r="10">
          <cell r="A10" t="str">
            <v>6031S72004</v>
          </cell>
          <cell r="B10" t="str">
            <v>6031</v>
          </cell>
          <cell r="C10" t="str">
            <v>6031001-2003-001--10----</v>
          </cell>
          <cell r="D10" t="str">
            <v>Prop 50 - SO WS Bond</v>
          </cell>
          <cell r="E10" t="str">
            <v>D</v>
          </cell>
          <cell r="F10" t="str">
            <v>2004</v>
          </cell>
          <cell r="G10" t="str">
            <v>6031001</v>
          </cell>
          <cell r="H10" t="str">
            <v>001</v>
          </cell>
          <cell r="I10" t="str">
            <v>001</v>
          </cell>
          <cell r="J10" t="str">
            <v/>
          </cell>
          <cell r="K10" t="str">
            <v/>
          </cell>
          <cell r="L10" t="str">
            <v>10</v>
          </cell>
          <cell r="M10" t="str">
            <v/>
          </cell>
          <cell r="N10" t="str">
            <v/>
          </cell>
          <cell r="O10" t="str">
            <v/>
          </cell>
          <cell r="P10" t="str">
            <v>157</v>
          </cell>
          <cell r="Q10" t="str">
            <v>3860-001-6031</v>
          </cell>
          <cell r="R10" t="str">
            <v>2003</v>
          </cell>
          <cell r="S10" t="str">
            <v>State Ops - Pg 10 Water Security Prop 50</v>
          </cell>
          <cell r="T10">
            <v>37803</v>
          </cell>
          <cell r="U10">
            <v>39629</v>
          </cell>
          <cell r="V10" t="str">
            <v>Active until 6/30/08</v>
          </cell>
          <cell r="W10">
            <v>38169</v>
          </cell>
          <cell r="X10">
            <v>39629</v>
          </cell>
        </row>
        <row r="11">
          <cell r="A11" t="str">
            <v>6031L32004</v>
          </cell>
          <cell r="B11" t="str">
            <v>6031</v>
          </cell>
          <cell r="C11" t="str">
            <v>6031001-2003-101------</v>
          </cell>
          <cell r="D11" t="str">
            <v>Prop 50 - LA WS Bond</v>
          </cell>
          <cell r="E11" t="str">
            <v>D</v>
          </cell>
          <cell r="F11" t="str">
            <v>2004</v>
          </cell>
          <cell r="G11" t="str">
            <v>6031001</v>
          </cell>
          <cell r="H11" t="str">
            <v>101</v>
          </cell>
          <cell r="I11" t="str">
            <v>001</v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>157</v>
          </cell>
          <cell r="Q11" t="str">
            <v>3860-101-6031</v>
          </cell>
          <cell r="R11" t="str">
            <v>2003</v>
          </cell>
          <cell r="S11" t="str">
            <v>Local Assistance Wtr Security Pr50 PG30</v>
          </cell>
          <cell r="T11">
            <v>37803</v>
          </cell>
          <cell r="U11">
            <v>39629</v>
          </cell>
          <cell r="V11" t="str">
            <v>Active until 6/30/08</v>
          </cell>
          <cell r="W11">
            <v>38169</v>
          </cell>
          <cell r="X11">
            <v>39629</v>
          </cell>
        </row>
        <row r="12">
          <cell r="A12" t="str">
            <v>6031L72005</v>
          </cell>
          <cell r="B12" t="str">
            <v>6031</v>
          </cell>
          <cell r="C12" t="str">
            <v>6031001-2004-101-12-----</v>
          </cell>
          <cell r="D12" t="str">
            <v>Prop 50 - LA WS Bond</v>
          </cell>
          <cell r="E12" t="str">
            <v>D</v>
          </cell>
          <cell r="F12" t="str">
            <v>2005</v>
          </cell>
          <cell r="G12" t="str">
            <v>6031001</v>
          </cell>
          <cell r="H12" t="str">
            <v>101</v>
          </cell>
          <cell r="I12" t="str">
            <v>001</v>
          </cell>
          <cell r="J12" t="str">
            <v/>
          </cell>
          <cell r="K12" t="str">
            <v>12</v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>208</v>
          </cell>
          <cell r="Q12" t="str">
            <v>3860-101-6031</v>
          </cell>
          <cell r="R12" t="str">
            <v>2004</v>
          </cell>
          <cell r="S12" t="str">
            <v>LA Pg 10 Wtr Security Prop 50 $19 Approp</v>
          </cell>
          <cell r="T12">
            <v>38169</v>
          </cell>
          <cell r="U12">
            <v>39629</v>
          </cell>
          <cell r="V12" t="str">
            <v>Active until 6/30/08</v>
          </cell>
          <cell r="W12">
            <v>38899</v>
          </cell>
          <cell r="X12">
            <v>39629</v>
          </cell>
        </row>
        <row r="13">
          <cell r="A13" t="str">
            <v>6031S12006</v>
          </cell>
          <cell r="B13" t="str">
            <v>6031</v>
          </cell>
          <cell r="C13" t="str">
            <v>6031001-2005-001--10----</v>
          </cell>
          <cell r="D13" t="str">
            <v>Prop 50 - SO WS Bond</v>
          </cell>
          <cell r="E13" t="str">
            <v>D</v>
          </cell>
          <cell r="F13" t="str">
            <v>2006</v>
          </cell>
          <cell r="G13" t="str">
            <v>6031001</v>
          </cell>
          <cell r="H13" t="str">
            <v>001</v>
          </cell>
          <cell r="I13" t="str">
            <v>001</v>
          </cell>
          <cell r="J13" t="str">
            <v/>
          </cell>
          <cell r="K13" t="str">
            <v/>
          </cell>
          <cell r="L13" t="str">
            <v>10</v>
          </cell>
          <cell r="M13" t="str">
            <v/>
          </cell>
          <cell r="N13" t="str">
            <v/>
          </cell>
          <cell r="O13" t="str">
            <v/>
          </cell>
          <cell r="P13" t="str">
            <v>38</v>
          </cell>
          <cell r="Q13" t="str">
            <v>3860-001-6031</v>
          </cell>
          <cell r="R13" t="str">
            <v>2005</v>
          </cell>
          <cell r="S13" t="str">
            <v>State Ops - Pg 10 Water Security Prop 50</v>
          </cell>
          <cell r="T13">
            <v>38534</v>
          </cell>
          <cell r="U13">
            <v>39629</v>
          </cell>
          <cell r="V13" t="str">
            <v>Active until 6/30/08</v>
          </cell>
          <cell r="W13">
            <v>38899</v>
          </cell>
          <cell r="X13">
            <v>39629</v>
          </cell>
        </row>
        <row r="14">
          <cell r="A14" t="str">
            <v>6031S32006</v>
          </cell>
          <cell r="B14" t="str">
            <v>6031</v>
          </cell>
          <cell r="C14" t="str">
            <v>6031001-2005-001--30----</v>
          </cell>
          <cell r="D14" t="str">
            <v>Prop 50 - SO WS Bond</v>
          </cell>
          <cell r="E14" t="str">
            <v>D</v>
          </cell>
          <cell r="F14" t="str">
            <v>2006</v>
          </cell>
          <cell r="G14" t="str">
            <v>6031001</v>
          </cell>
          <cell r="H14" t="str">
            <v>001</v>
          </cell>
          <cell r="I14" t="str">
            <v>001</v>
          </cell>
          <cell r="J14" t="str">
            <v/>
          </cell>
          <cell r="K14" t="str">
            <v/>
          </cell>
          <cell r="L14" t="str">
            <v>30</v>
          </cell>
          <cell r="M14" t="str">
            <v/>
          </cell>
          <cell r="N14" t="str">
            <v/>
          </cell>
          <cell r="O14" t="str">
            <v/>
          </cell>
          <cell r="P14" t="str">
            <v>38</v>
          </cell>
          <cell r="Q14" t="str">
            <v>3860-001-6031</v>
          </cell>
          <cell r="R14" t="str">
            <v>2005</v>
          </cell>
          <cell r="S14" t="str">
            <v>State Ops - Pg 30 Water Security Prop 50</v>
          </cell>
          <cell r="T14">
            <v>38534</v>
          </cell>
          <cell r="U14">
            <v>39629</v>
          </cell>
          <cell r="V14" t="str">
            <v>Active until 6/30/08</v>
          </cell>
          <cell r="W14">
            <v>38899</v>
          </cell>
          <cell r="X14">
            <v>39629</v>
          </cell>
        </row>
        <row r="15">
          <cell r="A15" t="str">
            <v>6031L32006</v>
          </cell>
          <cell r="B15" t="str">
            <v>6031</v>
          </cell>
          <cell r="C15" t="str">
            <v>6031001-2005-101------</v>
          </cell>
          <cell r="D15" t="str">
            <v>Prop 50 - LA WS Bond</v>
          </cell>
          <cell r="E15" t="str">
            <v>D</v>
          </cell>
          <cell r="F15" t="str">
            <v>2006</v>
          </cell>
          <cell r="G15" t="str">
            <v>6031001</v>
          </cell>
          <cell r="H15" t="str">
            <v>101</v>
          </cell>
          <cell r="I15" t="str">
            <v>001</v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>38</v>
          </cell>
          <cell r="Q15" t="str">
            <v>3860-101-6031</v>
          </cell>
          <cell r="R15" t="str">
            <v>2005</v>
          </cell>
          <cell r="S15" t="str">
            <v>Local Assistance Pg 30 Wtr Security Pr50</v>
          </cell>
          <cell r="T15">
            <v>38534</v>
          </cell>
          <cell r="U15">
            <v>39629</v>
          </cell>
          <cell r="V15" t="str">
            <v>Active until 6/30/08</v>
          </cell>
          <cell r="W15">
            <v>38899</v>
          </cell>
          <cell r="X15">
            <v>39629</v>
          </cell>
        </row>
        <row r="16">
          <cell r="A16" t="str">
            <v>6031S72005</v>
          </cell>
          <cell r="B16" t="str">
            <v>6031</v>
          </cell>
          <cell r="C16" t="str">
            <v>6031001-2004-00105--10----</v>
          </cell>
          <cell r="D16" t="str">
            <v>Prop 50 FY05 Reappro</v>
          </cell>
          <cell r="E16" t="str">
            <v>D</v>
          </cell>
          <cell r="F16" t="str">
            <v>2005</v>
          </cell>
          <cell r="G16" t="str">
            <v>6031001</v>
          </cell>
          <cell r="H16" t="str">
            <v>00105</v>
          </cell>
          <cell r="I16" t="str">
            <v>001</v>
          </cell>
          <cell r="J16" t="str">
            <v/>
          </cell>
          <cell r="K16" t="str">
            <v/>
          </cell>
          <cell r="L16" t="str">
            <v>10</v>
          </cell>
          <cell r="M16" t="str">
            <v/>
          </cell>
          <cell r="N16" t="str">
            <v/>
          </cell>
          <cell r="O16" t="str">
            <v/>
          </cell>
          <cell r="P16" t="str">
            <v>208</v>
          </cell>
          <cell r="Q16" t="str">
            <v>3860-00105-6031</v>
          </cell>
          <cell r="R16" t="str">
            <v>2004</v>
          </cell>
          <cell r="S16" t="str">
            <v>State Ops - Program 10 Prop 50 Reapprop</v>
          </cell>
          <cell r="T16">
            <v>38169</v>
          </cell>
          <cell r="U16">
            <v>39994</v>
          </cell>
          <cell r="V16" t="str">
            <v>Active until 6/30/09</v>
          </cell>
          <cell r="W16">
            <v>39264</v>
          </cell>
          <cell r="X16">
            <v>39994</v>
          </cell>
        </row>
        <row r="17">
          <cell r="A17" t="str">
            <v>6031S12007</v>
          </cell>
          <cell r="B17" t="str">
            <v>6031</v>
          </cell>
          <cell r="C17" t="str">
            <v>6031001-2006-001--10----</v>
          </cell>
          <cell r="D17" t="str">
            <v>Prop 50 - SO WS Bond</v>
          </cell>
          <cell r="E17" t="str">
            <v>D</v>
          </cell>
          <cell r="F17" t="str">
            <v>2007</v>
          </cell>
          <cell r="G17" t="str">
            <v>6031001</v>
          </cell>
          <cell r="H17" t="str">
            <v>001</v>
          </cell>
          <cell r="I17" t="str">
            <v>001</v>
          </cell>
          <cell r="J17" t="str">
            <v/>
          </cell>
          <cell r="K17" t="str">
            <v/>
          </cell>
          <cell r="L17" t="str">
            <v>10</v>
          </cell>
          <cell r="M17" t="str">
            <v/>
          </cell>
          <cell r="N17" t="str">
            <v/>
          </cell>
          <cell r="O17" t="str">
            <v/>
          </cell>
          <cell r="P17" t="str">
            <v>47</v>
          </cell>
          <cell r="Q17" t="str">
            <v>3860-001-6031</v>
          </cell>
          <cell r="R17" t="str">
            <v>2006</v>
          </cell>
          <cell r="S17" t="str">
            <v>State Ops - Pg 10 Water Security Prop 50</v>
          </cell>
          <cell r="T17">
            <v>38899</v>
          </cell>
          <cell r="U17">
            <v>39994</v>
          </cell>
          <cell r="V17" t="str">
            <v>Active until 6/30/09</v>
          </cell>
          <cell r="W17">
            <v>39264</v>
          </cell>
          <cell r="X17">
            <v>39994</v>
          </cell>
        </row>
        <row r="18">
          <cell r="A18" t="str">
            <v>6031S32007</v>
          </cell>
          <cell r="B18" t="str">
            <v>6031</v>
          </cell>
          <cell r="C18" t="str">
            <v>6031001-2006-001--30----</v>
          </cell>
          <cell r="D18" t="str">
            <v>Prop 50 - SO WS Bond</v>
          </cell>
          <cell r="E18" t="str">
            <v>D</v>
          </cell>
          <cell r="F18" t="str">
            <v>2007</v>
          </cell>
          <cell r="G18" t="str">
            <v>6031001</v>
          </cell>
          <cell r="H18" t="str">
            <v>001</v>
          </cell>
          <cell r="I18" t="str">
            <v>001</v>
          </cell>
          <cell r="J18" t="str">
            <v/>
          </cell>
          <cell r="K18" t="str">
            <v/>
          </cell>
          <cell r="L18" t="str">
            <v>30</v>
          </cell>
          <cell r="M18" t="str">
            <v/>
          </cell>
          <cell r="N18" t="str">
            <v/>
          </cell>
          <cell r="O18" t="str">
            <v/>
          </cell>
          <cell r="P18" t="str">
            <v>47</v>
          </cell>
          <cell r="Q18" t="str">
            <v>3860-001-6031</v>
          </cell>
          <cell r="R18" t="str">
            <v>2006</v>
          </cell>
          <cell r="S18" t="str">
            <v>State Ops - Pg 30 Water Security Prop 50</v>
          </cell>
          <cell r="T18">
            <v>38899</v>
          </cell>
          <cell r="U18">
            <v>39994</v>
          </cell>
          <cell r="V18" t="str">
            <v>Active until 6/30/09</v>
          </cell>
          <cell r="W18">
            <v>39264</v>
          </cell>
          <cell r="X18">
            <v>39994</v>
          </cell>
        </row>
        <row r="19">
          <cell r="A19" t="str">
            <v>6031L32007</v>
          </cell>
          <cell r="B19" t="str">
            <v>6031</v>
          </cell>
          <cell r="C19" t="str">
            <v>6031001-2006-101------</v>
          </cell>
          <cell r="D19" t="str">
            <v>Prop 50 - LA WS Bond</v>
          </cell>
          <cell r="E19" t="str">
            <v>D</v>
          </cell>
          <cell r="F19" t="str">
            <v>2007</v>
          </cell>
          <cell r="G19" t="str">
            <v>6031001</v>
          </cell>
          <cell r="H19" t="str">
            <v>101</v>
          </cell>
          <cell r="I19" t="str">
            <v>001</v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2006</v>
          </cell>
          <cell r="S19" t="str">
            <v>INVALID FUND - NOT APPROPRIATED AT SCO</v>
          </cell>
          <cell r="T19">
            <v>38899</v>
          </cell>
          <cell r="U19">
            <v>39994</v>
          </cell>
          <cell r="V19" t="str">
            <v>Active until 6/30/09</v>
          </cell>
          <cell r="W19">
            <v>39264</v>
          </cell>
          <cell r="X19">
            <v>39994</v>
          </cell>
        </row>
        <row r="20">
          <cell r="A20" t="str">
            <v>6031L12007</v>
          </cell>
          <cell r="B20" t="str">
            <v>6031</v>
          </cell>
          <cell r="C20" t="str">
            <v>6031001-2006-101--10----</v>
          </cell>
          <cell r="D20" t="str">
            <v>Prop 50 - LA WS Bond</v>
          </cell>
          <cell r="E20" t="str">
            <v>D</v>
          </cell>
          <cell r="F20" t="str">
            <v>2007</v>
          </cell>
          <cell r="G20" t="str">
            <v>6031001</v>
          </cell>
          <cell r="H20" t="str">
            <v>101</v>
          </cell>
          <cell r="I20" t="str">
            <v>001</v>
          </cell>
          <cell r="J20" t="str">
            <v/>
          </cell>
          <cell r="K20" t="str">
            <v/>
          </cell>
          <cell r="L20" t="str">
            <v>10</v>
          </cell>
          <cell r="M20" t="str">
            <v/>
          </cell>
          <cell r="N20" t="str">
            <v/>
          </cell>
          <cell r="O20" t="str">
            <v/>
          </cell>
          <cell r="P20" t="str">
            <v>47</v>
          </cell>
          <cell r="Q20" t="str">
            <v>3860-101-6031</v>
          </cell>
          <cell r="R20" t="str">
            <v>2006</v>
          </cell>
          <cell r="S20" t="str">
            <v>INVALID FUND - NOT APPROPRIATED AT SCO</v>
          </cell>
          <cell r="T20">
            <v>38899</v>
          </cell>
          <cell r="U20">
            <v>39994</v>
          </cell>
          <cell r="V20" t="str">
            <v>Active until 6/30/09</v>
          </cell>
          <cell r="W20">
            <v>39264</v>
          </cell>
          <cell r="X20">
            <v>39994</v>
          </cell>
        </row>
        <row r="21">
          <cell r="A21" t="str">
            <v>6031S12004</v>
          </cell>
          <cell r="B21" t="str">
            <v>6031</v>
          </cell>
          <cell r="C21" t="str">
            <v>6031001-2003-00104--10----</v>
          </cell>
          <cell r="D21" t="str">
            <v>Prop 50-SO WtrS Bond</v>
          </cell>
          <cell r="E21" t="str">
            <v>D</v>
          </cell>
          <cell r="F21" t="str">
            <v>2004</v>
          </cell>
          <cell r="G21" t="str">
            <v>6031001</v>
          </cell>
          <cell r="H21" t="str">
            <v>00104</v>
          </cell>
          <cell r="I21" t="str">
            <v>001</v>
          </cell>
          <cell r="J21" t="str">
            <v/>
          </cell>
          <cell r="K21" t="str">
            <v/>
          </cell>
          <cell r="L21" t="str">
            <v>10</v>
          </cell>
          <cell r="M21" t="str">
            <v/>
          </cell>
          <cell r="N21" t="str">
            <v/>
          </cell>
          <cell r="O21" t="str">
            <v/>
          </cell>
          <cell r="P21" t="str">
            <v>157</v>
          </cell>
          <cell r="Q21" t="str">
            <v>3860-00104-6031</v>
          </cell>
          <cell r="R21" t="str">
            <v>2003</v>
          </cell>
          <cell r="S21" t="str">
            <v>REAPPROP Pg 10 SO Water Security Prop 50</v>
          </cell>
          <cell r="T21">
            <v>37803</v>
          </cell>
          <cell r="U21">
            <v>40359</v>
          </cell>
          <cell r="V21" t="str">
            <v>Active until 6/30/10</v>
          </cell>
          <cell r="W21">
            <v>39630</v>
          </cell>
          <cell r="X21">
            <v>40359</v>
          </cell>
        </row>
        <row r="22">
          <cell r="A22" t="str">
            <v>6031L12004</v>
          </cell>
          <cell r="B22" t="str">
            <v>6031</v>
          </cell>
          <cell r="C22" t="str">
            <v>6031001-2003-10104------</v>
          </cell>
          <cell r="D22" t="str">
            <v>Prop 50-LA WtrS Bond</v>
          </cell>
          <cell r="E22" t="str">
            <v>D</v>
          </cell>
          <cell r="F22" t="str">
            <v>2004</v>
          </cell>
          <cell r="G22" t="str">
            <v>6031001</v>
          </cell>
          <cell r="H22" t="str">
            <v>10104</v>
          </cell>
          <cell r="I22" t="str">
            <v>001</v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>157</v>
          </cell>
          <cell r="Q22" t="str">
            <v>3860-10104-60</v>
          </cell>
          <cell r="R22" t="str">
            <v>2003</v>
          </cell>
          <cell r="S22" t="str">
            <v>REAPPROP LA Pg 10 Wtr Security Prop 50</v>
          </cell>
          <cell r="T22">
            <v>37803</v>
          </cell>
          <cell r="U22">
            <v>40359</v>
          </cell>
          <cell r="V22" t="str">
            <v>Active until 6/30/10</v>
          </cell>
          <cell r="W22">
            <v>39630</v>
          </cell>
          <cell r="X22">
            <v>40359</v>
          </cell>
        </row>
        <row r="23">
          <cell r="A23" t="str">
            <v>6031S72006</v>
          </cell>
          <cell r="B23" t="str">
            <v>6031</v>
          </cell>
          <cell r="C23" t="str">
            <v>6031001-2005-001------</v>
          </cell>
          <cell r="D23" t="str">
            <v>Prop 50-SO WtrS Bond</v>
          </cell>
          <cell r="E23" t="str">
            <v>D</v>
          </cell>
          <cell r="F23" t="str">
            <v>2006</v>
          </cell>
          <cell r="G23" t="str">
            <v>6031001</v>
          </cell>
          <cell r="H23" t="str">
            <v>001</v>
          </cell>
          <cell r="I23" t="str">
            <v>001</v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>38</v>
          </cell>
          <cell r="Q23" t="str">
            <v>3860-001-6031</v>
          </cell>
          <cell r="R23" t="str">
            <v>2005</v>
          </cell>
          <cell r="S23" t="str">
            <v>INVALID FUND - NOT APPROPRIATED AT SCO</v>
          </cell>
          <cell r="T23">
            <v>38534</v>
          </cell>
          <cell r="U23">
            <v>40359</v>
          </cell>
          <cell r="V23" t="str">
            <v>Active until 6/30/10</v>
          </cell>
          <cell r="W23">
            <v>39630</v>
          </cell>
          <cell r="X23">
            <v>40359</v>
          </cell>
        </row>
        <row r="24">
          <cell r="A24" t="str">
            <v>6031L12006</v>
          </cell>
          <cell r="B24" t="str">
            <v>6031</v>
          </cell>
          <cell r="C24" t="str">
            <v>6031001-2005-101------</v>
          </cell>
          <cell r="D24" t="str">
            <v>Prop 50 - LA WS Bond</v>
          </cell>
          <cell r="E24" t="str">
            <v>D</v>
          </cell>
          <cell r="F24" t="str">
            <v>2006</v>
          </cell>
          <cell r="G24" t="str">
            <v>6031001</v>
          </cell>
          <cell r="H24" t="str">
            <v>101</v>
          </cell>
          <cell r="I24" t="str">
            <v>001</v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>38</v>
          </cell>
          <cell r="Q24" t="str">
            <v>3860-101-6031</v>
          </cell>
          <cell r="R24" t="str">
            <v>2005</v>
          </cell>
          <cell r="S24" t="str">
            <v>Local Assistance Pg 10 Wtr Security Pr50</v>
          </cell>
          <cell r="T24">
            <v>38534</v>
          </cell>
          <cell r="U24">
            <v>40359</v>
          </cell>
          <cell r="V24" t="str">
            <v>Active until 6/30/10</v>
          </cell>
          <cell r="W24">
            <v>39630</v>
          </cell>
          <cell r="X24">
            <v>40359</v>
          </cell>
        </row>
        <row r="25">
          <cell r="A25" t="str">
            <v>6031L72006</v>
          </cell>
          <cell r="B25" t="str">
            <v>6031</v>
          </cell>
          <cell r="C25" t="str">
            <v>6031001-2005-101------</v>
          </cell>
          <cell r="D25" t="str">
            <v>Prop 50-LA WtrS Bon</v>
          </cell>
          <cell r="E25" t="str">
            <v>D</v>
          </cell>
          <cell r="F25" t="str">
            <v>2006</v>
          </cell>
          <cell r="G25" t="str">
            <v>6031001</v>
          </cell>
          <cell r="H25" t="str">
            <v>101</v>
          </cell>
          <cell r="I25" t="str">
            <v>001</v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>38</v>
          </cell>
          <cell r="Q25" t="str">
            <v>3860-101-6031</v>
          </cell>
          <cell r="R25" t="str">
            <v>2005</v>
          </cell>
          <cell r="S25" t="str">
            <v>INVALID FUND - NOT APPROPRIATED AT SCO</v>
          </cell>
          <cell r="T25">
            <v>38534</v>
          </cell>
          <cell r="U25">
            <v>40359</v>
          </cell>
          <cell r="V25" t="str">
            <v>Active until 6/30/10</v>
          </cell>
          <cell r="W25">
            <v>39630</v>
          </cell>
          <cell r="X25">
            <v>40359</v>
          </cell>
        </row>
        <row r="26">
          <cell r="A26" t="str">
            <v>6031BB2007</v>
          </cell>
          <cell r="B26" t="str">
            <v>6031</v>
          </cell>
          <cell r="C26" t="str">
            <v>6031001-2006-301------</v>
          </cell>
          <cell r="D26" t="str">
            <v>Prop 50 - FranksTrac</v>
          </cell>
          <cell r="E26" t="str">
            <v>D</v>
          </cell>
          <cell r="F26" t="str">
            <v>2007</v>
          </cell>
          <cell r="G26" t="str">
            <v>6031001</v>
          </cell>
          <cell r="H26" t="str">
            <v>301</v>
          </cell>
          <cell r="I26" t="str">
            <v>001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2006</v>
          </cell>
          <cell r="S26" t="str">
            <v>INVALID FUND - NOT APPROPRIATED AT SCO</v>
          </cell>
          <cell r="T26">
            <v>38899</v>
          </cell>
          <cell r="U26">
            <v>40724</v>
          </cell>
          <cell r="V26" t="str">
            <v>Active until 6/30/11</v>
          </cell>
          <cell r="W26">
            <v>39995</v>
          </cell>
          <cell r="X26">
            <v>40724</v>
          </cell>
        </row>
        <row r="27">
          <cell r="A27" t="str">
            <v>6031BA2007</v>
          </cell>
          <cell r="B27" t="str">
            <v>6031</v>
          </cell>
          <cell r="C27" t="str">
            <v>6031001-2006-301-90-10-95-015--</v>
          </cell>
          <cell r="D27" t="str">
            <v>Prop 50 - BayDlta-CO</v>
          </cell>
          <cell r="E27" t="str">
            <v>D</v>
          </cell>
          <cell r="F27" t="str">
            <v>2007</v>
          </cell>
          <cell r="G27" t="str">
            <v>6031001</v>
          </cell>
          <cell r="H27" t="str">
            <v>301</v>
          </cell>
          <cell r="I27" t="str">
            <v>001</v>
          </cell>
          <cell r="J27" t="str">
            <v/>
          </cell>
          <cell r="K27" t="str">
            <v>90</v>
          </cell>
          <cell r="L27" t="str">
            <v>10</v>
          </cell>
          <cell r="M27" t="str">
            <v>95</v>
          </cell>
          <cell r="N27" t="str">
            <v>015</v>
          </cell>
          <cell r="O27" t="str">
            <v/>
          </cell>
          <cell r="P27" t="str">
            <v>47</v>
          </cell>
          <cell r="Q27" t="str">
            <v>3860-301-6031</v>
          </cell>
          <cell r="R27" t="str">
            <v>2006</v>
          </cell>
          <cell r="S27" t="str">
            <v>Cap Outlay-Pg 10 Bay Delta MultiPurpose</v>
          </cell>
          <cell r="T27">
            <v>38899</v>
          </cell>
          <cell r="U27">
            <v>40724</v>
          </cell>
          <cell r="V27" t="str">
            <v>Active until 6/30/11</v>
          </cell>
          <cell r="W27">
            <v>39995</v>
          </cell>
          <cell r="X27">
            <v>40724</v>
          </cell>
        </row>
        <row r="28">
          <cell r="A28" t="str">
            <v>6031S11988</v>
          </cell>
          <cell r="B28" t="str">
            <v>6031</v>
          </cell>
          <cell r="C28" t="str">
            <v>6031001-1987-502------</v>
          </cell>
          <cell r="D28" t="str">
            <v>Prop50 PMIA Loan Int</v>
          </cell>
          <cell r="E28" t="str">
            <v>D</v>
          </cell>
          <cell r="F28" t="str">
            <v>1988</v>
          </cell>
          <cell r="G28" t="str">
            <v>6031001</v>
          </cell>
          <cell r="H28" t="str">
            <v>502</v>
          </cell>
          <cell r="I28" t="str">
            <v>001</v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>6/87</v>
          </cell>
          <cell r="Q28" t="str">
            <v/>
          </cell>
          <cell r="R28" t="str">
            <v>1987</v>
          </cell>
          <cell r="S28" t="str">
            <v>Pro 50 PMIA Loan Interest Cost to PMIA</v>
          </cell>
          <cell r="T28">
            <v>31959</v>
          </cell>
          <cell r="U28">
            <v>2958281</v>
          </cell>
          <cell r="V28" t="str">
            <v>Active until 6/30/99</v>
          </cell>
          <cell r="W28">
            <v>2958281</v>
          </cell>
          <cell r="X28">
            <v>2958281</v>
          </cell>
        </row>
        <row r="29">
          <cell r="A29" t="str">
            <v>6031S11992</v>
          </cell>
          <cell r="B29" t="str">
            <v>6031</v>
          </cell>
          <cell r="C29" t="str">
            <v>6031001-1991-596------</v>
          </cell>
          <cell r="D29" t="str">
            <v>Prop50 Admin Costs</v>
          </cell>
          <cell r="E29" t="str">
            <v>D</v>
          </cell>
          <cell r="F29" t="str">
            <v>1992</v>
          </cell>
          <cell r="G29" t="str">
            <v>6031001</v>
          </cell>
          <cell r="H29" t="str">
            <v>596</v>
          </cell>
          <cell r="I29" t="str">
            <v>001</v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>856/91</v>
          </cell>
          <cell r="Q29" t="str">
            <v/>
          </cell>
          <cell r="R29" t="str">
            <v>1991</v>
          </cell>
          <cell r="S29" t="str">
            <v>Prop50 Admin Costs</v>
          </cell>
          <cell r="T29">
            <v>33420</v>
          </cell>
          <cell r="U29">
            <v>2958281</v>
          </cell>
          <cell r="V29" t="str">
            <v>Active until 6/30/99</v>
          </cell>
          <cell r="W29">
            <v>2958281</v>
          </cell>
          <cell r="X29">
            <v>2958281</v>
          </cell>
        </row>
        <row r="30">
          <cell r="A30" t="str">
            <v>6031RRR001</v>
          </cell>
          <cell r="B30" t="str">
            <v>6031</v>
          </cell>
          <cell r="C30" t="str">
            <v>6031001 Revenue</v>
          </cell>
          <cell r="D30" t="str">
            <v>WtrScClnDrnk-Revenue</v>
          </cell>
          <cell r="E30" t="str">
            <v>R</v>
          </cell>
          <cell r="F30" t="str">
            <v>R</v>
          </cell>
          <cell r="G30" t="str">
            <v>6031001</v>
          </cell>
          <cell r="H30" t="str">
            <v/>
          </cell>
          <cell r="I30" t="str">
            <v>001</v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R</v>
          </cell>
          <cell r="S30" t="str">
            <v>Wtr Sec,Cln Drnkg Wtr, Cst Bch - Revenue</v>
          </cell>
          <cell r="T30">
            <v>37438</v>
          </cell>
          <cell r="U30">
            <v>2958281</v>
          </cell>
          <cell r="V30" t="str">
            <v>Revenue</v>
          </cell>
          <cell r="W30">
            <v>2958281</v>
          </cell>
          <cell r="X30">
            <v>2958281</v>
          </cell>
        </row>
        <row r="31">
          <cell r="A31" t="str">
            <v>6031RRR701</v>
          </cell>
          <cell r="B31" t="str">
            <v>6031</v>
          </cell>
          <cell r="C31" t="str">
            <v>6031701 Revenue</v>
          </cell>
          <cell r="D31" t="str">
            <v>WtrScClnDrnk-CstlBch</v>
          </cell>
          <cell r="E31" t="str">
            <v>R</v>
          </cell>
          <cell r="F31" t="str">
            <v>R</v>
          </cell>
          <cell r="G31" t="str">
            <v>6031001</v>
          </cell>
          <cell r="H31" t="str">
            <v/>
          </cell>
          <cell r="I31" t="str">
            <v>701</v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R</v>
          </cell>
          <cell r="S31" t="str">
            <v>PMIB 023105-01 WaterSecurity,ClnDrnk-Rev</v>
          </cell>
          <cell r="T31">
            <v>37438</v>
          </cell>
          <cell r="U31">
            <v>2958281</v>
          </cell>
          <cell r="V31" t="str">
            <v>Revenue</v>
          </cell>
          <cell r="W31">
            <v>2958281</v>
          </cell>
          <cell r="X31">
            <v>2958281</v>
          </cell>
        </row>
        <row r="32">
          <cell r="A32" t="str">
            <v>6031RRR702</v>
          </cell>
          <cell r="B32" t="str">
            <v>6031</v>
          </cell>
          <cell r="C32" t="str">
            <v>6031702 Revenue</v>
          </cell>
          <cell r="D32" t="str">
            <v>WtrScClnDrnk-CstlBch</v>
          </cell>
          <cell r="E32" t="str">
            <v>R</v>
          </cell>
          <cell r="F32" t="str">
            <v>R</v>
          </cell>
          <cell r="G32" t="str">
            <v>6031001</v>
          </cell>
          <cell r="H32" t="str">
            <v/>
          </cell>
          <cell r="I32" t="str">
            <v>702</v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R</v>
          </cell>
          <cell r="S32" t="str">
            <v>PMIB 023105-02 WaterSecurity,ClnDrnk-Rev</v>
          </cell>
          <cell r="T32">
            <v>37438</v>
          </cell>
          <cell r="U32">
            <v>2958281</v>
          </cell>
          <cell r="V32" t="str">
            <v>Revenue</v>
          </cell>
          <cell r="W32">
            <v>2958281</v>
          </cell>
          <cell r="X32">
            <v>2958281</v>
          </cell>
        </row>
        <row r="33">
          <cell r="A33" t="str">
            <v>6031RRR703</v>
          </cell>
          <cell r="B33" t="str">
            <v>6031</v>
          </cell>
          <cell r="C33" t="str">
            <v>6031703 Revenue</v>
          </cell>
          <cell r="D33" t="str">
            <v>WtrScClnDrnk-CstlBch</v>
          </cell>
          <cell r="E33" t="str">
            <v>R</v>
          </cell>
          <cell r="F33" t="str">
            <v>R</v>
          </cell>
          <cell r="G33" t="str">
            <v>6031001</v>
          </cell>
          <cell r="H33" t="str">
            <v/>
          </cell>
          <cell r="I33" t="str">
            <v>703</v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R</v>
          </cell>
          <cell r="S33" t="str">
            <v>PMIB 023105-03 WaterSecurity,ClnDrnk-Rev</v>
          </cell>
          <cell r="T33">
            <v>37438</v>
          </cell>
          <cell r="U33">
            <v>2958281</v>
          </cell>
          <cell r="V33" t="str">
            <v>Revenue</v>
          </cell>
          <cell r="W33">
            <v>2958281</v>
          </cell>
          <cell r="X33">
            <v>2958281</v>
          </cell>
        </row>
        <row r="34">
          <cell r="A34" t="str">
            <v>6031RRR704</v>
          </cell>
          <cell r="B34" t="str">
            <v>6031</v>
          </cell>
          <cell r="C34" t="str">
            <v>6031704 Revenue</v>
          </cell>
          <cell r="D34" t="str">
            <v>Prop 50 Rev/Wtr Sect</v>
          </cell>
          <cell r="E34" t="str">
            <v>R</v>
          </cell>
          <cell r="F34" t="str">
            <v>R</v>
          </cell>
          <cell r="G34" t="str">
            <v>6031001</v>
          </cell>
          <cell r="H34" t="str">
            <v/>
          </cell>
          <cell r="I34" t="str">
            <v>704</v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R</v>
          </cell>
          <cell r="S34" t="str">
            <v>Prop 50 Wtr Security Act of 2002-Revenue</v>
          </cell>
          <cell r="T34">
            <v>31959</v>
          </cell>
          <cell r="U34">
            <v>2958281</v>
          </cell>
          <cell r="V34" t="str">
            <v>Revenue</v>
          </cell>
          <cell r="W34">
            <v>2958281</v>
          </cell>
          <cell r="X34">
            <v>2958281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13 recon"/>
      <sheetName val="Period 13 Working Data "/>
      <sheetName val="June Fixed Assets"/>
      <sheetName val="groupdata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DWR Fund</v>
          </cell>
          <cell r="B1" t="str">
            <v>Fund</v>
          </cell>
          <cell r="C1" t="str">
            <v>SCO Account</v>
          </cell>
          <cell r="D1" t="str">
            <v>Name</v>
          </cell>
          <cell r="E1" t="str">
            <v>Type</v>
          </cell>
          <cell r="F1" t="str">
            <v>FY for Group</v>
          </cell>
          <cell r="G1" t="str">
            <v>Fund</v>
          </cell>
          <cell r="H1" t="str">
            <v>Reference</v>
          </cell>
          <cell r="I1" t="str">
            <v>Sub</v>
          </cell>
          <cell r="J1" t="str">
            <v>Federal Ca</v>
          </cell>
          <cell r="K1" t="str">
            <v>Category</v>
          </cell>
          <cell r="L1" t="str">
            <v>Program</v>
          </cell>
          <cell r="M1" t="str">
            <v>Element</v>
          </cell>
          <cell r="N1" t="str">
            <v>Component</v>
          </cell>
          <cell r="O1" t="str">
            <v>Task</v>
          </cell>
          <cell r="P1" t="str">
            <v>Chapter</v>
          </cell>
          <cell r="Q1" t="str">
            <v>Item</v>
          </cell>
          <cell r="R1" t="str">
            <v>Statute</v>
          </cell>
          <cell r="S1" t="str">
            <v>Description</v>
          </cell>
          <cell r="T1" t="str">
            <v>Valid from</v>
          </cell>
          <cell r="U1" t="str">
            <v>Valid to</v>
          </cell>
          <cell r="V1" t="str">
            <v>Active until</v>
          </cell>
          <cell r="W1" t="str">
            <v>Expir.date</v>
          </cell>
          <cell r="X1" t="str">
            <v>ReversDate</v>
          </cell>
        </row>
        <row r="2">
          <cell r="A2" t="str">
            <v>6031S22003</v>
          </cell>
          <cell r="B2" t="str">
            <v>6031</v>
          </cell>
          <cell r="C2" t="str">
            <v>6031001-2002-001--10----</v>
          </cell>
          <cell r="D2" t="str">
            <v>Prop 50 - Wtr Sec-SO</v>
          </cell>
          <cell r="E2" t="str">
            <v>D</v>
          </cell>
          <cell r="F2" t="str">
            <v>2003</v>
          </cell>
          <cell r="G2" t="str">
            <v>6031001</v>
          </cell>
          <cell r="H2" t="str">
            <v>001</v>
          </cell>
          <cell r="I2" t="str">
            <v>001</v>
          </cell>
          <cell r="J2"/>
          <cell r="K2"/>
          <cell r="L2" t="str">
            <v>10</v>
          </cell>
          <cell r="M2"/>
          <cell r="N2"/>
          <cell r="O2"/>
          <cell r="P2" t="str">
            <v>379</v>
          </cell>
          <cell r="Q2" t="str">
            <v>3860-001-6031</v>
          </cell>
          <cell r="R2" t="str">
            <v>2002</v>
          </cell>
          <cell r="S2" t="str">
            <v>State Ops - Pg10 Wtr Sec,Cln Drnkg Wr,CB</v>
          </cell>
          <cell r="T2">
            <v>37438</v>
          </cell>
          <cell r="U2">
            <v>39263</v>
          </cell>
          <cell r="V2" t="str">
            <v>Active until 6/30/07</v>
          </cell>
          <cell r="W2">
            <v>37803</v>
          </cell>
          <cell r="X2">
            <v>39263</v>
          </cell>
        </row>
        <row r="3">
          <cell r="A3" t="str">
            <v>6031S12003</v>
          </cell>
          <cell r="B3" t="str">
            <v>6031</v>
          </cell>
          <cell r="C3" t="str">
            <v>6031001-2002-001--15----</v>
          </cell>
          <cell r="D3" t="str">
            <v>Prop 50 - Wtr Sec-SO</v>
          </cell>
          <cell r="E3" t="str">
            <v>D</v>
          </cell>
          <cell r="F3" t="str">
            <v>2003</v>
          </cell>
          <cell r="G3" t="str">
            <v>6031001</v>
          </cell>
          <cell r="H3" t="str">
            <v>001</v>
          </cell>
          <cell r="I3" t="str">
            <v>001</v>
          </cell>
          <cell r="J3"/>
          <cell r="K3"/>
          <cell r="L3" t="str">
            <v>15</v>
          </cell>
          <cell r="M3"/>
          <cell r="N3"/>
          <cell r="O3"/>
          <cell r="P3" t="str">
            <v>379</v>
          </cell>
          <cell r="Q3" t="str">
            <v>3860-001-6031</v>
          </cell>
          <cell r="R3" t="str">
            <v>2002</v>
          </cell>
          <cell r="S3" t="str">
            <v>State Ops - Pg15 Wtr Sec,Cln Drnkg Wr,CB</v>
          </cell>
          <cell r="T3">
            <v>37438</v>
          </cell>
          <cell r="U3">
            <v>39263</v>
          </cell>
          <cell r="V3" t="str">
            <v>Active until 6/30/07</v>
          </cell>
          <cell r="W3">
            <v>37803</v>
          </cell>
          <cell r="X3">
            <v>39263</v>
          </cell>
        </row>
        <row r="4">
          <cell r="A4" t="str">
            <v>6031L12003</v>
          </cell>
          <cell r="B4" t="str">
            <v>6031</v>
          </cell>
          <cell r="C4" t="str">
            <v>6031001-2002-101--10-10---</v>
          </cell>
          <cell r="D4" t="str">
            <v>Prop 50 - Wtr Sec-LA</v>
          </cell>
          <cell r="E4" t="str">
            <v>D</v>
          </cell>
          <cell r="F4" t="str">
            <v>2003</v>
          </cell>
          <cell r="G4" t="str">
            <v>6031001</v>
          </cell>
          <cell r="H4" t="str">
            <v>101</v>
          </cell>
          <cell r="I4" t="str">
            <v>001</v>
          </cell>
          <cell r="J4"/>
          <cell r="K4"/>
          <cell r="L4" t="str">
            <v>10</v>
          </cell>
          <cell r="M4" t="str">
            <v>10</v>
          </cell>
          <cell r="N4"/>
          <cell r="O4"/>
          <cell r="P4" t="str">
            <v>379</v>
          </cell>
          <cell r="Q4" t="str">
            <v>3860-101-6031</v>
          </cell>
          <cell r="R4" t="str">
            <v>2002</v>
          </cell>
          <cell r="S4" t="str">
            <v>Local Asst - Pg10 WtrSec,Cln Drnkg Wr,CB</v>
          </cell>
          <cell r="T4">
            <v>37438</v>
          </cell>
          <cell r="U4">
            <v>39263</v>
          </cell>
          <cell r="V4" t="str">
            <v>Active until 6/30/07</v>
          </cell>
          <cell r="W4">
            <v>37803</v>
          </cell>
          <cell r="X4">
            <v>39263</v>
          </cell>
        </row>
        <row r="5">
          <cell r="A5" t="str">
            <v>6031S12005</v>
          </cell>
          <cell r="B5" t="str">
            <v>6031</v>
          </cell>
          <cell r="C5" t="str">
            <v>6031001-2004-001--10----</v>
          </cell>
          <cell r="D5" t="str">
            <v>Prop 50 - SO WS Bond</v>
          </cell>
          <cell r="E5" t="str">
            <v>D</v>
          </cell>
          <cell r="F5" t="str">
            <v>2005</v>
          </cell>
          <cell r="G5" t="str">
            <v>6031001</v>
          </cell>
          <cell r="H5" t="str">
            <v>001</v>
          </cell>
          <cell r="I5" t="str">
            <v>001</v>
          </cell>
          <cell r="J5"/>
          <cell r="K5"/>
          <cell r="L5" t="str">
            <v>10</v>
          </cell>
          <cell r="M5"/>
          <cell r="N5"/>
          <cell r="O5"/>
          <cell r="P5" t="str">
            <v>208</v>
          </cell>
          <cell r="Q5" t="str">
            <v>3860-001-6031</v>
          </cell>
          <cell r="R5" t="str">
            <v>2004</v>
          </cell>
          <cell r="S5" t="str">
            <v>State Ops - Pg 10 Water Security Prop 50</v>
          </cell>
          <cell r="T5">
            <v>38169</v>
          </cell>
          <cell r="U5">
            <v>39263</v>
          </cell>
          <cell r="V5" t="str">
            <v>Active until 6/30/07</v>
          </cell>
          <cell r="W5">
            <v>38534</v>
          </cell>
          <cell r="X5">
            <v>39263</v>
          </cell>
        </row>
        <row r="6">
          <cell r="A6" t="str">
            <v>6031S32005</v>
          </cell>
          <cell r="B6" t="str">
            <v>6031</v>
          </cell>
          <cell r="C6" t="str">
            <v>6031001-2004-001--30----</v>
          </cell>
          <cell r="D6" t="str">
            <v>Prop 50 - SO WS Bond</v>
          </cell>
          <cell r="E6" t="str">
            <v>D</v>
          </cell>
          <cell r="F6" t="str">
            <v>2005</v>
          </cell>
          <cell r="G6" t="str">
            <v>6031001</v>
          </cell>
          <cell r="H6" t="str">
            <v>001</v>
          </cell>
          <cell r="I6" t="str">
            <v>001</v>
          </cell>
          <cell r="J6"/>
          <cell r="K6"/>
          <cell r="L6" t="str">
            <v>30</v>
          </cell>
          <cell r="M6"/>
          <cell r="N6"/>
          <cell r="O6"/>
          <cell r="P6" t="str">
            <v>208</v>
          </cell>
          <cell r="Q6" t="str">
            <v>3860-001-6031</v>
          </cell>
          <cell r="R6" t="str">
            <v>2004</v>
          </cell>
          <cell r="S6" t="str">
            <v>State Ops - Pg 30 Water Security Prop 50</v>
          </cell>
          <cell r="T6">
            <v>38169</v>
          </cell>
          <cell r="U6">
            <v>39263</v>
          </cell>
          <cell r="V6" t="str">
            <v>Active until 6/30/07</v>
          </cell>
          <cell r="W6">
            <v>38534</v>
          </cell>
          <cell r="X6">
            <v>39263</v>
          </cell>
        </row>
        <row r="7">
          <cell r="A7" t="str">
            <v>6031L12005</v>
          </cell>
          <cell r="B7" t="str">
            <v>6031</v>
          </cell>
          <cell r="C7" t="str">
            <v>6031001-2004-101-11-----</v>
          </cell>
          <cell r="D7" t="str">
            <v>Prop 50 - LA WS Bond</v>
          </cell>
          <cell r="E7" t="str">
            <v>D</v>
          </cell>
          <cell r="F7" t="str">
            <v>2005</v>
          </cell>
          <cell r="G7" t="str">
            <v>6031001</v>
          </cell>
          <cell r="H7" t="str">
            <v>101</v>
          </cell>
          <cell r="I7" t="str">
            <v>001</v>
          </cell>
          <cell r="J7"/>
          <cell r="K7" t="str">
            <v>11</v>
          </cell>
          <cell r="L7"/>
          <cell r="M7"/>
          <cell r="N7"/>
          <cell r="O7"/>
          <cell r="P7" t="str">
            <v>208</v>
          </cell>
          <cell r="Q7"/>
          <cell r="R7" t="str">
            <v>2004</v>
          </cell>
          <cell r="S7" t="str">
            <v>Local Assistance Pg 10 Wtr Security Pr50</v>
          </cell>
          <cell r="T7">
            <v>38169</v>
          </cell>
          <cell r="U7">
            <v>39263</v>
          </cell>
          <cell r="V7" t="str">
            <v>Active until 6/30/07</v>
          </cell>
          <cell r="W7">
            <v>38534</v>
          </cell>
          <cell r="X7">
            <v>39263</v>
          </cell>
        </row>
        <row r="8">
          <cell r="A8" t="str">
            <v>6031L32005</v>
          </cell>
          <cell r="B8" t="str">
            <v>6031</v>
          </cell>
          <cell r="C8" t="str">
            <v>6031001-2004-101-11-----</v>
          </cell>
          <cell r="D8" t="str">
            <v>Prop 50 - LA WS Bond</v>
          </cell>
          <cell r="E8" t="str">
            <v>D</v>
          </cell>
          <cell r="F8" t="str">
            <v>2005</v>
          </cell>
          <cell r="G8" t="str">
            <v>6031001</v>
          </cell>
          <cell r="H8" t="str">
            <v>101</v>
          </cell>
          <cell r="I8" t="str">
            <v>001</v>
          </cell>
          <cell r="J8"/>
          <cell r="K8" t="str">
            <v>11</v>
          </cell>
          <cell r="L8"/>
          <cell r="M8"/>
          <cell r="N8"/>
          <cell r="O8"/>
          <cell r="P8" t="str">
            <v>208</v>
          </cell>
          <cell r="Q8" t="str">
            <v>3860-101-6031</v>
          </cell>
          <cell r="R8" t="str">
            <v>2004</v>
          </cell>
          <cell r="S8" t="str">
            <v>Local Assistance Pg 30 Wtr Security Pr50</v>
          </cell>
          <cell r="T8">
            <v>38169</v>
          </cell>
          <cell r="U8">
            <v>39263</v>
          </cell>
          <cell r="V8" t="str">
            <v>Active until 6/30/07</v>
          </cell>
          <cell r="W8">
            <v>38534</v>
          </cell>
          <cell r="X8">
            <v>39263</v>
          </cell>
        </row>
        <row r="9">
          <cell r="A9" t="str">
            <v>6031S22004</v>
          </cell>
          <cell r="B9" t="str">
            <v>6031</v>
          </cell>
          <cell r="C9" t="str">
            <v>6031001-2003-00104--30----</v>
          </cell>
          <cell r="D9" t="str">
            <v>Prop 50-SO WtrS Bond</v>
          </cell>
          <cell r="E9" t="str">
            <v>D</v>
          </cell>
          <cell r="F9" t="str">
            <v>2004</v>
          </cell>
          <cell r="G9" t="str">
            <v>6031001</v>
          </cell>
          <cell r="H9" t="str">
            <v>00104</v>
          </cell>
          <cell r="I9" t="str">
            <v>001</v>
          </cell>
          <cell r="J9"/>
          <cell r="K9"/>
          <cell r="L9" t="str">
            <v>30</v>
          </cell>
          <cell r="M9"/>
          <cell r="N9"/>
          <cell r="O9"/>
          <cell r="P9" t="str">
            <v>157</v>
          </cell>
          <cell r="Q9" t="str">
            <v>3860-00104-6031</v>
          </cell>
          <cell r="R9" t="str">
            <v>2003</v>
          </cell>
          <cell r="S9" t="str">
            <v>REAPPROP Pg 30 SO Water Security Prop 50</v>
          </cell>
          <cell r="T9">
            <v>37803</v>
          </cell>
          <cell r="U9">
            <v>39629</v>
          </cell>
          <cell r="V9" t="str">
            <v>Active until 6/30/08</v>
          </cell>
          <cell r="W9">
            <v>38899</v>
          </cell>
          <cell r="X9">
            <v>39629</v>
          </cell>
        </row>
        <row r="10">
          <cell r="A10" t="str">
            <v>6031S72004</v>
          </cell>
          <cell r="B10" t="str">
            <v>6031</v>
          </cell>
          <cell r="C10" t="str">
            <v>6031001-2003-001--10----</v>
          </cell>
          <cell r="D10" t="str">
            <v>Prop 50 - SO WS Bond</v>
          </cell>
          <cell r="E10" t="str">
            <v>D</v>
          </cell>
          <cell r="F10" t="str">
            <v>2004</v>
          </cell>
          <cell r="G10" t="str">
            <v>6031001</v>
          </cell>
          <cell r="H10" t="str">
            <v>001</v>
          </cell>
          <cell r="I10" t="str">
            <v>001</v>
          </cell>
          <cell r="J10"/>
          <cell r="K10"/>
          <cell r="L10" t="str">
            <v>10</v>
          </cell>
          <cell r="M10"/>
          <cell r="N10"/>
          <cell r="O10"/>
          <cell r="P10" t="str">
            <v>157</v>
          </cell>
          <cell r="Q10" t="str">
            <v>3860-001-6031</v>
          </cell>
          <cell r="R10" t="str">
            <v>2003</v>
          </cell>
          <cell r="S10" t="str">
            <v>State Ops - Pg 10 Water Security Prop 50</v>
          </cell>
          <cell r="T10">
            <v>37803</v>
          </cell>
          <cell r="U10">
            <v>39629</v>
          </cell>
          <cell r="V10" t="str">
            <v>Active until 6/30/08</v>
          </cell>
          <cell r="W10">
            <v>38169</v>
          </cell>
          <cell r="X10">
            <v>39629</v>
          </cell>
        </row>
        <row r="11">
          <cell r="A11" t="str">
            <v>6031L32004</v>
          </cell>
          <cell r="B11" t="str">
            <v>6031</v>
          </cell>
          <cell r="C11" t="str">
            <v>6031001-2003-101------</v>
          </cell>
          <cell r="D11" t="str">
            <v>Prop 50 - LA WS Bond</v>
          </cell>
          <cell r="E11" t="str">
            <v>D</v>
          </cell>
          <cell r="F11" t="str">
            <v>2004</v>
          </cell>
          <cell r="G11" t="str">
            <v>6031001</v>
          </cell>
          <cell r="H11" t="str">
            <v>101</v>
          </cell>
          <cell r="I11" t="str">
            <v>001</v>
          </cell>
          <cell r="J11"/>
          <cell r="K11"/>
          <cell r="L11"/>
          <cell r="M11"/>
          <cell r="N11"/>
          <cell r="O11"/>
          <cell r="P11" t="str">
            <v>157</v>
          </cell>
          <cell r="Q11" t="str">
            <v>3860-101-6031</v>
          </cell>
          <cell r="R11" t="str">
            <v>2003</v>
          </cell>
          <cell r="S11" t="str">
            <v>Local Assistance Wtr Security Pr50 PG30</v>
          </cell>
          <cell r="T11">
            <v>37803</v>
          </cell>
          <cell r="U11">
            <v>39629</v>
          </cell>
          <cell r="V11" t="str">
            <v>Active until 6/30/08</v>
          </cell>
          <cell r="W11">
            <v>38169</v>
          </cell>
          <cell r="X11">
            <v>39629</v>
          </cell>
        </row>
        <row r="12">
          <cell r="A12" t="str">
            <v>6031L72005</v>
          </cell>
          <cell r="B12" t="str">
            <v>6031</v>
          </cell>
          <cell r="C12" t="str">
            <v>6031001-2004-101-12-----</v>
          </cell>
          <cell r="D12" t="str">
            <v>Prop 50 - LA WS Bond</v>
          </cell>
          <cell r="E12" t="str">
            <v>D</v>
          </cell>
          <cell r="F12" t="str">
            <v>2005</v>
          </cell>
          <cell r="G12" t="str">
            <v>6031001</v>
          </cell>
          <cell r="H12" t="str">
            <v>101</v>
          </cell>
          <cell r="I12" t="str">
            <v>001</v>
          </cell>
          <cell r="J12"/>
          <cell r="K12" t="str">
            <v>12</v>
          </cell>
          <cell r="L12"/>
          <cell r="M12"/>
          <cell r="N12"/>
          <cell r="O12"/>
          <cell r="P12" t="str">
            <v>208</v>
          </cell>
          <cell r="Q12" t="str">
            <v>3860-101-6031</v>
          </cell>
          <cell r="R12" t="str">
            <v>2004</v>
          </cell>
          <cell r="S12" t="str">
            <v>LA Pg 10 Wtr Security Prop 50 $19 Approp</v>
          </cell>
          <cell r="T12">
            <v>38169</v>
          </cell>
          <cell r="U12">
            <v>39629</v>
          </cell>
          <cell r="V12" t="str">
            <v>Active until 6/30/08</v>
          </cell>
          <cell r="W12">
            <v>38899</v>
          </cell>
          <cell r="X12">
            <v>39629</v>
          </cell>
        </row>
        <row r="13">
          <cell r="A13" t="str">
            <v>6031S12006</v>
          </cell>
          <cell r="B13" t="str">
            <v>6031</v>
          </cell>
          <cell r="C13" t="str">
            <v>6031001-2005-001--10----</v>
          </cell>
          <cell r="D13" t="str">
            <v>Prop 50 - SO WS Bond</v>
          </cell>
          <cell r="E13" t="str">
            <v>D</v>
          </cell>
          <cell r="F13" t="str">
            <v>2006</v>
          </cell>
          <cell r="G13" t="str">
            <v>6031001</v>
          </cell>
          <cell r="H13" t="str">
            <v>001</v>
          </cell>
          <cell r="I13" t="str">
            <v>001</v>
          </cell>
          <cell r="J13"/>
          <cell r="K13"/>
          <cell r="L13" t="str">
            <v>10</v>
          </cell>
          <cell r="M13"/>
          <cell r="N13"/>
          <cell r="O13"/>
          <cell r="P13" t="str">
            <v>38</v>
          </cell>
          <cell r="Q13" t="str">
            <v>3860-001-6031</v>
          </cell>
          <cell r="R13" t="str">
            <v>2005</v>
          </cell>
          <cell r="S13" t="str">
            <v>State Ops - Pg 10 Water Security Prop 50</v>
          </cell>
          <cell r="T13">
            <v>38534</v>
          </cell>
          <cell r="U13">
            <v>39629</v>
          </cell>
          <cell r="V13" t="str">
            <v>Active until 6/30/08</v>
          </cell>
          <cell r="W13">
            <v>38899</v>
          </cell>
          <cell r="X13">
            <v>39629</v>
          </cell>
        </row>
        <row r="14">
          <cell r="A14" t="str">
            <v>6031S32006</v>
          </cell>
          <cell r="B14" t="str">
            <v>6031</v>
          </cell>
          <cell r="C14" t="str">
            <v>6031001-2005-001--30----</v>
          </cell>
          <cell r="D14" t="str">
            <v>Prop 50 - SO WS Bond</v>
          </cell>
          <cell r="E14" t="str">
            <v>D</v>
          </cell>
          <cell r="F14" t="str">
            <v>2006</v>
          </cell>
          <cell r="G14" t="str">
            <v>6031001</v>
          </cell>
          <cell r="H14" t="str">
            <v>001</v>
          </cell>
          <cell r="I14" t="str">
            <v>001</v>
          </cell>
          <cell r="J14"/>
          <cell r="K14"/>
          <cell r="L14" t="str">
            <v>30</v>
          </cell>
          <cell r="M14"/>
          <cell r="N14"/>
          <cell r="O14"/>
          <cell r="P14" t="str">
            <v>38</v>
          </cell>
          <cell r="Q14" t="str">
            <v>3860-001-6031</v>
          </cell>
          <cell r="R14" t="str">
            <v>2005</v>
          </cell>
          <cell r="S14" t="str">
            <v>State Ops - Pg 30 Water Security Prop 50</v>
          </cell>
          <cell r="T14">
            <v>38534</v>
          </cell>
          <cell r="U14">
            <v>39629</v>
          </cell>
          <cell r="V14" t="str">
            <v>Active until 6/30/08</v>
          </cell>
          <cell r="W14">
            <v>38899</v>
          </cell>
          <cell r="X14">
            <v>39629</v>
          </cell>
        </row>
        <row r="15">
          <cell r="A15" t="str">
            <v>6031L32006</v>
          </cell>
          <cell r="B15" t="str">
            <v>6031</v>
          </cell>
          <cell r="C15" t="str">
            <v>6031001-2005-101------</v>
          </cell>
          <cell r="D15" t="str">
            <v>Prop 50 - LA WS Bond</v>
          </cell>
          <cell r="E15" t="str">
            <v>D</v>
          </cell>
          <cell r="F15" t="str">
            <v>2006</v>
          </cell>
          <cell r="G15" t="str">
            <v>6031001</v>
          </cell>
          <cell r="H15" t="str">
            <v>101</v>
          </cell>
          <cell r="I15" t="str">
            <v>001</v>
          </cell>
          <cell r="J15"/>
          <cell r="K15"/>
          <cell r="L15"/>
          <cell r="M15"/>
          <cell r="N15"/>
          <cell r="O15"/>
          <cell r="P15" t="str">
            <v>38</v>
          </cell>
          <cell r="Q15" t="str">
            <v>3860-101-6031</v>
          </cell>
          <cell r="R15" t="str">
            <v>2005</v>
          </cell>
          <cell r="S15" t="str">
            <v>Local Assistance Pg 30 Wtr Security Pr50</v>
          </cell>
          <cell r="T15">
            <v>38534</v>
          </cell>
          <cell r="U15">
            <v>39629</v>
          </cell>
          <cell r="V15" t="str">
            <v>Active until 6/30/08</v>
          </cell>
          <cell r="W15">
            <v>38899</v>
          </cell>
          <cell r="X15">
            <v>39629</v>
          </cell>
        </row>
        <row r="16">
          <cell r="A16" t="str">
            <v>6031S72005</v>
          </cell>
          <cell r="B16" t="str">
            <v>6031</v>
          </cell>
          <cell r="C16" t="str">
            <v>6031001-2004-00105--10----</v>
          </cell>
          <cell r="D16" t="str">
            <v>Prop 50 FY05 Reappro</v>
          </cell>
          <cell r="E16" t="str">
            <v>D</v>
          </cell>
          <cell r="F16" t="str">
            <v>2005</v>
          </cell>
          <cell r="G16" t="str">
            <v>6031001</v>
          </cell>
          <cell r="H16" t="str">
            <v>00105</v>
          </cell>
          <cell r="I16" t="str">
            <v>001</v>
          </cell>
          <cell r="J16"/>
          <cell r="K16"/>
          <cell r="L16" t="str">
            <v>10</v>
          </cell>
          <cell r="M16"/>
          <cell r="N16"/>
          <cell r="O16"/>
          <cell r="P16" t="str">
            <v>208</v>
          </cell>
          <cell r="Q16" t="str">
            <v>3860-00105-6031</v>
          </cell>
          <cell r="R16" t="str">
            <v>2004</v>
          </cell>
          <cell r="S16" t="str">
            <v>State Ops - Program 10 Prop 50 Reapprop</v>
          </cell>
          <cell r="T16">
            <v>38169</v>
          </cell>
          <cell r="U16">
            <v>39994</v>
          </cell>
          <cell r="V16" t="str">
            <v>Active until 6/30/09</v>
          </cell>
          <cell r="W16">
            <v>39264</v>
          </cell>
          <cell r="X16">
            <v>39994</v>
          </cell>
        </row>
        <row r="17">
          <cell r="A17" t="str">
            <v>6031S12007</v>
          </cell>
          <cell r="B17" t="str">
            <v>6031</v>
          </cell>
          <cell r="C17" t="str">
            <v>6031001-2006-001--10----</v>
          </cell>
          <cell r="D17" t="str">
            <v>Prop 50 - SO WS Bond</v>
          </cell>
          <cell r="E17" t="str">
            <v>D</v>
          </cell>
          <cell r="F17" t="str">
            <v>2007</v>
          </cell>
          <cell r="G17" t="str">
            <v>6031001</v>
          </cell>
          <cell r="H17" t="str">
            <v>001</v>
          </cell>
          <cell r="I17" t="str">
            <v>001</v>
          </cell>
          <cell r="J17"/>
          <cell r="K17"/>
          <cell r="L17" t="str">
            <v>10</v>
          </cell>
          <cell r="M17"/>
          <cell r="N17"/>
          <cell r="O17"/>
          <cell r="P17" t="str">
            <v>47</v>
          </cell>
          <cell r="Q17" t="str">
            <v>3860-001-6031</v>
          </cell>
          <cell r="R17" t="str">
            <v>2006</v>
          </cell>
          <cell r="S17" t="str">
            <v>State Ops - Pg 10 Water Security Prop 50</v>
          </cell>
          <cell r="T17">
            <v>38899</v>
          </cell>
          <cell r="U17">
            <v>39994</v>
          </cell>
          <cell r="V17" t="str">
            <v>Active until 6/30/09</v>
          </cell>
          <cell r="W17">
            <v>39264</v>
          </cell>
          <cell r="X17">
            <v>39994</v>
          </cell>
        </row>
        <row r="18">
          <cell r="A18" t="str">
            <v>6031S32007</v>
          </cell>
          <cell r="B18" t="str">
            <v>6031</v>
          </cell>
          <cell r="C18" t="str">
            <v>6031001-2006-001--30----</v>
          </cell>
          <cell r="D18" t="str">
            <v>Prop 50 - SO WS Bond</v>
          </cell>
          <cell r="E18" t="str">
            <v>D</v>
          </cell>
          <cell r="F18" t="str">
            <v>2007</v>
          </cell>
          <cell r="G18" t="str">
            <v>6031001</v>
          </cell>
          <cell r="H18" t="str">
            <v>001</v>
          </cell>
          <cell r="I18" t="str">
            <v>001</v>
          </cell>
          <cell r="J18"/>
          <cell r="K18"/>
          <cell r="L18" t="str">
            <v>30</v>
          </cell>
          <cell r="M18"/>
          <cell r="N18"/>
          <cell r="O18"/>
          <cell r="P18" t="str">
            <v>47</v>
          </cell>
          <cell r="Q18" t="str">
            <v>3860-001-6031</v>
          </cell>
          <cell r="R18" t="str">
            <v>2006</v>
          </cell>
          <cell r="S18" t="str">
            <v>State Ops - Pg 30 Water Security Prop 50</v>
          </cell>
          <cell r="T18">
            <v>38899</v>
          </cell>
          <cell r="U18">
            <v>39994</v>
          </cell>
          <cell r="V18" t="str">
            <v>Active until 6/30/09</v>
          </cell>
          <cell r="W18">
            <v>39264</v>
          </cell>
          <cell r="X18">
            <v>39994</v>
          </cell>
        </row>
        <row r="19">
          <cell r="A19" t="str">
            <v>6031L32007</v>
          </cell>
          <cell r="B19" t="str">
            <v>6031</v>
          </cell>
          <cell r="C19" t="str">
            <v>6031001-2006-101------</v>
          </cell>
          <cell r="D19" t="str">
            <v>Prop 50 - LA WS Bond</v>
          </cell>
          <cell r="E19" t="str">
            <v>D</v>
          </cell>
          <cell r="F19" t="str">
            <v>2007</v>
          </cell>
          <cell r="G19" t="str">
            <v>6031001</v>
          </cell>
          <cell r="H19" t="str">
            <v>101</v>
          </cell>
          <cell r="I19" t="str">
            <v>001</v>
          </cell>
          <cell r="J19"/>
          <cell r="K19"/>
          <cell r="L19"/>
          <cell r="M19"/>
          <cell r="N19"/>
          <cell r="O19"/>
          <cell r="P19"/>
          <cell r="Q19"/>
          <cell r="R19" t="str">
            <v>2006</v>
          </cell>
          <cell r="S19" t="str">
            <v>INVALID FUND - NOT APPROPRIATED AT SCO</v>
          </cell>
          <cell r="T19">
            <v>38899</v>
          </cell>
          <cell r="U19">
            <v>39994</v>
          </cell>
          <cell r="V19" t="str">
            <v>Active until 6/30/09</v>
          </cell>
          <cell r="W19">
            <v>39264</v>
          </cell>
          <cell r="X19">
            <v>39994</v>
          </cell>
        </row>
        <row r="20">
          <cell r="A20" t="str">
            <v>6031L12007</v>
          </cell>
          <cell r="B20" t="str">
            <v>6031</v>
          </cell>
          <cell r="C20" t="str">
            <v>6031001-2006-101--10----</v>
          </cell>
          <cell r="D20" t="str">
            <v>Prop 50 - LA WS Bond</v>
          </cell>
          <cell r="E20" t="str">
            <v>D</v>
          </cell>
          <cell r="F20" t="str">
            <v>2007</v>
          </cell>
          <cell r="G20" t="str">
            <v>6031001</v>
          </cell>
          <cell r="H20" t="str">
            <v>101</v>
          </cell>
          <cell r="I20" t="str">
            <v>001</v>
          </cell>
          <cell r="J20"/>
          <cell r="K20"/>
          <cell r="L20" t="str">
            <v>10</v>
          </cell>
          <cell r="M20"/>
          <cell r="N20"/>
          <cell r="O20"/>
          <cell r="P20" t="str">
            <v>47</v>
          </cell>
          <cell r="Q20" t="str">
            <v>3860-101-6031</v>
          </cell>
          <cell r="R20" t="str">
            <v>2006</v>
          </cell>
          <cell r="S20" t="str">
            <v>INVALID FUND - NOT APPROPRIATED AT SCO</v>
          </cell>
          <cell r="T20">
            <v>38899</v>
          </cell>
          <cell r="U20">
            <v>39994</v>
          </cell>
          <cell r="V20" t="str">
            <v>Active until 6/30/09</v>
          </cell>
          <cell r="W20">
            <v>39264</v>
          </cell>
          <cell r="X20">
            <v>39994</v>
          </cell>
        </row>
        <row r="21">
          <cell r="A21" t="str">
            <v>6031S12004</v>
          </cell>
          <cell r="B21" t="str">
            <v>6031</v>
          </cell>
          <cell r="C21" t="str">
            <v>6031001-2003-00104--10----</v>
          </cell>
          <cell r="D21" t="str">
            <v>Prop 50-SO WtrS Bond</v>
          </cell>
          <cell r="E21" t="str">
            <v>D</v>
          </cell>
          <cell r="F21" t="str">
            <v>2004</v>
          </cell>
          <cell r="G21" t="str">
            <v>6031001</v>
          </cell>
          <cell r="H21" t="str">
            <v>00104</v>
          </cell>
          <cell r="I21" t="str">
            <v>001</v>
          </cell>
          <cell r="J21"/>
          <cell r="K21"/>
          <cell r="L21" t="str">
            <v>10</v>
          </cell>
          <cell r="M21"/>
          <cell r="N21"/>
          <cell r="O21"/>
          <cell r="P21" t="str">
            <v>157</v>
          </cell>
          <cell r="Q21" t="str">
            <v>3860-00104-6031</v>
          </cell>
          <cell r="R21" t="str">
            <v>2003</v>
          </cell>
          <cell r="S21" t="str">
            <v>REAPPROP Pg 10 SO Water Security Prop 50</v>
          </cell>
          <cell r="T21">
            <v>37803</v>
          </cell>
          <cell r="U21">
            <v>40359</v>
          </cell>
          <cell r="V21" t="str">
            <v>Active until 6/30/10</v>
          </cell>
          <cell r="W21">
            <v>39630</v>
          </cell>
          <cell r="X21">
            <v>40359</v>
          </cell>
        </row>
        <row r="22">
          <cell r="A22" t="str">
            <v>6031L12004</v>
          </cell>
          <cell r="B22" t="str">
            <v>6031</v>
          </cell>
          <cell r="C22" t="str">
            <v>6031001-2003-10104------</v>
          </cell>
          <cell r="D22" t="str">
            <v>Prop 50-LA WtrS Bond</v>
          </cell>
          <cell r="E22" t="str">
            <v>D</v>
          </cell>
          <cell r="F22" t="str">
            <v>2004</v>
          </cell>
          <cell r="G22" t="str">
            <v>6031001</v>
          </cell>
          <cell r="H22" t="str">
            <v>10104</v>
          </cell>
          <cell r="I22" t="str">
            <v>001</v>
          </cell>
          <cell r="J22"/>
          <cell r="K22"/>
          <cell r="L22"/>
          <cell r="M22"/>
          <cell r="N22"/>
          <cell r="O22"/>
          <cell r="P22" t="str">
            <v>157</v>
          </cell>
          <cell r="Q22" t="str">
            <v>3860-10104-60</v>
          </cell>
          <cell r="R22" t="str">
            <v>2003</v>
          </cell>
          <cell r="S22" t="str">
            <v>REAPPROP LA Pg 10 Wtr Security Prop 50</v>
          </cell>
          <cell r="T22">
            <v>37803</v>
          </cell>
          <cell r="U22">
            <v>40359</v>
          </cell>
          <cell r="V22" t="str">
            <v>Active until 6/30/10</v>
          </cell>
          <cell r="W22">
            <v>39630</v>
          </cell>
          <cell r="X22">
            <v>40359</v>
          </cell>
        </row>
        <row r="23">
          <cell r="A23" t="str">
            <v>6031S72006</v>
          </cell>
          <cell r="B23" t="str">
            <v>6031</v>
          </cell>
          <cell r="C23" t="str">
            <v>6031001-2005-001------</v>
          </cell>
          <cell r="D23" t="str">
            <v>Prop 50-SO WtrS Bond</v>
          </cell>
          <cell r="E23" t="str">
            <v>D</v>
          </cell>
          <cell r="F23" t="str">
            <v>2006</v>
          </cell>
          <cell r="G23" t="str">
            <v>6031001</v>
          </cell>
          <cell r="H23" t="str">
            <v>001</v>
          </cell>
          <cell r="I23" t="str">
            <v>001</v>
          </cell>
          <cell r="J23"/>
          <cell r="K23"/>
          <cell r="L23"/>
          <cell r="M23"/>
          <cell r="N23"/>
          <cell r="O23"/>
          <cell r="P23" t="str">
            <v>38</v>
          </cell>
          <cell r="Q23" t="str">
            <v>3860-001-6031</v>
          </cell>
          <cell r="R23" t="str">
            <v>2005</v>
          </cell>
          <cell r="S23" t="str">
            <v>INVALID FUND - NOT APPROPRIATED AT SCO</v>
          </cell>
          <cell r="T23">
            <v>38534</v>
          </cell>
          <cell r="U23">
            <v>40359</v>
          </cell>
          <cell r="V23" t="str">
            <v>Active until 6/30/10</v>
          </cell>
          <cell r="W23">
            <v>39630</v>
          </cell>
          <cell r="X23">
            <v>40359</v>
          </cell>
        </row>
        <row r="24">
          <cell r="A24" t="str">
            <v>6031L12006</v>
          </cell>
          <cell r="B24" t="str">
            <v>6031</v>
          </cell>
          <cell r="C24" t="str">
            <v>6031001-2005-101------</v>
          </cell>
          <cell r="D24" t="str">
            <v>Prop 50 - LA WS Bond</v>
          </cell>
          <cell r="E24" t="str">
            <v>D</v>
          </cell>
          <cell r="F24" t="str">
            <v>2006</v>
          </cell>
          <cell r="G24" t="str">
            <v>6031001</v>
          </cell>
          <cell r="H24" t="str">
            <v>101</v>
          </cell>
          <cell r="I24" t="str">
            <v>001</v>
          </cell>
          <cell r="J24"/>
          <cell r="K24"/>
          <cell r="L24"/>
          <cell r="M24"/>
          <cell r="N24"/>
          <cell r="O24"/>
          <cell r="P24" t="str">
            <v>38</v>
          </cell>
          <cell r="Q24" t="str">
            <v>3860-101-6031</v>
          </cell>
          <cell r="R24" t="str">
            <v>2005</v>
          </cell>
          <cell r="S24" t="str">
            <v>Local Assistance Pg 10 Wtr Security Pr50</v>
          </cell>
          <cell r="T24">
            <v>38534</v>
          </cell>
          <cell r="U24">
            <v>40359</v>
          </cell>
          <cell r="V24" t="str">
            <v>Active until 6/30/10</v>
          </cell>
          <cell r="W24">
            <v>39630</v>
          </cell>
          <cell r="X24">
            <v>40359</v>
          </cell>
        </row>
        <row r="25">
          <cell r="A25" t="str">
            <v>6031L72006</v>
          </cell>
          <cell r="B25" t="str">
            <v>6031</v>
          </cell>
          <cell r="C25" t="str">
            <v>6031001-2005-101------</v>
          </cell>
          <cell r="D25" t="str">
            <v>Prop 50-LA WtrS Bon</v>
          </cell>
          <cell r="E25" t="str">
            <v>D</v>
          </cell>
          <cell r="F25" t="str">
            <v>2006</v>
          </cell>
          <cell r="G25" t="str">
            <v>6031001</v>
          </cell>
          <cell r="H25" t="str">
            <v>101</v>
          </cell>
          <cell r="I25" t="str">
            <v>001</v>
          </cell>
          <cell r="J25"/>
          <cell r="K25"/>
          <cell r="L25"/>
          <cell r="M25"/>
          <cell r="N25"/>
          <cell r="O25"/>
          <cell r="P25" t="str">
            <v>38</v>
          </cell>
          <cell r="Q25" t="str">
            <v>3860-101-6031</v>
          </cell>
          <cell r="R25" t="str">
            <v>2005</v>
          </cell>
          <cell r="S25" t="str">
            <v>INVALID FUND - NOT APPROPRIATED AT SCO</v>
          </cell>
          <cell r="T25">
            <v>38534</v>
          </cell>
          <cell r="U25">
            <v>40359</v>
          </cell>
          <cell r="V25" t="str">
            <v>Active until 6/30/10</v>
          </cell>
          <cell r="W25">
            <v>39630</v>
          </cell>
          <cell r="X25">
            <v>40359</v>
          </cell>
        </row>
        <row r="26">
          <cell r="A26" t="str">
            <v>6031BB2007</v>
          </cell>
          <cell r="B26" t="str">
            <v>6031</v>
          </cell>
          <cell r="C26" t="str">
            <v>6031001-2006-301------</v>
          </cell>
          <cell r="D26" t="str">
            <v>Prop 50 - FranksTrac</v>
          </cell>
          <cell r="E26" t="str">
            <v>D</v>
          </cell>
          <cell r="F26" t="str">
            <v>2007</v>
          </cell>
          <cell r="G26" t="str">
            <v>6031001</v>
          </cell>
          <cell r="H26" t="str">
            <v>301</v>
          </cell>
          <cell r="I26" t="str">
            <v>001</v>
          </cell>
          <cell r="J26"/>
          <cell r="K26"/>
          <cell r="L26"/>
          <cell r="M26"/>
          <cell r="N26"/>
          <cell r="O26"/>
          <cell r="P26"/>
          <cell r="Q26"/>
          <cell r="R26" t="str">
            <v>2006</v>
          </cell>
          <cell r="S26" t="str">
            <v>INVALID FUND - NOT APPROPRIATED AT SCO</v>
          </cell>
          <cell r="T26">
            <v>38899</v>
          </cell>
          <cell r="U26">
            <v>40724</v>
          </cell>
          <cell r="V26" t="str">
            <v>Active until 6/30/11</v>
          </cell>
          <cell r="W26">
            <v>39995</v>
          </cell>
          <cell r="X26">
            <v>40724</v>
          </cell>
        </row>
        <row r="27">
          <cell r="A27" t="str">
            <v>6031BA2007</v>
          </cell>
          <cell r="B27" t="str">
            <v>6031</v>
          </cell>
          <cell r="C27" t="str">
            <v>6031001-2006-301-90-10-95-015--</v>
          </cell>
          <cell r="D27" t="str">
            <v>Prop 50 - BayDlta-CO</v>
          </cell>
          <cell r="E27" t="str">
            <v>D</v>
          </cell>
          <cell r="F27" t="str">
            <v>2007</v>
          </cell>
          <cell r="G27" t="str">
            <v>6031001</v>
          </cell>
          <cell r="H27" t="str">
            <v>301</v>
          </cell>
          <cell r="I27" t="str">
            <v>001</v>
          </cell>
          <cell r="J27"/>
          <cell r="K27" t="str">
            <v>90</v>
          </cell>
          <cell r="L27" t="str">
            <v>10</v>
          </cell>
          <cell r="M27" t="str">
            <v>95</v>
          </cell>
          <cell r="N27" t="str">
            <v>015</v>
          </cell>
          <cell r="O27"/>
          <cell r="P27" t="str">
            <v>47</v>
          </cell>
          <cell r="Q27" t="str">
            <v>3860-301-6031</v>
          </cell>
          <cell r="R27" t="str">
            <v>2006</v>
          </cell>
          <cell r="S27" t="str">
            <v>Cap Outlay-Pg 10 Bay Delta MultiPurpose</v>
          </cell>
          <cell r="T27">
            <v>38899</v>
          </cell>
          <cell r="U27">
            <v>40724</v>
          </cell>
          <cell r="V27" t="str">
            <v>Active until 6/30/11</v>
          </cell>
          <cell r="W27">
            <v>39995</v>
          </cell>
          <cell r="X27">
            <v>40724</v>
          </cell>
        </row>
        <row r="28">
          <cell r="A28" t="str">
            <v>6031S11988</v>
          </cell>
          <cell r="B28" t="str">
            <v>6031</v>
          </cell>
          <cell r="C28" t="str">
            <v>6031001-1987-502------</v>
          </cell>
          <cell r="D28" t="str">
            <v>Prop50 PMIA Loan Int</v>
          </cell>
          <cell r="E28" t="str">
            <v>D</v>
          </cell>
          <cell r="F28" t="str">
            <v>1988</v>
          </cell>
          <cell r="G28" t="str">
            <v>6031001</v>
          </cell>
          <cell r="H28" t="str">
            <v>502</v>
          </cell>
          <cell r="I28" t="str">
            <v>001</v>
          </cell>
          <cell r="J28"/>
          <cell r="K28"/>
          <cell r="L28"/>
          <cell r="M28"/>
          <cell r="N28"/>
          <cell r="O28"/>
          <cell r="P28" t="str">
            <v>6/87</v>
          </cell>
          <cell r="Q28"/>
          <cell r="R28" t="str">
            <v>1987</v>
          </cell>
          <cell r="S28" t="str">
            <v>Pro 50 PMIA Loan Interest Cost to PMIA</v>
          </cell>
          <cell r="T28">
            <v>31959</v>
          </cell>
          <cell r="U28">
            <v>2958281</v>
          </cell>
          <cell r="V28" t="str">
            <v>Active until 6/30/99</v>
          </cell>
          <cell r="W28">
            <v>2958281</v>
          </cell>
          <cell r="X28">
            <v>2958281</v>
          </cell>
        </row>
        <row r="29">
          <cell r="A29" t="str">
            <v>6031S11992</v>
          </cell>
          <cell r="B29" t="str">
            <v>6031</v>
          </cell>
          <cell r="C29" t="str">
            <v>6031001-1991-596------</v>
          </cell>
          <cell r="D29" t="str">
            <v>Prop50 Admin Costs</v>
          </cell>
          <cell r="E29" t="str">
            <v>D</v>
          </cell>
          <cell r="F29" t="str">
            <v>1992</v>
          </cell>
          <cell r="G29" t="str">
            <v>6031001</v>
          </cell>
          <cell r="H29" t="str">
            <v>596</v>
          </cell>
          <cell r="I29" t="str">
            <v>001</v>
          </cell>
          <cell r="J29"/>
          <cell r="K29"/>
          <cell r="L29"/>
          <cell r="M29"/>
          <cell r="N29"/>
          <cell r="O29"/>
          <cell r="P29" t="str">
            <v>856/91</v>
          </cell>
          <cell r="Q29"/>
          <cell r="R29" t="str">
            <v>1991</v>
          </cell>
          <cell r="S29" t="str">
            <v>Prop50 Admin Costs</v>
          </cell>
          <cell r="T29">
            <v>33420</v>
          </cell>
          <cell r="U29">
            <v>2958281</v>
          </cell>
          <cell r="V29" t="str">
            <v>Active until 6/30/99</v>
          </cell>
          <cell r="W29">
            <v>2958281</v>
          </cell>
          <cell r="X29">
            <v>2958281</v>
          </cell>
        </row>
        <row r="30">
          <cell r="A30" t="str">
            <v>6031RRR001</v>
          </cell>
          <cell r="B30" t="str">
            <v>6031</v>
          </cell>
          <cell r="C30" t="str">
            <v>6031001 Revenue</v>
          </cell>
          <cell r="D30" t="str">
            <v>WtrScClnDrnk-Revenue</v>
          </cell>
          <cell r="E30" t="str">
            <v>R</v>
          </cell>
          <cell r="F30" t="str">
            <v>R</v>
          </cell>
          <cell r="G30" t="str">
            <v>6031001</v>
          </cell>
          <cell r="H30"/>
          <cell r="I30" t="str">
            <v>001</v>
          </cell>
          <cell r="J30"/>
          <cell r="K30"/>
          <cell r="L30"/>
          <cell r="M30"/>
          <cell r="N30"/>
          <cell r="O30"/>
          <cell r="P30"/>
          <cell r="Q30"/>
          <cell r="R30" t="str">
            <v>R</v>
          </cell>
          <cell r="S30" t="str">
            <v>Wtr Sec,Cln Drnkg Wtr, Cst Bch - Revenue</v>
          </cell>
          <cell r="T30">
            <v>37438</v>
          </cell>
          <cell r="U30">
            <v>2958281</v>
          </cell>
          <cell r="V30" t="str">
            <v>Revenue</v>
          </cell>
          <cell r="W30">
            <v>2958281</v>
          </cell>
          <cell r="X30">
            <v>2958281</v>
          </cell>
        </row>
        <row r="31">
          <cell r="A31" t="str">
            <v>6031RRR701</v>
          </cell>
          <cell r="B31" t="str">
            <v>6031</v>
          </cell>
          <cell r="C31" t="str">
            <v>6031701 Revenue</v>
          </cell>
          <cell r="D31" t="str">
            <v>WtrScClnDrnk-CstlBch</v>
          </cell>
          <cell r="E31" t="str">
            <v>R</v>
          </cell>
          <cell r="F31" t="str">
            <v>R</v>
          </cell>
          <cell r="G31" t="str">
            <v>6031001</v>
          </cell>
          <cell r="H31"/>
          <cell r="I31" t="str">
            <v>701</v>
          </cell>
          <cell r="J31"/>
          <cell r="K31"/>
          <cell r="L31"/>
          <cell r="M31"/>
          <cell r="N31"/>
          <cell r="O31"/>
          <cell r="P31"/>
          <cell r="Q31"/>
          <cell r="R31" t="str">
            <v>R</v>
          </cell>
          <cell r="S31" t="str">
            <v>PMIB 023105-01 WaterSecurity,ClnDrnk-Rev</v>
          </cell>
          <cell r="T31">
            <v>37438</v>
          </cell>
          <cell r="U31">
            <v>2958281</v>
          </cell>
          <cell r="V31" t="str">
            <v>Revenue</v>
          </cell>
          <cell r="W31">
            <v>2958281</v>
          </cell>
          <cell r="X31">
            <v>2958281</v>
          </cell>
        </row>
        <row r="32">
          <cell r="A32" t="str">
            <v>6031RRR702</v>
          </cell>
          <cell r="B32" t="str">
            <v>6031</v>
          </cell>
          <cell r="C32" t="str">
            <v>6031702 Revenue</v>
          </cell>
          <cell r="D32" t="str">
            <v>WtrScClnDrnk-CstlBch</v>
          </cell>
          <cell r="E32" t="str">
            <v>R</v>
          </cell>
          <cell r="F32" t="str">
            <v>R</v>
          </cell>
          <cell r="G32" t="str">
            <v>6031001</v>
          </cell>
          <cell r="H32"/>
          <cell r="I32" t="str">
            <v>702</v>
          </cell>
          <cell r="J32"/>
          <cell r="K32"/>
          <cell r="L32"/>
          <cell r="M32"/>
          <cell r="N32"/>
          <cell r="O32"/>
          <cell r="P32"/>
          <cell r="Q32"/>
          <cell r="R32" t="str">
            <v>R</v>
          </cell>
          <cell r="S32" t="str">
            <v>PMIB 023105-02 WaterSecurity,ClnDrnk-Rev</v>
          </cell>
          <cell r="T32">
            <v>37438</v>
          </cell>
          <cell r="U32">
            <v>2958281</v>
          </cell>
          <cell r="V32" t="str">
            <v>Revenue</v>
          </cell>
          <cell r="W32">
            <v>2958281</v>
          </cell>
          <cell r="X32">
            <v>2958281</v>
          </cell>
        </row>
        <row r="33">
          <cell r="A33" t="str">
            <v>6031RRR703</v>
          </cell>
          <cell r="B33" t="str">
            <v>6031</v>
          </cell>
          <cell r="C33" t="str">
            <v>6031703 Revenue</v>
          </cell>
          <cell r="D33" t="str">
            <v>WtrScClnDrnk-CstlBch</v>
          </cell>
          <cell r="E33" t="str">
            <v>R</v>
          </cell>
          <cell r="F33" t="str">
            <v>R</v>
          </cell>
          <cell r="G33" t="str">
            <v>6031001</v>
          </cell>
          <cell r="H33"/>
          <cell r="I33" t="str">
            <v>703</v>
          </cell>
          <cell r="J33"/>
          <cell r="K33"/>
          <cell r="L33"/>
          <cell r="M33"/>
          <cell r="N33"/>
          <cell r="O33"/>
          <cell r="P33"/>
          <cell r="Q33"/>
          <cell r="R33" t="str">
            <v>R</v>
          </cell>
          <cell r="S33" t="str">
            <v>PMIB 023105-03 WaterSecurity,ClnDrnk-Rev</v>
          </cell>
          <cell r="T33">
            <v>37438</v>
          </cell>
          <cell r="U33">
            <v>2958281</v>
          </cell>
          <cell r="V33" t="str">
            <v>Revenue</v>
          </cell>
          <cell r="W33">
            <v>2958281</v>
          </cell>
          <cell r="X33">
            <v>2958281</v>
          </cell>
        </row>
        <row r="34">
          <cell r="A34" t="str">
            <v>6031RRR704</v>
          </cell>
          <cell r="B34" t="str">
            <v>6031</v>
          </cell>
          <cell r="C34" t="str">
            <v>6031704 Revenue</v>
          </cell>
          <cell r="D34" t="str">
            <v>Prop 50 Rev/Wtr Sect</v>
          </cell>
          <cell r="E34" t="str">
            <v>R</v>
          </cell>
          <cell r="F34" t="str">
            <v>R</v>
          </cell>
          <cell r="G34" t="str">
            <v>6031001</v>
          </cell>
          <cell r="H34"/>
          <cell r="I34" t="str">
            <v>704</v>
          </cell>
          <cell r="J34"/>
          <cell r="K34"/>
          <cell r="L34"/>
          <cell r="M34"/>
          <cell r="N34"/>
          <cell r="O34"/>
          <cell r="P34"/>
          <cell r="Q34"/>
          <cell r="R34" t="str">
            <v>R</v>
          </cell>
          <cell r="S34" t="str">
            <v>Prop 50 Wtr Security Act of 2002-Revenue</v>
          </cell>
          <cell r="T34">
            <v>31959</v>
          </cell>
          <cell r="U34">
            <v>2958281</v>
          </cell>
          <cell r="V34" t="str">
            <v>Revenue</v>
          </cell>
          <cell r="W34">
            <v>2958281</v>
          </cell>
          <cell r="X34">
            <v>2958281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13 recon"/>
      <sheetName val="Period 13 Working Data "/>
      <sheetName val="June Fixed Assets"/>
      <sheetName val="groupdata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DWR Fund</v>
          </cell>
          <cell r="B1" t="str">
            <v>Fund</v>
          </cell>
          <cell r="C1" t="str">
            <v>SCO Account</v>
          </cell>
          <cell r="D1" t="str">
            <v>Name</v>
          </cell>
          <cell r="E1" t="str">
            <v>Type</v>
          </cell>
          <cell r="F1" t="str">
            <v>FY for Group</v>
          </cell>
          <cell r="G1" t="str">
            <v>Fund</v>
          </cell>
          <cell r="H1" t="str">
            <v>Reference</v>
          </cell>
          <cell r="I1" t="str">
            <v>Sub</v>
          </cell>
          <cell r="J1" t="str">
            <v>Federal Ca</v>
          </cell>
          <cell r="K1" t="str">
            <v>Category</v>
          </cell>
          <cell r="L1" t="str">
            <v>Program</v>
          </cell>
          <cell r="M1" t="str">
            <v>Element</v>
          </cell>
          <cell r="N1" t="str">
            <v>Component</v>
          </cell>
          <cell r="O1" t="str">
            <v>Task</v>
          </cell>
          <cell r="P1" t="str">
            <v>Chapter</v>
          </cell>
          <cell r="Q1" t="str">
            <v>Item</v>
          </cell>
          <cell r="R1" t="str">
            <v>Statute</v>
          </cell>
          <cell r="S1" t="str">
            <v>Description</v>
          </cell>
          <cell r="T1" t="str">
            <v>Valid from</v>
          </cell>
          <cell r="U1" t="str">
            <v>Valid to</v>
          </cell>
          <cell r="V1" t="str">
            <v>Active until</v>
          </cell>
          <cell r="W1" t="str">
            <v>Expir.date</v>
          </cell>
          <cell r="X1" t="str">
            <v>ReversDate</v>
          </cell>
        </row>
        <row r="2">
          <cell r="A2" t="str">
            <v>6031S22003</v>
          </cell>
          <cell r="B2" t="str">
            <v>6031</v>
          </cell>
          <cell r="C2" t="str">
            <v>6031001-2002-001--10----</v>
          </cell>
          <cell r="D2" t="str">
            <v>Prop 50 - Wtr Sec-SO</v>
          </cell>
          <cell r="E2" t="str">
            <v>D</v>
          </cell>
          <cell r="F2" t="str">
            <v>2003</v>
          </cell>
          <cell r="G2" t="str">
            <v>6031001</v>
          </cell>
          <cell r="H2" t="str">
            <v>001</v>
          </cell>
          <cell r="I2" t="str">
            <v>001</v>
          </cell>
          <cell r="J2"/>
          <cell r="K2"/>
          <cell r="L2" t="str">
            <v>10</v>
          </cell>
          <cell r="M2"/>
          <cell r="N2"/>
          <cell r="O2"/>
          <cell r="P2" t="str">
            <v>379</v>
          </cell>
          <cell r="Q2" t="str">
            <v>3860-001-6031</v>
          </cell>
          <cell r="R2" t="str">
            <v>2002</v>
          </cell>
          <cell r="S2" t="str">
            <v>State Ops - Pg10 Wtr Sec,Cln Drnkg Wr,CB</v>
          </cell>
          <cell r="T2">
            <v>37438</v>
          </cell>
          <cell r="U2">
            <v>39263</v>
          </cell>
          <cell r="V2" t="str">
            <v>Active until 6/30/07</v>
          </cell>
          <cell r="W2">
            <v>37803</v>
          </cell>
          <cell r="X2">
            <v>39263</v>
          </cell>
        </row>
        <row r="3">
          <cell r="A3" t="str">
            <v>6031S12003</v>
          </cell>
          <cell r="B3" t="str">
            <v>6031</v>
          </cell>
          <cell r="C3" t="str">
            <v>6031001-2002-001--15----</v>
          </cell>
          <cell r="D3" t="str">
            <v>Prop 50 - Wtr Sec-SO</v>
          </cell>
          <cell r="E3" t="str">
            <v>D</v>
          </cell>
          <cell r="F3" t="str">
            <v>2003</v>
          </cell>
          <cell r="G3" t="str">
            <v>6031001</v>
          </cell>
          <cell r="H3" t="str">
            <v>001</v>
          </cell>
          <cell r="I3" t="str">
            <v>001</v>
          </cell>
          <cell r="J3"/>
          <cell r="K3"/>
          <cell r="L3" t="str">
            <v>15</v>
          </cell>
          <cell r="M3"/>
          <cell r="N3"/>
          <cell r="O3"/>
          <cell r="P3" t="str">
            <v>379</v>
          </cell>
          <cell r="Q3" t="str">
            <v>3860-001-6031</v>
          </cell>
          <cell r="R3" t="str">
            <v>2002</v>
          </cell>
          <cell r="S3" t="str">
            <v>State Ops - Pg15 Wtr Sec,Cln Drnkg Wr,CB</v>
          </cell>
          <cell r="T3">
            <v>37438</v>
          </cell>
          <cell r="U3">
            <v>39263</v>
          </cell>
          <cell r="V3" t="str">
            <v>Active until 6/30/07</v>
          </cell>
          <cell r="W3">
            <v>37803</v>
          </cell>
          <cell r="X3">
            <v>39263</v>
          </cell>
        </row>
        <row r="4">
          <cell r="A4" t="str">
            <v>6031L12003</v>
          </cell>
          <cell r="B4" t="str">
            <v>6031</v>
          </cell>
          <cell r="C4" t="str">
            <v>6031001-2002-101--10-10---</v>
          </cell>
          <cell r="D4" t="str">
            <v>Prop 50 - Wtr Sec-LA</v>
          </cell>
          <cell r="E4" t="str">
            <v>D</v>
          </cell>
          <cell r="F4" t="str">
            <v>2003</v>
          </cell>
          <cell r="G4" t="str">
            <v>6031001</v>
          </cell>
          <cell r="H4" t="str">
            <v>101</v>
          </cell>
          <cell r="I4" t="str">
            <v>001</v>
          </cell>
          <cell r="J4"/>
          <cell r="K4"/>
          <cell r="L4" t="str">
            <v>10</v>
          </cell>
          <cell r="M4" t="str">
            <v>10</v>
          </cell>
          <cell r="N4"/>
          <cell r="O4"/>
          <cell r="P4" t="str">
            <v>379</v>
          </cell>
          <cell r="Q4" t="str">
            <v>3860-101-6031</v>
          </cell>
          <cell r="R4" t="str">
            <v>2002</v>
          </cell>
          <cell r="S4" t="str">
            <v>Local Asst - Pg10 WtrSec,Cln Drnkg Wr,CB</v>
          </cell>
          <cell r="T4">
            <v>37438</v>
          </cell>
          <cell r="U4">
            <v>39263</v>
          </cell>
          <cell r="V4" t="str">
            <v>Active until 6/30/07</v>
          </cell>
          <cell r="W4">
            <v>37803</v>
          </cell>
          <cell r="X4">
            <v>39263</v>
          </cell>
        </row>
        <row r="5">
          <cell r="A5" t="str">
            <v>6031S12005</v>
          </cell>
          <cell r="B5" t="str">
            <v>6031</v>
          </cell>
          <cell r="C5" t="str">
            <v>6031001-2004-001--10----</v>
          </cell>
          <cell r="D5" t="str">
            <v>Prop 50 - SO WS Bond</v>
          </cell>
          <cell r="E5" t="str">
            <v>D</v>
          </cell>
          <cell r="F5" t="str">
            <v>2005</v>
          </cell>
          <cell r="G5" t="str">
            <v>6031001</v>
          </cell>
          <cell r="H5" t="str">
            <v>001</v>
          </cell>
          <cell r="I5" t="str">
            <v>001</v>
          </cell>
          <cell r="J5"/>
          <cell r="K5"/>
          <cell r="L5" t="str">
            <v>10</v>
          </cell>
          <cell r="M5"/>
          <cell r="N5"/>
          <cell r="O5"/>
          <cell r="P5" t="str">
            <v>208</v>
          </cell>
          <cell r="Q5" t="str">
            <v>3860-001-6031</v>
          </cell>
          <cell r="R5" t="str">
            <v>2004</v>
          </cell>
          <cell r="S5" t="str">
            <v>State Ops - Pg 10 Water Security Prop 50</v>
          </cell>
          <cell r="T5">
            <v>38169</v>
          </cell>
          <cell r="U5">
            <v>39263</v>
          </cell>
          <cell r="V5" t="str">
            <v>Active until 6/30/07</v>
          </cell>
          <cell r="W5">
            <v>38534</v>
          </cell>
          <cell r="X5">
            <v>39263</v>
          </cell>
        </row>
        <row r="6">
          <cell r="A6" t="str">
            <v>6031S32005</v>
          </cell>
          <cell r="B6" t="str">
            <v>6031</v>
          </cell>
          <cell r="C6" t="str">
            <v>6031001-2004-001--30----</v>
          </cell>
          <cell r="D6" t="str">
            <v>Prop 50 - SO WS Bond</v>
          </cell>
          <cell r="E6" t="str">
            <v>D</v>
          </cell>
          <cell r="F6" t="str">
            <v>2005</v>
          </cell>
          <cell r="G6" t="str">
            <v>6031001</v>
          </cell>
          <cell r="H6" t="str">
            <v>001</v>
          </cell>
          <cell r="I6" t="str">
            <v>001</v>
          </cell>
          <cell r="J6"/>
          <cell r="K6"/>
          <cell r="L6" t="str">
            <v>30</v>
          </cell>
          <cell r="M6"/>
          <cell r="N6"/>
          <cell r="O6"/>
          <cell r="P6" t="str">
            <v>208</v>
          </cell>
          <cell r="Q6" t="str">
            <v>3860-001-6031</v>
          </cell>
          <cell r="R6" t="str">
            <v>2004</v>
          </cell>
          <cell r="S6" t="str">
            <v>State Ops - Pg 30 Water Security Prop 50</v>
          </cell>
          <cell r="T6">
            <v>38169</v>
          </cell>
          <cell r="U6">
            <v>39263</v>
          </cell>
          <cell r="V6" t="str">
            <v>Active until 6/30/07</v>
          </cell>
          <cell r="W6">
            <v>38534</v>
          </cell>
          <cell r="X6">
            <v>39263</v>
          </cell>
        </row>
        <row r="7">
          <cell r="A7" t="str">
            <v>6031L12005</v>
          </cell>
          <cell r="B7" t="str">
            <v>6031</v>
          </cell>
          <cell r="C7" t="str">
            <v>6031001-2004-101-11-----</v>
          </cell>
          <cell r="D7" t="str">
            <v>Prop 50 - LA WS Bond</v>
          </cell>
          <cell r="E7" t="str">
            <v>D</v>
          </cell>
          <cell r="F7" t="str">
            <v>2005</v>
          </cell>
          <cell r="G7" t="str">
            <v>6031001</v>
          </cell>
          <cell r="H7" t="str">
            <v>101</v>
          </cell>
          <cell r="I7" t="str">
            <v>001</v>
          </cell>
          <cell r="J7"/>
          <cell r="K7" t="str">
            <v>11</v>
          </cell>
          <cell r="L7"/>
          <cell r="M7"/>
          <cell r="N7"/>
          <cell r="O7"/>
          <cell r="P7" t="str">
            <v>208</v>
          </cell>
          <cell r="Q7"/>
          <cell r="R7" t="str">
            <v>2004</v>
          </cell>
          <cell r="S7" t="str">
            <v>Local Assistance Pg 10 Wtr Security Pr50</v>
          </cell>
          <cell r="T7">
            <v>38169</v>
          </cell>
          <cell r="U7">
            <v>39263</v>
          </cell>
          <cell r="V7" t="str">
            <v>Active until 6/30/07</v>
          </cell>
          <cell r="W7">
            <v>38534</v>
          </cell>
          <cell r="X7">
            <v>39263</v>
          </cell>
        </row>
        <row r="8">
          <cell r="A8" t="str">
            <v>6031L32005</v>
          </cell>
          <cell r="B8" t="str">
            <v>6031</v>
          </cell>
          <cell r="C8" t="str">
            <v>6031001-2004-101-11-----</v>
          </cell>
          <cell r="D8" t="str">
            <v>Prop 50 - LA WS Bond</v>
          </cell>
          <cell r="E8" t="str">
            <v>D</v>
          </cell>
          <cell r="F8" t="str">
            <v>2005</v>
          </cell>
          <cell r="G8" t="str">
            <v>6031001</v>
          </cell>
          <cell r="H8" t="str">
            <v>101</v>
          </cell>
          <cell r="I8" t="str">
            <v>001</v>
          </cell>
          <cell r="J8"/>
          <cell r="K8" t="str">
            <v>11</v>
          </cell>
          <cell r="L8"/>
          <cell r="M8"/>
          <cell r="N8"/>
          <cell r="O8"/>
          <cell r="P8" t="str">
            <v>208</v>
          </cell>
          <cell r="Q8" t="str">
            <v>3860-101-6031</v>
          </cell>
          <cell r="R8" t="str">
            <v>2004</v>
          </cell>
          <cell r="S8" t="str">
            <v>Local Assistance Pg 30 Wtr Security Pr50</v>
          </cell>
          <cell r="T8">
            <v>38169</v>
          </cell>
          <cell r="U8">
            <v>39263</v>
          </cell>
          <cell r="V8" t="str">
            <v>Active until 6/30/07</v>
          </cell>
          <cell r="W8">
            <v>38534</v>
          </cell>
          <cell r="X8">
            <v>39263</v>
          </cell>
        </row>
        <row r="9">
          <cell r="A9" t="str">
            <v>6031S22004</v>
          </cell>
          <cell r="B9" t="str">
            <v>6031</v>
          </cell>
          <cell r="C9" t="str">
            <v>6031001-2003-00104--30----</v>
          </cell>
          <cell r="D9" t="str">
            <v>Prop 50-SO WtrS Bond</v>
          </cell>
          <cell r="E9" t="str">
            <v>D</v>
          </cell>
          <cell r="F9" t="str">
            <v>2004</v>
          </cell>
          <cell r="G9" t="str">
            <v>6031001</v>
          </cell>
          <cell r="H9" t="str">
            <v>00104</v>
          </cell>
          <cell r="I9" t="str">
            <v>001</v>
          </cell>
          <cell r="J9"/>
          <cell r="K9"/>
          <cell r="L9" t="str">
            <v>30</v>
          </cell>
          <cell r="M9"/>
          <cell r="N9"/>
          <cell r="O9"/>
          <cell r="P9" t="str">
            <v>157</v>
          </cell>
          <cell r="Q9" t="str">
            <v>3860-00104-6031</v>
          </cell>
          <cell r="R9" t="str">
            <v>2003</v>
          </cell>
          <cell r="S9" t="str">
            <v>REAPPROP Pg 30 SO Water Security Prop 50</v>
          </cell>
          <cell r="T9">
            <v>37803</v>
          </cell>
          <cell r="U9">
            <v>39629</v>
          </cell>
          <cell r="V9" t="str">
            <v>Active until 6/30/08</v>
          </cell>
          <cell r="W9">
            <v>38899</v>
          </cell>
          <cell r="X9">
            <v>39629</v>
          </cell>
        </row>
        <row r="10">
          <cell r="A10" t="str">
            <v>6031S72004</v>
          </cell>
          <cell r="B10" t="str">
            <v>6031</v>
          </cell>
          <cell r="C10" t="str">
            <v>6031001-2003-001--10----</v>
          </cell>
          <cell r="D10" t="str">
            <v>Prop 50 - SO WS Bond</v>
          </cell>
          <cell r="E10" t="str">
            <v>D</v>
          </cell>
          <cell r="F10" t="str">
            <v>2004</v>
          </cell>
          <cell r="G10" t="str">
            <v>6031001</v>
          </cell>
          <cell r="H10" t="str">
            <v>001</v>
          </cell>
          <cell r="I10" t="str">
            <v>001</v>
          </cell>
          <cell r="J10"/>
          <cell r="K10"/>
          <cell r="L10" t="str">
            <v>10</v>
          </cell>
          <cell r="M10"/>
          <cell r="N10"/>
          <cell r="O10"/>
          <cell r="P10" t="str">
            <v>157</v>
          </cell>
          <cell r="Q10" t="str">
            <v>3860-001-6031</v>
          </cell>
          <cell r="R10" t="str">
            <v>2003</v>
          </cell>
          <cell r="S10" t="str">
            <v>State Ops - Pg 10 Water Security Prop 50</v>
          </cell>
          <cell r="T10">
            <v>37803</v>
          </cell>
          <cell r="U10">
            <v>39629</v>
          </cell>
          <cell r="V10" t="str">
            <v>Active until 6/30/08</v>
          </cell>
          <cell r="W10">
            <v>38169</v>
          </cell>
          <cell r="X10">
            <v>39629</v>
          </cell>
        </row>
        <row r="11">
          <cell r="A11" t="str">
            <v>6031L32004</v>
          </cell>
          <cell r="B11" t="str">
            <v>6031</v>
          </cell>
          <cell r="C11" t="str">
            <v>6031001-2003-101------</v>
          </cell>
          <cell r="D11" t="str">
            <v>Prop 50 - LA WS Bond</v>
          </cell>
          <cell r="E11" t="str">
            <v>D</v>
          </cell>
          <cell r="F11" t="str">
            <v>2004</v>
          </cell>
          <cell r="G11" t="str">
            <v>6031001</v>
          </cell>
          <cell r="H11" t="str">
            <v>101</v>
          </cell>
          <cell r="I11" t="str">
            <v>001</v>
          </cell>
          <cell r="J11"/>
          <cell r="K11"/>
          <cell r="L11"/>
          <cell r="M11"/>
          <cell r="N11"/>
          <cell r="O11"/>
          <cell r="P11" t="str">
            <v>157</v>
          </cell>
          <cell r="Q11" t="str">
            <v>3860-101-6031</v>
          </cell>
          <cell r="R11" t="str">
            <v>2003</v>
          </cell>
          <cell r="S11" t="str">
            <v>Local Assistance Wtr Security Pr50 PG30</v>
          </cell>
          <cell r="T11">
            <v>37803</v>
          </cell>
          <cell r="U11">
            <v>39629</v>
          </cell>
          <cell r="V11" t="str">
            <v>Active until 6/30/08</v>
          </cell>
          <cell r="W11">
            <v>38169</v>
          </cell>
          <cell r="X11">
            <v>39629</v>
          </cell>
        </row>
        <row r="12">
          <cell r="A12" t="str">
            <v>6031L72005</v>
          </cell>
          <cell r="B12" t="str">
            <v>6031</v>
          </cell>
          <cell r="C12" t="str">
            <v>6031001-2004-101-12-----</v>
          </cell>
          <cell r="D12" t="str">
            <v>Prop 50 - LA WS Bond</v>
          </cell>
          <cell r="E12" t="str">
            <v>D</v>
          </cell>
          <cell r="F12" t="str">
            <v>2005</v>
          </cell>
          <cell r="G12" t="str">
            <v>6031001</v>
          </cell>
          <cell r="H12" t="str">
            <v>101</v>
          </cell>
          <cell r="I12" t="str">
            <v>001</v>
          </cell>
          <cell r="J12"/>
          <cell r="K12" t="str">
            <v>12</v>
          </cell>
          <cell r="L12"/>
          <cell r="M12"/>
          <cell r="N12"/>
          <cell r="O12"/>
          <cell r="P12" t="str">
            <v>208</v>
          </cell>
          <cell r="Q12" t="str">
            <v>3860-101-6031</v>
          </cell>
          <cell r="R12" t="str">
            <v>2004</v>
          </cell>
          <cell r="S12" t="str">
            <v>LA Pg 10 Wtr Security Prop 50 $19 Approp</v>
          </cell>
          <cell r="T12">
            <v>38169</v>
          </cell>
          <cell r="U12">
            <v>39629</v>
          </cell>
          <cell r="V12" t="str">
            <v>Active until 6/30/08</v>
          </cell>
          <cell r="W12">
            <v>38899</v>
          </cell>
          <cell r="X12">
            <v>39629</v>
          </cell>
        </row>
        <row r="13">
          <cell r="A13" t="str">
            <v>6031S12006</v>
          </cell>
          <cell r="B13" t="str">
            <v>6031</v>
          </cell>
          <cell r="C13" t="str">
            <v>6031001-2005-001--10----</v>
          </cell>
          <cell r="D13" t="str">
            <v>Prop 50 - SO WS Bond</v>
          </cell>
          <cell r="E13" t="str">
            <v>D</v>
          </cell>
          <cell r="F13" t="str">
            <v>2006</v>
          </cell>
          <cell r="G13" t="str">
            <v>6031001</v>
          </cell>
          <cell r="H13" t="str">
            <v>001</v>
          </cell>
          <cell r="I13" t="str">
            <v>001</v>
          </cell>
          <cell r="J13"/>
          <cell r="K13"/>
          <cell r="L13" t="str">
            <v>10</v>
          </cell>
          <cell r="M13"/>
          <cell r="N13"/>
          <cell r="O13"/>
          <cell r="P13" t="str">
            <v>38</v>
          </cell>
          <cell r="Q13" t="str">
            <v>3860-001-6031</v>
          </cell>
          <cell r="R13" t="str">
            <v>2005</v>
          </cell>
          <cell r="S13" t="str">
            <v>State Ops - Pg 10 Water Security Prop 50</v>
          </cell>
          <cell r="T13">
            <v>38534</v>
          </cell>
          <cell r="U13">
            <v>39629</v>
          </cell>
          <cell r="V13" t="str">
            <v>Active until 6/30/08</v>
          </cell>
          <cell r="W13">
            <v>38899</v>
          </cell>
          <cell r="X13">
            <v>39629</v>
          </cell>
        </row>
        <row r="14">
          <cell r="A14" t="str">
            <v>6031S32006</v>
          </cell>
          <cell r="B14" t="str">
            <v>6031</v>
          </cell>
          <cell r="C14" t="str">
            <v>6031001-2005-001--30----</v>
          </cell>
          <cell r="D14" t="str">
            <v>Prop 50 - SO WS Bond</v>
          </cell>
          <cell r="E14" t="str">
            <v>D</v>
          </cell>
          <cell r="F14" t="str">
            <v>2006</v>
          </cell>
          <cell r="G14" t="str">
            <v>6031001</v>
          </cell>
          <cell r="H14" t="str">
            <v>001</v>
          </cell>
          <cell r="I14" t="str">
            <v>001</v>
          </cell>
          <cell r="J14"/>
          <cell r="K14"/>
          <cell r="L14" t="str">
            <v>30</v>
          </cell>
          <cell r="M14"/>
          <cell r="N14"/>
          <cell r="O14"/>
          <cell r="P14" t="str">
            <v>38</v>
          </cell>
          <cell r="Q14" t="str">
            <v>3860-001-6031</v>
          </cell>
          <cell r="R14" t="str">
            <v>2005</v>
          </cell>
          <cell r="S14" t="str">
            <v>State Ops - Pg 30 Water Security Prop 50</v>
          </cell>
          <cell r="T14">
            <v>38534</v>
          </cell>
          <cell r="U14">
            <v>39629</v>
          </cell>
          <cell r="V14" t="str">
            <v>Active until 6/30/08</v>
          </cell>
          <cell r="W14">
            <v>38899</v>
          </cell>
          <cell r="X14">
            <v>39629</v>
          </cell>
        </row>
        <row r="15">
          <cell r="A15" t="str">
            <v>6031L32006</v>
          </cell>
          <cell r="B15" t="str">
            <v>6031</v>
          </cell>
          <cell r="C15" t="str">
            <v>6031001-2005-101------</v>
          </cell>
          <cell r="D15" t="str">
            <v>Prop 50 - LA WS Bond</v>
          </cell>
          <cell r="E15" t="str">
            <v>D</v>
          </cell>
          <cell r="F15" t="str">
            <v>2006</v>
          </cell>
          <cell r="G15" t="str">
            <v>6031001</v>
          </cell>
          <cell r="H15" t="str">
            <v>101</v>
          </cell>
          <cell r="I15" t="str">
            <v>001</v>
          </cell>
          <cell r="J15"/>
          <cell r="K15"/>
          <cell r="L15"/>
          <cell r="M15"/>
          <cell r="N15"/>
          <cell r="O15"/>
          <cell r="P15" t="str">
            <v>38</v>
          </cell>
          <cell r="Q15" t="str">
            <v>3860-101-6031</v>
          </cell>
          <cell r="R15" t="str">
            <v>2005</v>
          </cell>
          <cell r="S15" t="str">
            <v>Local Assistance Pg 30 Wtr Security Pr50</v>
          </cell>
          <cell r="T15">
            <v>38534</v>
          </cell>
          <cell r="U15">
            <v>39629</v>
          </cell>
          <cell r="V15" t="str">
            <v>Active until 6/30/08</v>
          </cell>
          <cell r="W15">
            <v>38899</v>
          </cell>
          <cell r="X15">
            <v>39629</v>
          </cell>
        </row>
        <row r="16">
          <cell r="A16" t="str">
            <v>6031S72005</v>
          </cell>
          <cell r="B16" t="str">
            <v>6031</v>
          </cell>
          <cell r="C16" t="str">
            <v>6031001-2004-00105--10----</v>
          </cell>
          <cell r="D16" t="str">
            <v>Prop 50 FY05 Reappro</v>
          </cell>
          <cell r="E16" t="str">
            <v>D</v>
          </cell>
          <cell r="F16" t="str">
            <v>2005</v>
          </cell>
          <cell r="G16" t="str">
            <v>6031001</v>
          </cell>
          <cell r="H16" t="str">
            <v>00105</v>
          </cell>
          <cell r="I16" t="str">
            <v>001</v>
          </cell>
          <cell r="J16"/>
          <cell r="K16"/>
          <cell r="L16" t="str">
            <v>10</v>
          </cell>
          <cell r="M16"/>
          <cell r="N16"/>
          <cell r="O16"/>
          <cell r="P16" t="str">
            <v>208</v>
          </cell>
          <cell r="Q16" t="str">
            <v>3860-00105-6031</v>
          </cell>
          <cell r="R16" t="str">
            <v>2004</v>
          </cell>
          <cell r="S16" t="str">
            <v>State Ops - Program 10 Prop 50 Reapprop</v>
          </cell>
          <cell r="T16">
            <v>38169</v>
          </cell>
          <cell r="U16">
            <v>39994</v>
          </cell>
          <cell r="V16" t="str">
            <v>Active until 6/30/09</v>
          </cell>
          <cell r="W16">
            <v>39264</v>
          </cell>
          <cell r="X16">
            <v>39994</v>
          </cell>
        </row>
        <row r="17">
          <cell r="A17" t="str">
            <v>6031S12007</v>
          </cell>
          <cell r="B17" t="str">
            <v>6031</v>
          </cell>
          <cell r="C17" t="str">
            <v>6031001-2006-001--10----</v>
          </cell>
          <cell r="D17" t="str">
            <v>Prop 50 - SO WS Bond</v>
          </cell>
          <cell r="E17" t="str">
            <v>D</v>
          </cell>
          <cell r="F17" t="str">
            <v>2007</v>
          </cell>
          <cell r="G17" t="str">
            <v>6031001</v>
          </cell>
          <cell r="H17" t="str">
            <v>001</v>
          </cell>
          <cell r="I17" t="str">
            <v>001</v>
          </cell>
          <cell r="J17"/>
          <cell r="K17"/>
          <cell r="L17" t="str">
            <v>10</v>
          </cell>
          <cell r="M17"/>
          <cell r="N17"/>
          <cell r="O17"/>
          <cell r="P17" t="str">
            <v>47</v>
          </cell>
          <cell r="Q17" t="str">
            <v>3860-001-6031</v>
          </cell>
          <cell r="R17" t="str">
            <v>2006</v>
          </cell>
          <cell r="S17" t="str">
            <v>State Ops - Pg 10 Water Security Prop 50</v>
          </cell>
          <cell r="T17">
            <v>38899</v>
          </cell>
          <cell r="U17">
            <v>39994</v>
          </cell>
          <cell r="V17" t="str">
            <v>Active until 6/30/09</v>
          </cell>
          <cell r="W17">
            <v>39264</v>
          </cell>
          <cell r="X17">
            <v>39994</v>
          </cell>
        </row>
        <row r="18">
          <cell r="A18" t="str">
            <v>6031S32007</v>
          </cell>
          <cell r="B18" t="str">
            <v>6031</v>
          </cell>
          <cell r="C18" t="str">
            <v>6031001-2006-001--30----</v>
          </cell>
          <cell r="D18" t="str">
            <v>Prop 50 - SO WS Bond</v>
          </cell>
          <cell r="E18" t="str">
            <v>D</v>
          </cell>
          <cell r="F18" t="str">
            <v>2007</v>
          </cell>
          <cell r="G18" t="str">
            <v>6031001</v>
          </cell>
          <cell r="H18" t="str">
            <v>001</v>
          </cell>
          <cell r="I18" t="str">
            <v>001</v>
          </cell>
          <cell r="J18"/>
          <cell r="K18"/>
          <cell r="L18" t="str">
            <v>30</v>
          </cell>
          <cell r="M18"/>
          <cell r="N18"/>
          <cell r="O18"/>
          <cell r="P18" t="str">
            <v>47</v>
          </cell>
          <cell r="Q18" t="str">
            <v>3860-001-6031</v>
          </cell>
          <cell r="R18" t="str">
            <v>2006</v>
          </cell>
          <cell r="S18" t="str">
            <v>State Ops - Pg 30 Water Security Prop 50</v>
          </cell>
          <cell r="T18">
            <v>38899</v>
          </cell>
          <cell r="U18">
            <v>39994</v>
          </cell>
          <cell r="V18" t="str">
            <v>Active until 6/30/09</v>
          </cell>
          <cell r="W18">
            <v>39264</v>
          </cell>
          <cell r="X18">
            <v>39994</v>
          </cell>
        </row>
        <row r="19">
          <cell r="A19" t="str">
            <v>6031L32007</v>
          </cell>
          <cell r="B19" t="str">
            <v>6031</v>
          </cell>
          <cell r="C19" t="str">
            <v>6031001-2006-101------</v>
          </cell>
          <cell r="D19" t="str">
            <v>Prop 50 - LA WS Bond</v>
          </cell>
          <cell r="E19" t="str">
            <v>D</v>
          </cell>
          <cell r="F19" t="str">
            <v>2007</v>
          </cell>
          <cell r="G19" t="str">
            <v>6031001</v>
          </cell>
          <cell r="H19" t="str">
            <v>101</v>
          </cell>
          <cell r="I19" t="str">
            <v>001</v>
          </cell>
          <cell r="J19"/>
          <cell r="K19"/>
          <cell r="L19"/>
          <cell r="M19"/>
          <cell r="N19"/>
          <cell r="O19"/>
          <cell r="P19"/>
          <cell r="Q19"/>
          <cell r="R19" t="str">
            <v>2006</v>
          </cell>
          <cell r="S19" t="str">
            <v>INVALID FUND - NOT APPROPRIATED AT SCO</v>
          </cell>
          <cell r="T19">
            <v>38899</v>
          </cell>
          <cell r="U19">
            <v>39994</v>
          </cell>
          <cell r="V19" t="str">
            <v>Active until 6/30/09</v>
          </cell>
          <cell r="W19">
            <v>39264</v>
          </cell>
          <cell r="X19">
            <v>39994</v>
          </cell>
        </row>
        <row r="20">
          <cell r="A20" t="str">
            <v>6031L12007</v>
          </cell>
          <cell r="B20" t="str">
            <v>6031</v>
          </cell>
          <cell r="C20" t="str">
            <v>6031001-2006-101--10----</v>
          </cell>
          <cell r="D20" t="str">
            <v>Prop 50 - LA WS Bond</v>
          </cell>
          <cell r="E20" t="str">
            <v>D</v>
          </cell>
          <cell r="F20" t="str">
            <v>2007</v>
          </cell>
          <cell r="G20" t="str">
            <v>6031001</v>
          </cell>
          <cell r="H20" t="str">
            <v>101</v>
          </cell>
          <cell r="I20" t="str">
            <v>001</v>
          </cell>
          <cell r="J20"/>
          <cell r="K20"/>
          <cell r="L20" t="str">
            <v>10</v>
          </cell>
          <cell r="M20"/>
          <cell r="N20"/>
          <cell r="O20"/>
          <cell r="P20" t="str">
            <v>47</v>
          </cell>
          <cell r="Q20" t="str">
            <v>3860-101-6031</v>
          </cell>
          <cell r="R20" t="str">
            <v>2006</v>
          </cell>
          <cell r="S20" t="str">
            <v>INVALID FUND - NOT APPROPRIATED AT SCO</v>
          </cell>
          <cell r="T20">
            <v>38899</v>
          </cell>
          <cell r="U20">
            <v>39994</v>
          </cell>
          <cell r="V20" t="str">
            <v>Active until 6/30/09</v>
          </cell>
          <cell r="W20">
            <v>39264</v>
          </cell>
          <cell r="X20">
            <v>39994</v>
          </cell>
        </row>
        <row r="21">
          <cell r="A21" t="str">
            <v>6031S12004</v>
          </cell>
          <cell r="B21" t="str">
            <v>6031</v>
          </cell>
          <cell r="C21" t="str">
            <v>6031001-2003-00104--10----</v>
          </cell>
          <cell r="D21" t="str">
            <v>Prop 50-SO WtrS Bond</v>
          </cell>
          <cell r="E21" t="str">
            <v>D</v>
          </cell>
          <cell r="F21" t="str">
            <v>2004</v>
          </cell>
          <cell r="G21" t="str">
            <v>6031001</v>
          </cell>
          <cell r="H21" t="str">
            <v>00104</v>
          </cell>
          <cell r="I21" t="str">
            <v>001</v>
          </cell>
          <cell r="J21"/>
          <cell r="K21"/>
          <cell r="L21" t="str">
            <v>10</v>
          </cell>
          <cell r="M21"/>
          <cell r="N21"/>
          <cell r="O21"/>
          <cell r="P21" t="str">
            <v>157</v>
          </cell>
          <cell r="Q21" t="str">
            <v>3860-00104-6031</v>
          </cell>
          <cell r="R21" t="str">
            <v>2003</v>
          </cell>
          <cell r="S21" t="str">
            <v>REAPPROP Pg 10 SO Water Security Prop 50</v>
          </cell>
          <cell r="T21">
            <v>37803</v>
          </cell>
          <cell r="U21">
            <v>40359</v>
          </cell>
          <cell r="V21" t="str">
            <v>Active until 6/30/10</v>
          </cell>
          <cell r="W21">
            <v>39630</v>
          </cell>
          <cell r="X21">
            <v>40359</v>
          </cell>
        </row>
        <row r="22">
          <cell r="A22" t="str">
            <v>6031L12004</v>
          </cell>
          <cell r="B22" t="str">
            <v>6031</v>
          </cell>
          <cell r="C22" t="str">
            <v>6031001-2003-10104------</v>
          </cell>
          <cell r="D22" t="str">
            <v>Prop 50-LA WtrS Bond</v>
          </cell>
          <cell r="E22" t="str">
            <v>D</v>
          </cell>
          <cell r="F22" t="str">
            <v>2004</v>
          </cell>
          <cell r="G22" t="str">
            <v>6031001</v>
          </cell>
          <cell r="H22" t="str">
            <v>10104</v>
          </cell>
          <cell r="I22" t="str">
            <v>001</v>
          </cell>
          <cell r="J22"/>
          <cell r="K22"/>
          <cell r="L22"/>
          <cell r="M22"/>
          <cell r="N22"/>
          <cell r="O22"/>
          <cell r="P22" t="str">
            <v>157</v>
          </cell>
          <cell r="Q22" t="str">
            <v>3860-10104-60</v>
          </cell>
          <cell r="R22" t="str">
            <v>2003</v>
          </cell>
          <cell r="S22" t="str">
            <v>REAPPROP LA Pg 10 Wtr Security Prop 50</v>
          </cell>
          <cell r="T22">
            <v>37803</v>
          </cell>
          <cell r="U22">
            <v>40359</v>
          </cell>
          <cell r="V22" t="str">
            <v>Active until 6/30/10</v>
          </cell>
          <cell r="W22">
            <v>39630</v>
          </cell>
          <cell r="X22">
            <v>40359</v>
          </cell>
        </row>
        <row r="23">
          <cell r="A23" t="str">
            <v>6031S72006</v>
          </cell>
          <cell r="B23" t="str">
            <v>6031</v>
          </cell>
          <cell r="C23" t="str">
            <v>6031001-2005-001------</v>
          </cell>
          <cell r="D23" t="str">
            <v>Prop 50-SO WtrS Bond</v>
          </cell>
          <cell r="E23" t="str">
            <v>D</v>
          </cell>
          <cell r="F23" t="str">
            <v>2006</v>
          </cell>
          <cell r="G23" t="str">
            <v>6031001</v>
          </cell>
          <cell r="H23" t="str">
            <v>001</v>
          </cell>
          <cell r="I23" t="str">
            <v>001</v>
          </cell>
          <cell r="J23"/>
          <cell r="K23"/>
          <cell r="L23"/>
          <cell r="M23"/>
          <cell r="N23"/>
          <cell r="O23"/>
          <cell r="P23" t="str">
            <v>38</v>
          </cell>
          <cell r="Q23" t="str">
            <v>3860-001-6031</v>
          </cell>
          <cell r="R23" t="str">
            <v>2005</v>
          </cell>
          <cell r="S23" t="str">
            <v>INVALID FUND - NOT APPROPRIATED AT SCO</v>
          </cell>
          <cell r="T23">
            <v>38534</v>
          </cell>
          <cell r="U23">
            <v>40359</v>
          </cell>
          <cell r="V23" t="str">
            <v>Active until 6/30/10</v>
          </cell>
          <cell r="W23">
            <v>39630</v>
          </cell>
          <cell r="X23">
            <v>40359</v>
          </cell>
        </row>
        <row r="24">
          <cell r="A24" t="str">
            <v>6031L12006</v>
          </cell>
          <cell r="B24" t="str">
            <v>6031</v>
          </cell>
          <cell r="C24" t="str">
            <v>6031001-2005-101------</v>
          </cell>
          <cell r="D24" t="str">
            <v>Prop 50 - LA WS Bond</v>
          </cell>
          <cell r="E24" t="str">
            <v>D</v>
          </cell>
          <cell r="F24" t="str">
            <v>2006</v>
          </cell>
          <cell r="G24" t="str">
            <v>6031001</v>
          </cell>
          <cell r="H24" t="str">
            <v>101</v>
          </cell>
          <cell r="I24" t="str">
            <v>001</v>
          </cell>
          <cell r="J24"/>
          <cell r="K24"/>
          <cell r="L24"/>
          <cell r="M24"/>
          <cell r="N24"/>
          <cell r="O24"/>
          <cell r="P24" t="str">
            <v>38</v>
          </cell>
          <cell r="Q24" t="str">
            <v>3860-101-6031</v>
          </cell>
          <cell r="R24" t="str">
            <v>2005</v>
          </cell>
          <cell r="S24" t="str">
            <v>Local Assistance Pg 10 Wtr Security Pr50</v>
          </cell>
          <cell r="T24">
            <v>38534</v>
          </cell>
          <cell r="U24">
            <v>40359</v>
          </cell>
          <cell r="V24" t="str">
            <v>Active until 6/30/10</v>
          </cell>
          <cell r="W24">
            <v>39630</v>
          </cell>
          <cell r="X24">
            <v>40359</v>
          </cell>
        </row>
        <row r="25">
          <cell r="A25" t="str">
            <v>6031L72006</v>
          </cell>
          <cell r="B25" t="str">
            <v>6031</v>
          </cell>
          <cell r="C25" t="str">
            <v>6031001-2005-101------</v>
          </cell>
          <cell r="D25" t="str">
            <v>Prop 50-LA WtrS Bon</v>
          </cell>
          <cell r="E25" t="str">
            <v>D</v>
          </cell>
          <cell r="F25" t="str">
            <v>2006</v>
          </cell>
          <cell r="G25" t="str">
            <v>6031001</v>
          </cell>
          <cell r="H25" t="str">
            <v>101</v>
          </cell>
          <cell r="I25" t="str">
            <v>001</v>
          </cell>
          <cell r="J25"/>
          <cell r="K25"/>
          <cell r="L25"/>
          <cell r="M25"/>
          <cell r="N25"/>
          <cell r="O25"/>
          <cell r="P25" t="str">
            <v>38</v>
          </cell>
          <cell r="Q25" t="str">
            <v>3860-101-6031</v>
          </cell>
          <cell r="R25" t="str">
            <v>2005</v>
          </cell>
          <cell r="S25" t="str">
            <v>INVALID FUND - NOT APPROPRIATED AT SCO</v>
          </cell>
          <cell r="T25">
            <v>38534</v>
          </cell>
          <cell r="U25">
            <v>40359</v>
          </cell>
          <cell r="V25" t="str">
            <v>Active until 6/30/10</v>
          </cell>
          <cell r="W25">
            <v>39630</v>
          </cell>
          <cell r="X25">
            <v>40359</v>
          </cell>
        </row>
        <row r="26">
          <cell r="A26" t="str">
            <v>6031BB2007</v>
          </cell>
          <cell r="B26" t="str">
            <v>6031</v>
          </cell>
          <cell r="C26" t="str">
            <v>6031001-2006-301------</v>
          </cell>
          <cell r="D26" t="str">
            <v>Prop 50 - FranksTrac</v>
          </cell>
          <cell r="E26" t="str">
            <v>D</v>
          </cell>
          <cell r="F26" t="str">
            <v>2007</v>
          </cell>
          <cell r="G26" t="str">
            <v>6031001</v>
          </cell>
          <cell r="H26" t="str">
            <v>301</v>
          </cell>
          <cell r="I26" t="str">
            <v>001</v>
          </cell>
          <cell r="J26"/>
          <cell r="K26"/>
          <cell r="L26"/>
          <cell r="M26"/>
          <cell r="N26"/>
          <cell r="O26"/>
          <cell r="P26"/>
          <cell r="Q26"/>
          <cell r="R26" t="str">
            <v>2006</v>
          </cell>
          <cell r="S26" t="str">
            <v>INVALID FUND - NOT APPROPRIATED AT SCO</v>
          </cell>
          <cell r="T26">
            <v>38899</v>
          </cell>
          <cell r="U26">
            <v>40724</v>
          </cell>
          <cell r="V26" t="str">
            <v>Active until 6/30/11</v>
          </cell>
          <cell r="W26">
            <v>39995</v>
          </cell>
          <cell r="X26">
            <v>40724</v>
          </cell>
        </row>
        <row r="27">
          <cell r="A27" t="str">
            <v>6031BA2007</v>
          </cell>
          <cell r="B27" t="str">
            <v>6031</v>
          </cell>
          <cell r="C27" t="str">
            <v>6031001-2006-301-90-10-95-015--</v>
          </cell>
          <cell r="D27" t="str">
            <v>Prop 50 - BayDlta-CO</v>
          </cell>
          <cell r="E27" t="str">
            <v>D</v>
          </cell>
          <cell r="F27" t="str">
            <v>2007</v>
          </cell>
          <cell r="G27" t="str">
            <v>6031001</v>
          </cell>
          <cell r="H27" t="str">
            <v>301</v>
          </cell>
          <cell r="I27" t="str">
            <v>001</v>
          </cell>
          <cell r="J27"/>
          <cell r="K27" t="str">
            <v>90</v>
          </cell>
          <cell r="L27" t="str">
            <v>10</v>
          </cell>
          <cell r="M27" t="str">
            <v>95</v>
          </cell>
          <cell r="N27" t="str">
            <v>015</v>
          </cell>
          <cell r="O27"/>
          <cell r="P27" t="str">
            <v>47</v>
          </cell>
          <cell r="Q27" t="str">
            <v>3860-301-6031</v>
          </cell>
          <cell r="R27" t="str">
            <v>2006</v>
          </cell>
          <cell r="S27" t="str">
            <v>Cap Outlay-Pg 10 Bay Delta MultiPurpose</v>
          </cell>
          <cell r="T27">
            <v>38899</v>
          </cell>
          <cell r="U27">
            <v>40724</v>
          </cell>
          <cell r="V27" t="str">
            <v>Active until 6/30/11</v>
          </cell>
          <cell r="W27">
            <v>39995</v>
          </cell>
          <cell r="X27">
            <v>40724</v>
          </cell>
        </row>
        <row r="28">
          <cell r="A28" t="str">
            <v>6031S11988</v>
          </cell>
          <cell r="B28" t="str">
            <v>6031</v>
          </cell>
          <cell r="C28" t="str">
            <v>6031001-1987-502------</v>
          </cell>
          <cell r="D28" t="str">
            <v>Prop50 PMIA Loan Int</v>
          </cell>
          <cell r="E28" t="str">
            <v>D</v>
          </cell>
          <cell r="F28" t="str">
            <v>1988</v>
          </cell>
          <cell r="G28" t="str">
            <v>6031001</v>
          </cell>
          <cell r="H28" t="str">
            <v>502</v>
          </cell>
          <cell r="I28" t="str">
            <v>001</v>
          </cell>
          <cell r="J28"/>
          <cell r="K28"/>
          <cell r="L28"/>
          <cell r="M28"/>
          <cell r="N28"/>
          <cell r="O28"/>
          <cell r="P28" t="str">
            <v>6/87</v>
          </cell>
          <cell r="Q28"/>
          <cell r="R28" t="str">
            <v>1987</v>
          </cell>
          <cell r="S28" t="str">
            <v>Pro 50 PMIA Loan Interest Cost to PMIA</v>
          </cell>
          <cell r="T28">
            <v>31959</v>
          </cell>
          <cell r="U28">
            <v>2958281</v>
          </cell>
          <cell r="V28" t="str">
            <v>Active until 6/30/99</v>
          </cell>
          <cell r="W28">
            <v>2958281</v>
          </cell>
          <cell r="X28">
            <v>2958281</v>
          </cell>
        </row>
        <row r="29">
          <cell r="A29" t="str">
            <v>6031S11992</v>
          </cell>
          <cell r="B29" t="str">
            <v>6031</v>
          </cell>
          <cell r="C29" t="str">
            <v>6031001-1991-596------</v>
          </cell>
          <cell r="D29" t="str">
            <v>Prop50 Admin Costs</v>
          </cell>
          <cell r="E29" t="str">
            <v>D</v>
          </cell>
          <cell r="F29" t="str">
            <v>1992</v>
          </cell>
          <cell r="G29" t="str">
            <v>6031001</v>
          </cell>
          <cell r="H29" t="str">
            <v>596</v>
          </cell>
          <cell r="I29" t="str">
            <v>001</v>
          </cell>
          <cell r="J29"/>
          <cell r="K29"/>
          <cell r="L29"/>
          <cell r="M29"/>
          <cell r="N29"/>
          <cell r="O29"/>
          <cell r="P29" t="str">
            <v>856/91</v>
          </cell>
          <cell r="Q29"/>
          <cell r="R29" t="str">
            <v>1991</v>
          </cell>
          <cell r="S29" t="str">
            <v>Prop50 Admin Costs</v>
          </cell>
          <cell r="T29">
            <v>33420</v>
          </cell>
          <cell r="U29">
            <v>2958281</v>
          </cell>
          <cell r="V29" t="str">
            <v>Active until 6/30/99</v>
          </cell>
          <cell r="W29">
            <v>2958281</v>
          </cell>
          <cell r="X29">
            <v>2958281</v>
          </cell>
        </row>
        <row r="30">
          <cell r="A30" t="str">
            <v>6031RRR001</v>
          </cell>
          <cell r="B30" t="str">
            <v>6031</v>
          </cell>
          <cell r="C30" t="str">
            <v>6031001 Revenue</v>
          </cell>
          <cell r="D30" t="str">
            <v>WtrScClnDrnk-Revenue</v>
          </cell>
          <cell r="E30" t="str">
            <v>R</v>
          </cell>
          <cell r="F30" t="str">
            <v>R</v>
          </cell>
          <cell r="G30" t="str">
            <v>6031001</v>
          </cell>
          <cell r="H30"/>
          <cell r="I30" t="str">
            <v>001</v>
          </cell>
          <cell r="J30"/>
          <cell r="K30"/>
          <cell r="L30"/>
          <cell r="M30"/>
          <cell r="N30"/>
          <cell r="O30"/>
          <cell r="P30"/>
          <cell r="Q30"/>
          <cell r="R30" t="str">
            <v>R</v>
          </cell>
          <cell r="S30" t="str">
            <v>Wtr Sec,Cln Drnkg Wtr, Cst Bch - Revenue</v>
          </cell>
          <cell r="T30">
            <v>37438</v>
          </cell>
          <cell r="U30">
            <v>2958281</v>
          </cell>
          <cell r="V30" t="str">
            <v>Revenue</v>
          </cell>
          <cell r="W30">
            <v>2958281</v>
          </cell>
          <cell r="X30">
            <v>2958281</v>
          </cell>
        </row>
        <row r="31">
          <cell r="A31" t="str">
            <v>6031RRR701</v>
          </cell>
          <cell r="B31" t="str">
            <v>6031</v>
          </cell>
          <cell r="C31" t="str">
            <v>6031701 Revenue</v>
          </cell>
          <cell r="D31" t="str">
            <v>WtrScClnDrnk-CstlBch</v>
          </cell>
          <cell r="E31" t="str">
            <v>R</v>
          </cell>
          <cell r="F31" t="str">
            <v>R</v>
          </cell>
          <cell r="G31" t="str">
            <v>6031001</v>
          </cell>
          <cell r="H31"/>
          <cell r="I31" t="str">
            <v>701</v>
          </cell>
          <cell r="J31"/>
          <cell r="K31"/>
          <cell r="L31"/>
          <cell r="M31"/>
          <cell r="N31"/>
          <cell r="O31"/>
          <cell r="P31"/>
          <cell r="Q31"/>
          <cell r="R31" t="str">
            <v>R</v>
          </cell>
          <cell r="S31" t="str">
            <v>PMIB 023105-01 WaterSecurity,ClnDrnk-Rev</v>
          </cell>
          <cell r="T31">
            <v>37438</v>
          </cell>
          <cell r="U31">
            <v>2958281</v>
          </cell>
          <cell r="V31" t="str">
            <v>Revenue</v>
          </cell>
          <cell r="W31">
            <v>2958281</v>
          </cell>
          <cell r="X31">
            <v>2958281</v>
          </cell>
        </row>
        <row r="32">
          <cell r="A32" t="str">
            <v>6031RRR702</v>
          </cell>
          <cell r="B32" t="str">
            <v>6031</v>
          </cell>
          <cell r="C32" t="str">
            <v>6031702 Revenue</v>
          </cell>
          <cell r="D32" t="str">
            <v>WtrScClnDrnk-CstlBch</v>
          </cell>
          <cell r="E32" t="str">
            <v>R</v>
          </cell>
          <cell r="F32" t="str">
            <v>R</v>
          </cell>
          <cell r="G32" t="str">
            <v>6031001</v>
          </cell>
          <cell r="H32"/>
          <cell r="I32" t="str">
            <v>702</v>
          </cell>
          <cell r="J32"/>
          <cell r="K32"/>
          <cell r="L32"/>
          <cell r="M32"/>
          <cell r="N32"/>
          <cell r="O32"/>
          <cell r="P32"/>
          <cell r="Q32"/>
          <cell r="R32" t="str">
            <v>R</v>
          </cell>
          <cell r="S32" t="str">
            <v>PMIB 023105-02 WaterSecurity,ClnDrnk-Rev</v>
          </cell>
          <cell r="T32">
            <v>37438</v>
          </cell>
          <cell r="U32">
            <v>2958281</v>
          </cell>
          <cell r="V32" t="str">
            <v>Revenue</v>
          </cell>
          <cell r="W32">
            <v>2958281</v>
          </cell>
          <cell r="X32">
            <v>2958281</v>
          </cell>
        </row>
        <row r="33">
          <cell r="A33" t="str">
            <v>6031RRR703</v>
          </cell>
          <cell r="B33" t="str">
            <v>6031</v>
          </cell>
          <cell r="C33" t="str">
            <v>6031703 Revenue</v>
          </cell>
          <cell r="D33" t="str">
            <v>WtrScClnDrnk-CstlBch</v>
          </cell>
          <cell r="E33" t="str">
            <v>R</v>
          </cell>
          <cell r="F33" t="str">
            <v>R</v>
          </cell>
          <cell r="G33" t="str">
            <v>6031001</v>
          </cell>
          <cell r="H33"/>
          <cell r="I33" t="str">
            <v>703</v>
          </cell>
          <cell r="J33"/>
          <cell r="K33"/>
          <cell r="L33"/>
          <cell r="M33"/>
          <cell r="N33"/>
          <cell r="O33"/>
          <cell r="P33"/>
          <cell r="Q33"/>
          <cell r="R33" t="str">
            <v>R</v>
          </cell>
          <cell r="S33" t="str">
            <v>PMIB 023105-03 WaterSecurity,ClnDrnk-Rev</v>
          </cell>
          <cell r="T33">
            <v>37438</v>
          </cell>
          <cell r="U33">
            <v>2958281</v>
          </cell>
          <cell r="V33" t="str">
            <v>Revenue</v>
          </cell>
          <cell r="W33">
            <v>2958281</v>
          </cell>
          <cell r="X33">
            <v>2958281</v>
          </cell>
        </row>
        <row r="34">
          <cell r="A34" t="str">
            <v>6031RRR704</v>
          </cell>
          <cell r="B34" t="str">
            <v>6031</v>
          </cell>
          <cell r="C34" t="str">
            <v>6031704 Revenue</v>
          </cell>
          <cell r="D34" t="str">
            <v>Prop 50 Rev/Wtr Sect</v>
          </cell>
          <cell r="E34" t="str">
            <v>R</v>
          </cell>
          <cell r="F34" t="str">
            <v>R</v>
          </cell>
          <cell r="G34" t="str">
            <v>6031001</v>
          </cell>
          <cell r="H34"/>
          <cell r="I34" t="str">
            <v>704</v>
          </cell>
          <cell r="J34"/>
          <cell r="K34"/>
          <cell r="L34"/>
          <cell r="M34"/>
          <cell r="N34"/>
          <cell r="O34"/>
          <cell r="P34"/>
          <cell r="Q34"/>
          <cell r="R34" t="str">
            <v>R</v>
          </cell>
          <cell r="S34" t="str">
            <v>Prop 50 Wtr Security Act of 2002-Revenue</v>
          </cell>
          <cell r="T34">
            <v>31959</v>
          </cell>
          <cell r="U34">
            <v>2958281</v>
          </cell>
          <cell r="V34" t="str">
            <v>Revenue</v>
          </cell>
          <cell r="W34">
            <v>2958281</v>
          </cell>
          <cell r="X34">
            <v>2958281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M Pivot"/>
      <sheetName val="SAP Data"/>
      <sheetName val="vlookup1"/>
      <sheetName val="vlookup2"/>
      <sheetName val="1140 "/>
    </sheetNames>
    <sheetDataSet>
      <sheetData sheetId="0" refreshError="1"/>
      <sheetData sheetId="1">
        <row r="1">
          <cell r="A1" t="str">
            <v>GL Account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ks"/>
      <sheetName val="CERT"/>
      <sheetName val="Rept 1A"/>
      <sheetName val="Rpt 2"/>
      <sheetName val="Rpt 5 2009 301"/>
      <sheetName val="Rpt 5 2017 001"/>
      <sheetName val="Rpt 5 2018 001"/>
      <sheetName val="Rpt 5 2019 001"/>
      <sheetName val="Rpt 5 2020 001"/>
      <sheetName val="Rpt 5 2021 001"/>
      <sheetName val="Rpt 5 2022 001"/>
      <sheetName val="Rpt 5 2023 001"/>
      <sheetName val="Rpt 5 2023 301"/>
      <sheetName val="Rpt 7"/>
      <sheetName val="Rpt 8"/>
      <sheetName val="Rpt 15"/>
      <sheetName val="Supplemental"/>
      <sheetName val="MVF"/>
      <sheetName val="TB24"/>
      <sheetName val="Obligations"/>
      <sheetName val="Expenditures"/>
      <sheetName val="RPT18-G87_96-ALL"/>
    </sheetNames>
    <sheetDataSet>
      <sheetData sheetId="0">
        <row r="2">
          <cell r="B2" t="str">
            <v>DEPARTMENT OF WATER RESOURCES (3860)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13 recon"/>
      <sheetName val="Period 13 Working Data "/>
      <sheetName val="June Fixed Assets"/>
      <sheetName val="groupdata"/>
    </sheetNames>
    <sheetDataSet>
      <sheetData sheetId="0"/>
      <sheetData sheetId="1"/>
      <sheetData sheetId="2"/>
      <sheetData sheetId="3">
        <row r="1">
          <cell r="A1" t="str">
            <v>DWR Fund</v>
          </cell>
          <cell r="B1" t="str">
            <v>Fund</v>
          </cell>
          <cell r="C1" t="str">
            <v>SCO Account</v>
          </cell>
          <cell r="D1" t="str">
            <v>Name</v>
          </cell>
          <cell r="E1" t="str">
            <v>Type</v>
          </cell>
          <cell r="F1" t="str">
            <v>FY for Group</v>
          </cell>
          <cell r="G1" t="str">
            <v>Fund</v>
          </cell>
          <cell r="H1" t="str">
            <v>Reference</v>
          </cell>
          <cell r="I1" t="str">
            <v>Sub</v>
          </cell>
          <cell r="J1" t="str">
            <v>Federal Ca</v>
          </cell>
          <cell r="K1" t="str">
            <v>Category</v>
          </cell>
          <cell r="L1" t="str">
            <v>Program</v>
          </cell>
          <cell r="M1" t="str">
            <v>Element</v>
          </cell>
          <cell r="N1" t="str">
            <v>Component</v>
          </cell>
          <cell r="O1" t="str">
            <v>Task</v>
          </cell>
          <cell r="P1" t="str">
            <v>Chapter</v>
          </cell>
          <cell r="Q1" t="str">
            <v>Item</v>
          </cell>
          <cell r="R1" t="str">
            <v>Statute</v>
          </cell>
          <cell r="S1" t="str">
            <v>Description</v>
          </cell>
          <cell r="T1" t="str">
            <v>Valid from</v>
          </cell>
          <cell r="U1" t="str">
            <v>Valid to</v>
          </cell>
          <cell r="V1" t="str">
            <v>Active until</v>
          </cell>
          <cell r="W1" t="str">
            <v>Expir.date</v>
          </cell>
          <cell r="X1" t="str">
            <v>ReversDate</v>
          </cell>
        </row>
        <row r="2">
          <cell r="A2" t="str">
            <v>6031S22003</v>
          </cell>
          <cell r="B2" t="str">
            <v>6031</v>
          </cell>
          <cell r="C2" t="str">
            <v>6031001-2002-001--10----</v>
          </cell>
          <cell r="D2" t="str">
            <v>Prop 50 - Wtr Sec-SO</v>
          </cell>
          <cell r="E2" t="str">
            <v>D</v>
          </cell>
          <cell r="F2" t="str">
            <v>2003</v>
          </cell>
          <cell r="G2" t="str">
            <v>6031001</v>
          </cell>
          <cell r="H2" t="str">
            <v>001</v>
          </cell>
          <cell r="I2" t="str">
            <v>001</v>
          </cell>
          <cell r="J2" t="str">
            <v/>
          </cell>
          <cell r="K2" t="str">
            <v/>
          </cell>
          <cell r="L2" t="str">
            <v>10</v>
          </cell>
          <cell r="M2" t="str">
            <v/>
          </cell>
          <cell r="N2" t="str">
            <v/>
          </cell>
          <cell r="O2" t="str">
            <v/>
          </cell>
          <cell r="P2" t="str">
            <v>379</v>
          </cell>
          <cell r="Q2" t="str">
            <v>3860-001-6031</v>
          </cell>
          <cell r="R2" t="str">
            <v>2002</v>
          </cell>
          <cell r="S2" t="str">
            <v>State Ops - Pg10 Wtr Sec,Cln Drnkg Wr,CB</v>
          </cell>
          <cell r="T2">
            <v>37438</v>
          </cell>
          <cell r="U2">
            <v>39263</v>
          </cell>
          <cell r="V2" t="str">
            <v>Active until 6/30/07</v>
          </cell>
          <cell r="W2">
            <v>37803</v>
          </cell>
          <cell r="X2">
            <v>39263</v>
          </cell>
        </row>
        <row r="3">
          <cell r="A3" t="str">
            <v>6031S12003</v>
          </cell>
          <cell r="B3" t="str">
            <v>6031</v>
          </cell>
          <cell r="C3" t="str">
            <v>6031001-2002-001--15----</v>
          </cell>
          <cell r="D3" t="str">
            <v>Prop 50 - Wtr Sec-SO</v>
          </cell>
          <cell r="E3" t="str">
            <v>D</v>
          </cell>
          <cell r="F3" t="str">
            <v>2003</v>
          </cell>
          <cell r="G3" t="str">
            <v>6031001</v>
          </cell>
          <cell r="H3" t="str">
            <v>001</v>
          </cell>
          <cell r="I3" t="str">
            <v>001</v>
          </cell>
          <cell r="J3" t="str">
            <v/>
          </cell>
          <cell r="K3" t="str">
            <v/>
          </cell>
          <cell r="L3" t="str">
            <v>15</v>
          </cell>
          <cell r="M3" t="str">
            <v/>
          </cell>
          <cell r="N3" t="str">
            <v/>
          </cell>
          <cell r="O3" t="str">
            <v/>
          </cell>
          <cell r="P3" t="str">
            <v>379</v>
          </cell>
          <cell r="Q3" t="str">
            <v>3860-001-6031</v>
          </cell>
          <cell r="R3" t="str">
            <v>2002</v>
          </cell>
          <cell r="S3" t="str">
            <v>State Ops - Pg15 Wtr Sec,Cln Drnkg Wr,CB</v>
          </cell>
          <cell r="T3">
            <v>37438</v>
          </cell>
          <cell r="U3">
            <v>39263</v>
          </cell>
          <cell r="V3" t="str">
            <v>Active until 6/30/07</v>
          </cell>
          <cell r="W3">
            <v>37803</v>
          </cell>
          <cell r="X3">
            <v>39263</v>
          </cell>
        </row>
        <row r="4">
          <cell r="A4" t="str">
            <v>6031L12003</v>
          </cell>
          <cell r="B4" t="str">
            <v>6031</v>
          </cell>
          <cell r="C4" t="str">
            <v>6031001-2002-101--10-10---</v>
          </cell>
          <cell r="D4" t="str">
            <v>Prop 50 - Wtr Sec-LA</v>
          </cell>
          <cell r="E4" t="str">
            <v>D</v>
          </cell>
          <cell r="F4" t="str">
            <v>2003</v>
          </cell>
          <cell r="G4" t="str">
            <v>6031001</v>
          </cell>
          <cell r="H4" t="str">
            <v>101</v>
          </cell>
          <cell r="I4" t="str">
            <v>001</v>
          </cell>
          <cell r="J4" t="str">
            <v/>
          </cell>
          <cell r="K4" t="str">
            <v/>
          </cell>
          <cell r="L4" t="str">
            <v>10</v>
          </cell>
          <cell r="M4" t="str">
            <v>10</v>
          </cell>
          <cell r="N4" t="str">
            <v/>
          </cell>
          <cell r="O4" t="str">
            <v/>
          </cell>
          <cell r="P4" t="str">
            <v>379</v>
          </cell>
          <cell r="Q4" t="str">
            <v>3860-101-6031</v>
          </cell>
          <cell r="R4" t="str">
            <v>2002</v>
          </cell>
          <cell r="S4" t="str">
            <v>Local Asst - Pg10 WtrSec,Cln Drnkg Wr,CB</v>
          </cell>
          <cell r="T4">
            <v>37438</v>
          </cell>
          <cell r="U4">
            <v>39263</v>
          </cell>
          <cell r="V4" t="str">
            <v>Active until 6/30/07</v>
          </cell>
          <cell r="W4">
            <v>37803</v>
          </cell>
          <cell r="X4">
            <v>39263</v>
          </cell>
        </row>
        <row r="5">
          <cell r="A5" t="str">
            <v>6031S12005</v>
          </cell>
          <cell r="B5" t="str">
            <v>6031</v>
          </cell>
          <cell r="C5" t="str">
            <v>6031001-2004-001--10----</v>
          </cell>
          <cell r="D5" t="str">
            <v>Prop 50 - SO WS Bond</v>
          </cell>
          <cell r="E5" t="str">
            <v>D</v>
          </cell>
          <cell r="F5" t="str">
            <v>2005</v>
          </cell>
          <cell r="G5" t="str">
            <v>6031001</v>
          </cell>
          <cell r="H5" t="str">
            <v>001</v>
          </cell>
          <cell r="I5" t="str">
            <v>001</v>
          </cell>
          <cell r="J5" t="str">
            <v/>
          </cell>
          <cell r="K5" t="str">
            <v/>
          </cell>
          <cell r="L5" t="str">
            <v>10</v>
          </cell>
          <cell r="M5" t="str">
            <v/>
          </cell>
          <cell r="N5" t="str">
            <v/>
          </cell>
          <cell r="O5" t="str">
            <v/>
          </cell>
          <cell r="P5" t="str">
            <v>208</v>
          </cell>
          <cell r="Q5" t="str">
            <v>3860-001-6031</v>
          </cell>
          <cell r="R5" t="str">
            <v>2004</v>
          </cell>
          <cell r="S5" t="str">
            <v>State Ops - Pg 10 Water Security Prop 50</v>
          </cell>
          <cell r="T5">
            <v>38169</v>
          </cell>
          <cell r="U5">
            <v>39263</v>
          </cell>
          <cell r="V5" t="str">
            <v>Active until 6/30/07</v>
          </cell>
          <cell r="W5">
            <v>38534</v>
          </cell>
          <cell r="X5">
            <v>39263</v>
          </cell>
        </row>
        <row r="6">
          <cell r="A6" t="str">
            <v>6031S32005</v>
          </cell>
          <cell r="B6" t="str">
            <v>6031</v>
          </cell>
          <cell r="C6" t="str">
            <v>6031001-2004-001--30----</v>
          </cell>
          <cell r="D6" t="str">
            <v>Prop 50 - SO WS Bond</v>
          </cell>
          <cell r="E6" t="str">
            <v>D</v>
          </cell>
          <cell r="F6" t="str">
            <v>2005</v>
          </cell>
          <cell r="G6" t="str">
            <v>6031001</v>
          </cell>
          <cell r="H6" t="str">
            <v>001</v>
          </cell>
          <cell r="I6" t="str">
            <v>001</v>
          </cell>
          <cell r="J6" t="str">
            <v/>
          </cell>
          <cell r="K6" t="str">
            <v/>
          </cell>
          <cell r="L6" t="str">
            <v>30</v>
          </cell>
          <cell r="M6" t="str">
            <v/>
          </cell>
          <cell r="N6" t="str">
            <v/>
          </cell>
          <cell r="O6" t="str">
            <v/>
          </cell>
          <cell r="P6" t="str">
            <v>208</v>
          </cell>
          <cell r="Q6" t="str">
            <v>3860-001-6031</v>
          </cell>
          <cell r="R6" t="str">
            <v>2004</v>
          </cell>
          <cell r="S6" t="str">
            <v>State Ops - Pg 30 Water Security Prop 50</v>
          </cell>
          <cell r="T6">
            <v>38169</v>
          </cell>
          <cell r="U6">
            <v>39263</v>
          </cell>
          <cell r="V6" t="str">
            <v>Active until 6/30/07</v>
          </cell>
          <cell r="W6">
            <v>38534</v>
          </cell>
          <cell r="X6">
            <v>39263</v>
          </cell>
        </row>
        <row r="7">
          <cell r="A7" t="str">
            <v>6031L12005</v>
          </cell>
          <cell r="B7" t="str">
            <v>6031</v>
          </cell>
          <cell r="C7" t="str">
            <v>6031001-2004-101-11-----</v>
          </cell>
          <cell r="D7" t="str">
            <v>Prop 50 - LA WS Bond</v>
          </cell>
          <cell r="E7" t="str">
            <v>D</v>
          </cell>
          <cell r="F7" t="str">
            <v>2005</v>
          </cell>
          <cell r="G7" t="str">
            <v>6031001</v>
          </cell>
          <cell r="H7" t="str">
            <v>101</v>
          </cell>
          <cell r="I7" t="str">
            <v>001</v>
          </cell>
          <cell r="J7" t="str">
            <v/>
          </cell>
          <cell r="K7" t="str">
            <v>11</v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>208</v>
          </cell>
          <cell r="Q7" t="str">
            <v/>
          </cell>
          <cell r="R7" t="str">
            <v>2004</v>
          </cell>
          <cell r="S7" t="str">
            <v>Local Assistance Pg 10 Wtr Security Pr50</v>
          </cell>
          <cell r="T7">
            <v>38169</v>
          </cell>
          <cell r="U7">
            <v>39263</v>
          </cell>
          <cell r="V7" t="str">
            <v>Active until 6/30/07</v>
          </cell>
          <cell r="W7">
            <v>38534</v>
          </cell>
          <cell r="X7">
            <v>39263</v>
          </cell>
        </row>
        <row r="8">
          <cell r="A8" t="str">
            <v>6031L32005</v>
          </cell>
          <cell r="B8" t="str">
            <v>6031</v>
          </cell>
          <cell r="C8" t="str">
            <v>6031001-2004-101-11-----</v>
          </cell>
          <cell r="D8" t="str">
            <v>Prop 50 - LA WS Bond</v>
          </cell>
          <cell r="E8" t="str">
            <v>D</v>
          </cell>
          <cell r="F8" t="str">
            <v>2005</v>
          </cell>
          <cell r="G8" t="str">
            <v>6031001</v>
          </cell>
          <cell r="H8" t="str">
            <v>101</v>
          </cell>
          <cell r="I8" t="str">
            <v>001</v>
          </cell>
          <cell r="J8" t="str">
            <v/>
          </cell>
          <cell r="K8" t="str">
            <v>11</v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>208</v>
          </cell>
          <cell r="Q8" t="str">
            <v>3860-101-6031</v>
          </cell>
          <cell r="R8" t="str">
            <v>2004</v>
          </cell>
          <cell r="S8" t="str">
            <v>Local Assistance Pg 30 Wtr Security Pr50</v>
          </cell>
          <cell r="T8">
            <v>38169</v>
          </cell>
          <cell r="U8">
            <v>39263</v>
          </cell>
          <cell r="V8" t="str">
            <v>Active until 6/30/07</v>
          </cell>
          <cell r="W8">
            <v>38534</v>
          </cell>
          <cell r="X8">
            <v>39263</v>
          </cell>
        </row>
        <row r="9">
          <cell r="A9" t="str">
            <v>6031S22004</v>
          </cell>
          <cell r="B9" t="str">
            <v>6031</v>
          </cell>
          <cell r="C9" t="str">
            <v>6031001-2003-00104--30----</v>
          </cell>
          <cell r="D9" t="str">
            <v>Prop 50-SO WtrS Bond</v>
          </cell>
          <cell r="E9" t="str">
            <v>D</v>
          </cell>
          <cell r="F9" t="str">
            <v>2004</v>
          </cell>
          <cell r="G9" t="str">
            <v>6031001</v>
          </cell>
          <cell r="H9" t="str">
            <v>00104</v>
          </cell>
          <cell r="I9" t="str">
            <v>001</v>
          </cell>
          <cell r="J9" t="str">
            <v/>
          </cell>
          <cell r="K9" t="str">
            <v/>
          </cell>
          <cell r="L9" t="str">
            <v>30</v>
          </cell>
          <cell r="M9" t="str">
            <v/>
          </cell>
          <cell r="N9" t="str">
            <v/>
          </cell>
          <cell r="O9" t="str">
            <v/>
          </cell>
          <cell r="P9" t="str">
            <v>157</v>
          </cell>
          <cell r="Q9" t="str">
            <v>3860-00104-6031</v>
          </cell>
          <cell r="R9" t="str">
            <v>2003</v>
          </cell>
          <cell r="S9" t="str">
            <v>REAPPROP Pg 30 SO Water Security Prop 50</v>
          </cell>
          <cell r="T9">
            <v>37803</v>
          </cell>
          <cell r="U9">
            <v>39629</v>
          </cell>
          <cell r="V9" t="str">
            <v>Active until 6/30/08</v>
          </cell>
          <cell r="W9">
            <v>38899</v>
          </cell>
          <cell r="X9">
            <v>39629</v>
          </cell>
        </row>
        <row r="10">
          <cell r="A10" t="str">
            <v>6031S72004</v>
          </cell>
          <cell r="B10" t="str">
            <v>6031</v>
          </cell>
          <cell r="C10" t="str">
            <v>6031001-2003-001--10----</v>
          </cell>
          <cell r="D10" t="str">
            <v>Prop 50 - SO WS Bond</v>
          </cell>
          <cell r="E10" t="str">
            <v>D</v>
          </cell>
          <cell r="F10" t="str">
            <v>2004</v>
          </cell>
          <cell r="G10" t="str">
            <v>6031001</v>
          </cell>
          <cell r="H10" t="str">
            <v>001</v>
          </cell>
          <cell r="I10" t="str">
            <v>001</v>
          </cell>
          <cell r="J10" t="str">
            <v/>
          </cell>
          <cell r="K10" t="str">
            <v/>
          </cell>
          <cell r="L10" t="str">
            <v>10</v>
          </cell>
          <cell r="M10" t="str">
            <v/>
          </cell>
          <cell r="N10" t="str">
            <v/>
          </cell>
          <cell r="O10" t="str">
            <v/>
          </cell>
          <cell r="P10" t="str">
            <v>157</v>
          </cell>
          <cell r="Q10" t="str">
            <v>3860-001-6031</v>
          </cell>
          <cell r="R10" t="str">
            <v>2003</v>
          </cell>
          <cell r="S10" t="str">
            <v>State Ops - Pg 10 Water Security Prop 50</v>
          </cell>
          <cell r="T10">
            <v>37803</v>
          </cell>
          <cell r="U10">
            <v>39629</v>
          </cell>
          <cell r="V10" t="str">
            <v>Active until 6/30/08</v>
          </cell>
          <cell r="W10">
            <v>38169</v>
          </cell>
          <cell r="X10">
            <v>39629</v>
          </cell>
        </row>
        <row r="11">
          <cell r="A11" t="str">
            <v>6031L32004</v>
          </cell>
          <cell r="B11" t="str">
            <v>6031</v>
          </cell>
          <cell r="C11" t="str">
            <v>6031001-2003-101------</v>
          </cell>
          <cell r="D11" t="str">
            <v>Prop 50 - LA WS Bond</v>
          </cell>
          <cell r="E11" t="str">
            <v>D</v>
          </cell>
          <cell r="F11" t="str">
            <v>2004</v>
          </cell>
          <cell r="G11" t="str">
            <v>6031001</v>
          </cell>
          <cell r="H11" t="str">
            <v>101</v>
          </cell>
          <cell r="I11" t="str">
            <v>001</v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>157</v>
          </cell>
          <cell r="Q11" t="str">
            <v>3860-101-6031</v>
          </cell>
          <cell r="R11" t="str">
            <v>2003</v>
          </cell>
          <cell r="S11" t="str">
            <v>Local Assistance Wtr Security Pr50 PG30</v>
          </cell>
          <cell r="T11">
            <v>37803</v>
          </cell>
          <cell r="U11">
            <v>39629</v>
          </cell>
          <cell r="V11" t="str">
            <v>Active until 6/30/08</v>
          </cell>
          <cell r="W11">
            <v>38169</v>
          </cell>
          <cell r="X11">
            <v>39629</v>
          </cell>
        </row>
        <row r="12">
          <cell r="A12" t="str">
            <v>6031L72005</v>
          </cell>
          <cell r="B12" t="str">
            <v>6031</v>
          </cell>
          <cell r="C12" t="str">
            <v>6031001-2004-101-12-----</v>
          </cell>
          <cell r="D12" t="str">
            <v>Prop 50 - LA WS Bond</v>
          </cell>
          <cell r="E12" t="str">
            <v>D</v>
          </cell>
          <cell r="F12" t="str">
            <v>2005</v>
          </cell>
          <cell r="G12" t="str">
            <v>6031001</v>
          </cell>
          <cell r="H12" t="str">
            <v>101</v>
          </cell>
          <cell r="I12" t="str">
            <v>001</v>
          </cell>
          <cell r="J12" t="str">
            <v/>
          </cell>
          <cell r="K12" t="str">
            <v>12</v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>208</v>
          </cell>
          <cell r="Q12" t="str">
            <v>3860-101-6031</v>
          </cell>
          <cell r="R12" t="str">
            <v>2004</v>
          </cell>
          <cell r="S12" t="str">
            <v>LA Pg 10 Wtr Security Prop 50 $19 Approp</v>
          </cell>
          <cell r="T12">
            <v>38169</v>
          </cell>
          <cell r="U12">
            <v>39629</v>
          </cell>
          <cell r="V12" t="str">
            <v>Active until 6/30/08</v>
          </cell>
          <cell r="W12">
            <v>38899</v>
          </cell>
          <cell r="X12">
            <v>39629</v>
          </cell>
        </row>
        <row r="13">
          <cell r="A13" t="str">
            <v>6031S12006</v>
          </cell>
          <cell r="B13" t="str">
            <v>6031</v>
          </cell>
          <cell r="C13" t="str">
            <v>6031001-2005-001--10----</v>
          </cell>
          <cell r="D13" t="str">
            <v>Prop 50 - SO WS Bond</v>
          </cell>
          <cell r="E13" t="str">
            <v>D</v>
          </cell>
          <cell r="F13" t="str">
            <v>2006</v>
          </cell>
          <cell r="G13" t="str">
            <v>6031001</v>
          </cell>
          <cell r="H13" t="str">
            <v>001</v>
          </cell>
          <cell r="I13" t="str">
            <v>001</v>
          </cell>
          <cell r="J13" t="str">
            <v/>
          </cell>
          <cell r="K13" t="str">
            <v/>
          </cell>
          <cell r="L13" t="str">
            <v>10</v>
          </cell>
          <cell r="M13" t="str">
            <v/>
          </cell>
          <cell r="N13" t="str">
            <v/>
          </cell>
          <cell r="O13" t="str">
            <v/>
          </cell>
          <cell r="P13" t="str">
            <v>38</v>
          </cell>
          <cell r="Q13" t="str">
            <v>3860-001-6031</v>
          </cell>
          <cell r="R13" t="str">
            <v>2005</v>
          </cell>
          <cell r="S13" t="str">
            <v>State Ops - Pg 10 Water Security Prop 50</v>
          </cell>
          <cell r="T13">
            <v>38534</v>
          </cell>
          <cell r="U13">
            <v>39629</v>
          </cell>
          <cell r="V13" t="str">
            <v>Active until 6/30/08</v>
          </cell>
          <cell r="W13">
            <v>38899</v>
          </cell>
          <cell r="X13">
            <v>39629</v>
          </cell>
        </row>
        <row r="14">
          <cell r="A14" t="str">
            <v>6031S32006</v>
          </cell>
          <cell r="B14" t="str">
            <v>6031</v>
          </cell>
          <cell r="C14" t="str">
            <v>6031001-2005-001--30----</v>
          </cell>
          <cell r="D14" t="str">
            <v>Prop 50 - SO WS Bond</v>
          </cell>
          <cell r="E14" t="str">
            <v>D</v>
          </cell>
          <cell r="F14" t="str">
            <v>2006</v>
          </cell>
          <cell r="G14" t="str">
            <v>6031001</v>
          </cell>
          <cell r="H14" t="str">
            <v>001</v>
          </cell>
          <cell r="I14" t="str">
            <v>001</v>
          </cell>
          <cell r="J14" t="str">
            <v/>
          </cell>
          <cell r="K14" t="str">
            <v/>
          </cell>
          <cell r="L14" t="str">
            <v>30</v>
          </cell>
          <cell r="M14" t="str">
            <v/>
          </cell>
          <cell r="N14" t="str">
            <v/>
          </cell>
          <cell r="O14" t="str">
            <v/>
          </cell>
          <cell r="P14" t="str">
            <v>38</v>
          </cell>
          <cell r="Q14" t="str">
            <v>3860-001-6031</v>
          </cell>
          <cell r="R14" t="str">
            <v>2005</v>
          </cell>
          <cell r="S14" t="str">
            <v>State Ops - Pg 30 Water Security Prop 50</v>
          </cell>
          <cell r="T14">
            <v>38534</v>
          </cell>
          <cell r="U14">
            <v>39629</v>
          </cell>
          <cell r="V14" t="str">
            <v>Active until 6/30/08</v>
          </cell>
          <cell r="W14">
            <v>38899</v>
          </cell>
          <cell r="X14">
            <v>39629</v>
          </cell>
        </row>
        <row r="15">
          <cell r="A15" t="str">
            <v>6031L32006</v>
          </cell>
          <cell r="B15" t="str">
            <v>6031</v>
          </cell>
          <cell r="C15" t="str">
            <v>6031001-2005-101------</v>
          </cell>
          <cell r="D15" t="str">
            <v>Prop 50 - LA WS Bond</v>
          </cell>
          <cell r="E15" t="str">
            <v>D</v>
          </cell>
          <cell r="F15" t="str">
            <v>2006</v>
          </cell>
          <cell r="G15" t="str">
            <v>6031001</v>
          </cell>
          <cell r="H15" t="str">
            <v>101</v>
          </cell>
          <cell r="I15" t="str">
            <v>001</v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>38</v>
          </cell>
          <cell r="Q15" t="str">
            <v>3860-101-6031</v>
          </cell>
          <cell r="R15" t="str">
            <v>2005</v>
          </cell>
          <cell r="S15" t="str">
            <v>Local Assistance Pg 30 Wtr Security Pr50</v>
          </cell>
          <cell r="T15">
            <v>38534</v>
          </cell>
          <cell r="U15">
            <v>39629</v>
          </cell>
          <cell r="V15" t="str">
            <v>Active until 6/30/08</v>
          </cell>
          <cell r="W15">
            <v>38899</v>
          </cell>
          <cell r="X15">
            <v>39629</v>
          </cell>
        </row>
        <row r="16">
          <cell r="A16" t="str">
            <v>6031S72005</v>
          </cell>
          <cell r="B16" t="str">
            <v>6031</v>
          </cell>
          <cell r="C16" t="str">
            <v>6031001-2004-00105--10----</v>
          </cell>
          <cell r="D16" t="str">
            <v>Prop 50 FY05 Reappro</v>
          </cell>
          <cell r="E16" t="str">
            <v>D</v>
          </cell>
          <cell r="F16" t="str">
            <v>2005</v>
          </cell>
          <cell r="G16" t="str">
            <v>6031001</v>
          </cell>
          <cell r="H16" t="str">
            <v>00105</v>
          </cell>
          <cell r="I16" t="str">
            <v>001</v>
          </cell>
          <cell r="J16" t="str">
            <v/>
          </cell>
          <cell r="K16" t="str">
            <v/>
          </cell>
          <cell r="L16" t="str">
            <v>10</v>
          </cell>
          <cell r="M16" t="str">
            <v/>
          </cell>
          <cell r="N16" t="str">
            <v/>
          </cell>
          <cell r="O16" t="str">
            <v/>
          </cell>
          <cell r="P16" t="str">
            <v>208</v>
          </cell>
          <cell r="Q16" t="str">
            <v>3860-00105-6031</v>
          </cell>
          <cell r="R16" t="str">
            <v>2004</v>
          </cell>
          <cell r="S16" t="str">
            <v>State Ops - Program 10 Prop 50 Reapprop</v>
          </cell>
          <cell r="T16">
            <v>38169</v>
          </cell>
          <cell r="U16">
            <v>39994</v>
          </cell>
          <cell r="V16" t="str">
            <v>Active until 6/30/09</v>
          </cell>
          <cell r="W16">
            <v>39264</v>
          </cell>
          <cell r="X16">
            <v>39994</v>
          </cell>
        </row>
        <row r="17">
          <cell r="A17" t="str">
            <v>6031S12007</v>
          </cell>
          <cell r="B17" t="str">
            <v>6031</v>
          </cell>
          <cell r="C17" t="str">
            <v>6031001-2006-001--10----</v>
          </cell>
          <cell r="D17" t="str">
            <v>Prop 50 - SO WS Bond</v>
          </cell>
          <cell r="E17" t="str">
            <v>D</v>
          </cell>
          <cell r="F17" t="str">
            <v>2007</v>
          </cell>
          <cell r="G17" t="str">
            <v>6031001</v>
          </cell>
          <cell r="H17" t="str">
            <v>001</v>
          </cell>
          <cell r="I17" t="str">
            <v>001</v>
          </cell>
          <cell r="J17" t="str">
            <v/>
          </cell>
          <cell r="K17" t="str">
            <v/>
          </cell>
          <cell r="L17" t="str">
            <v>10</v>
          </cell>
          <cell r="M17" t="str">
            <v/>
          </cell>
          <cell r="N17" t="str">
            <v/>
          </cell>
          <cell r="O17" t="str">
            <v/>
          </cell>
          <cell r="P17" t="str">
            <v>47</v>
          </cell>
          <cell r="Q17" t="str">
            <v>3860-001-6031</v>
          </cell>
          <cell r="R17" t="str">
            <v>2006</v>
          </cell>
          <cell r="S17" t="str">
            <v>State Ops - Pg 10 Water Security Prop 50</v>
          </cell>
          <cell r="T17">
            <v>38899</v>
          </cell>
          <cell r="U17">
            <v>39994</v>
          </cell>
          <cell r="V17" t="str">
            <v>Active until 6/30/09</v>
          </cell>
          <cell r="W17">
            <v>39264</v>
          </cell>
          <cell r="X17">
            <v>39994</v>
          </cell>
        </row>
        <row r="18">
          <cell r="A18" t="str">
            <v>6031S32007</v>
          </cell>
          <cell r="B18" t="str">
            <v>6031</v>
          </cell>
          <cell r="C18" t="str">
            <v>6031001-2006-001--30----</v>
          </cell>
          <cell r="D18" t="str">
            <v>Prop 50 - SO WS Bond</v>
          </cell>
          <cell r="E18" t="str">
            <v>D</v>
          </cell>
          <cell r="F18" t="str">
            <v>2007</v>
          </cell>
          <cell r="G18" t="str">
            <v>6031001</v>
          </cell>
          <cell r="H18" t="str">
            <v>001</v>
          </cell>
          <cell r="I18" t="str">
            <v>001</v>
          </cell>
          <cell r="J18" t="str">
            <v/>
          </cell>
          <cell r="K18" t="str">
            <v/>
          </cell>
          <cell r="L18" t="str">
            <v>30</v>
          </cell>
          <cell r="M18" t="str">
            <v/>
          </cell>
          <cell r="N18" t="str">
            <v/>
          </cell>
          <cell r="O18" t="str">
            <v/>
          </cell>
          <cell r="P18" t="str">
            <v>47</v>
          </cell>
          <cell r="Q18" t="str">
            <v>3860-001-6031</v>
          </cell>
          <cell r="R18" t="str">
            <v>2006</v>
          </cell>
          <cell r="S18" t="str">
            <v>State Ops - Pg 30 Water Security Prop 50</v>
          </cell>
          <cell r="T18">
            <v>38899</v>
          </cell>
          <cell r="U18">
            <v>39994</v>
          </cell>
          <cell r="V18" t="str">
            <v>Active until 6/30/09</v>
          </cell>
          <cell r="W18">
            <v>39264</v>
          </cell>
          <cell r="X18">
            <v>39994</v>
          </cell>
        </row>
        <row r="19">
          <cell r="A19" t="str">
            <v>6031L32007</v>
          </cell>
          <cell r="B19" t="str">
            <v>6031</v>
          </cell>
          <cell r="C19" t="str">
            <v>6031001-2006-101------</v>
          </cell>
          <cell r="D19" t="str">
            <v>Prop 50 - LA WS Bond</v>
          </cell>
          <cell r="E19" t="str">
            <v>D</v>
          </cell>
          <cell r="F19" t="str">
            <v>2007</v>
          </cell>
          <cell r="G19" t="str">
            <v>6031001</v>
          </cell>
          <cell r="H19" t="str">
            <v>101</v>
          </cell>
          <cell r="I19" t="str">
            <v>001</v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2006</v>
          </cell>
          <cell r="S19" t="str">
            <v>INVALID FUND - NOT APPROPRIATED AT SCO</v>
          </cell>
          <cell r="T19">
            <v>38899</v>
          </cell>
          <cell r="U19">
            <v>39994</v>
          </cell>
          <cell r="V19" t="str">
            <v>Active until 6/30/09</v>
          </cell>
          <cell r="W19">
            <v>39264</v>
          </cell>
          <cell r="X19">
            <v>39994</v>
          </cell>
        </row>
        <row r="20">
          <cell r="A20" t="str">
            <v>6031L12007</v>
          </cell>
          <cell r="B20" t="str">
            <v>6031</v>
          </cell>
          <cell r="C20" t="str">
            <v>6031001-2006-101--10----</v>
          </cell>
          <cell r="D20" t="str">
            <v>Prop 50 - LA WS Bond</v>
          </cell>
          <cell r="E20" t="str">
            <v>D</v>
          </cell>
          <cell r="F20" t="str">
            <v>2007</v>
          </cell>
          <cell r="G20" t="str">
            <v>6031001</v>
          </cell>
          <cell r="H20" t="str">
            <v>101</v>
          </cell>
          <cell r="I20" t="str">
            <v>001</v>
          </cell>
          <cell r="J20" t="str">
            <v/>
          </cell>
          <cell r="K20" t="str">
            <v/>
          </cell>
          <cell r="L20" t="str">
            <v>10</v>
          </cell>
          <cell r="M20" t="str">
            <v/>
          </cell>
          <cell r="N20" t="str">
            <v/>
          </cell>
          <cell r="O20" t="str">
            <v/>
          </cell>
          <cell r="P20" t="str">
            <v>47</v>
          </cell>
          <cell r="Q20" t="str">
            <v>3860-101-6031</v>
          </cell>
          <cell r="R20" t="str">
            <v>2006</v>
          </cell>
          <cell r="S20" t="str">
            <v>INVALID FUND - NOT APPROPRIATED AT SCO</v>
          </cell>
          <cell r="T20">
            <v>38899</v>
          </cell>
          <cell r="U20">
            <v>39994</v>
          </cell>
          <cell r="V20" t="str">
            <v>Active until 6/30/09</v>
          </cell>
          <cell r="W20">
            <v>39264</v>
          </cell>
          <cell r="X20">
            <v>39994</v>
          </cell>
        </row>
        <row r="21">
          <cell r="A21" t="str">
            <v>6031S12004</v>
          </cell>
          <cell r="B21" t="str">
            <v>6031</v>
          </cell>
          <cell r="C21" t="str">
            <v>6031001-2003-00104--10----</v>
          </cell>
          <cell r="D21" t="str">
            <v>Prop 50-SO WtrS Bond</v>
          </cell>
          <cell r="E21" t="str">
            <v>D</v>
          </cell>
          <cell r="F21" t="str">
            <v>2004</v>
          </cell>
          <cell r="G21" t="str">
            <v>6031001</v>
          </cell>
          <cell r="H21" t="str">
            <v>00104</v>
          </cell>
          <cell r="I21" t="str">
            <v>001</v>
          </cell>
          <cell r="J21" t="str">
            <v/>
          </cell>
          <cell r="K21" t="str">
            <v/>
          </cell>
          <cell r="L21" t="str">
            <v>10</v>
          </cell>
          <cell r="M21" t="str">
            <v/>
          </cell>
          <cell r="N21" t="str">
            <v/>
          </cell>
          <cell r="O21" t="str">
            <v/>
          </cell>
          <cell r="P21" t="str">
            <v>157</v>
          </cell>
          <cell r="Q21" t="str">
            <v>3860-00104-6031</v>
          </cell>
          <cell r="R21" t="str">
            <v>2003</v>
          </cell>
          <cell r="S21" t="str">
            <v>REAPPROP Pg 10 SO Water Security Prop 50</v>
          </cell>
          <cell r="T21">
            <v>37803</v>
          </cell>
          <cell r="U21">
            <v>40359</v>
          </cell>
          <cell r="V21" t="str">
            <v>Active until 6/30/10</v>
          </cell>
          <cell r="W21">
            <v>39630</v>
          </cell>
          <cell r="X21">
            <v>40359</v>
          </cell>
        </row>
        <row r="22">
          <cell r="A22" t="str">
            <v>6031L12004</v>
          </cell>
          <cell r="B22" t="str">
            <v>6031</v>
          </cell>
          <cell r="C22" t="str">
            <v>6031001-2003-10104------</v>
          </cell>
          <cell r="D22" t="str">
            <v>Prop 50-LA WtrS Bond</v>
          </cell>
          <cell r="E22" t="str">
            <v>D</v>
          </cell>
          <cell r="F22" t="str">
            <v>2004</v>
          </cell>
          <cell r="G22" t="str">
            <v>6031001</v>
          </cell>
          <cell r="H22" t="str">
            <v>10104</v>
          </cell>
          <cell r="I22" t="str">
            <v>001</v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>157</v>
          </cell>
          <cell r="Q22" t="str">
            <v>3860-10104-60</v>
          </cell>
          <cell r="R22" t="str">
            <v>2003</v>
          </cell>
          <cell r="S22" t="str">
            <v>REAPPROP LA Pg 10 Wtr Security Prop 50</v>
          </cell>
          <cell r="T22">
            <v>37803</v>
          </cell>
          <cell r="U22">
            <v>40359</v>
          </cell>
          <cell r="V22" t="str">
            <v>Active until 6/30/10</v>
          </cell>
          <cell r="W22">
            <v>39630</v>
          </cell>
          <cell r="X22">
            <v>40359</v>
          </cell>
        </row>
        <row r="23">
          <cell r="A23" t="str">
            <v>6031S72006</v>
          </cell>
          <cell r="B23" t="str">
            <v>6031</v>
          </cell>
          <cell r="C23" t="str">
            <v>6031001-2005-001------</v>
          </cell>
          <cell r="D23" t="str">
            <v>Prop 50-SO WtrS Bond</v>
          </cell>
          <cell r="E23" t="str">
            <v>D</v>
          </cell>
          <cell r="F23" t="str">
            <v>2006</v>
          </cell>
          <cell r="G23" t="str">
            <v>6031001</v>
          </cell>
          <cell r="H23" t="str">
            <v>001</v>
          </cell>
          <cell r="I23" t="str">
            <v>001</v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>38</v>
          </cell>
          <cell r="Q23" t="str">
            <v>3860-001-6031</v>
          </cell>
          <cell r="R23" t="str">
            <v>2005</v>
          </cell>
          <cell r="S23" t="str">
            <v>INVALID FUND - NOT APPROPRIATED AT SCO</v>
          </cell>
          <cell r="T23">
            <v>38534</v>
          </cell>
          <cell r="U23">
            <v>40359</v>
          </cell>
          <cell r="V23" t="str">
            <v>Active until 6/30/10</v>
          </cell>
          <cell r="W23">
            <v>39630</v>
          </cell>
          <cell r="X23">
            <v>40359</v>
          </cell>
        </row>
        <row r="24">
          <cell r="A24" t="str">
            <v>6031L12006</v>
          </cell>
          <cell r="B24" t="str">
            <v>6031</v>
          </cell>
          <cell r="C24" t="str">
            <v>6031001-2005-101------</v>
          </cell>
          <cell r="D24" t="str">
            <v>Prop 50 - LA WS Bond</v>
          </cell>
          <cell r="E24" t="str">
            <v>D</v>
          </cell>
          <cell r="F24" t="str">
            <v>2006</v>
          </cell>
          <cell r="G24" t="str">
            <v>6031001</v>
          </cell>
          <cell r="H24" t="str">
            <v>101</v>
          </cell>
          <cell r="I24" t="str">
            <v>001</v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>38</v>
          </cell>
          <cell r="Q24" t="str">
            <v>3860-101-6031</v>
          </cell>
          <cell r="R24" t="str">
            <v>2005</v>
          </cell>
          <cell r="S24" t="str">
            <v>Local Assistance Pg 10 Wtr Security Pr50</v>
          </cell>
          <cell r="T24">
            <v>38534</v>
          </cell>
          <cell r="U24">
            <v>40359</v>
          </cell>
          <cell r="V24" t="str">
            <v>Active until 6/30/10</v>
          </cell>
          <cell r="W24">
            <v>39630</v>
          </cell>
          <cell r="X24">
            <v>40359</v>
          </cell>
        </row>
        <row r="25">
          <cell r="A25" t="str">
            <v>6031L72006</v>
          </cell>
          <cell r="B25" t="str">
            <v>6031</v>
          </cell>
          <cell r="C25" t="str">
            <v>6031001-2005-101------</v>
          </cell>
          <cell r="D25" t="str">
            <v>Prop 50-LA WtrS Bon</v>
          </cell>
          <cell r="E25" t="str">
            <v>D</v>
          </cell>
          <cell r="F25" t="str">
            <v>2006</v>
          </cell>
          <cell r="G25" t="str">
            <v>6031001</v>
          </cell>
          <cell r="H25" t="str">
            <v>101</v>
          </cell>
          <cell r="I25" t="str">
            <v>001</v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>38</v>
          </cell>
          <cell r="Q25" t="str">
            <v>3860-101-6031</v>
          </cell>
          <cell r="R25" t="str">
            <v>2005</v>
          </cell>
          <cell r="S25" t="str">
            <v>INVALID FUND - NOT APPROPRIATED AT SCO</v>
          </cell>
          <cell r="T25">
            <v>38534</v>
          </cell>
          <cell r="U25">
            <v>40359</v>
          </cell>
          <cell r="V25" t="str">
            <v>Active until 6/30/10</v>
          </cell>
          <cell r="W25">
            <v>39630</v>
          </cell>
          <cell r="X25">
            <v>40359</v>
          </cell>
        </row>
        <row r="26">
          <cell r="A26" t="str">
            <v>6031BB2007</v>
          </cell>
          <cell r="B26" t="str">
            <v>6031</v>
          </cell>
          <cell r="C26" t="str">
            <v>6031001-2006-301------</v>
          </cell>
          <cell r="D26" t="str">
            <v>Prop 50 - FranksTrac</v>
          </cell>
          <cell r="E26" t="str">
            <v>D</v>
          </cell>
          <cell r="F26" t="str">
            <v>2007</v>
          </cell>
          <cell r="G26" t="str">
            <v>6031001</v>
          </cell>
          <cell r="H26" t="str">
            <v>301</v>
          </cell>
          <cell r="I26" t="str">
            <v>001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2006</v>
          </cell>
          <cell r="S26" t="str">
            <v>INVALID FUND - NOT APPROPRIATED AT SCO</v>
          </cell>
          <cell r="T26">
            <v>38899</v>
          </cell>
          <cell r="U26">
            <v>40724</v>
          </cell>
          <cell r="V26" t="str">
            <v>Active until 6/30/11</v>
          </cell>
          <cell r="W26">
            <v>39995</v>
          </cell>
          <cell r="X26">
            <v>40724</v>
          </cell>
        </row>
        <row r="27">
          <cell r="A27" t="str">
            <v>6031BA2007</v>
          </cell>
          <cell r="B27" t="str">
            <v>6031</v>
          </cell>
          <cell r="C27" t="str">
            <v>6031001-2006-301-90-10-95-015--</v>
          </cell>
          <cell r="D27" t="str">
            <v>Prop 50 - BayDlta-CO</v>
          </cell>
          <cell r="E27" t="str">
            <v>D</v>
          </cell>
          <cell r="F27" t="str">
            <v>2007</v>
          </cell>
          <cell r="G27" t="str">
            <v>6031001</v>
          </cell>
          <cell r="H27" t="str">
            <v>301</v>
          </cell>
          <cell r="I27" t="str">
            <v>001</v>
          </cell>
          <cell r="J27" t="str">
            <v/>
          </cell>
          <cell r="K27" t="str">
            <v>90</v>
          </cell>
          <cell r="L27" t="str">
            <v>10</v>
          </cell>
          <cell r="M27" t="str">
            <v>95</v>
          </cell>
          <cell r="N27" t="str">
            <v>015</v>
          </cell>
          <cell r="O27" t="str">
            <v/>
          </cell>
          <cell r="P27" t="str">
            <v>47</v>
          </cell>
          <cell r="Q27" t="str">
            <v>3860-301-6031</v>
          </cell>
          <cell r="R27" t="str">
            <v>2006</v>
          </cell>
          <cell r="S27" t="str">
            <v>Cap Outlay-Pg 10 Bay Delta MultiPurpose</v>
          </cell>
          <cell r="T27">
            <v>38899</v>
          </cell>
          <cell r="U27">
            <v>40724</v>
          </cell>
          <cell r="V27" t="str">
            <v>Active until 6/30/11</v>
          </cell>
          <cell r="W27">
            <v>39995</v>
          </cell>
          <cell r="X27">
            <v>40724</v>
          </cell>
        </row>
        <row r="28">
          <cell r="A28" t="str">
            <v>6031S11988</v>
          </cell>
          <cell r="B28" t="str">
            <v>6031</v>
          </cell>
          <cell r="C28" t="str">
            <v>6031001-1987-502------</v>
          </cell>
          <cell r="D28" t="str">
            <v>Prop50 PMIA Loan Int</v>
          </cell>
          <cell r="E28" t="str">
            <v>D</v>
          </cell>
          <cell r="F28" t="str">
            <v>1988</v>
          </cell>
          <cell r="G28" t="str">
            <v>6031001</v>
          </cell>
          <cell r="H28" t="str">
            <v>502</v>
          </cell>
          <cell r="I28" t="str">
            <v>001</v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>6/87</v>
          </cell>
          <cell r="Q28" t="str">
            <v/>
          </cell>
          <cell r="R28" t="str">
            <v>1987</v>
          </cell>
          <cell r="S28" t="str">
            <v>Pro 50 PMIA Loan Interest Cost to PMIA</v>
          </cell>
          <cell r="T28">
            <v>31959</v>
          </cell>
          <cell r="U28">
            <v>2958281</v>
          </cell>
          <cell r="V28" t="str">
            <v>Active until 6/30/99</v>
          </cell>
          <cell r="W28">
            <v>2958281</v>
          </cell>
          <cell r="X28">
            <v>2958281</v>
          </cell>
        </row>
        <row r="29">
          <cell r="A29" t="str">
            <v>6031S11992</v>
          </cell>
          <cell r="B29" t="str">
            <v>6031</v>
          </cell>
          <cell r="C29" t="str">
            <v>6031001-1991-596------</v>
          </cell>
          <cell r="D29" t="str">
            <v>Prop50 Admin Costs</v>
          </cell>
          <cell r="E29" t="str">
            <v>D</v>
          </cell>
          <cell r="F29" t="str">
            <v>1992</v>
          </cell>
          <cell r="G29" t="str">
            <v>6031001</v>
          </cell>
          <cell r="H29" t="str">
            <v>596</v>
          </cell>
          <cell r="I29" t="str">
            <v>001</v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>856/91</v>
          </cell>
          <cell r="Q29" t="str">
            <v/>
          </cell>
          <cell r="R29" t="str">
            <v>1991</v>
          </cell>
          <cell r="S29" t="str">
            <v>Prop50 Admin Costs</v>
          </cell>
          <cell r="T29">
            <v>33420</v>
          </cell>
          <cell r="U29">
            <v>2958281</v>
          </cell>
          <cell r="V29" t="str">
            <v>Active until 6/30/99</v>
          </cell>
          <cell r="W29">
            <v>2958281</v>
          </cell>
          <cell r="X29">
            <v>2958281</v>
          </cell>
        </row>
        <row r="30">
          <cell r="A30" t="str">
            <v>6031RRR001</v>
          </cell>
          <cell r="B30" t="str">
            <v>6031</v>
          </cell>
          <cell r="C30" t="str">
            <v>6031001 Revenue</v>
          </cell>
          <cell r="D30" t="str">
            <v>WtrScClnDrnk-Revenue</v>
          </cell>
          <cell r="E30" t="str">
            <v>R</v>
          </cell>
          <cell r="F30" t="str">
            <v>R</v>
          </cell>
          <cell r="G30" t="str">
            <v>6031001</v>
          </cell>
          <cell r="H30" t="str">
            <v/>
          </cell>
          <cell r="I30" t="str">
            <v>001</v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R</v>
          </cell>
          <cell r="S30" t="str">
            <v>Wtr Sec,Cln Drnkg Wtr, Cst Bch - Revenue</v>
          </cell>
          <cell r="T30">
            <v>37438</v>
          </cell>
          <cell r="U30">
            <v>2958281</v>
          </cell>
          <cell r="V30" t="str">
            <v>Revenue</v>
          </cell>
          <cell r="W30">
            <v>2958281</v>
          </cell>
          <cell r="X30">
            <v>2958281</v>
          </cell>
        </row>
        <row r="31">
          <cell r="A31" t="str">
            <v>6031RRR701</v>
          </cell>
          <cell r="B31" t="str">
            <v>6031</v>
          </cell>
          <cell r="C31" t="str">
            <v>6031701 Revenue</v>
          </cell>
          <cell r="D31" t="str">
            <v>WtrScClnDrnk-CstlBch</v>
          </cell>
          <cell r="E31" t="str">
            <v>R</v>
          </cell>
          <cell r="F31" t="str">
            <v>R</v>
          </cell>
          <cell r="G31" t="str">
            <v>6031001</v>
          </cell>
          <cell r="H31" t="str">
            <v/>
          </cell>
          <cell r="I31" t="str">
            <v>701</v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R</v>
          </cell>
          <cell r="S31" t="str">
            <v>PMIB 023105-01 WaterSecurity,ClnDrnk-Rev</v>
          </cell>
          <cell r="T31">
            <v>37438</v>
          </cell>
          <cell r="U31">
            <v>2958281</v>
          </cell>
          <cell r="V31" t="str">
            <v>Revenue</v>
          </cell>
          <cell r="W31">
            <v>2958281</v>
          </cell>
          <cell r="X31">
            <v>2958281</v>
          </cell>
        </row>
        <row r="32">
          <cell r="A32" t="str">
            <v>6031RRR702</v>
          </cell>
          <cell r="B32" t="str">
            <v>6031</v>
          </cell>
          <cell r="C32" t="str">
            <v>6031702 Revenue</v>
          </cell>
          <cell r="D32" t="str">
            <v>WtrScClnDrnk-CstlBch</v>
          </cell>
          <cell r="E32" t="str">
            <v>R</v>
          </cell>
          <cell r="F32" t="str">
            <v>R</v>
          </cell>
          <cell r="G32" t="str">
            <v>6031001</v>
          </cell>
          <cell r="H32" t="str">
            <v/>
          </cell>
          <cell r="I32" t="str">
            <v>702</v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R</v>
          </cell>
          <cell r="S32" t="str">
            <v>PMIB 023105-02 WaterSecurity,ClnDrnk-Rev</v>
          </cell>
          <cell r="T32">
            <v>37438</v>
          </cell>
          <cell r="U32">
            <v>2958281</v>
          </cell>
          <cell r="V32" t="str">
            <v>Revenue</v>
          </cell>
          <cell r="W32">
            <v>2958281</v>
          </cell>
          <cell r="X32">
            <v>2958281</v>
          </cell>
        </row>
        <row r="33">
          <cell r="A33" t="str">
            <v>6031RRR703</v>
          </cell>
          <cell r="B33" t="str">
            <v>6031</v>
          </cell>
          <cell r="C33" t="str">
            <v>6031703 Revenue</v>
          </cell>
          <cell r="D33" t="str">
            <v>WtrScClnDrnk-CstlBch</v>
          </cell>
          <cell r="E33" t="str">
            <v>R</v>
          </cell>
          <cell r="F33" t="str">
            <v>R</v>
          </cell>
          <cell r="G33" t="str">
            <v>6031001</v>
          </cell>
          <cell r="H33" t="str">
            <v/>
          </cell>
          <cell r="I33" t="str">
            <v>703</v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R</v>
          </cell>
          <cell r="S33" t="str">
            <v>PMIB 023105-03 WaterSecurity,ClnDrnk-Rev</v>
          </cell>
          <cell r="T33">
            <v>37438</v>
          </cell>
          <cell r="U33">
            <v>2958281</v>
          </cell>
          <cell r="V33" t="str">
            <v>Revenue</v>
          </cell>
          <cell r="W33">
            <v>2958281</v>
          </cell>
          <cell r="X33">
            <v>2958281</v>
          </cell>
        </row>
        <row r="34">
          <cell r="A34" t="str">
            <v>6031RRR704</v>
          </cell>
          <cell r="B34" t="str">
            <v>6031</v>
          </cell>
          <cell r="C34" t="str">
            <v>6031704 Revenue</v>
          </cell>
          <cell r="D34" t="str">
            <v>Prop 50 Rev/Wtr Sect</v>
          </cell>
          <cell r="E34" t="str">
            <v>R</v>
          </cell>
          <cell r="F34" t="str">
            <v>R</v>
          </cell>
          <cell r="G34" t="str">
            <v>6031001</v>
          </cell>
          <cell r="H34" t="str">
            <v/>
          </cell>
          <cell r="I34" t="str">
            <v>704</v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R</v>
          </cell>
          <cell r="S34" t="str">
            <v>Prop 50 Wtr Security Act of 2002-Revenue</v>
          </cell>
          <cell r="T34">
            <v>31959</v>
          </cell>
          <cell r="U34">
            <v>2958281</v>
          </cell>
          <cell r="V34" t="str">
            <v>Revenue</v>
          </cell>
          <cell r="W34">
            <v>2958281</v>
          </cell>
          <cell r="X34">
            <v>2958281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DCE-6FF0-493C-8A0F-65576AB51849}">
  <dimension ref="A1:J35"/>
  <sheetViews>
    <sheetView showGridLines="0" zoomScaleNormal="100" workbookViewId="0">
      <selection activeCell="A34" sqref="A34:J34"/>
    </sheetView>
  </sheetViews>
  <sheetFormatPr defaultColWidth="9.140625" defaultRowHeight="15" x14ac:dyDescent="0.25"/>
  <cols>
    <col min="1" max="1" width="12.140625" style="1" customWidth="1"/>
    <col min="2" max="2" width="5.28515625" style="1" customWidth="1"/>
    <col min="3" max="3" width="7.5703125" style="1" customWidth="1"/>
    <col min="4" max="4" width="4.5703125" style="1" customWidth="1"/>
    <col min="5" max="5" width="19" style="1" customWidth="1"/>
    <col min="6" max="6" width="17.42578125" style="1" customWidth="1"/>
    <col min="7" max="7" width="16.7109375" style="1" customWidth="1"/>
    <col min="8" max="8" width="14.42578125" style="1" customWidth="1"/>
    <col min="9" max="9" width="3" style="1" customWidth="1"/>
    <col min="10" max="10" width="22.140625" style="1" customWidth="1"/>
    <col min="11" max="16384" width="9.140625" style="1"/>
  </cols>
  <sheetData>
    <row r="1" spans="1:10" x14ac:dyDescent="0.25">
      <c r="A1" s="74"/>
      <c r="B1" s="74"/>
      <c r="C1" s="74"/>
      <c r="D1" s="74"/>
      <c r="E1" s="74"/>
      <c r="F1" s="74"/>
      <c r="G1" s="74"/>
      <c r="H1" s="74"/>
      <c r="I1" s="74" t="s">
        <v>28</v>
      </c>
      <c r="J1" s="74"/>
    </row>
    <row r="2" spans="1:10" x14ac:dyDescent="0.25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x14ac:dyDescent="0.25">
      <c r="A3" s="73" t="s">
        <v>26</v>
      </c>
      <c r="B3" s="73"/>
      <c r="C3" s="73"/>
      <c r="D3" s="73"/>
      <c r="E3" s="73"/>
      <c r="F3" s="73"/>
      <c r="G3" s="73"/>
      <c r="H3" s="73"/>
      <c r="I3" s="73"/>
      <c r="J3" s="73"/>
    </row>
    <row r="4" spans="1:10" x14ac:dyDescent="0.25">
      <c r="A4" s="73" t="s">
        <v>25</v>
      </c>
      <c r="B4" s="73"/>
      <c r="C4" s="73"/>
      <c r="D4" s="73"/>
      <c r="E4" s="73"/>
      <c r="F4" s="73"/>
      <c r="G4" s="73"/>
      <c r="H4" s="73"/>
      <c r="I4" s="73"/>
      <c r="J4" s="73"/>
    </row>
    <row r="5" spans="1:10" x14ac:dyDescent="0.25">
      <c r="A5" s="73" t="s">
        <v>24</v>
      </c>
      <c r="B5" s="73"/>
      <c r="C5" s="73"/>
      <c r="D5" s="73"/>
      <c r="E5" s="73"/>
      <c r="F5" s="73"/>
      <c r="G5" s="73"/>
      <c r="H5" s="73"/>
      <c r="I5" s="73"/>
      <c r="J5" s="73"/>
    </row>
    <row r="6" spans="1:10" x14ac:dyDescent="0.25">
      <c r="A6" s="73" t="s">
        <v>23</v>
      </c>
      <c r="B6" s="73"/>
      <c r="C6" s="73"/>
      <c r="D6" s="73"/>
      <c r="E6" s="73"/>
      <c r="F6" s="73"/>
      <c r="G6" s="73"/>
      <c r="H6" s="73"/>
      <c r="I6" s="73"/>
      <c r="J6" s="73"/>
    </row>
    <row r="7" spans="1:10" x14ac:dyDescent="0.25">
      <c r="A7" s="75" t="s">
        <v>22</v>
      </c>
      <c r="B7" s="75"/>
      <c r="C7" s="76" t="s">
        <v>21</v>
      </c>
      <c r="D7" s="76"/>
      <c r="E7" s="76"/>
      <c r="F7" s="76"/>
      <c r="G7" s="76"/>
      <c r="H7" s="76"/>
      <c r="I7" s="74"/>
      <c r="J7" s="74"/>
    </row>
    <row r="8" spans="1:10" x14ac:dyDescent="0.25">
      <c r="A8" s="75" t="s">
        <v>1</v>
      </c>
      <c r="B8" s="75"/>
      <c r="C8" s="76" t="s">
        <v>20</v>
      </c>
      <c r="D8" s="76"/>
      <c r="E8" s="76"/>
      <c r="F8" s="76"/>
      <c r="G8" s="76"/>
      <c r="H8" s="76"/>
      <c r="I8" s="76"/>
      <c r="J8" s="74"/>
    </row>
    <row r="9" spans="1:10" x14ac:dyDescent="0.25">
      <c r="A9" s="75"/>
      <c r="B9" s="75"/>
      <c r="C9" s="78"/>
      <c r="D9" s="78"/>
      <c r="E9" s="78"/>
      <c r="F9" s="78"/>
      <c r="G9" s="78"/>
      <c r="H9" s="78"/>
      <c r="I9" s="76"/>
      <c r="J9" s="74"/>
    </row>
    <row r="10" spans="1:10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</row>
    <row r="11" spans="1:10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</row>
    <row r="12" spans="1:10" x14ac:dyDescent="0.25">
      <c r="A12" s="80" t="s">
        <v>19</v>
      </c>
      <c r="B12" s="80"/>
      <c r="C12" s="80"/>
      <c r="D12" s="80"/>
      <c r="E12" s="80"/>
      <c r="F12" s="80"/>
      <c r="G12" s="80"/>
      <c r="H12" s="80"/>
      <c r="I12" s="80"/>
      <c r="J12" s="80"/>
    </row>
    <row r="13" spans="1:10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0" ht="24.75" customHeight="1" x14ac:dyDescent="0.25">
      <c r="A14" s="81" t="s">
        <v>18</v>
      </c>
      <c r="B14" s="81"/>
      <c r="C14" s="81"/>
      <c r="D14" s="81"/>
      <c r="E14" s="81"/>
      <c r="F14" s="9" t="s">
        <v>17</v>
      </c>
      <c r="G14" s="9" t="s">
        <v>16</v>
      </c>
      <c r="H14" s="82" t="s">
        <v>15</v>
      </c>
      <c r="I14" s="82"/>
      <c r="J14" s="9" t="s">
        <v>14</v>
      </c>
    </row>
    <row r="15" spans="1:10" ht="17.25" customHeight="1" x14ac:dyDescent="0.25">
      <c r="A15" s="77" t="s">
        <v>13</v>
      </c>
      <c r="B15" s="77"/>
      <c r="C15" s="77"/>
      <c r="D15" s="77"/>
      <c r="E15" s="77"/>
      <c r="F15" s="77"/>
      <c r="G15" s="77"/>
      <c r="H15" s="77"/>
      <c r="I15" s="77"/>
      <c r="J15" s="77"/>
    </row>
    <row r="16" spans="1:10" x14ac:dyDescent="0.25">
      <c r="A16" s="74" t="s">
        <v>12</v>
      </c>
      <c r="B16" s="74"/>
      <c r="C16" s="74"/>
      <c r="D16" s="74"/>
      <c r="E16" s="74"/>
      <c r="F16" s="6">
        <v>21962972.57</v>
      </c>
      <c r="G16" s="6">
        <v>379125</v>
      </c>
      <c r="H16" s="83">
        <v>0</v>
      </c>
      <c r="I16" s="83"/>
      <c r="J16" s="6">
        <f>F16+G16-H16</f>
        <v>22342097.57</v>
      </c>
    </row>
    <row r="17" spans="1:10" x14ac:dyDescent="0.25">
      <c r="A17" s="74" t="s">
        <v>11</v>
      </c>
      <c r="B17" s="74"/>
      <c r="C17" s="74"/>
      <c r="D17" s="74"/>
      <c r="E17" s="74"/>
      <c r="F17" s="6">
        <v>1871597.63</v>
      </c>
      <c r="G17" s="6">
        <v>0</v>
      </c>
      <c r="H17" s="83">
        <v>0</v>
      </c>
      <c r="I17" s="83"/>
      <c r="J17" s="6">
        <f>F17+G17-H17</f>
        <v>1871597.63</v>
      </c>
    </row>
    <row r="18" spans="1:10" x14ac:dyDescent="0.25">
      <c r="A18" s="74" t="s">
        <v>10</v>
      </c>
      <c r="B18" s="74"/>
      <c r="C18" s="74"/>
      <c r="D18" s="74"/>
      <c r="E18" s="74"/>
      <c r="F18" s="6">
        <v>111723102.89</v>
      </c>
      <c r="G18" s="6">
        <v>155937067.59999999</v>
      </c>
      <c r="H18" s="83">
        <v>305475.77</v>
      </c>
      <c r="I18" s="83"/>
      <c r="J18" s="6">
        <f>F18+G18-H18</f>
        <v>267354694.72</v>
      </c>
    </row>
    <row r="19" spans="1:10" x14ac:dyDescent="0.25">
      <c r="A19" s="74" t="s">
        <v>9</v>
      </c>
      <c r="B19" s="74"/>
      <c r="C19" s="74"/>
      <c r="D19" s="74"/>
      <c r="E19" s="74"/>
      <c r="F19" s="6">
        <v>0</v>
      </c>
      <c r="G19" s="6">
        <v>0</v>
      </c>
      <c r="H19" s="83">
        <v>0</v>
      </c>
      <c r="I19" s="83"/>
      <c r="J19" s="6">
        <f>F19+G19-H19</f>
        <v>0</v>
      </c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8" t="s">
        <v>8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74" t="s">
        <v>7</v>
      </c>
      <c r="B22" s="74"/>
      <c r="C22" s="74"/>
      <c r="D22" s="74"/>
      <c r="E22" s="74"/>
      <c r="F22" s="6">
        <v>16620</v>
      </c>
      <c r="G22" s="6">
        <v>0</v>
      </c>
      <c r="H22" s="83">
        <v>0</v>
      </c>
      <c r="I22" s="83"/>
      <c r="J22" s="6">
        <f t="shared" ref="J22:J27" si="0">F22+G22-H22</f>
        <v>16620</v>
      </c>
    </row>
    <row r="23" spans="1:10" x14ac:dyDescent="0.25">
      <c r="A23" s="74" t="s">
        <v>6</v>
      </c>
      <c r="B23" s="74"/>
      <c r="C23" s="74"/>
      <c r="D23" s="74"/>
      <c r="E23" s="74"/>
      <c r="F23" s="6">
        <v>32603.37</v>
      </c>
      <c r="G23" s="6">
        <v>0</v>
      </c>
      <c r="H23" s="83">
        <v>0</v>
      </c>
      <c r="I23" s="83"/>
      <c r="J23" s="6">
        <f t="shared" si="0"/>
        <v>32603.37</v>
      </c>
    </row>
    <row r="24" spans="1:10" x14ac:dyDescent="0.25">
      <c r="A24" s="74" t="s">
        <v>5</v>
      </c>
      <c r="B24" s="74"/>
      <c r="C24" s="74"/>
      <c r="D24" s="74"/>
      <c r="E24" s="74"/>
      <c r="F24" s="6">
        <v>0</v>
      </c>
      <c r="G24" s="6">
        <v>0</v>
      </c>
      <c r="H24" s="83">
        <v>0</v>
      </c>
      <c r="I24" s="83"/>
      <c r="J24" s="6">
        <f t="shared" si="0"/>
        <v>0</v>
      </c>
    </row>
    <row r="25" spans="1:10" x14ac:dyDescent="0.25">
      <c r="A25" s="74" t="s">
        <v>4</v>
      </c>
      <c r="B25" s="74"/>
      <c r="C25" s="74"/>
      <c r="D25" s="74"/>
      <c r="E25" s="74"/>
      <c r="F25" s="6">
        <v>17257409.530000001</v>
      </c>
      <c r="G25" s="6">
        <v>0</v>
      </c>
      <c r="H25" s="83">
        <v>0</v>
      </c>
      <c r="I25" s="83"/>
      <c r="J25" s="6">
        <f t="shared" si="0"/>
        <v>17257409.530000001</v>
      </c>
    </row>
    <row r="26" spans="1:10" x14ac:dyDescent="0.25">
      <c r="A26" s="74" t="s">
        <v>3</v>
      </c>
      <c r="B26" s="74"/>
      <c r="C26" s="74"/>
      <c r="D26" s="74"/>
      <c r="E26" s="74"/>
      <c r="F26" s="6">
        <v>2020560.12</v>
      </c>
      <c r="G26" s="6">
        <v>201850.39</v>
      </c>
      <c r="H26" s="83">
        <v>157537.07</v>
      </c>
      <c r="I26" s="83"/>
      <c r="J26" s="6">
        <f t="shared" si="0"/>
        <v>2064873.4400000002</v>
      </c>
    </row>
    <row r="27" spans="1:10" x14ac:dyDescent="0.25">
      <c r="A27" s="74" t="s">
        <v>2</v>
      </c>
      <c r="B27" s="74"/>
      <c r="C27" s="74"/>
      <c r="D27" s="74"/>
      <c r="E27" s="74"/>
      <c r="F27" s="6">
        <v>914232.25</v>
      </c>
      <c r="G27" s="6">
        <v>8222</v>
      </c>
      <c r="H27" s="83">
        <v>0</v>
      </c>
      <c r="I27" s="83"/>
      <c r="J27" s="6">
        <f t="shared" si="0"/>
        <v>922454.25</v>
      </c>
    </row>
    <row r="28" spans="1:10" x14ac:dyDescent="0.25">
      <c r="A28" s="7"/>
      <c r="B28" s="7"/>
      <c r="C28" s="7"/>
      <c r="D28" s="7"/>
      <c r="E28" s="7"/>
      <c r="F28" s="6"/>
      <c r="G28" s="6"/>
      <c r="H28" s="6"/>
      <c r="I28" s="6"/>
      <c r="J28" s="6"/>
    </row>
    <row r="29" spans="1:10" ht="15.75" customHeight="1" x14ac:dyDescent="0.25">
      <c r="A29" s="5"/>
      <c r="B29" s="5"/>
      <c r="C29" s="5"/>
      <c r="D29" s="5"/>
      <c r="E29" s="5"/>
      <c r="F29" s="4"/>
      <c r="G29" s="4"/>
      <c r="H29" s="4"/>
      <c r="I29" s="4"/>
      <c r="J29" s="4"/>
    </row>
    <row r="30" spans="1:10" x14ac:dyDescent="0.25">
      <c r="A30" s="3" t="s">
        <v>1</v>
      </c>
      <c r="B30" s="85" t="s">
        <v>0</v>
      </c>
      <c r="C30" s="86"/>
      <c r="D30" s="86"/>
      <c r="E30" s="87">
        <f>SUM(F16:F27)</f>
        <v>155799098.36000001</v>
      </c>
      <c r="F30" s="87"/>
      <c r="G30" s="87">
        <f>SUM(G16:G27)</f>
        <v>156526264.98999998</v>
      </c>
      <c r="H30" s="87">
        <f>SUM(H16:H27)</f>
        <v>463012.84</v>
      </c>
      <c r="I30" s="87"/>
      <c r="J30" s="87">
        <f>SUM(J16:J27)</f>
        <v>311862350.51000005</v>
      </c>
    </row>
    <row r="31" spans="1:10" x14ac:dyDescent="0.25">
      <c r="A31" s="3"/>
      <c r="B31" s="88"/>
      <c r="C31" s="88"/>
      <c r="D31" s="88"/>
      <c r="E31" s="87"/>
      <c r="F31" s="87"/>
      <c r="G31" s="87"/>
      <c r="H31" s="87"/>
      <c r="I31" s="87"/>
      <c r="J31" s="87"/>
    </row>
    <row r="32" spans="1:10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</row>
    <row r="33" spans="1:10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</row>
    <row r="34" spans="1:10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</row>
    <row r="35" spans="1:10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</row>
  </sheetData>
  <mergeCells count="56">
    <mergeCell ref="A22:E22"/>
    <mergeCell ref="H22:I22"/>
    <mergeCell ref="A23:E23"/>
    <mergeCell ref="H23:I23"/>
    <mergeCell ref="A24:E24"/>
    <mergeCell ref="H24:I24"/>
    <mergeCell ref="A25:E25"/>
    <mergeCell ref="H25:I25"/>
    <mergeCell ref="A33:J33"/>
    <mergeCell ref="A34:J34"/>
    <mergeCell ref="A35:J35"/>
    <mergeCell ref="A26:E26"/>
    <mergeCell ref="H26:I26"/>
    <mergeCell ref="A27:E27"/>
    <mergeCell ref="H27:I27"/>
    <mergeCell ref="B30:D30"/>
    <mergeCell ref="E30:F31"/>
    <mergeCell ref="G30:G31"/>
    <mergeCell ref="J30:J31"/>
    <mergeCell ref="B31:D31"/>
    <mergeCell ref="A32:J32"/>
    <mergeCell ref="H30:I31"/>
    <mergeCell ref="A18:E18"/>
    <mergeCell ref="H18:I18"/>
    <mergeCell ref="A19:E19"/>
    <mergeCell ref="H19:I19"/>
    <mergeCell ref="A17:E17"/>
    <mergeCell ref="H17:I17"/>
    <mergeCell ref="A13:J13"/>
    <mergeCell ref="A14:E14"/>
    <mergeCell ref="H14:I14"/>
    <mergeCell ref="A16:E16"/>
    <mergeCell ref="H16:I16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8:B8"/>
    <mergeCell ref="C8:H8"/>
    <mergeCell ref="I8:J8"/>
    <mergeCell ref="I10:J10"/>
    <mergeCell ref="A11:J11"/>
    <mergeCell ref="A12:J12"/>
    <mergeCell ref="A4:J4"/>
    <mergeCell ref="A5:J5"/>
    <mergeCell ref="A1:C1"/>
    <mergeCell ref="D1:H1"/>
    <mergeCell ref="I1:J1"/>
    <mergeCell ref="A2:J2"/>
    <mergeCell ref="A3:J3"/>
  </mergeCells>
  <pageMargins left="0.7" right="0.7" top="0.75" bottom="0.75" header="0.3" footer="0.3"/>
  <pageSetup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767A-1714-4865-B446-A43167C5412A}">
  <dimension ref="A1:V41"/>
  <sheetViews>
    <sheetView topLeftCell="A7" zoomScaleNormal="100" workbookViewId="0">
      <selection activeCell="G26" sqref="G26"/>
    </sheetView>
  </sheetViews>
  <sheetFormatPr defaultColWidth="9.140625" defaultRowHeight="15" x14ac:dyDescent="0.25"/>
  <cols>
    <col min="1" max="1" width="1.7109375" style="10" customWidth="1"/>
    <col min="2" max="2" width="9" style="10" customWidth="1"/>
    <col min="3" max="3" width="44.28515625" style="10" customWidth="1"/>
    <col min="4" max="4" width="1.7109375" style="10" customWidth="1"/>
    <col min="5" max="5" width="15.7109375" style="11" customWidth="1"/>
    <col min="6" max="6" width="1.7109375" style="11" customWidth="1"/>
    <col min="7" max="7" width="15.7109375" style="11" customWidth="1"/>
    <col min="8" max="8" width="1.7109375" style="11" customWidth="1"/>
    <col min="9" max="9" width="15.7109375" style="11" customWidth="1"/>
    <col min="10" max="10" width="1.7109375" style="11" customWidth="1"/>
    <col min="11" max="11" width="15.7109375" style="11" customWidth="1"/>
    <col min="12" max="12" width="1.7109375" style="10" customWidth="1"/>
    <col min="13" max="13" width="15.7109375" style="10" customWidth="1"/>
    <col min="14" max="14" width="1.7109375" style="10" customWidth="1"/>
    <col min="15" max="15" width="15.7109375" style="10" customWidth="1"/>
    <col min="16" max="16" width="1.7109375" style="10" customWidth="1"/>
    <col min="17" max="17" width="15.7109375" style="10" customWidth="1"/>
    <col min="18" max="18" width="1.7109375" style="10" customWidth="1"/>
    <col min="19" max="20" width="15.7109375" style="10" customWidth="1"/>
    <col min="21" max="21" width="1.7109375" style="10" customWidth="1"/>
    <col min="22" max="22" width="15.7109375" style="10" customWidth="1"/>
    <col min="23" max="16384" width="9.140625" style="10"/>
  </cols>
  <sheetData>
    <row r="1" spans="1:22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 t="s">
        <v>83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 t="s">
        <v>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33" t="s">
        <v>25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33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26"/>
      <c r="K7" s="32" t="s">
        <v>80</v>
      </c>
      <c r="L7" s="32"/>
      <c r="M7" s="32"/>
      <c r="N7" s="32"/>
      <c r="O7" s="32"/>
      <c r="P7" s="32"/>
      <c r="Q7" s="32"/>
      <c r="R7" s="32"/>
      <c r="S7" s="32"/>
      <c r="T7" s="32"/>
      <c r="U7" s="12"/>
      <c r="V7" s="12"/>
    </row>
    <row r="8" spans="1:22" x14ac:dyDescent="0.25">
      <c r="A8" s="12"/>
      <c r="B8" s="12"/>
      <c r="C8" s="12"/>
      <c r="D8" s="12"/>
      <c r="E8" s="31" t="s">
        <v>79</v>
      </c>
      <c r="F8" s="28"/>
      <c r="G8" s="31" t="s">
        <v>78</v>
      </c>
      <c r="H8" s="28"/>
      <c r="I8" s="31" t="s">
        <v>77</v>
      </c>
      <c r="J8" s="29"/>
      <c r="K8" s="31" t="s">
        <v>76</v>
      </c>
      <c r="L8" s="12"/>
      <c r="M8" s="31" t="s">
        <v>75</v>
      </c>
      <c r="N8" s="28"/>
      <c r="O8" s="31" t="s">
        <v>74</v>
      </c>
      <c r="P8" s="28"/>
      <c r="Q8" s="31" t="s">
        <v>73</v>
      </c>
      <c r="R8" s="28"/>
      <c r="S8" s="31" t="s">
        <v>72</v>
      </c>
      <c r="T8" s="31" t="s">
        <v>71</v>
      </c>
      <c r="U8" s="28"/>
      <c r="V8" s="31" t="s">
        <v>70</v>
      </c>
    </row>
    <row r="9" spans="1:22" ht="120" x14ac:dyDescent="0.25">
      <c r="A9" s="25"/>
      <c r="B9" s="12"/>
      <c r="C9" s="12"/>
      <c r="D9" s="12"/>
      <c r="E9" s="27" t="s">
        <v>69</v>
      </c>
      <c r="F9" s="28"/>
      <c r="G9" s="27" t="s">
        <v>68</v>
      </c>
      <c r="H9" s="28"/>
      <c r="I9" s="30" t="s">
        <v>67</v>
      </c>
      <c r="J9" s="29"/>
      <c r="K9" s="27" t="s">
        <v>66</v>
      </c>
      <c r="L9" s="28"/>
      <c r="M9" s="27" t="s">
        <v>65</v>
      </c>
      <c r="N9" s="12"/>
      <c r="O9" s="27" t="s">
        <v>64</v>
      </c>
      <c r="P9" s="12"/>
      <c r="Q9" s="27" t="s">
        <v>63</v>
      </c>
      <c r="R9" s="12"/>
      <c r="S9" s="27" t="s">
        <v>62</v>
      </c>
      <c r="T9" s="27" t="s">
        <v>61</v>
      </c>
      <c r="U9" s="12"/>
      <c r="V9" s="27" t="s">
        <v>60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26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25" t="s">
        <v>13</v>
      </c>
      <c r="B11" s="12"/>
      <c r="C11" s="12"/>
      <c r="D11" s="12"/>
      <c r="E11" s="13"/>
      <c r="F11" s="13"/>
      <c r="G11" s="13"/>
      <c r="H11" s="13"/>
      <c r="I11" s="13"/>
      <c r="J11" s="26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59</v>
      </c>
      <c r="C12" s="12"/>
      <c r="D12" s="12"/>
      <c r="E12" s="18"/>
      <c r="F12" s="18"/>
      <c r="G12" s="18"/>
      <c r="H12" s="18"/>
      <c r="I12" s="15"/>
      <c r="J12" s="2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>
        <f t="shared" ref="V12:V17" si="0">SUM(K12:T12)</f>
        <v>0</v>
      </c>
    </row>
    <row r="13" spans="1:22" x14ac:dyDescent="0.25">
      <c r="A13" s="12"/>
      <c r="B13" s="12" t="s">
        <v>58</v>
      </c>
      <c r="C13" s="12"/>
      <c r="D13" s="12"/>
      <c r="E13" s="18"/>
      <c r="F13" s="18"/>
      <c r="G13" s="18"/>
      <c r="H13" s="18"/>
      <c r="I13" s="15"/>
      <c r="J13" s="2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>
        <f t="shared" si="0"/>
        <v>0</v>
      </c>
    </row>
    <row r="14" spans="1:22" x14ac:dyDescent="0.25">
      <c r="A14" s="12"/>
      <c r="B14" s="12" t="s">
        <v>57</v>
      </c>
      <c r="C14" s="12"/>
      <c r="D14" s="12"/>
      <c r="E14" s="18"/>
      <c r="F14" s="18"/>
      <c r="G14" s="18"/>
      <c r="H14" s="18"/>
      <c r="I14" s="15"/>
      <c r="J14" s="2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5">
        <f t="shared" si="0"/>
        <v>0</v>
      </c>
    </row>
    <row r="15" spans="1:22" x14ac:dyDescent="0.25">
      <c r="A15" s="12"/>
      <c r="B15" s="12" t="s">
        <v>56</v>
      </c>
      <c r="C15" s="12"/>
      <c r="D15" s="12"/>
      <c r="E15" s="18"/>
      <c r="F15" s="18"/>
      <c r="G15" s="18"/>
      <c r="H15" s="18"/>
      <c r="I15" s="15"/>
      <c r="J15" s="2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>
        <f t="shared" si="0"/>
        <v>0</v>
      </c>
    </row>
    <row r="16" spans="1:22" x14ac:dyDescent="0.25">
      <c r="A16" s="12"/>
      <c r="B16" s="12" t="s">
        <v>55</v>
      </c>
      <c r="C16" s="12"/>
      <c r="D16" s="12"/>
      <c r="E16" s="18"/>
      <c r="F16" s="18"/>
      <c r="G16" s="18"/>
      <c r="H16" s="18"/>
      <c r="I16" s="15"/>
      <c r="J16" s="2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>
        <f t="shared" si="0"/>
        <v>0</v>
      </c>
    </row>
    <row r="17" spans="1:22" x14ac:dyDescent="0.25">
      <c r="A17" s="12"/>
      <c r="B17" s="12" t="s">
        <v>54</v>
      </c>
      <c r="C17" s="12"/>
      <c r="D17" s="12"/>
      <c r="E17" s="18"/>
      <c r="F17" s="18"/>
      <c r="G17" s="18"/>
      <c r="H17" s="18"/>
      <c r="I17" s="15"/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>
        <f t="shared" si="0"/>
        <v>0</v>
      </c>
    </row>
    <row r="18" spans="1:22" x14ac:dyDescent="0.25">
      <c r="A18" s="25" t="s">
        <v>8</v>
      </c>
      <c r="B18" s="12"/>
      <c r="C18" s="12"/>
      <c r="D18" s="12"/>
      <c r="E18" s="18"/>
      <c r="F18" s="18"/>
      <c r="G18" s="18"/>
      <c r="H18" s="18"/>
      <c r="I18" s="15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</row>
    <row r="19" spans="1:22" x14ac:dyDescent="0.25">
      <c r="A19" s="12"/>
      <c r="B19" s="12" t="s">
        <v>53</v>
      </c>
      <c r="C19" s="12"/>
      <c r="D19" s="12"/>
      <c r="E19" s="18"/>
      <c r="F19" s="18"/>
      <c r="G19" s="18"/>
      <c r="H19" s="18"/>
      <c r="I19" s="15"/>
      <c r="J19" s="2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>
        <f t="shared" ref="V19:V30" si="1">SUM(K19:T19)</f>
        <v>0</v>
      </c>
    </row>
    <row r="20" spans="1:22" x14ac:dyDescent="0.25">
      <c r="A20" s="12"/>
      <c r="B20" s="12" t="s">
        <v>52</v>
      </c>
      <c r="C20" s="12"/>
      <c r="D20" s="12"/>
      <c r="E20" s="18"/>
      <c r="F20" s="18"/>
      <c r="G20" s="18"/>
      <c r="H20" s="18"/>
      <c r="I20" s="15"/>
      <c r="J20" s="2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5">
        <f t="shared" si="1"/>
        <v>0</v>
      </c>
    </row>
    <row r="21" spans="1:22" x14ac:dyDescent="0.25">
      <c r="A21" s="12"/>
      <c r="B21" s="12" t="s">
        <v>51</v>
      </c>
      <c r="C21" s="12"/>
      <c r="D21" s="12"/>
      <c r="E21" s="18"/>
      <c r="F21" s="18"/>
      <c r="G21" s="18"/>
      <c r="H21" s="18"/>
      <c r="I21" s="15"/>
      <c r="J21" s="2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5">
        <f t="shared" si="1"/>
        <v>0</v>
      </c>
    </row>
    <row r="22" spans="1:22" x14ac:dyDescent="0.25">
      <c r="A22" s="12"/>
      <c r="B22" s="12" t="s">
        <v>50</v>
      </c>
      <c r="C22" s="12"/>
      <c r="D22" s="12"/>
      <c r="E22" s="18"/>
      <c r="F22" s="18"/>
      <c r="G22" s="18"/>
      <c r="H22" s="18"/>
      <c r="I22" s="15"/>
      <c r="J22" s="2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5">
        <f t="shared" si="1"/>
        <v>0</v>
      </c>
    </row>
    <row r="23" spans="1:22" x14ac:dyDescent="0.25">
      <c r="A23" s="12"/>
      <c r="B23" s="12" t="s">
        <v>49</v>
      </c>
      <c r="C23" s="12"/>
      <c r="D23" s="12"/>
      <c r="E23" s="18"/>
      <c r="F23" s="18"/>
      <c r="G23" s="18"/>
      <c r="H23" s="18"/>
      <c r="I23" s="15"/>
      <c r="J23" s="2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5">
        <f t="shared" si="1"/>
        <v>0</v>
      </c>
    </row>
    <row r="24" spans="1:22" x14ac:dyDescent="0.25">
      <c r="A24" s="12"/>
      <c r="B24" s="12" t="s">
        <v>48</v>
      </c>
      <c r="C24" s="12"/>
      <c r="D24" s="12"/>
      <c r="E24" s="18">
        <v>15686425.890000001</v>
      </c>
      <c r="F24" s="18"/>
      <c r="G24" s="18">
        <v>17257409.530000001</v>
      </c>
      <c r="H24" s="18"/>
      <c r="I24" s="21">
        <f>G24-E24</f>
        <v>1570983.6400000006</v>
      </c>
      <c r="J24" s="20"/>
      <c r="K24" s="18"/>
      <c r="L24" s="18"/>
      <c r="M24" s="18"/>
      <c r="N24" s="18"/>
      <c r="O24" s="18"/>
      <c r="P24" s="18"/>
      <c r="Q24" s="18"/>
      <c r="R24" s="18"/>
      <c r="S24" s="18"/>
      <c r="T24" s="18">
        <f>I24</f>
        <v>1570983.6400000006</v>
      </c>
      <c r="U24" s="18"/>
      <c r="V24" s="15">
        <f t="shared" si="1"/>
        <v>1570983.6400000006</v>
      </c>
    </row>
    <row r="25" spans="1:22" x14ac:dyDescent="0.25">
      <c r="A25" s="12"/>
      <c r="B25" s="12" t="s">
        <v>47</v>
      </c>
      <c r="C25" s="12"/>
      <c r="D25" s="12"/>
      <c r="E25" s="18"/>
      <c r="F25" s="18"/>
      <c r="G25" s="18"/>
      <c r="H25" s="18"/>
      <c r="I25" s="15"/>
      <c r="J25" s="20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5">
        <f t="shared" si="1"/>
        <v>0</v>
      </c>
    </row>
    <row r="26" spans="1:22" customFormat="1" x14ac:dyDescent="0.25">
      <c r="A26" s="24"/>
      <c r="B26" s="24" t="s">
        <v>46</v>
      </c>
      <c r="C26" s="24"/>
      <c r="D26" s="23">
        <v>2572250</v>
      </c>
      <c r="E26" s="34">
        <v>1836623.65</v>
      </c>
      <c r="F26" s="22"/>
      <c r="G26" s="34">
        <v>2020560.12</v>
      </c>
      <c r="H26" s="22">
        <v>1163140</v>
      </c>
      <c r="I26" s="21">
        <f>G26-E26</f>
        <v>183936.4700000002</v>
      </c>
      <c r="J26" s="20"/>
      <c r="S26" s="21">
        <f>I26</f>
        <v>183936.4700000002</v>
      </c>
      <c r="V26" s="15">
        <f t="shared" si="1"/>
        <v>183936.4700000002</v>
      </c>
    </row>
    <row r="27" spans="1:22" x14ac:dyDescent="0.25">
      <c r="A27" s="12"/>
      <c r="B27" s="12" t="s">
        <v>45</v>
      </c>
      <c r="C27" s="12"/>
      <c r="D27" s="12"/>
      <c r="E27" s="18"/>
      <c r="F27" s="18"/>
      <c r="G27" s="18"/>
      <c r="H27" s="18"/>
      <c r="I27" s="15"/>
      <c r="J27" s="20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5">
        <f t="shared" si="1"/>
        <v>0</v>
      </c>
    </row>
    <row r="28" spans="1:22" x14ac:dyDescent="0.25">
      <c r="A28" s="12"/>
      <c r="B28" s="12" t="s">
        <v>44</v>
      </c>
      <c r="C28" s="12"/>
      <c r="D28" s="12"/>
      <c r="E28" s="18"/>
      <c r="F28" s="18"/>
      <c r="G28" s="18"/>
      <c r="H28" s="18"/>
      <c r="I28" s="15">
        <f>G28-E28</f>
        <v>0</v>
      </c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>
        <f t="shared" si="1"/>
        <v>0</v>
      </c>
    </row>
    <row r="29" spans="1:22" x14ac:dyDescent="0.25">
      <c r="A29" s="12"/>
      <c r="B29" s="12" t="s">
        <v>43</v>
      </c>
      <c r="C29" s="12"/>
      <c r="D29" s="12"/>
      <c r="E29" s="18"/>
      <c r="F29" s="18"/>
      <c r="G29" s="18"/>
      <c r="H29" s="18"/>
      <c r="I29" s="15"/>
      <c r="J29" s="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5">
        <f t="shared" si="1"/>
        <v>0</v>
      </c>
    </row>
    <row r="30" spans="1:22" x14ac:dyDescent="0.25">
      <c r="A30" s="12"/>
      <c r="B30" s="12" t="s">
        <v>42</v>
      </c>
      <c r="C30" s="12"/>
      <c r="D30" s="12"/>
      <c r="E30" s="19"/>
      <c r="F30" s="18"/>
      <c r="G30" s="19"/>
      <c r="H30" s="18"/>
      <c r="I30" s="15"/>
      <c r="J30" s="20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5">
        <f t="shared" si="1"/>
        <v>0</v>
      </c>
    </row>
    <row r="31" spans="1:22" ht="15.75" thickBot="1" x14ac:dyDescent="0.3">
      <c r="A31" s="17" t="s">
        <v>41</v>
      </c>
      <c r="E31" s="14">
        <f>SUM(E12:E30)</f>
        <v>17523049.539999999</v>
      </c>
      <c r="F31" s="15"/>
      <c r="G31" s="14">
        <f>SUM(G12:G30)</f>
        <v>19277969.650000002</v>
      </c>
      <c r="H31" s="15"/>
      <c r="I31" s="14">
        <f>SUM(I12:I30)</f>
        <v>1754920.1100000008</v>
      </c>
      <c r="J31" s="16"/>
      <c r="K31" s="14">
        <f>SUM(K12:K30)</f>
        <v>0</v>
      </c>
      <c r="L31" s="15"/>
      <c r="M31" s="14">
        <f>SUM(M12:M30)</f>
        <v>0</v>
      </c>
      <c r="N31" s="15"/>
      <c r="O31" s="14">
        <f>SUM(O12:O30)</f>
        <v>0</v>
      </c>
      <c r="P31" s="15"/>
      <c r="Q31" s="14">
        <f>SUM(Q12:Q30)</f>
        <v>0</v>
      </c>
      <c r="R31" s="15"/>
      <c r="S31" s="14">
        <f>SUM(S12:S30)</f>
        <v>183936.4700000002</v>
      </c>
      <c r="T31" s="14">
        <f>SUM(T12:T30)</f>
        <v>1570983.6400000006</v>
      </c>
      <c r="U31" s="15"/>
      <c r="V31" s="14">
        <f>SUM(V12:V30)</f>
        <v>1754920.1100000008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40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39</v>
      </c>
      <c r="B35" s="12"/>
      <c r="C35" s="12" t="s">
        <v>38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37</v>
      </c>
      <c r="B36" s="12"/>
      <c r="C36" s="12" t="s">
        <v>36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35</v>
      </c>
      <c r="B37" s="12"/>
      <c r="C37" s="12" t="s">
        <v>34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33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32</v>
      </c>
      <c r="B39" s="12"/>
      <c r="C39" s="12" t="s">
        <v>31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30</v>
      </c>
      <c r="B40" s="12"/>
      <c r="C40" s="12" t="s">
        <v>29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FC3B-B834-4ADD-9924-F3457EC4DFC5}">
  <dimension ref="A1:J32"/>
  <sheetViews>
    <sheetView showGridLines="0" zoomScaleNormal="100" workbookViewId="0">
      <selection activeCell="N23" sqref="N23"/>
    </sheetView>
  </sheetViews>
  <sheetFormatPr defaultRowHeight="15" x14ac:dyDescent="0.25"/>
  <cols>
    <col min="1" max="1" width="12.140625" style="1" customWidth="1"/>
    <col min="2" max="2" width="5.28515625" style="1" customWidth="1"/>
    <col min="3" max="3" width="7.5703125" style="1" customWidth="1"/>
    <col min="4" max="4" width="4.5703125" style="1" customWidth="1"/>
    <col min="5" max="5" width="19" style="1" customWidth="1"/>
    <col min="6" max="6" width="17.42578125" style="1" customWidth="1"/>
    <col min="7" max="7" width="16.7109375" style="1" customWidth="1"/>
    <col min="8" max="8" width="14.42578125" style="1" customWidth="1"/>
    <col min="9" max="9" width="3" style="1" customWidth="1"/>
    <col min="10" max="10" width="22.140625" style="1" customWidth="1"/>
    <col min="11" max="16384" width="9.140625" style="1"/>
  </cols>
  <sheetData>
    <row r="1" spans="1:10" x14ac:dyDescent="0.25">
      <c r="A1" s="74"/>
      <c r="B1" s="74"/>
      <c r="C1" s="74"/>
      <c r="D1" s="74"/>
      <c r="E1" s="74"/>
      <c r="F1" s="74"/>
      <c r="G1" s="74"/>
      <c r="H1" s="74"/>
      <c r="I1" s="74" t="s">
        <v>28</v>
      </c>
      <c r="J1" s="74"/>
    </row>
    <row r="2" spans="1:10" x14ac:dyDescent="0.25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x14ac:dyDescent="0.25">
      <c r="A3" s="73" t="s">
        <v>26</v>
      </c>
      <c r="B3" s="73"/>
      <c r="C3" s="73"/>
      <c r="D3" s="73"/>
      <c r="E3" s="73"/>
      <c r="F3" s="73"/>
      <c r="G3" s="73"/>
      <c r="H3" s="73"/>
      <c r="I3" s="73"/>
      <c r="J3" s="73"/>
    </row>
    <row r="4" spans="1:10" x14ac:dyDescent="0.25">
      <c r="A4" s="73" t="s">
        <v>91</v>
      </c>
      <c r="B4" s="73"/>
      <c r="C4" s="73"/>
      <c r="D4" s="73"/>
      <c r="E4" s="73"/>
      <c r="F4" s="73"/>
      <c r="G4" s="73"/>
      <c r="H4" s="73"/>
      <c r="I4" s="73"/>
      <c r="J4" s="73"/>
    </row>
    <row r="5" spans="1:10" x14ac:dyDescent="0.25">
      <c r="A5" s="73" t="s">
        <v>24</v>
      </c>
      <c r="B5" s="73"/>
      <c r="C5" s="73"/>
      <c r="D5" s="73"/>
      <c r="E5" s="73"/>
      <c r="F5" s="73"/>
      <c r="G5" s="73"/>
      <c r="H5" s="73"/>
      <c r="I5" s="73"/>
      <c r="J5" s="73"/>
    </row>
    <row r="6" spans="1:10" x14ac:dyDescent="0.25">
      <c r="A6" s="73" t="s">
        <v>23</v>
      </c>
      <c r="B6" s="73"/>
      <c r="C6" s="73"/>
      <c r="D6" s="73"/>
      <c r="E6" s="73"/>
      <c r="F6" s="73"/>
      <c r="G6" s="73"/>
      <c r="H6" s="73"/>
      <c r="I6" s="73"/>
      <c r="J6" s="73"/>
    </row>
    <row r="7" spans="1:10" x14ac:dyDescent="0.25">
      <c r="A7" s="75" t="s">
        <v>22</v>
      </c>
      <c r="B7" s="75"/>
      <c r="C7" s="76" t="s">
        <v>21</v>
      </c>
      <c r="D7" s="76"/>
      <c r="E7" s="76"/>
      <c r="F7" s="76"/>
      <c r="G7" s="76"/>
      <c r="H7" s="76"/>
      <c r="I7" s="76" t="s">
        <v>90</v>
      </c>
      <c r="J7" s="74"/>
    </row>
    <row r="8" spans="1:10" x14ac:dyDescent="0.25">
      <c r="A8" s="75" t="s">
        <v>1</v>
      </c>
      <c r="B8" s="75"/>
      <c r="C8" s="76" t="s">
        <v>89</v>
      </c>
      <c r="D8" s="76"/>
      <c r="E8" s="76"/>
      <c r="F8" s="76"/>
      <c r="G8" s="76"/>
      <c r="H8" s="76"/>
      <c r="I8" s="76" t="s">
        <v>88</v>
      </c>
      <c r="J8" s="74"/>
    </row>
    <row r="9" spans="1:10" x14ac:dyDescent="0.25">
      <c r="A9" s="75"/>
      <c r="B9" s="75"/>
      <c r="C9" s="78"/>
      <c r="D9" s="78"/>
      <c r="E9" s="78"/>
      <c r="F9" s="78"/>
      <c r="G9" s="78"/>
      <c r="H9" s="78"/>
      <c r="I9" s="76" t="s">
        <v>87</v>
      </c>
      <c r="J9" s="74"/>
    </row>
    <row r="10" spans="1:10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</row>
    <row r="11" spans="1:10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</row>
    <row r="12" spans="1:10" x14ac:dyDescent="0.25">
      <c r="A12" s="80" t="s">
        <v>19</v>
      </c>
      <c r="B12" s="80"/>
      <c r="C12" s="80"/>
      <c r="D12" s="80"/>
      <c r="E12" s="80"/>
      <c r="F12" s="80"/>
      <c r="G12" s="80"/>
      <c r="H12" s="80"/>
      <c r="I12" s="80"/>
      <c r="J12" s="80"/>
    </row>
    <row r="13" spans="1:10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0" ht="24.75" customHeight="1" x14ac:dyDescent="0.25">
      <c r="A14" s="81" t="s">
        <v>18</v>
      </c>
      <c r="B14" s="81"/>
      <c r="C14" s="81"/>
      <c r="D14" s="81"/>
      <c r="E14" s="81"/>
      <c r="F14" s="9" t="s">
        <v>17</v>
      </c>
      <c r="G14" s="9" t="s">
        <v>16</v>
      </c>
      <c r="H14" s="82" t="s">
        <v>15</v>
      </c>
      <c r="I14" s="82"/>
      <c r="J14" s="9" t="s">
        <v>14</v>
      </c>
    </row>
    <row r="15" spans="1:10" ht="17.25" customHeight="1" x14ac:dyDescent="0.25">
      <c r="A15" s="77" t="s">
        <v>13</v>
      </c>
      <c r="B15" s="77"/>
      <c r="C15" s="77"/>
      <c r="D15" s="77"/>
      <c r="E15" s="77"/>
      <c r="F15" s="77"/>
      <c r="G15" s="77"/>
      <c r="H15" s="77"/>
      <c r="I15" s="77"/>
      <c r="J15" s="77"/>
    </row>
    <row r="16" spans="1:10" x14ac:dyDescent="0.25">
      <c r="A16" s="74" t="s">
        <v>12</v>
      </c>
      <c r="B16" s="74"/>
      <c r="C16" s="74"/>
      <c r="D16" s="74"/>
      <c r="E16" s="74"/>
      <c r="F16" s="6">
        <v>582000</v>
      </c>
      <c r="G16" s="6">
        <v>0</v>
      </c>
      <c r="H16" s="83">
        <v>0</v>
      </c>
      <c r="I16" s="83"/>
      <c r="J16" s="6">
        <f>F16+G16-H16</f>
        <v>582000</v>
      </c>
    </row>
    <row r="17" spans="1:10" x14ac:dyDescent="0.25">
      <c r="A17" s="74" t="s">
        <v>9</v>
      </c>
      <c r="B17" s="74"/>
      <c r="C17" s="74"/>
      <c r="D17" s="74"/>
      <c r="E17" s="74"/>
      <c r="F17" s="6">
        <v>245748.17000000004</v>
      </c>
      <c r="G17" s="6">
        <v>0</v>
      </c>
      <c r="H17" s="83">
        <v>0</v>
      </c>
      <c r="I17" s="83"/>
      <c r="J17" s="6">
        <f>F17+G17-H17</f>
        <v>245748.17000000004</v>
      </c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8" t="s">
        <v>8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74" t="s">
        <v>6</v>
      </c>
      <c r="B20" s="74"/>
      <c r="C20" s="74"/>
      <c r="D20" s="74"/>
      <c r="E20" s="74"/>
      <c r="F20" s="6">
        <v>0</v>
      </c>
      <c r="G20" s="6">
        <v>0</v>
      </c>
      <c r="H20" s="83">
        <v>0</v>
      </c>
      <c r="I20" s="83"/>
      <c r="J20" s="6">
        <f>F20+G20-H20</f>
        <v>0</v>
      </c>
    </row>
    <row r="21" spans="1:10" x14ac:dyDescent="0.25">
      <c r="A21" s="74" t="s">
        <v>5</v>
      </c>
      <c r="B21" s="74"/>
      <c r="C21" s="74"/>
      <c r="D21" s="74"/>
      <c r="E21" s="74"/>
      <c r="F21" s="6">
        <v>0</v>
      </c>
      <c r="G21" s="6">
        <v>0</v>
      </c>
      <c r="H21" s="83">
        <v>0</v>
      </c>
      <c r="I21" s="83"/>
      <c r="J21" s="6">
        <f>F21+G21-H21</f>
        <v>0</v>
      </c>
    </row>
    <row r="22" spans="1:10" x14ac:dyDescent="0.25">
      <c r="A22" s="74" t="s">
        <v>86</v>
      </c>
      <c r="B22" s="74"/>
      <c r="C22" s="74"/>
      <c r="D22" s="74"/>
      <c r="E22" s="74"/>
      <c r="F22" s="6">
        <v>178424.826909839</v>
      </c>
      <c r="G22" s="6">
        <v>0</v>
      </c>
      <c r="H22" s="83">
        <v>0</v>
      </c>
      <c r="I22" s="83"/>
      <c r="J22" s="6">
        <f>F22+G22-H22</f>
        <v>178424.826909839</v>
      </c>
    </row>
    <row r="23" spans="1:10" x14ac:dyDescent="0.25">
      <c r="A23" s="74" t="s">
        <v>85</v>
      </c>
      <c r="B23" s="74"/>
      <c r="C23" s="74"/>
      <c r="D23" s="74"/>
      <c r="E23" s="74"/>
      <c r="F23" s="6">
        <v>20890.626062553081</v>
      </c>
      <c r="G23" s="6">
        <v>2086.9366514539252</v>
      </c>
      <c r="H23" s="83">
        <v>1628.7801020181</v>
      </c>
      <c r="I23" s="83"/>
      <c r="J23" s="6">
        <f>F23+G23-H23</f>
        <v>21348.782611988907</v>
      </c>
    </row>
    <row r="24" spans="1:10" x14ac:dyDescent="0.25">
      <c r="A24" s="74" t="s">
        <v>2</v>
      </c>
      <c r="B24" s="74"/>
      <c r="C24" s="74"/>
      <c r="D24" s="74"/>
      <c r="E24" s="74"/>
      <c r="F24" s="6">
        <v>0</v>
      </c>
      <c r="G24" s="6">
        <v>0</v>
      </c>
      <c r="H24" s="83">
        <v>0</v>
      </c>
      <c r="I24" s="83"/>
      <c r="J24" s="6">
        <f>F24+G24-H24</f>
        <v>0</v>
      </c>
    </row>
    <row r="25" spans="1:10" x14ac:dyDescent="0.25">
      <c r="A25" s="7"/>
      <c r="B25" s="7"/>
      <c r="C25" s="7"/>
      <c r="D25" s="7"/>
      <c r="E25" s="7"/>
      <c r="F25" s="6"/>
      <c r="G25" s="6"/>
      <c r="H25" s="6"/>
      <c r="I25" s="6"/>
      <c r="J25" s="6"/>
    </row>
    <row r="26" spans="1:10" ht="15.75" customHeight="1" x14ac:dyDescent="0.25">
      <c r="A26" s="5"/>
      <c r="B26" s="5"/>
      <c r="C26" s="5"/>
      <c r="D26" s="5"/>
      <c r="E26" s="5"/>
      <c r="F26" s="4"/>
      <c r="G26" s="4"/>
      <c r="H26" s="4"/>
      <c r="I26" s="4"/>
      <c r="J26" s="4"/>
    </row>
    <row r="27" spans="1:10" x14ac:dyDescent="0.25">
      <c r="A27" s="3" t="s">
        <v>1</v>
      </c>
      <c r="B27" s="88" t="s">
        <v>84</v>
      </c>
      <c r="C27" s="88"/>
      <c r="D27" s="88"/>
      <c r="E27" s="87">
        <f>SUM(F16:F24)</f>
        <v>1027063.6229723921</v>
      </c>
      <c r="F27" s="87"/>
      <c r="G27" s="87">
        <f>SUM(G16:G24)</f>
        <v>2086.9366514539252</v>
      </c>
      <c r="H27" s="87">
        <f>SUM(H16:I24)</f>
        <v>1628.7801020181</v>
      </c>
      <c r="I27" s="87"/>
      <c r="J27" s="87">
        <f>SUM(J16:J24)</f>
        <v>1027521.7795218281</v>
      </c>
    </row>
    <row r="28" spans="1:10" x14ac:dyDescent="0.25">
      <c r="A28" s="3"/>
      <c r="B28" s="88"/>
      <c r="C28" s="88"/>
      <c r="D28" s="88"/>
      <c r="E28" s="87"/>
      <c r="F28" s="87"/>
      <c r="G28" s="87"/>
      <c r="H28" s="87"/>
      <c r="I28" s="87"/>
      <c r="J28" s="87"/>
    </row>
    <row r="29" spans="1:10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</row>
    <row r="30" spans="1:10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</row>
    <row r="31" spans="1:10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</row>
    <row r="32" spans="1:10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</row>
  </sheetData>
  <mergeCells count="50">
    <mergeCell ref="A21:E21"/>
    <mergeCell ref="H21:I21"/>
    <mergeCell ref="A22:E22"/>
    <mergeCell ref="H22:I22"/>
    <mergeCell ref="A30:J30"/>
    <mergeCell ref="A23:E23"/>
    <mergeCell ref="H23:I23"/>
    <mergeCell ref="A24:E24"/>
    <mergeCell ref="H24:I24"/>
    <mergeCell ref="A31:J31"/>
    <mergeCell ref="A32:J32"/>
    <mergeCell ref="B27:D27"/>
    <mergeCell ref="E27:F28"/>
    <mergeCell ref="G27:G28"/>
    <mergeCell ref="H27:I28"/>
    <mergeCell ref="J27:J28"/>
    <mergeCell ref="B28:D28"/>
    <mergeCell ref="A29:J29"/>
    <mergeCell ref="A17:E17"/>
    <mergeCell ref="H17:I17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I9:J9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A1:C1"/>
    <mergeCell ref="D1:H1"/>
    <mergeCell ref="I1:J1"/>
    <mergeCell ref="A2:J2"/>
    <mergeCell ref="A3:J3"/>
  </mergeCells>
  <pageMargins left="0.7" right="0.7" top="0.75" bottom="0.75" header="0.3" footer="0.3"/>
  <pageSetup scale="98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384-AF2A-42D9-A8C2-DA3595192AA3}">
  <dimension ref="A1:V41"/>
  <sheetViews>
    <sheetView topLeftCell="A9" workbookViewId="0">
      <selection activeCell="E26" sqref="E26"/>
    </sheetView>
  </sheetViews>
  <sheetFormatPr defaultColWidth="9.140625" defaultRowHeight="15" x14ac:dyDescent="0.25"/>
  <cols>
    <col min="1" max="1" width="1.7109375" style="10" customWidth="1"/>
    <col min="2" max="2" width="9" style="10" customWidth="1"/>
    <col min="3" max="3" width="44.28515625" style="10" customWidth="1"/>
    <col min="4" max="4" width="1.7109375" style="10" customWidth="1"/>
    <col min="5" max="5" width="15.7109375" style="11" customWidth="1"/>
    <col min="6" max="6" width="1.7109375" style="11" customWidth="1"/>
    <col min="7" max="7" width="15.7109375" style="11" customWidth="1"/>
    <col min="8" max="8" width="1.7109375" style="11" customWidth="1"/>
    <col min="9" max="9" width="15.7109375" style="11" customWidth="1"/>
    <col min="10" max="10" width="1.7109375" style="11" customWidth="1"/>
    <col min="11" max="11" width="15.7109375" style="11" customWidth="1"/>
    <col min="12" max="12" width="1.7109375" style="10" customWidth="1"/>
    <col min="13" max="13" width="15.7109375" style="10" customWidth="1"/>
    <col min="14" max="14" width="1.7109375" style="10" customWidth="1"/>
    <col min="15" max="15" width="15.7109375" style="10" customWidth="1"/>
    <col min="16" max="16" width="1.7109375" style="10" customWidth="1"/>
    <col min="17" max="17" width="15.7109375" style="10" customWidth="1"/>
    <col min="18" max="18" width="1.7109375" style="10" customWidth="1"/>
    <col min="19" max="20" width="15.7109375" style="10" customWidth="1"/>
    <col min="21" max="21" width="1.7109375" style="10" customWidth="1"/>
    <col min="22" max="22" width="15.7109375" style="10" customWidth="1"/>
    <col min="23" max="16384" width="9.140625" style="10"/>
  </cols>
  <sheetData>
    <row r="1" spans="1:22" x14ac:dyDescent="0.25">
      <c r="A1" s="33" t="s">
        <v>93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 t="s">
        <v>83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 t="s">
        <v>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33" t="s">
        <v>92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33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26"/>
      <c r="K7" s="32" t="s">
        <v>80</v>
      </c>
      <c r="L7" s="32"/>
      <c r="M7" s="32"/>
      <c r="N7" s="32"/>
      <c r="O7" s="32"/>
      <c r="P7" s="32"/>
      <c r="Q7" s="32"/>
      <c r="R7" s="32"/>
      <c r="S7" s="32"/>
      <c r="T7" s="32"/>
      <c r="U7" s="12"/>
      <c r="V7" s="12"/>
    </row>
    <row r="8" spans="1:22" x14ac:dyDescent="0.25">
      <c r="A8" s="12"/>
      <c r="B8" s="12"/>
      <c r="C8" s="12"/>
      <c r="D8" s="12"/>
      <c r="E8" s="31" t="s">
        <v>79</v>
      </c>
      <c r="F8" s="28"/>
      <c r="G8" s="31" t="s">
        <v>78</v>
      </c>
      <c r="H8" s="28"/>
      <c r="I8" s="31" t="s">
        <v>77</v>
      </c>
      <c r="J8" s="29"/>
      <c r="K8" s="31" t="s">
        <v>76</v>
      </c>
      <c r="L8" s="12"/>
      <c r="M8" s="31" t="s">
        <v>75</v>
      </c>
      <c r="N8" s="28"/>
      <c r="O8" s="31" t="s">
        <v>74</v>
      </c>
      <c r="P8" s="28"/>
      <c r="Q8" s="31" t="s">
        <v>73</v>
      </c>
      <c r="R8" s="28"/>
      <c r="S8" s="31" t="s">
        <v>72</v>
      </c>
      <c r="T8" s="31" t="s">
        <v>71</v>
      </c>
      <c r="U8" s="28"/>
      <c r="V8" s="31" t="s">
        <v>70</v>
      </c>
    </row>
    <row r="9" spans="1:22" ht="120" x14ac:dyDescent="0.25">
      <c r="A9" s="25"/>
      <c r="B9" s="12"/>
      <c r="C9" s="12"/>
      <c r="D9" s="12"/>
      <c r="E9" s="27" t="s">
        <v>69</v>
      </c>
      <c r="F9" s="28"/>
      <c r="G9" s="27" t="s">
        <v>68</v>
      </c>
      <c r="H9" s="28"/>
      <c r="I9" s="30" t="s">
        <v>67</v>
      </c>
      <c r="J9" s="29"/>
      <c r="K9" s="27" t="s">
        <v>66</v>
      </c>
      <c r="L9" s="28"/>
      <c r="M9" s="27" t="s">
        <v>65</v>
      </c>
      <c r="N9" s="12"/>
      <c r="O9" s="27" t="s">
        <v>64</v>
      </c>
      <c r="P9" s="12"/>
      <c r="Q9" s="27" t="s">
        <v>63</v>
      </c>
      <c r="R9" s="12"/>
      <c r="S9" s="27" t="s">
        <v>62</v>
      </c>
      <c r="T9" s="27" t="s">
        <v>61</v>
      </c>
      <c r="U9" s="12"/>
      <c r="V9" s="27" t="s">
        <v>60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26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25" t="s">
        <v>13</v>
      </c>
      <c r="B11" s="12"/>
      <c r="C11" s="12"/>
      <c r="D11" s="12"/>
      <c r="E11" s="13"/>
      <c r="F11" s="13"/>
      <c r="G11" s="13"/>
      <c r="H11" s="13"/>
      <c r="I11" s="13"/>
      <c r="J11" s="26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59</v>
      </c>
      <c r="C12" s="12"/>
      <c r="D12" s="12"/>
      <c r="E12" s="18"/>
      <c r="F12" s="18"/>
      <c r="G12" s="18"/>
      <c r="H12" s="18"/>
      <c r="I12" s="15">
        <f t="shared" ref="I12:I17" si="0">G12-E12</f>
        <v>0</v>
      </c>
      <c r="J12" s="2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>
        <f t="shared" ref="V12:V17" si="1">SUM(K12:T12)</f>
        <v>0</v>
      </c>
    </row>
    <row r="13" spans="1:22" x14ac:dyDescent="0.25">
      <c r="A13" s="12"/>
      <c r="B13" s="12" t="s">
        <v>58</v>
      </c>
      <c r="C13" s="12"/>
      <c r="D13" s="12"/>
      <c r="E13" s="18"/>
      <c r="F13" s="18"/>
      <c r="G13" s="18"/>
      <c r="H13" s="18"/>
      <c r="I13" s="15">
        <f t="shared" si="0"/>
        <v>0</v>
      </c>
      <c r="J13" s="2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>
        <f t="shared" si="1"/>
        <v>0</v>
      </c>
    </row>
    <row r="14" spans="1:22" x14ac:dyDescent="0.25">
      <c r="A14" s="12"/>
      <c r="B14" s="12" t="s">
        <v>57</v>
      </c>
      <c r="C14" s="12"/>
      <c r="D14" s="12"/>
      <c r="E14" s="18"/>
      <c r="F14" s="18"/>
      <c r="G14" s="18"/>
      <c r="H14" s="18"/>
      <c r="I14" s="15">
        <f t="shared" si="0"/>
        <v>0</v>
      </c>
      <c r="J14" s="2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5">
        <f t="shared" si="1"/>
        <v>0</v>
      </c>
    </row>
    <row r="15" spans="1:22" x14ac:dyDescent="0.25">
      <c r="A15" s="12"/>
      <c r="B15" s="12" t="s">
        <v>56</v>
      </c>
      <c r="C15" s="12"/>
      <c r="D15" s="12"/>
      <c r="E15" s="18"/>
      <c r="F15" s="18"/>
      <c r="G15" s="18"/>
      <c r="H15" s="18"/>
      <c r="I15" s="15">
        <f t="shared" si="0"/>
        <v>0</v>
      </c>
      <c r="J15" s="2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>
        <f t="shared" si="1"/>
        <v>0</v>
      </c>
    </row>
    <row r="16" spans="1:22" x14ac:dyDescent="0.25">
      <c r="A16" s="12"/>
      <c r="B16" s="12" t="s">
        <v>55</v>
      </c>
      <c r="C16" s="12"/>
      <c r="D16" s="12"/>
      <c r="E16" s="18"/>
      <c r="F16" s="18"/>
      <c r="G16" s="18"/>
      <c r="H16" s="18"/>
      <c r="I16" s="15">
        <f t="shared" si="0"/>
        <v>0</v>
      </c>
      <c r="J16" s="2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>
        <f t="shared" si="1"/>
        <v>0</v>
      </c>
    </row>
    <row r="17" spans="1:22" x14ac:dyDescent="0.25">
      <c r="A17" s="12"/>
      <c r="B17" s="12" t="s">
        <v>54</v>
      </c>
      <c r="C17" s="12"/>
      <c r="D17" s="12"/>
      <c r="E17" s="18"/>
      <c r="F17" s="18"/>
      <c r="G17" s="18"/>
      <c r="H17" s="18"/>
      <c r="I17" s="15">
        <f t="shared" si="0"/>
        <v>0</v>
      </c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>
        <f t="shared" si="1"/>
        <v>0</v>
      </c>
    </row>
    <row r="18" spans="1:22" x14ac:dyDescent="0.25">
      <c r="A18" s="25" t="s">
        <v>8</v>
      </c>
      <c r="B18" s="12"/>
      <c r="C18" s="12"/>
      <c r="D18" s="12"/>
      <c r="E18" s="18"/>
      <c r="F18" s="18"/>
      <c r="G18" s="18"/>
      <c r="H18" s="18"/>
      <c r="I18" s="15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</row>
    <row r="19" spans="1:22" x14ac:dyDescent="0.25">
      <c r="A19" s="12"/>
      <c r="B19" s="12" t="s">
        <v>53</v>
      </c>
      <c r="C19" s="12"/>
      <c r="D19" s="12"/>
      <c r="E19" s="18"/>
      <c r="F19" s="18"/>
      <c r="G19" s="18"/>
      <c r="H19" s="18"/>
      <c r="I19" s="15">
        <f t="shared" ref="I19:I29" si="2">G19-E19</f>
        <v>0</v>
      </c>
      <c r="J19" s="2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>
        <f t="shared" ref="V19:V30" si="3">SUM(K19:T19)</f>
        <v>0</v>
      </c>
    </row>
    <row r="20" spans="1:22" x14ac:dyDescent="0.25">
      <c r="A20" s="12"/>
      <c r="B20" s="12" t="s">
        <v>52</v>
      </c>
      <c r="C20" s="12"/>
      <c r="D20" s="12"/>
      <c r="E20" s="18"/>
      <c r="F20" s="18"/>
      <c r="G20" s="18"/>
      <c r="H20" s="18"/>
      <c r="I20" s="15">
        <f t="shared" si="2"/>
        <v>0</v>
      </c>
      <c r="J20" s="2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5">
        <f t="shared" si="3"/>
        <v>0</v>
      </c>
    </row>
    <row r="21" spans="1:22" x14ac:dyDescent="0.25">
      <c r="A21" s="12"/>
      <c r="B21" s="12" t="s">
        <v>51</v>
      </c>
      <c r="C21" s="12"/>
      <c r="D21" s="12"/>
      <c r="E21" s="18"/>
      <c r="F21" s="18"/>
      <c r="G21" s="18"/>
      <c r="H21" s="18"/>
      <c r="I21" s="15">
        <f t="shared" si="2"/>
        <v>0</v>
      </c>
      <c r="J21" s="2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5">
        <f t="shared" si="3"/>
        <v>0</v>
      </c>
    </row>
    <row r="22" spans="1:22" x14ac:dyDescent="0.25">
      <c r="A22" s="12"/>
      <c r="B22" s="12" t="s">
        <v>50</v>
      </c>
      <c r="C22" s="12"/>
      <c r="D22" s="12"/>
      <c r="E22" s="18"/>
      <c r="F22" s="18"/>
      <c r="G22" s="18"/>
      <c r="H22" s="18"/>
      <c r="I22" s="15">
        <f t="shared" si="2"/>
        <v>0</v>
      </c>
      <c r="J22" s="2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5">
        <f t="shared" si="3"/>
        <v>0</v>
      </c>
    </row>
    <row r="23" spans="1:22" x14ac:dyDescent="0.25">
      <c r="A23" s="12"/>
      <c r="B23" s="12" t="s">
        <v>49</v>
      </c>
      <c r="C23" s="12"/>
      <c r="D23" s="12"/>
      <c r="E23" s="18"/>
      <c r="F23" s="18"/>
      <c r="G23" s="18"/>
      <c r="H23" s="18"/>
      <c r="I23" s="15">
        <f t="shared" si="2"/>
        <v>0</v>
      </c>
      <c r="J23" s="2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5">
        <f t="shared" si="3"/>
        <v>0</v>
      </c>
    </row>
    <row r="24" spans="1:22" x14ac:dyDescent="0.25">
      <c r="A24" s="12"/>
      <c r="B24" s="12" t="s">
        <v>48</v>
      </c>
      <c r="C24" s="12"/>
      <c r="D24" s="12"/>
      <c r="E24" s="18">
        <v>214082.73549300001</v>
      </c>
      <c r="F24" s="18"/>
      <c r="G24" s="18">
        <v>178424.826909839</v>
      </c>
      <c r="H24" s="18"/>
      <c r="I24" s="15">
        <f t="shared" si="2"/>
        <v>-35657.908583161014</v>
      </c>
      <c r="J24" s="20"/>
      <c r="K24" s="18"/>
      <c r="L24" s="18"/>
      <c r="M24" s="18"/>
      <c r="N24" s="18"/>
      <c r="O24" s="18"/>
      <c r="P24" s="18"/>
      <c r="Q24" s="18"/>
      <c r="R24" s="18"/>
      <c r="S24" s="18"/>
      <c r="T24" s="18">
        <v>-35657.908583161014</v>
      </c>
      <c r="U24" s="18"/>
      <c r="V24" s="15">
        <f t="shared" si="3"/>
        <v>-35657.908583161014</v>
      </c>
    </row>
    <row r="25" spans="1:22" x14ac:dyDescent="0.25">
      <c r="A25" s="12"/>
      <c r="B25" s="12" t="s">
        <v>47</v>
      </c>
      <c r="C25" s="12"/>
      <c r="D25" s="12"/>
      <c r="E25" s="18"/>
      <c r="F25" s="18"/>
      <c r="G25" s="18"/>
      <c r="H25" s="18"/>
      <c r="I25" s="15">
        <f t="shared" si="2"/>
        <v>0</v>
      </c>
      <c r="J25" s="20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5">
        <f t="shared" si="3"/>
        <v>0</v>
      </c>
    </row>
    <row r="26" spans="1:22" x14ac:dyDescent="0.25">
      <c r="A26" s="12"/>
      <c r="B26" s="12" t="s">
        <v>46</v>
      </c>
      <c r="C26" s="12"/>
      <c r="D26" s="12"/>
      <c r="E26" s="18">
        <v>25065.583366896928</v>
      </c>
      <c r="F26" s="18"/>
      <c r="G26" s="18">
        <v>20890.626062553081</v>
      </c>
      <c r="H26" s="18"/>
      <c r="I26" s="15">
        <f t="shared" si="2"/>
        <v>-4174.9573043438468</v>
      </c>
      <c r="J26" s="20"/>
      <c r="K26" s="18"/>
      <c r="L26" s="18"/>
      <c r="M26" s="18"/>
      <c r="N26" s="18"/>
      <c r="O26" s="18"/>
      <c r="P26" s="18"/>
      <c r="Q26" s="18"/>
      <c r="R26" s="18"/>
      <c r="S26" s="18">
        <v>-4174.9573043438468</v>
      </c>
      <c r="T26" s="18"/>
      <c r="U26" s="18"/>
      <c r="V26" s="15">
        <f t="shared" si="3"/>
        <v>-4174.9573043438468</v>
      </c>
    </row>
    <row r="27" spans="1:22" x14ac:dyDescent="0.25">
      <c r="A27" s="12"/>
      <c r="B27" s="12" t="s">
        <v>45</v>
      </c>
      <c r="C27" s="12"/>
      <c r="D27" s="12"/>
      <c r="E27" s="18"/>
      <c r="F27" s="18"/>
      <c r="G27" s="18"/>
      <c r="H27" s="18"/>
      <c r="I27" s="15">
        <f t="shared" si="2"/>
        <v>0</v>
      </c>
      <c r="J27" s="20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5">
        <f t="shared" si="3"/>
        <v>0</v>
      </c>
    </row>
    <row r="28" spans="1:22" x14ac:dyDescent="0.25">
      <c r="A28" s="12"/>
      <c r="B28" s="12" t="s">
        <v>44</v>
      </c>
      <c r="C28" s="12"/>
      <c r="D28" s="12"/>
      <c r="E28" s="18"/>
      <c r="F28" s="18"/>
      <c r="G28" s="18"/>
      <c r="H28" s="18"/>
      <c r="I28" s="15">
        <f t="shared" si="2"/>
        <v>0</v>
      </c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>
        <f t="shared" si="3"/>
        <v>0</v>
      </c>
    </row>
    <row r="29" spans="1:22" x14ac:dyDescent="0.25">
      <c r="A29" s="12"/>
      <c r="B29" s="12" t="s">
        <v>43</v>
      </c>
      <c r="C29" s="12"/>
      <c r="D29" s="12"/>
      <c r="E29" s="18"/>
      <c r="F29" s="18"/>
      <c r="G29" s="18"/>
      <c r="H29" s="18"/>
      <c r="I29" s="15">
        <f t="shared" si="2"/>
        <v>0</v>
      </c>
      <c r="J29" s="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5">
        <f t="shared" si="3"/>
        <v>0</v>
      </c>
    </row>
    <row r="30" spans="1:22" x14ac:dyDescent="0.25">
      <c r="A30" s="12"/>
      <c r="B30" s="12" t="s">
        <v>42</v>
      </c>
      <c r="C30" s="12"/>
      <c r="D30" s="12"/>
      <c r="E30" s="19"/>
      <c r="F30" s="18"/>
      <c r="G30" s="19"/>
      <c r="H30" s="18"/>
      <c r="I30" s="15"/>
      <c r="J30" s="20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5">
        <f t="shared" si="3"/>
        <v>0</v>
      </c>
    </row>
    <row r="31" spans="1:22" ht="15.75" thickBot="1" x14ac:dyDescent="0.3">
      <c r="A31" s="17" t="s">
        <v>41</v>
      </c>
      <c r="E31" s="14">
        <f>SUM(E12:E30)</f>
        <v>239148.31885989694</v>
      </c>
      <c r="F31" s="15"/>
      <c r="G31" s="14">
        <f>SUM(G12:G30)</f>
        <v>199315.45297239209</v>
      </c>
      <c r="H31" s="15"/>
      <c r="I31" s="14">
        <f>SUM(I12:I30)</f>
        <v>-39832.865887504857</v>
      </c>
      <c r="J31" s="16"/>
      <c r="K31" s="14">
        <f>SUM(K12:K30)</f>
        <v>0</v>
      </c>
      <c r="L31" s="15"/>
      <c r="M31" s="14">
        <f>SUM(M12:M30)</f>
        <v>0</v>
      </c>
      <c r="N31" s="15"/>
      <c r="O31" s="14">
        <f>SUM(O12:O30)</f>
        <v>0</v>
      </c>
      <c r="P31" s="15"/>
      <c r="Q31" s="14">
        <f>SUM(Q12:Q30)</f>
        <v>0</v>
      </c>
      <c r="R31" s="15"/>
      <c r="S31" s="14">
        <f>SUM(S12:S30)</f>
        <v>-4174.9573043438468</v>
      </c>
      <c r="T31" s="14">
        <f>SUM(T12:T30)</f>
        <v>-35657.908583161014</v>
      </c>
      <c r="U31" s="15"/>
      <c r="V31" s="14">
        <f>SUM(V12:V30)</f>
        <v>-39832.865887504857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40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39</v>
      </c>
      <c r="B35" s="12"/>
      <c r="C35" s="12" t="s">
        <v>38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37</v>
      </c>
      <c r="B36" s="12"/>
      <c r="C36" s="12" t="s">
        <v>36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35</v>
      </c>
      <c r="B37" s="12"/>
      <c r="C37" s="12" t="s">
        <v>34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33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32</v>
      </c>
      <c r="B39" s="12"/>
      <c r="C39" s="12" t="s">
        <v>31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30</v>
      </c>
      <c r="B40" s="12"/>
      <c r="C40" s="12" t="s">
        <v>29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7A68-EF26-474D-A913-392B95B8496C}">
  <dimension ref="A1:J33"/>
  <sheetViews>
    <sheetView showGridLines="0" zoomScaleNormal="100" workbookViewId="0">
      <selection activeCell="J34" sqref="J34"/>
    </sheetView>
  </sheetViews>
  <sheetFormatPr defaultColWidth="9.140625" defaultRowHeight="15" x14ac:dyDescent="0.25"/>
  <cols>
    <col min="1" max="1" width="12.140625" style="1" customWidth="1"/>
    <col min="2" max="2" width="5.28515625" style="1" customWidth="1"/>
    <col min="3" max="3" width="7.5703125" style="1" customWidth="1"/>
    <col min="4" max="4" width="4.5703125" style="1" customWidth="1"/>
    <col min="5" max="5" width="19" style="1" customWidth="1"/>
    <col min="6" max="6" width="17.42578125" style="1" customWidth="1"/>
    <col min="7" max="7" width="16.7109375" style="1" customWidth="1"/>
    <col min="8" max="8" width="14.42578125" style="1" customWidth="1"/>
    <col min="9" max="9" width="3" style="1" customWidth="1"/>
    <col min="10" max="10" width="22.140625" style="1" customWidth="1"/>
    <col min="11" max="16384" width="9.140625" style="1"/>
  </cols>
  <sheetData>
    <row r="1" spans="1:10" x14ac:dyDescent="0.25">
      <c r="A1" s="74"/>
      <c r="B1" s="74"/>
      <c r="C1" s="74"/>
      <c r="D1" s="74"/>
      <c r="E1" s="74"/>
      <c r="F1" s="74"/>
      <c r="G1" s="74"/>
      <c r="H1" s="74"/>
      <c r="I1" s="74" t="s">
        <v>28</v>
      </c>
      <c r="J1" s="74"/>
    </row>
    <row r="2" spans="1:10" x14ac:dyDescent="0.25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x14ac:dyDescent="0.25">
      <c r="A3" s="73" t="s">
        <v>26</v>
      </c>
      <c r="B3" s="73"/>
      <c r="C3" s="73"/>
      <c r="D3" s="73"/>
      <c r="E3" s="73"/>
      <c r="F3" s="73"/>
      <c r="G3" s="73"/>
      <c r="H3" s="73"/>
      <c r="I3" s="73"/>
      <c r="J3" s="73"/>
    </row>
    <row r="4" spans="1:10" x14ac:dyDescent="0.25">
      <c r="A4" s="73" t="s">
        <v>96</v>
      </c>
      <c r="B4" s="73"/>
      <c r="C4" s="73"/>
      <c r="D4" s="73"/>
      <c r="E4" s="73"/>
      <c r="F4" s="73"/>
      <c r="G4" s="73"/>
      <c r="H4" s="73"/>
      <c r="I4" s="73"/>
      <c r="J4" s="73"/>
    </row>
    <row r="5" spans="1:10" x14ac:dyDescent="0.25">
      <c r="A5" s="73" t="s">
        <v>24</v>
      </c>
      <c r="B5" s="73"/>
      <c r="C5" s="73"/>
      <c r="D5" s="73"/>
      <c r="E5" s="73"/>
      <c r="F5" s="73"/>
      <c r="G5" s="73"/>
      <c r="H5" s="73"/>
      <c r="I5" s="73"/>
      <c r="J5" s="73"/>
    </row>
    <row r="6" spans="1:10" x14ac:dyDescent="0.25">
      <c r="A6" s="73" t="s">
        <v>23</v>
      </c>
      <c r="B6" s="73"/>
      <c r="C6" s="73"/>
      <c r="D6" s="73"/>
      <c r="E6" s="73"/>
      <c r="F6" s="73"/>
      <c r="G6" s="73"/>
      <c r="H6" s="73"/>
      <c r="I6" s="73"/>
      <c r="J6" s="73"/>
    </row>
    <row r="7" spans="1:10" x14ac:dyDescent="0.25">
      <c r="A7" s="75" t="s">
        <v>22</v>
      </c>
      <c r="B7" s="75"/>
      <c r="C7" s="76" t="s">
        <v>21</v>
      </c>
      <c r="D7" s="76"/>
      <c r="E7" s="76"/>
      <c r="F7" s="76"/>
      <c r="G7" s="76"/>
      <c r="H7" s="76"/>
      <c r="I7" s="74"/>
      <c r="J7" s="74"/>
    </row>
    <row r="8" spans="1:10" x14ac:dyDescent="0.25">
      <c r="A8" s="75" t="s">
        <v>1</v>
      </c>
      <c r="B8" s="75"/>
      <c r="C8" s="76" t="s">
        <v>95</v>
      </c>
      <c r="D8" s="76"/>
      <c r="E8" s="76"/>
      <c r="F8" s="76"/>
      <c r="G8" s="76"/>
      <c r="H8" s="76"/>
      <c r="I8" s="76"/>
      <c r="J8" s="74"/>
    </row>
    <row r="9" spans="1:10" x14ac:dyDescent="0.25">
      <c r="A9" s="75"/>
      <c r="B9" s="75"/>
      <c r="C9" s="78"/>
      <c r="D9" s="78"/>
      <c r="E9" s="78"/>
      <c r="F9" s="78"/>
      <c r="G9" s="78"/>
      <c r="H9" s="78"/>
      <c r="I9" s="76"/>
      <c r="J9" s="74"/>
    </row>
    <row r="10" spans="1:10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</row>
    <row r="11" spans="1:10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</row>
    <row r="12" spans="1:10" x14ac:dyDescent="0.25">
      <c r="A12" s="80" t="s">
        <v>19</v>
      </c>
      <c r="B12" s="80"/>
      <c r="C12" s="80"/>
      <c r="D12" s="80"/>
      <c r="E12" s="80"/>
      <c r="F12" s="80"/>
      <c r="G12" s="80"/>
      <c r="H12" s="80"/>
      <c r="I12" s="80"/>
      <c r="J12" s="80"/>
    </row>
    <row r="13" spans="1:10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0" ht="24.75" customHeight="1" x14ac:dyDescent="0.25">
      <c r="A14" s="81" t="s">
        <v>18</v>
      </c>
      <c r="B14" s="81"/>
      <c r="C14" s="81"/>
      <c r="D14" s="81"/>
      <c r="E14" s="81"/>
      <c r="F14" s="9" t="s">
        <v>17</v>
      </c>
      <c r="G14" s="9" t="s">
        <v>16</v>
      </c>
      <c r="H14" s="82" t="s">
        <v>15</v>
      </c>
      <c r="I14" s="82"/>
      <c r="J14" s="9" t="s">
        <v>14</v>
      </c>
    </row>
    <row r="15" spans="1:10" ht="17.25" customHeight="1" x14ac:dyDescent="0.25">
      <c r="A15" s="77" t="s">
        <v>13</v>
      </c>
      <c r="B15" s="77"/>
      <c r="C15" s="77"/>
      <c r="D15" s="77"/>
      <c r="E15" s="77"/>
      <c r="F15" s="77"/>
      <c r="G15" s="77"/>
      <c r="H15" s="77"/>
      <c r="I15" s="77"/>
      <c r="J15" s="77"/>
    </row>
    <row r="16" spans="1:10" x14ac:dyDescent="0.25">
      <c r="A16" s="74" t="s">
        <v>12</v>
      </c>
      <c r="B16" s="74"/>
      <c r="C16" s="74"/>
      <c r="D16" s="74"/>
      <c r="E16" s="74"/>
      <c r="F16" s="6">
        <v>0</v>
      </c>
      <c r="G16" s="6">
        <v>0</v>
      </c>
      <c r="H16" s="83">
        <v>0</v>
      </c>
      <c r="I16" s="83"/>
      <c r="J16" s="6">
        <f>F16+G16-H16</f>
        <v>0</v>
      </c>
    </row>
    <row r="17" spans="1:10" x14ac:dyDescent="0.25">
      <c r="A17" s="74" t="s">
        <v>10</v>
      </c>
      <c r="B17" s="74"/>
      <c r="C17" s="74"/>
      <c r="D17" s="74"/>
      <c r="E17" s="74"/>
      <c r="F17" s="6">
        <v>39849.4</v>
      </c>
      <c r="G17" s="6">
        <v>0</v>
      </c>
      <c r="H17" s="83">
        <v>0</v>
      </c>
      <c r="I17" s="83"/>
      <c r="J17" s="6">
        <f>F17+G17-H17</f>
        <v>39849.4</v>
      </c>
    </row>
    <row r="18" spans="1:10" x14ac:dyDescent="0.25">
      <c r="A18" s="74" t="s">
        <v>9</v>
      </c>
      <c r="B18" s="74"/>
      <c r="C18" s="74"/>
      <c r="D18" s="74"/>
      <c r="E18" s="74"/>
      <c r="F18" s="6">
        <v>0</v>
      </c>
      <c r="G18" s="6">
        <v>0</v>
      </c>
      <c r="H18" s="83">
        <v>0</v>
      </c>
      <c r="I18" s="83"/>
      <c r="J18" s="6">
        <f>F18+G18-H18</f>
        <v>0</v>
      </c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8" t="s">
        <v>8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74" t="s">
        <v>6</v>
      </c>
      <c r="B21" s="74"/>
      <c r="C21" s="74"/>
      <c r="D21" s="74"/>
      <c r="E21" s="74"/>
      <c r="F21" s="6">
        <v>0</v>
      </c>
      <c r="G21" s="6">
        <v>0</v>
      </c>
      <c r="H21" s="83">
        <v>0</v>
      </c>
      <c r="I21" s="83"/>
      <c r="J21" s="6">
        <f>F21+G21-H21</f>
        <v>0</v>
      </c>
    </row>
    <row r="22" spans="1:10" x14ac:dyDescent="0.25">
      <c r="A22" s="74" t="s">
        <v>5</v>
      </c>
      <c r="B22" s="74"/>
      <c r="C22" s="74"/>
      <c r="D22" s="74"/>
      <c r="E22" s="74"/>
      <c r="F22" s="6">
        <v>0</v>
      </c>
      <c r="G22" s="6">
        <v>0</v>
      </c>
      <c r="H22" s="83">
        <v>0</v>
      </c>
      <c r="I22" s="83"/>
      <c r="J22" s="6">
        <f>F22+G22-H22</f>
        <v>0</v>
      </c>
    </row>
    <row r="23" spans="1:10" x14ac:dyDescent="0.25">
      <c r="A23" s="74" t="s">
        <v>4</v>
      </c>
      <c r="B23" s="74"/>
      <c r="C23" s="74"/>
      <c r="D23" s="74"/>
      <c r="E23" s="74"/>
      <c r="F23" s="6">
        <v>337883.21</v>
      </c>
      <c r="G23" s="6">
        <v>0</v>
      </c>
      <c r="H23" s="83">
        <v>0</v>
      </c>
      <c r="I23" s="83"/>
      <c r="J23" s="6">
        <f>F23+G23-H23</f>
        <v>337883.21</v>
      </c>
    </row>
    <row r="24" spans="1:10" x14ac:dyDescent="0.25">
      <c r="A24" s="74" t="s">
        <v>3</v>
      </c>
      <c r="B24" s="74"/>
      <c r="C24" s="74"/>
      <c r="D24" s="74"/>
      <c r="E24" s="74"/>
      <c r="F24" s="6">
        <v>686016.71</v>
      </c>
      <c r="G24" s="6">
        <v>3952.03</v>
      </c>
      <c r="H24" s="83">
        <v>3084.42</v>
      </c>
      <c r="I24" s="83"/>
      <c r="J24" s="6">
        <f>F24+G24-H24</f>
        <v>686884.32</v>
      </c>
    </row>
    <row r="25" spans="1:10" x14ac:dyDescent="0.25">
      <c r="A25" s="74" t="s">
        <v>2</v>
      </c>
      <c r="B25" s="74"/>
      <c r="C25" s="74"/>
      <c r="D25" s="74"/>
      <c r="E25" s="74"/>
      <c r="F25" s="6">
        <v>0</v>
      </c>
      <c r="G25" s="6">
        <v>0</v>
      </c>
      <c r="H25" s="83">
        <v>0</v>
      </c>
      <c r="I25" s="83"/>
      <c r="J25" s="6">
        <f>F25+G25-H25</f>
        <v>0</v>
      </c>
    </row>
    <row r="26" spans="1:10" x14ac:dyDescent="0.25">
      <c r="A26" s="7"/>
      <c r="B26" s="7"/>
      <c r="C26" s="7"/>
      <c r="D26" s="7"/>
      <c r="E26" s="7"/>
      <c r="F26" s="6"/>
      <c r="G26" s="6"/>
      <c r="H26" s="6"/>
      <c r="I26" s="6"/>
      <c r="J26" s="6"/>
    </row>
    <row r="27" spans="1:10" ht="15.75" customHeight="1" x14ac:dyDescent="0.25">
      <c r="A27" s="5"/>
      <c r="B27" s="5"/>
      <c r="C27" s="5"/>
      <c r="D27" s="5"/>
      <c r="E27" s="5"/>
      <c r="F27" s="4"/>
      <c r="G27" s="4"/>
      <c r="H27" s="4"/>
      <c r="I27" s="4"/>
      <c r="J27" s="4"/>
    </row>
    <row r="28" spans="1:10" x14ac:dyDescent="0.25">
      <c r="A28" s="3" t="s">
        <v>1</v>
      </c>
      <c r="B28" s="85" t="s">
        <v>94</v>
      </c>
      <c r="C28" s="86"/>
      <c r="D28" s="86"/>
      <c r="E28" s="87">
        <f>SUM(F16:F25)</f>
        <v>1063749.32</v>
      </c>
      <c r="F28" s="87"/>
      <c r="G28" s="87">
        <f>SUM(G16:G25)</f>
        <v>3952.03</v>
      </c>
      <c r="H28" s="87">
        <f>SUM(H16:H25)</f>
        <v>3084.42</v>
      </c>
      <c r="I28" s="87"/>
      <c r="J28" s="87">
        <f>SUM(J16:J25)</f>
        <v>1064616.93</v>
      </c>
    </row>
    <row r="29" spans="1:10" x14ac:dyDescent="0.25">
      <c r="A29" s="3"/>
      <c r="B29" s="86"/>
      <c r="C29" s="86"/>
      <c r="D29" s="86"/>
      <c r="E29" s="87"/>
      <c r="F29" s="87"/>
      <c r="G29" s="87"/>
      <c r="H29" s="87"/>
      <c r="I29" s="87"/>
      <c r="J29" s="87"/>
    </row>
    <row r="30" spans="1:10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</row>
    <row r="31" spans="1:10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</row>
    <row r="32" spans="1:10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</row>
    <row r="33" spans="1:10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</row>
  </sheetData>
  <mergeCells count="52">
    <mergeCell ref="A15:J15"/>
    <mergeCell ref="A9:B9"/>
    <mergeCell ref="C9:H9"/>
    <mergeCell ref="I9:J9"/>
    <mergeCell ref="A10:B10"/>
    <mergeCell ref="A14:E14"/>
    <mergeCell ref="H14:I14"/>
    <mergeCell ref="A1:C1"/>
    <mergeCell ref="D1:H1"/>
    <mergeCell ref="I1:J1"/>
    <mergeCell ref="A2:J2"/>
    <mergeCell ref="A3:J3"/>
    <mergeCell ref="A8:B8"/>
    <mergeCell ref="C8:H8"/>
    <mergeCell ref="I8:J8"/>
    <mergeCell ref="A4:J4"/>
    <mergeCell ref="A5:J5"/>
    <mergeCell ref="A6:J6"/>
    <mergeCell ref="A7:B7"/>
    <mergeCell ref="C7:H7"/>
    <mergeCell ref="I7:J7"/>
    <mergeCell ref="C10:H10"/>
    <mergeCell ref="I10:J10"/>
    <mergeCell ref="A11:J11"/>
    <mergeCell ref="A12:J12"/>
    <mergeCell ref="A13:J13"/>
    <mergeCell ref="A16:E16"/>
    <mergeCell ref="H16:I16"/>
    <mergeCell ref="A17:E17"/>
    <mergeCell ref="H17:I17"/>
    <mergeCell ref="A18:E18"/>
    <mergeCell ref="H18:I18"/>
    <mergeCell ref="A21:E21"/>
    <mergeCell ref="H21:I21"/>
    <mergeCell ref="A22:E22"/>
    <mergeCell ref="H22:I22"/>
    <mergeCell ref="A23:E23"/>
    <mergeCell ref="H23:I23"/>
    <mergeCell ref="A24:E24"/>
    <mergeCell ref="H24:I24"/>
    <mergeCell ref="A25:E25"/>
    <mergeCell ref="H25:I25"/>
    <mergeCell ref="B28:D28"/>
    <mergeCell ref="E28:F29"/>
    <mergeCell ref="G28:G29"/>
    <mergeCell ref="H28:I29"/>
    <mergeCell ref="B29:D29"/>
    <mergeCell ref="A30:J30"/>
    <mergeCell ref="A31:J31"/>
    <mergeCell ref="A32:J32"/>
    <mergeCell ref="A33:J33"/>
    <mergeCell ref="J28:J29"/>
  </mergeCells>
  <pageMargins left="0.7" right="0.7" top="0.75" bottom="0.75" header="0.3" footer="0.3"/>
  <pageSetup scale="98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FE06-1387-4050-8877-77B1ACF630D9}">
  <dimension ref="A1:V41"/>
  <sheetViews>
    <sheetView zoomScaleNormal="100" workbookViewId="0">
      <selection activeCell="G20" sqref="G20"/>
    </sheetView>
  </sheetViews>
  <sheetFormatPr defaultColWidth="9.140625" defaultRowHeight="15" x14ac:dyDescent="0.25"/>
  <cols>
    <col min="1" max="1" width="1.7109375" style="10" customWidth="1"/>
    <col min="2" max="2" width="9" style="10" customWidth="1"/>
    <col min="3" max="3" width="44.28515625" style="10" customWidth="1"/>
    <col min="4" max="4" width="1.7109375" style="10" customWidth="1"/>
    <col min="5" max="5" width="15.7109375" style="11" customWidth="1"/>
    <col min="6" max="6" width="1.7109375" style="11" customWidth="1"/>
    <col min="7" max="7" width="15.7109375" style="11" customWidth="1"/>
    <col min="8" max="8" width="1.7109375" style="11" customWidth="1"/>
    <col min="9" max="9" width="15.7109375" style="11" customWidth="1"/>
    <col min="10" max="10" width="1.7109375" style="11" customWidth="1"/>
    <col min="11" max="11" width="15.7109375" style="11" customWidth="1"/>
    <col min="12" max="12" width="1.7109375" style="10" customWidth="1"/>
    <col min="13" max="13" width="15.7109375" style="10" customWidth="1"/>
    <col min="14" max="14" width="1.7109375" style="10" customWidth="1"/>
    <col min="15" max="15" width="15.7109375" style="10" customWidth="1"/>
    <col min="16" max="16" width="1.7109375" style="10" customWidth="1"/>
    <col min="17" max="17" width="15.7109375" style="10" customWidth="1"/>
    <col min="18" max="18" width="1.7109375" style="10" customWidth="1"/>
    <col min="19" max="20" width="15.7109375" style="10" customWidth="1"/>
    <col min="21" max="21" width="1.7109375" style="10" customWidth="1"/>
    <col min="22" max="22" width="15.7109375" style="10" customWidth="1"/>
    <col min="23" max="16384" width="9.140625" style="10"/>
  </cols>
  <sheetData>
    <row r="1" spans="1:22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 t="s">
        <v>83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 t="s">
        <v>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33" t="s">
        <v>96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33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26"/>
      <c r="K7" s="32" t="s">
        <v>80</v>
      </c>
      <c r="L7" s="32"/>
      <c r="M7" s="32"/>
      <c r="N7" s="32"/>
      <c r="O7" s="32"/>
      <c r="P7" s="32"/>
      <c r="Q7" s="32"/>
      <c r="R7" s="32"/>
      <c r="S7" s="32"/>
      <c r="T7" s="32"/>
      <c r="U7" s="12"/>
      <c r="V7" s="12"/>
    </row>
    <row r="8" spans="1:22" x14ac:dyDescent="0.25">
      <c r="A8" s="12"/>
      <c r="B8" s="12"/>
      <c r="C8" s="12"/>
      <c r="D8" s="12"/>
      <c r="E8" s="31" t="s">
        <v>79</v>
      </c>
      <c r="F8" s="28"/>
      <c r="G8" s="31" t="s">
        <v>78</v>
      </c>
      <c r="H8" s="28"/>
      <c r="I8" s="31" t="s">
        <v>77</v>
      </c>
      <c r="J8" s="29"/>
      <c r="K8" s="31" t="s">
        <v>76</v>
      </c>
      <c r="L8" s="12"/>
      <c r="M8" s="31" t="s">
        <v>75</v>
      </c>
      <c r="N8" s="28"/>
      <c r="O8" s="31" t="s">
        <v>74</v>
      </c>
      <c r="P8" s="28"/>
      <c r="Q8" s="31" t="s">
        <v>73</v>
      </c>
      <c r="R8" s="28"/>
      <c r="S8" s="31" t="s">
        <v>72</v>
      </c>
      <c r="T8" s="31" t="s">
        <v>71</v>
      </c>
      <c r="U8" s="28"/>
      <c r="V8" s="31" t="s">
        <v>70</v>
      </c>
    </row>
    <row r="9" spans="1:22" ht="120" x14ac:dyDescent="0.25">
      <c r="A9" s="25"/>
      <c r="B9" s="12"/>
      <c r="C9" s="12"/>
      <c r="D9" s="12"/>
      <c r="E9" s="27" t="s">
        <v>69</v>
      </c>
      <c r="F9" s="28"/>
      <c r="G9" s="27" t="s">
        <v>68</v>
      </c>
      <c r="H9" s="28"/>
      <c r="I9" s="30" t="s">
        <v>67</v>
      </c>
      <c r="J9" s="29"/>
      <c r="K9" s="27" t="s">
        <v>66</v>
      </c>
      <c r="L9" s="28"/>
      <c r="M9" s="27" t="s">
        <v>65</v>
      </c>
      <c r="N9" s="12"/>
      <c r="O9" s="27" t="s">
        <v>64</v>
      </c>
      <c r="P9" s="12"/>
      <c r="Q9" s="27" t="s">
        <v>63</v>
      </c>
      <c r="R9" s="12"/>
      <c r="S9" s="27" t="s">
        <v>62</v>
      </c>
      <c r="T9" s="27" t="s">
        <v>61</v>
      </c>
      <c r="U9" s="12"/>
      <c r="V9" s="27" t="s">
        <v>60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26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25" t="s">
        <v>13</v>
      </c>
      <c r="B11" s="12"/>
      <c r="C11" s="12"/>
      <c r="D11" s="12"/>
      <c r="E11" s="13"/>
      <c r="F11" s="13"/>
      <c r="G11" s="13"/>
      <c r="H11" s="13"/>
      <c r="I11" s="13"/>
      <c r="J11" s="26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59</v>
      </c>
      <c r="C12" s="12"/>
      <c r="D12" s="12"/>
      <c r="E12" s="18"/>
      <c r="F12" s="18"/>
      <c r="G12" s="18"/>
      <c r="H12" s="18"/>
      <c r="I12" s="15"/>
      <c r="J12" s="2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>
        <f t="shared" ref="V12:V17" si="0">SUM(K12:T12)</f>
        <v>0</v>
      </c>
    </row>
    <row r="13" spans="1:22" x14ac:dyDescent="0.25">
      <c r="A13" s="12"/>
      <c r="B13" s="12" t="s">
        <v>58</v>
      </c>
      <c r="C13" s="12"/>
      <c r="D13" s="12"/>
      <c r="E13" s="18"/>
      <c r="F13" s="18"/>
      <c r="G13" s="18"/>
      <c r="H13" s="18"/>
      <c r="I13" s="15"/>
      <c r="J13" s="2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>
        <f t="shared" si="0"/>
        <v>0</v>
      </c>
    </row>
    <row r="14" spans="1:22" x14ac:dyDescent="0.25">
      <c r="A14" s="12"/>
      <c r="B14" s="12" t="s">
        <v>57</v>
      </c>
      <c r="C14" s="12"/>
      <c r="D14" s="12"/>
      <c r="E14" s="18"/>
      <c r="F14" s="18"/>
      <c r="G14" s="18"/>
      <c r="H14" s="18"/>
      <c r="I14" s="15"/>
      <c r="J14" s="2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5">
        <f t="shared" si="0"/>
        <v>0</v>
      </c>
    </row>
    <row r="15" spans="1:22" x14ac:dyDescent="0.25">
      <c r="A15" s="12"/>
      <c r="B15" s="12" t="s">
        <v>56</v>
      </c>
      <c r="C15" s="12"/>
      <c r="D15" s="12"/>
      <c r="E15" s="38">
        <v>39849.4</v>
      </c>
      <c r="F15" s="38"/>
      <c r="G15" s="38">
        <v>39849</v>
      </c>
      <c r="H15" s="18"/>
      <c r="I15" s="15">
        <f>G15-E15</f>
        <v>-0.40000000000145519</v>
      </c>
      <c r="J15" s="2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>
        <f t="shared" si="0"/>
        <v>0</v>
      </c>
    </row>
    <row r="16" spans="1:22" x14ac:dyDescent="0.25">
      <c r="A16" s="12"/>
      <c r="B16" s="12" t="s">
        <v>55</v>
      </c>
      <c r="C16" s="12"/>
      <c r="D16" s="12"/>
      <c r="E16" s="38"/>
      <c r="F16" s="38"/>
      <c r="G16" s="38"/>
      <c r="H16" s="18"/>
      <c r="I16" s="15"/>
      <c r="J16" s="2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>
        <f t="shared" si="0"/>
        <v>0</v>
      </c>
    </row>
    <row r="17" spans="1:22" x14ac:dyDescent="0.25">
      <c r="A17" s="12"/>
      <c r="B17" s="12" t="s">
        <v>54</v>
      </c>
      <c r="C17" s="12"/>
      <c r="D17" s="12"/>
      <c r="E17" s="38"/>
      <c r="F17" s="38"/>
      <c r="G17" s="38"/>
      <c r="H17" s="18"/>
      <c r="I17" s="15"/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>
        <f t="shared" si="0"/>
        <v>0</v>
      </c>
    </row>
    <row r="18" spans="1:22" x14ac:dyDescent="0.25">
      <c r="A18" s="25" t="s">
        <v>8</v>
      </c>
      <c r="B18" s="12"/>
      <c r="C18" s="12"/>
      <c r="D18" s="12"/>
      <c r="E18" s="38"/>
      <c r="F18" s="38"/>
      <c r="G18" s="38"/>
      <c r="H18" s="18"/>
      <c r="I18" s="15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</row>
    <row r="19" spans="1:22" x14ac:dyDescent="0.25">
      <c r="A19" s="12"/>
      <c r="B19" s="12" t="s">
        <v>53</v>
      </c>
      <c r="C19" s="12"/>
      <c r="D19" s="12"/>
      <c r="E19" s="38"/>
      <c r="F19" s="38"/>
      <c r="G19" s="38"/>
      <c r="H19" s="18"/>
      <c r="I19" s="15"/>
      <c r="J19" s="2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>
        <f t="shared" ref="V19:V30" si="1">SUM(K19:T19)</f>
        <v>0</v>
      </c>
    </row>
    <row r="20" spans="1:22" x14ac:dyDescent="0.25">
      <c r="A20" s="12"/>
      <c r="B20" s="12" t="s">
        <v>52</v>
      </c>
      <c r="C20" s="12"/>
      <c r="D20" s="12"/>
      <c r="E20" s="38"/>
      <c r="F20" s="38"/>
      <c r="G20" s="38"/>
      <c r="H20" s="18"/>
      <c r="I20" s="15"/>
      <c r="J20" s="2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5">
        <f t="shared" si="1"/>
        <v>0</v>
      </c>
    </row>
    <row r="21" spans="1:22" x14ac:dyDescent="0.25">
      <c r="A21" s="12"/>
      <c r="B21" s="12" t="s">
        <v>51</v>
      </c>
      <c r="C21" s="12"/>
      <c r="D21" s="12"/>
      <c r="E21" s="38"/>
      <c r="F21" s="38"/>
      <c r="G21" s="38"/>
      <c r="H21" s="18"/>
      <c r="I21" s="15"/>
      <c r="J21" s="2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5">
        <f t="shared" si="1"/>
        <v>0</v>
      </c>
    </row>
    <row r="22" spans="1:22" x14ac:dyDescent="0.25">
      <c r="A22" s="12"/>
      <c r="B22" s="12" t="s">
        <v>50</v>
      </c>
      <c r="C22" s="12"/>
      <c r="D22" s="12"/>
      <c r="E22" s="38"/>
      <c r="F22" s="38"/>
      <c r="G22" s="38"/>
      <c r="H22" s="18"/>
      <c r="I22" s="15"/>
      <c r="J22" s="2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5">
        <f t="shared" si="1"/>
        <v>0</v>
      </c>
    </row>
    <row r="23" spans="1:22" x14ac:dyDescent="0.25">
      <c r="A23" s="12"/>
      <c r="B23" s="12" t="s">
        <v>49</v>
      </c>
      <c r="C23" s="12"/>
      <c r="D23" s="12"/>
      <c r="E23" s="38"/>
      <c r="F23" s="38"/>
      <c r="G23" s="38"/>
      <c r="H23" s="18"/>
      <c r="I23" s="15"/>
      <c r="J23" s="2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5">
        <f t="shared" si="1"/>
        <v>0</v>
      </c>
    </row>
    <row r="24" spans="1:22" x14ac:dyDescent="0.25">
      <c r="A24" s="12"/>
      <c r="B24" s="12" t="s">
        <v>48</v>
      </c>
      <c r="C24" s="12"/>
      <c r="D24" s="12"/>
      <c r="E24" s="38">
        <v>408703.4</v>
      </c>
      <c r="F24" s="38"/>
      <c r="G24" s="38">
        <v>337883.21</v>
      </c>
      <c r="H24" s="18"/>
      <c r="I24" s="21">
        <f>G24-E24</f>
        <v>-70820.19</v>
      </c>
      <c r="J24" s="20"/>
      <c r="K24" s="18"/>
      <c r="L24" s="18"/>
      <c r="M24" s="18"/>
      <c r="N24" s="18"/>
      <c r="O24" s="18"/>
      <c r="P24" s="18"/>
      <c r="Q24" s="18"/>
      <c r="R24" s="18"/>
      <c r="S24" s="18"/>
      <c r="T24" s="18">
        <f>I24</f>
        <v>-70820.19</v>
      </c>
      <c r="U24" s="18"/>
      <c r="V24" s="15">
        <f t="shared" si="1"/>
        <v>-70820.19</v>
      </c>
    </row>
    <row r="25" spans="1:22" x14ac:dyDescent="0.25">
      <c r="A25" s="12"/>
      <c r="B25" s="12" t="s">
        <v>47</v>
      </c>
      <c r="C25" s="12"/>
      <c r="D25" s="12"/>
      <c r="E25" s="38"/>
      <c r="F25" s="38"/>
      <c r="G25" s="38"/>
      <c r="H25" s="18"/>
      <c r="I25" s="15"/>
      <c r="J25" s="20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5">
        <f t="shared" si="1"/>
        <v>0</v>
      </c>
    </row>
    <row r="26" spans="1:22" customFormat="1" x14ac:dyDescent="0.25">
      <c r="A26" s="24"/>
      <c r="B26" s="24" t="s">
        <v>46</v>
      </c>
      <c r="C26" s="24"/>
      <c r="D26" s="22">
        <v>713475</v>
      </c>
      <c r="E26" s="37">
        <v>694308.6</v>
      </c>
      <c r="F26" s="37"/>
      <c r="G26" s="37">
        <v>686016.71</v>
      </c>
      <c r="H26" s="36">
        <v>224242</v>
      </c>
      <c r="I26" s="21">
        <f>G26-E26</f>
        <v>-8291.890000000014</v>
      </c>
      <c r="J26" s="20"/>
      <c r="S26" s="21">
        <f>I26</f>
        <v>-8291.890000000014</v>
      </c>
      <c r="T26" s="21"/>
      <c r="V26" s="15">
        <f t="shared" si="1"/>
        <v>-8291.890000000014</v>
      </c>
    </row>
    <row r="27" spans="1:22" x14ac:dyDescent="0.25">
      <c r="A27" s="12"/>
      <c r="B27" s="12" t="s">
        <v>45</v>
      </c>
      <c r="C27" s="12"/>
      <c r="D27" s="12"/>
      <c r="E27" s="18"/>
      <c r="F27" s="18"/>
      <c r="G27" s="18"/>
      <c r="H27" s="18"/>
      <c r="I27" s="15"/>
      <c r="J27" s="20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5">
        <f t="shared" si="1"/>
        <v>0</v>
      </c>
    </row>
    <row r="28" spans="1:22" x14ac:dyDescent="0.25">
      <c r="A28" s="12"/>
      <c r="B28" s="12" t="s">
        <v>44</v>
      </c>
      <c r="C28" s="12"/>
      <c r="D28" s="12"/>
      <c r="E28" s="18"/>
      <c r="F28" s="18"/>
      <c r="G28" s="18"/>
      <c r="H28" s="18"/>
      <c r="I28" s="15">
        <f>G28-E28</f>
        <v>0</v>
      </c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>
        <f t="shared" si="1"/>
        <v>0</v>
      </c>
    </row>
    <row r="29" spans="1:22" x14ac:dyDescent="0.25">
      <c r="A29" s="12"/>
      <c r="B29" s="12" t="s">
        <v>43</v>
      </c>
      <c r="C29" s="12"/>
      <c r="D29" s="12"/>
      <c r="E29" s="18"/>
      <c r="F29" s="18"/>
      <c r="G29" s="18"/>
      <c r="H29" s="18"/>
      <c r="I29" s="15"/>
      <c r="J29" s="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5">
        <f t="shared" si="1"/>
        <v>0</v>
      </c>
    </row>
    <row r="30" spans="1:22" x14ac:dyDescent="0.25">
      <c r="A30" s="12"/>
      <c r="B30" s="12" t="s">
        <v>42</v>
      </c>
      <c r="C30" s="12"/>
      <c r="D30" s="12"/>
      <c r="E30" s="19"/>
      <c r="F30" s="18"/>
      <c r="G30" s="19"/>
      <c r="H30" s="18"/>
      <c r="I30" s="15"/>
      <c r="J30" s="20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5">
        <f t="shared" si="1"/>
        <v>0</v>
      </c>
    </row>
    <row r="31" spans="1:22" ht="15.75" thickBot="1" x14ac:dyDescent="0.3">
      <c r="A31" s="17" t="s">
        <v>41</v>
      </c>
      <c r="E31" s="14">
        <f>SUM(E12:E30)</f>
        <v>1142861.3999999999</v>
      </c>
      <c r="F31" s="15"/>
      <c r="G31" s="14">
        <f>SUM(G12:G30)</f>
        <v>1063748.92</v>
      </c>
      <c r="H31" s="15"/>
      <c r="I31" s="14">
        <f>SUM(I12:I30)</f>
        <v>-79112.48000000001</v>
      </c>
      <c r="J31" s="16"/>
      <c r="K31" s="14">
        <f>SUM(K12:K30)</f>
        <v>0</v>
      </c>
      <c r="L31" s="15"/>
      <c r="M31" s="14">
        <f>SUM(M12:M30)</f>
        <v>0</v>
      </c>
      <c r="N31" s="15"/>
      <c r="O31" s="14">
        <f>SUM(O12:O30)</f>
        <v>0</v>
      </c>
      <c r="P31" s="15"/>
      <c r="Q31" s="14">
        <f>SUM(Q12:Q30)</f>
        <v>0</v>
      </c>
      <c r="R31" s="15"/>
      <c r="S31" s="14">
        <f>SUM(S12:S30)</f>
        <v>-8291.890000000014</v>
      </c>
      <c r="T31" s="14">
        <f>SUM(T12:T30)</f>
        <v>-70820.19</v>
      </c>
      <c r="U31" s="15"/>
      <c r="V31" s="14">
        <f>SUM(V12:V30)</f>
        <v>-79112.080000000016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40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39</v>
      </c>
      <c r="B35" s="12"/>
      <c r="C35" s="12" t="s">
        <v>38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37</v>
      </c>
      <c r="B36" s="12"/>
      <c r="C36" s="12" t="s">
        <v>36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35</v>
      </c>
      <c r="B37" s="12"/>
      <c r="C37" s="12" t="s">
        <v>34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33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32</v>
      </c>
      <c r="B39" s="12"/>
      <c r="C39" s="12" t="s">
        <v>31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30</v>
      </c>
      <c r="B40" s="12"/>
      <c r="C40" s="12" t="s">
        <v>29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59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30A9-4278-4DE4-9860-AA7F6CD9CA04}">
  <dimension ref="A1:J30"/>
  <sheetViews>
    <sheetView showGridLines="0" zoomScaleNormal="100" workbookViewId="0">
      <selection activeCell="A28" sqref="A28:J28"/>
    </sheetView>
  </sheetViews>
  <sheetFormatPr defaultRowHeight="15" x14ac:dyDescent="0.25"/>
  <cols>
    <col min="1" max="1" width="12.140625" style="39" customWidth="1"/>
    <col min="2" max="2" width="5.28515625" style="39" customWidth="1"/>
    <col min="3" max="3" width="7.5703125" style="39" customWidth="1"/>
    <col min="4" max="4" width="4.5703125" style="39" customWidth="1"/>
    <col min="5" max="5" width="19" style="39" customWidth="1"/>
    <col min="6" max="6" width="17.42578125" style="39" customWidth="1"/>
    <col min="7" max="7" width="16.7109375" style="39" customWidth="1"/>
    <col min="8" max="8" width="14.42578125" style="39" customWidth="1"/>
    <col min="9" max="9" width="3" style="39" customWidth="1"/>
    <col min="10" max="10" width="22.140625" style="39" customWidth="1"/>
    <col min="11" max="16384" width="9.140625" style="39"/>
  </cols>
  <sheetData>
    <row r="1" spans="1:10" x14ac:dyDescent="0.25">
      <c r="A1" s="97"/>
      <c r="B1" s="97"/>
      <c r="C1" s="97"/>
      <c r="D1" s="97"/>
      <c r="E1" s="97"/>
      <c r="F1" s="97"/>
      <c r="G1" s="97"/>
      <c r="H1" s="97"/>
      <c r="I1" s="97" t="s">
        <v>28</v>
      </c>
      <c r="J1" s="97"/>
    </row>
    <row r="2" spans="1:10" x14ac:dyDescent="0.25">
      <c r="A2" s="101" t="s">
        <v>27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 x14ac:dyDescent="0.25">
      <c r="A3" s="102" t="str">
        <f>[11]Links!B2</f>
        <v>DEPARTMENT OF WATER RESOURCES (3860)</v>
      </c>
      <c r="B3" s="101"/>
      <c r="C3" s="101"/>
      <c r="D3" s="101"/>
      <c r="E3" s="101"/>
      <c r="F3" s="101"/>
      <c r="G3" s="101"/>
      <c r="H3" s="101"/>
      <c r="I3" s="101"/>
      <c r="J3" s="101"/>
    </row>
    <row r="4" spans="1:10" x14ac:dyDescent="0.25">
      <c r="A4" s="102" t="s">
        <v>102</v>
      </c>
      <c r="B4" s="101"/>
      <c r="C4" s="101"/>
      <c r="D4" s="101"/>
      <c r="E4" s="101"/>
      <c r="F4" s="101"/>
      <c r="G4" s="101"/>
      <c r="H4" s="101"/>
      <c r="I4" s="101"/>
      <c r="J4" s="101"/>
    </row>
    <row r="5" spans="1:10" x14ac:dyDescent="0.25">
      <c r="A5" s="101" t="s">
        <v>24</v>
      </c>
      <c r="B5" s="101"/>
      <c r="C5" s="101"/>
      <c r="D5" s="101"/>
      <c r="E5" s="101"/>
      <c r="F5" s="101"/>
      <c r="G5" s="101"/>
      <c r="H5" s="101"/>
      <c r="I5" s="101"/>
      <c r="J5" s="101"/>
    </row>
    <row r="6" spans="1:10" x14ac:dyDescent="0.25">
      <c r="A6" s="101" t="s">
        <v>23</v>
      </c>
      <c r="B6" s="101"/>
      <c r="C6" s="101"/>
      <c r="D6" s="101"/>
      <c r="E6" s="101"/>
      <c r="F6" s="101"/>
      <c r="G6" s="101"/>
      <c r="H6" s="101"/>
      <c r="I6" s="101"/>
      <c r="J6" s="101"/>
    </row>
    <row r="7" spans="1:10" x14ac:dyDescent="0.25">
      <c r="A7" s="104" t="s">
        <v>22</v>
      </c>
      <c r="B7" s="104"/>
      <c r="C7" s="106" t="s">
        <v>21</v>
      </c>
      <c r="D7" s="106"/>
      <c r="E7" s="106"/>
      <c r="F7" s="106"/>
      <c r="G7" s="106"/>
      <c r="H7" s="106"/>
      <c r="I7" s="106" t="s">
        <v>90</v>
      </c>
      <c r="J7" s="97"/>
    </row>
    <row r="8" spans="1:10" x14ac:dyDescent="0.25">
      <c r="A8" s="104" t="s">
        <v>1</v>
      </c>
      <c r="B8" s="104"/>
      <c r="C8" s="106" t="s">
        <v>101</v>
      </c>
      <c r="D8" s="106"/>
      <c r="E8" s="106"/>
      <c r="F8" s="106"/>
      <c r="G8" s="106"/>
      <c r="H8" s="106"/>
      <c r="I8" s="104" t="s">
        <v>100</v>
      </c>
      <c r="J8" s="97"/>
    </row>
    <row r="9" spans="1:10" x14ac:dyDescent="0.25">
      <c r="A9" s="104"/>
      <c r="B9" s="104"/>
      <c r="C9" s="105"/>
      <c r="D9" s="105"/>
      <c r="E9" s="105"/>
      <c r="F9" s="105"/>
      <c r="G9" s="105"/>
      <c r="H9" s="105"/>
      <c r="I9" s="106" t="s">
        <v>87</v>
      </c>
      <c r="J9" s="97"/>
    </row>
    <row r="10" spans="1:10" x14ac:dyDescent="0.25">
      <c r="A10" s="97"/>
      <c r="B10" s="97"/>
      <c r="C10" s="97"/>
      <c r="D10" s="97"/>
      <c r="E10" s="97"/>
      <c r="F10" s="97"/>
      <c r="G10" s="97"/>
      <c r="H10" s="97"/>
      <c r="I10" s="97"/>
      <c r="J10" s="97"/>
    </row>
    <row r="11" spans="1:10" x14ac:dyDescent="0.25">
      <c r="A11" s="90"/>
      <c r="B11" s="90"/>
      <c r="C11" s="90"/>
      <c r="D11" s="90"/>
      <c r="E11" s="90"/>
      <c r="F11" s="90"/>
      <c r="G11" s="90"/>
      <c r="H11" s="90"/>
      <c r="I11" s="90"/>
      <c r="J11" s="90"/>
    </row>
    <row r="12" spans="1:10" x14ac:dyDescent="0.25">
      <c r="A12" s="98" t="s">
        <v>19</v>
      </c>
      <c r="B12" s="98"/>
      <c r="C12" s="98"/>
      <c r="D12" s="98"/>
      <c r="E12" s="98"/>
      <c r="F12" s="98"/>
      <c r="G12" s="98"/>
      <c r="H12" s="98"/>
      <c r="I12" s="98"/>
      <c r="J12" s="98"/>
    </row>
    <row r="13" spans="1:10" x14ac:dyDescent="0.25">
      <c r="A13" s="90"/>
      <c r="B13" s="90"/>
      <c r="C13" s="90"/>
      <c r="D13" s="90"/>
      <c r="E13" s="90"/>
      <c r="F13" s="90"/>
      <c r="G13" s="90"/>
      <c r="H13" s="90"/>
      <c r="I13" s="90"/>
      <c r="J13" s="90"/>
    </row>
    <row r="14" spans="1:10" ht="24.75" customHeight="1" x14ac:dyDescent="0.25">
      <c r="A14" s="99" t="s">
        <v>18</v>
      </c>
      <c r="B14" s="99"/>
      <c r="C14" s="99"/>
      <c r="D14" s="99"/>
      <c r="E14" s="99"/>
      <c r="F14" s="48" t="s">
        <v>17</v>
      </c>
      <c r="G14" s="48" t="s">
        <v>16</v>
      </c>
      <c r="H14" s="100" t="s">
        <v>15</v>
      </c>
      <c r="I14" s="100"/>
      <c r="J14" s="48" t="s">
        <v>14</v>
      </c>
    </row>
    <row r="15" spans="1:10" ht="17.25" customHeight="1" x14ac:dyDescent="0.25">
      <c r="A15" s="103" t="s">
        <v>13</v>
      </c>
      <c r="B15" s="103"/>
      <c r="C15" s="103"/>
      <c r="D15" s="103"/>
      <c r="E15" s="103"/>
      <c r="F15" s="103"/>
      <c r="G15" s="103"/>
      <c r="H15" s="103"/>
      <c r="I15" s="103"/>
      <c r="J15" s="103"/>
    </row>
    <row r="16" spans="1:10" x14ac:dyDescent="0.25">
      <c r="A16" s="92" t="s">
        <v>99</v>
      </c>
      <c r="B16" s="92"/>
      <c r="C16" s="92"/>
      <c r="D16" s="92"/>
      <c r="E16" s="92"/>
      <c r="F16" s="43">
        <v>0</v>
      </c>
      <c r="G16" s="43">
        <v>0</v>
      </c>
      <c r="H16" s="94">
        <v>0</v>
      </c>
      <c r="I16" s="94"/>
      <c r="J16" s="43">
        <f>F16+G16-H16</f>
        <v>0</v>
      </c>
    </row>
    <row r="17" spans="1:10" x14ac:dyDescent="0.25">
      <c r="A17" s="92" t="s">
        <v>9</v>
      </c>
      <c r="B17" s="92"/>
      <c r="C17" s="92"/>
      <c r="D17" s="92"/>
      <c r="E17" s="92"/>
      <c r="F17" s="43">
        <v>0</v>
      </c>
      <c r="G17" s="43">
        <v>0</v>
      </c>
      <c r="H17" s="94">
        <v>0</v>
      </c>
      <c r="I17" s="94"/>
      <c r="J17" s="43">
        <f>F17+G17-H17</f>
        <v>0</v>
      </c>
    </row>
    <row r="18" spans="1:10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spans="1:10" x14ac:dyDescent="0.25">
      <c r="A19" s="46" t="s">
        <v>8</v>
      </c>
      <c r="B19" s="46"/>
      <c r="C19" s="46"/>
      <c r="D19" s="46"/>
      <c r="E19" s="46"/>
      <c r="F19" s="46"/>
      <c r="G19" s="46"/>
      <c r="H19" s="46"/>
      <c r="I19" s="46"/>
      <c r="J19" s="46"/>
    </row>
    <row r="20" spans="1:10" x14ac:dyDescent="0.25">
      <c r="A20" s="92" t="s">
        <v>98</v>
      </c>
      <c r="B20" s="92"/>
      <c r="C20" s="92"/>
      <c r="D20" s="92"/>
      <c r="E20" s="92"/>
      <c r="F20" s="45">
        <v>12861.916803428292</v>
      </c>
      <c r="G20" s="45">
        <v>0</v>
      </c>
      <c r="H20" s="93">
        <v>0</v>
      </c>
      <c r="I20" s="93"/>
      <c r="J20" s="45">
        <f>F20+G20-H20</f>
        <v>12861.916803428292</v>
      </c>
    </row>
    <row r="21" spans="1:10" ht="15" customHeight="1" x14ac:dyDescent="0.25">
      <c r="A21" s="92" t="s">
        <v>85</v>
      </c>
      <c r="B21" s="92"/>
      <c r="C21" s="92"/>
      <c r="D21" s="92"/>
      <c r="E21" s="92"/>
      <c r="F21" s="45">
        <v>1505.9198825725289</v>
      </c>
      <c r="G21" s="45">
        <v>150.43873686137479</v>
      </c>
      <c r="H21" s="93">
        <v>117.412103046749</v>
      </c>
      <c r="I21" s="93"/>
      <c r="J21" s="45">
        <f>F21+G21-H21</f>
        <v>1538.9465163871546</v>
      </c>
    </row>
    <row r="22" spans="1:10" x14ac:dyDescent="0.25">
      <c r="A22" s="92" t="s">
        <v>2</v>
      </c>
      <c r="B22" s="92"/>
      <c r="C22" s="92"/>
      <c r="D22" s="92"/>
      <c r="E22" s="92"/>
      <c r="F22" s="43">
        <v>0</v>
      </c>
      <c r="G22" s="43">
        <v>0</v>
      </c>
      <c r="H22" s="94">
        <v>0</v>
      </c>
      <c r="I22" s="94"/>
      <c r="J22" s="43">
        <f>F22+G22-H22</f>
        <v>0</v>
      </c>
    </row>
    <row r="23" spans="1:10" x14ac:dyDescent="0.25">
      <c r="A23" s="44"/>
      <c r="B23" s="44"/>
      <c r="C23" s="44"/>
      <c r="D23" s="44"/>
      <c r="E23" s="44"/>
      <c r="F23" s="43"/>
      <c r="G23" s="43"/>
      <c r="H23" s="43"/>
      <c r="I23" s="43"/>
      <c r="J23" s="43"/>
    </row>
    <row r="24" spans="1:10" ht="15.75" customHeight="1" x14ac:dyDescent="0.25">
      <c r="A24" s="42"/>
      <c r="B24" s="42"/>
      <c r="C24" s="42"/>
      <c r="D24" s="42"/>
      <c r="E24" s="42"/>
      <c r="F24" s="41"/>
      <c r="G24" s="41"/>
      <c r="H24" s="41"/>
      <c r="I24" s="41"/>
      <c r="J24" s="41"/>
    </row>
    <row r="25" spans="1:10" x14ac:dyDescent="0.25">
      <c r="A25" s="40" t="s">
        <v>1</v>
      </c>
      <c r="B25" s="95" t="s">
        <v>97</v>
      </c>
      <c r="C25" s="89"/>
      <c r="D25" s="89"/>
      <c r="E25" s="96">
        <f>SUM(F16:F22)</f>
        <v>14367.836686000821</v>
      </c>
      <c r="F25" s="96"/>
      <c r="G25" s="96">
        <f>SUM(G20:G24)</f>
        <v>150.43873686137479</v>
      </c>
      <c r="H25" s="96">
        <f>SUM(H20:I24)</f>
        <v>117.412103046749</v>
      </c>
      <c r="I25" s="96"/>
      <c r="J25" s="96">
        <f>SUM(J16:J22)</f>
        <v>14400.863319815446</v>
      </c>
    </row>
    <row r="26" spans="1:10" x14ac:dyDescent="0.25">
      <c r="A26" s="40"/>
      <c r="B26" s="89"/>
      <c r="C26" s="89"/>
      <c r="D26" s="89"/>
      <c r="E26" s="96"/>
      <c r="F26" s="96"/>
      <c r="G26" s="96"/>
      <c r="H26" s="96"/>
      <c r="I26" s="96"/>
      <c r="J26" s="96"/>
    </row>
    <row r="27" spans="1:10" x14ac:dyDescent="0.25">
      <c r="A27" s="90"/>
      <c r="B27" s="90"/>
      <c r="C27" s="90"/>
      <c r="D27" s="90"/>
      <c r="E27" s="90"/>
      <c r="F27" s="90"/>
      <c r="G27" s="90"/>
      <c r="H27" s="90"/>
      <c r="I27" s="90"/>
      <c r="J27" s="90"/>
    </row>
    <row r="28" spans="1:10" x14ac:dyDescent="0.25">
      <c r="A28" s="90"/>
      <c r="B28" s="90"/>
      <c r="C28" s="90"/>
      <c r="D28" s="90"/>
      <c r="E28" s="90"/>
      <c r="F28" s="90"/>
      <c r="G28" s="90"/>
      <c r="H28" s="90"/>
      <c r="I28" s="90"/>
      <c r="J28" s="90"/>
    </row>
    <row r="29" spans="1:10" x14ac:dyDescent="0.25">
      <c r="A29" s="90"/>
      <c r="B29" s="90"/>
      <c r="C29" s="90"/>
      <c r="D29" s="90"/>
      <c r="E29" s="90"/>
      <c r="F29" s="90"/>
      <c r="G29" s="90"/>
      <c r="H29" s="90"/>
      <c r="I29" s="90"/>
      <c r="J29" s="90"/>
    </row>
    <row r="30" spans="1:10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</row>
  </sheetData>
  <mergeCells count="46">
    <mergeCell ref="A15:J15"/>
    <mergeCell ref="A9:B9"/>
    <mergeCell ref="C9:H9"/>
    <mergeCell ref="I9:J9"/>
    <mergeCell ref="A10:B10"/>
    <mergeCell ref="A14:E14"/>
    <mergeCell ref="H14:I14"/>
    <mergeCell ref="A1:C1"/>
    <mergeCell ref="D1:H1"/>
    <mergeCell ref="I1:J1"/>
    <mergeCell ref="A2:J2"/>
    <mergeCell ref="A3:J3"/>
    <mergeCell ref="A8:B8"/>
    <mergeCell ref="C8:H8"/>
    <mergeCell ref="I8:J8"/>
    <mergeCell ref="A4:J4"/>
    <mergeCell ref="A5:J5"/>
    <mergeCell ref="A6:J6"/>
    <mergeCell ref="A7:B7"/>
    <mergeCell ref="C7:H7"/>
    <mergeCell ref="I7:J7"/>
    <mergeCell ref="C10:H10"/>
    <mergeCell ref="I10:J10"/>
    <mergeCell ref="A11:J11"/>
    <mergeCell ref="A12:J12"/>
    <mergeCell ref="A13:J13"/>
    <mergeCell ref="A16:E16"/>
    <mergeCell ref="H16:I16"/>
    <mergeCell ref="A17:E17"/>
    <mergeCell ref="H17:I17"/>
    <mergeCell ref="A20:E20"/>
    <mergeCell ref="H20:I20"/>
    <mergeCell ref="A21:E21"/>
    <mergeCell ref="H21:I21"/>
    <mergeCell ref="A22:E22"/>
    <mergeCell ref="H22:I22"/>
    <mergeCell ref="B25:D25"/>
    <mergeCell ref="E25:F26"/>
    <mergeCell ref="G25:G26"/>
    <mergeCell ref="H25:I26"/>
    <mergeCell ref="B26:D26"/>
    <mergeCell ref="A27:J27"/>
    <mergeCell ref="A28:J28"/>
    <mergeCell ref="A29:J29"/>
    <mergeCell ref="A30:J30"/>
    <mergeCell ref="J25:J26"/>
  </mergeCells>
  <pageMargins left="0.7" right="0.7" top="0.75" bottom="0.75" header="0.3" footer="0.3"/>
  <pageSetup scale="98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9489-DFF3-4ECB-8755-320C92FA1CFA}">
  <sheetPr>
    <pageSetUpPr fitToPage="1"/>
  </sheetPr>
  <dimension ref="A1:V40"/>
  <sheetViews>
    <sheetView workbookViewId="0">
      <selection activeCell="I25" sqref="I25"/>
    </sheetView>
  </sheetViews>
  <sheetFormatPr defaultRowHeight="15" x14ac:dyDescent="0.25"/>
  <cols>
    <col min="1" max="1" width="1.7109375" style="49" customWidth="1"/>
    <col min="2" max="2" width="9" style="49" customWidth="1"/>
    <col min="3" max="3" width="44.28515625" style="49" customWidth="1"/>
    <col min="4" max="4" width="1.7109375" style="49" customWidth="1"/>
    <col min="5" max="5" width="15.7109375" style="50" customWidth="1"/>
    <col min="6" max="6" width="1.7109375" style="50" customWidth="1"/>
    <col min="7" max="7" width="15.7109375" style="50" customWidth="1"/>
    <col min="8" max="8" width="1.7109375" style="50" customWidth="1"/>
    <col min="9" max="9" width="15.7109375" style="50" customWidth="1"/>
    <col min="10" max="10" width="1.7109375" style="50" customWidth="1"/>
    <col min="11" max="11" width="15.7109375" style="50" customWidth="1"/>
    <col min="12" max="12" width="1.7109375" style="49" customWidth="1"/>
    <col min="13" max="13" width="15.7109375" style="49" customWidth="1"/>
    <col min="14" max="14" width="1.7109375" style="49" customWidth="1"/>
    <col min="15" max="15" width="15.7109375" style="49" customWidth="1"/>
    <col min="16" max="16" width="1.7109375" style="49" customWidth="1"/>
    <col min="17" max="17" width="15.7109375" style="49" customWidth="1"/>
    <col min="18" max="18" width="1.7109375" style="49" customWidth="1"/>
    <col min="19" max="20" width="15.7109375" style="49" customWidth="1"/>
    <col min="21" max="21" width="1.7109375" style="49" customWidth="1"/>
    <col min="22" max="22" width="15.7109375" style="49" customWidth="1"/>
    <col min="23" max="16384" width="9.140625" style="49"/>
  </cols>
  <sheetData>
    <row r="1" spans="1:22" x14ac:dyDescent="0.25">
      <c r="A1" s="70" t="str">
        <f>[11]Links!B2</f>
        <v>DEPARTMENT OF WATER RESOURCES (3860)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x14ac:dyDescent="0.25">
      <c r="A2" s="69" t="s">
        <v>83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2" x14ac:dyDescent="0.25">
      <c r="A3" s="69" t="s">
        <v>82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2" x14ac:dyDescent="0.25">
      <c r="A4" s="70" t="s">
        <v>102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</row>
    <row r="5" spans="1:22" x14ac:dyDescent="0.25">
      <c r="A5" s="69" t="s">
        <v>81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</row>
    <row r="6" spans="1:22" x14ac:dyDescent="0.25">
      <c r="A6" s="51"/>
      <c r="B6" s="51"/>
      <c r="C6" s="51"/>
      <c r="D6" s="51"/>
      <c r="E6" s="52"/>
      <c r="F6" s="52"/>
      <c r="G6" s="52"/>
      <c r="H6" s="52"/>
      <c r="I6" s="52"/>
      <c r="J6" s="52"/>
      <c r="K6" s="52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spans="1:22" ht="15.75" thickBot="1" x14ac:dyDescent="0.3">
      <c r="A7" s="51"/>
      <c r="B7" s="51"/>
      <c r="C7" s="51"/>
      <c r="D7" s="51"/>
      <c r="E7" s="52"/>
      <c r="F7" s="52"/>
      <c r="G7" s="52"/>
      <c r="H7" s="52"/>
      <c r="I7" s="52"/>
      <c r="J7" s="62"/>
      <c r="K7" s="68" t="s">
        <v>80</v>
      </c>
      <c r="L7" s="68"/>
      <c r="M7" s="68"/>
      <c r="N7" s="68"/>
      <c r="O7" s="68"/>
      <c r="P7" s="68"/>
      <c r="Q7" s="68"/>
      <c r="R7" s="68"/>
      <c r="S7" s="68"/>
      <c r="T7" s="68"/>
      <c r="U7" s="51"/>
      <c r="V7" s="51"/>
    </row>
    <row r="8" spans="1:22" x14ac:dyDescent="0.25">
      <c r="A8" s="51"/>
      <c r="B8" s="51"/>
      <c r="C8" s="51"/>
      <c r="D8" s="51"/>
      <c r="E8" s="67" t="s">
        <v>79</v>
      </c>
      <c r="F8" s="64"/>
      <c r="G8" s="67" t="s">
        <v>78</v>
      </c>
      <c r="H8" s="64"/>
      <c r="I8" s="67" t="s">
        <v>77</v>
      </c>
      <c r="J8" s="65"/>
      <c r="K8" s="67" t="s">
        <v>76</v>
      </c>
      <c r="L8" s="51"/>
      <c r="M8" s="67" t="s">
        <v>75</v>
      </c>
      <c r="N8" s="64"/>
      <c r="O8" s="67" t="s">
        <v>74</v>
      </c>
      <c r="P8" s="64"/>
      <c r="Q8" s="67" t="s">
        <v>73</v>
      </c>
      <c r="R8" s="64"/>
      <c r="S8" s="67" t="s">
        <v>72</v>
      </c>
      <c r="T8" s="67" t="s">
        <v>71</v>
      </c>
      <c r="U8" s="64"/>
      <c r="V8" s="67" t="s">
        <v>70</v>
      </c>
    </row>
    <row r="9" spans="1:22" ht="120" x14ac:dyDescent="0.25">
      <c r="A9" s="61"/>
      <c r="B9" s="51"/>
      <c r="C9" s="51"/>
      <c r="D9" s="51"/>
      <c r="E9" s="63" t="s">
        <v>69</v>
      </c>
      <c r="F9" s="64"/>
      <c r="G9" s="63" t="s">
        <v>68</v>
      </c>
      <c r="H9" s="64"/>
      <c r="I9" s="66" t="s">
        <v>67</v>
      </c>
      <c r="J9" s="65"/>
      <c r="K9" s="63" t="s">
        <v>66</v>
      </c>
      <c r="L9" s="64"/>
      <c r="M9" s="63" t="s">
        <v>65</v>
      </c>
      <c r="N9" s="51"/>
      <c r="O9" s="63" t="s">
        <v>64</v>
      </c>
      <c r="P9" s="51"/>
      <c r="Q9" s="63" t="s">
        <v>63</v>
      </c>
      <c r="R9" s="51"/>
      <c r="S9" s="63" t="s">
        <v>62</v>
      </c>
      <c r="T9" s="63" t="s">
        <v>61</v>
      </c>
      <c r="U9" s="51"/>
      <c r="V9" s="63" t="s">
        <v>60</v>
      </c>
    </row>
    <row r="10" spans="1:22" x14ac:dyDescent="0.25">
      <c r="A10" s="51"/>
      <c r="B10" s="51"/>
      <c r="C10" s="51"/>
      <c r="D10" s="51"/>
      <c r="E10" s="52"/>
      <c r="F10" s="52"/>
      <c r="G10" s="52"/>
      <c r="H10" s="52"/>
      <c r="I10" s="52"/>
      <c r="J10" s="62"/>
      <c r="K10" s="52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spans="1:22" x14ac:dyDescent="0.25">
      <c r="A11" s="61" t="s">
        <v>13</v>
      </c>
      <c r="B11" s="51"/>
      <c r="C11" s="51"/>
      <c r="D11" s="51"/>
      <c r="E11" s="52"/>
      <c r="F11" s="52"/>
      <c r="G11" s="52"/>
      <c r="H11" s="52"/>
      <c r="I11" s="52"/>
      <c r="J11" s="62"/>
      <c r="K11" s="52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spans="1:22" x14ac:dyDescent="0.25">
      <c r="A12" s="51"/>
      <c r="B12" s="51" t="s">
        <v>59</v>
      </c>
      <c r="C12" s="51"/>
      <c r="D12" s="51"/>
      <c r="E12" s="53"/>
      <c r="F12" s="53"/>
      <c r="G12" s="53"/>
      <c r="H12" s="53"/>
      <c r="I12" s="56"/>
      <c r="J12" s="60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6">
        <f t="shared" ref="V12:V17" si="0">SUM(K12:T12)</f>
        <v>0</v>
      </c>
    </row>
    <row r="13" spans="1:22" x14ac:dyDescent="0.25">
      <c r="A13" s="51"/>
      <c r="B13" s="51" t="s">
        <v>58</v>
      </c>
      <c r="C13" s="51"/>
      <c r="D13" s="51"/>
      <c r="E13" s="53"/>
      <c r="F13" s="53"/>
      <c r="G13" s="53"/>
      <c r="H13" s="53"/>
      <c r="I13" s="56"/>
      <c r="J13" s="60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6">
        <f t="shared" si="0"/>
        <v>0</v>
      </c>
    </row>
    <row r="14" spans="1:22" x14ac:dyDescent="0.25">
      <c r="A14" s="51"/>
      <c r="B14" s="51" t="s">
        <v>57</v>
      </c>
      <c r="C14" s="51"/>
      <c r="D14" s="51"/>
      <c r="E14" s="53"/>
      <c r="F14" s="53"/>
      <c r="G14" s="53"/>
      <c r="H14" s="53"/>
      <c r="I14" s="56"/>
      <c r="J14" s="60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6">
        <f t="shared" si="0"/>
        <v>0</v>
      </c>
    </row>
    <row r="15" spans="1:22" x14ac:dyDescent="0.25">
      <c r="A15" s="51"/>
      <c r="B15" s="51" t="s">
        <v>56</v>
      </c>
      <c r="C15" s="51"/>
      <c r="D15" s="51"/>
      <c r="E15" s="53"/>
      <c r="F15" s="53"/>
      <c r="G15" s="53"/>
      <c r="H15" s="53"/>
      <c r="I15" s="56"/>
      <c r="J15" s="60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6">
        <f t="shared" si="0"/>
        <v>0</v>
      </c>
    </row>
    <row r="16" spans="1:22" x14ac:dyDescent="0.25">
      <c r="A16" s="51"/>
      <c r="B16" s="51" t="s">
        <v>55</v>
      </c>
      <c r="C16" s="51"/>
      <c r="D16" s="51"/>
      <c r="E16" s="53"/>
      <c r="F16" s="53"/>
      <c r="G16" s="53"/>
      <c r="H16" s="53"/>
      <c r="I16" s="56"/>
      <c r="J16" s="60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6">
        <f t="shared" si="0"/>
        <v>0</v>
      </c>
    </row>
    <row r="17" spans="1:22" x14ac:dyDescent="0.25">
      <c r="A17" s="51"/>
      <c r="B17" s="51" t="s">
        <v>54</v>
      </c>
      <c r="C17" s="51"/>
      <c r="D17" s="51"/>
      <c r="E17" s="53"/>
      <c r="F17" s="53"/>
      <c r="G17" s="53"/>
      <c r="H17" s="53"/>
      <c r="I17" s="56"/>
      <c r="J17" s="60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6">
        <f t="shared" si="0"/>
        <v>0</v>
      </c>
    </row>
    <row r="18" spans="1:22" x14ac:dyDescent="0.25">
      <c r="A18" s="61" t="s">
        <v>8</v>
      </c>
      <c r="B18" s="51"/>
      <c r="C18" s="51"/>
      <c r="D18" s="51"/>
      <c r="E18" s="53"/>
      <c r="F18" s="53"/>
      <c r="G18" s="53"/>
      <c r="H18" s="53"/>
      <c r="I18" s="56"/>
      <c r="J18" s="60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6"/>
    </row>
    <row r="19" spans="1:22" x14ac:dyDescent="0.25">
      <c r="A19" s="51"/>
      <c r="B19" s="51" t="s">
        <v>53</v>
      </c>
      <c r="C19" s="51"/>
      <c r="D19" s="51"/>
      <c r="E19" s="53"/>
      <c r="F19" s="53"/>
      <c r="G19" s="53"/>
      <c r="H19" s="53"/>
      <c r="I19" s="56"/>
      <c r="J19" s="60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6">
        <f t="shared" ref="V19:V29" si="1">SUM(K19:T19)</f>
        <v>0</v>
      </c>
    </row>
    <row r="20" spans="1:22" x14ac:dyDescent="0.25">
      <c r="A20" s="51"/>
      <c r="B20" s="51" t="s">
        <v>52</v>
      </c>
      <c r="C20" s="51"/>
      <c r="D20" s="51"/>
      <c r="E20" s="53"/>
      <c r="F20" s="53"/>
      <c r="G20" s="53"/>
      <c r="H20" s="53"/>
      <c r="I20" s="56"/>
      <c r="J20" s="60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6">
        <f t="shared" si="1"/>
        <v>0</v>
      </c>
    </row>
    <row r="21" spans="1:22" x14ac:dyDescent="0.25">
      <c r="A21" s="51"/>
      <c r="B21" s="51" t="s">
        <v>51</v>
      </c>
      <c r="C21" s="51"/>
      <c r="D21" s="51"/>
      <c r="E21" s="53"/>
      <c r="F21" s="53"/>
      <c r="G21" s="53"/>
      <c r="H21" s="53"/>
      <c r="I21" s="56"/>
      <c r="J21" s="60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6">
        <f t="shared" si="1"/>
        <v>0</v>
      </c>
    </row>
    <row r="22" spans="1:22" x14ac:dyDescent="0.25">
      <c r="A22" s="51"/>
      <c r="B22" s="51" t="s">
        <v>50</v>
      </c>
      <c r="C22" s="51"/>
      <c r="D22" s="51"/>
      <c r="E22" s="53"/>
      <c r="F22" s="53"/>
      <c r="G22" s="53"/>
      <c r="H22" s="53"/>
      <c r="I22" s="56"/>
      <c r="J22" s="60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6">
        <f t="shared" si="1"/>
        <v>0</v>
      </c>
    </row>
    <row r="23" spans="1:22" x14ac:dyDescent="0.25">
      <c r="A23" s="51"/>
      <c r="B23" s="51" t="s">
        <v>49</v>
      </c>
      <c r="C23" s="51"/>
      <c r="D23" s="51"/>
      <c r="E23" s="53"/>
      <c r="F23" s="53"/>
      <c r="G23" s="53"/>
      <c r="H23" s="53"/>
      <c r="I23" s="56"/>
      <c r="J23" s="60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6">
        <f t="shared" si="1"/>
        <v>0</v>
      </c>
    </row>
    <row r="24" spans="1:22" x14ac:dyDescent="0.25">
      <c r="A24" s="51"/>
      <c r="B24" s="51" t="s">
        <v>48</v>
      </c>
      <c r="C24" s="51"/>
      <c r="D24" s="51"/>
      <c r="E24" s="53"/>
      <c r="F24" s="53"/>
      <c r="G24" s="53">
        <v>12861.916803428292</v>
      </c>
      <c r="H24" s="53"/>
      <c r="I24" s="56">
        <f>G24-E24</f>
        <v>12861.916803428292</v>
      </c>
      <c r="J24" s="60"/>
      <c r="K24" s="53"/>
      <c r="L24" s="53"/>
      <c r="M24" s="53"/>
      <c r="N24" s="53"/>
      <c r="O24" s="53"/>
      <c r="P24" s="53"/>
      <c r="Q24" s="53"/>
      <c r="R24" s="53"/>
      <c r="S24" s="53"/>
      <c r="T24" s="53">
        <v>12861.916803428292</v>
      </c>
      <c r="U24" s="53"/>
      <c r="V24" s="56">
        <f t="shared" si="1"/>
        <v>12861.916803428292</v>
      </c>
    </row>
    <row r="25" spans="1:22" x14ac:dyDescent="0.25">
      <c r="A25" s="51"/>
      <c r="B25" s="51" t="s">
        <v>46</v>
      </c>
      <c r="C25" s="51"/>
      <c r="D25" s="51"/>
      <c r="E25" s="53"/>
      <c r="F25" s="53"/>
      <c r="G25" s="53">
        <v>1505.9198825725289</v>
      </c>
      <c r="H25" s="53"/>
      <c r="I25" s="56">
        <f>G25-E25</f>
        <v>1505.9198825725289</v>
      </c>
      <c r="J25" s="60"/>
      <c r="K25" s="53"/>
      <c r="L25" s="53"/>
      <c r="M25" s="53"/>
      <c r="N25" s="53"/>
      <c r="O25" s="53"/>
      <c r="P25" s="53"/>
      <c r="Q25" s="53"/>
      <c r="R25" s="53"/>
      <c r="S25" s="53">
        <v>1505.9198825725289</v>
      </c>
      <c r="T25" s="53"/>
      <c r="U25" s="53"/>
      <c r="V25" s="56">
        <f t="shared" si="1"/>
        <v>1505.9198825725289</v>
      </c>
    </row>
    <row r="26" spans="1:22" x14ac:dyDescent="0.25">
      <c r="A26" s="51"/>
      <c r="B26" s="51" t="s">
        <v>45</v>
      </c>
      <c r="C26" s="51"/>
      <c r="D26" s="51"/>
      <c r="E26" s="53"/>
      <c r="F26" s="53"/>
      <c r="G26" s="53"/>
      <c r="H26" s="53"/>
      <c r="I26" s="56"/>
      <c r="J26" s="60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6">
        <f t="shared" si="1"/>
        <v>0</v>
      </c>
    </row>
    <row r="27" spans="1:22" x14ac:dyDescent="0.25">
      <c r="A27" s="51"/>
      <c r="B27" s="51" t="s">
        <v>44</v>
      </c>
      <c r="C27" s="51"/>
      <c r="D27" s="51"/>
      <c r="E27" s="53"/>
      <c r="F27" s="53"/>
      <c r="G27" s="53"/>
      <c r="H27" s="53"/>
      <c r="I27" s="56"/>
      <c r="J27" s="60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6">
        <f t="shared" si="1"/>
        <v>0</v>
      </c>
    </row>
    <row r="28" spans="1:22" x14ac:dyDescent="0.25">
      <c r="A28" s="51"/>
      <c r="B28" s="51" t="s">
        <v>43</v>
      </c>
      <c r="C28" s="51"/>
      <c r="D28" s="51"/>
      <c r="E28" s="53"/>
      <c r="F28" s="53"/>
      <c r="G28" s="53"/>
      <c r="H28" s="53"/>
      <c r="I28" s="56"/>
      <c r="J28" s="60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6">
        <f t="shared" si="1"/>
        <v>0</v>
      </c>
    </row>
    <row r="29" spans="1:22" x14ac:dyDescent="0.25">
      <c r="A29" s="51"/>
      <c r="B29" s="51" t="s">
        <v>42</v>
      </c>
      <c r="C29" s="51"/>
      <c r="D29" s="51"/>
      <c r="E29" s="59"/>
      <c r="F29" s="53"/>
      <c r="G29" s="59"/>
      <c r="H29" s="53"/>
      <c r="I29" s="56"/>
      <c r="J29" s="60"/>
      <c r="K29" s="59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6">
        <f t="shared" si="1"/>
        <v>0</v>
      </c>
    </row>
    <row r="30" spans="1:22" ht="15.75" thickBot="1" x14ac:dyDescent="0.3">
      <c r="A30" s="58" t="s">
        <v>41</v>
      </c>
      <c r="E30" s="54">
        <f>SUM(E12:E29)</f>
        <v>0</v>
      </c>
      <c r="F30" s="56"/>
      <c r="G30" s="54">
        <f>SUM(G12:G29)</f>
        <v>14367.836686000821</v>
      </c>
      <c r="H30" s="56"/>
      <c r="I30" s="54">
        <f>SUM(I12:I29)</f>
        <v>14367.836686000821</v>
      </c>
      <c r="J30" s="57"/>
      <c r="K30" s="54">
        <f>SUM(K12:K29)</f>
        <v>0</v>
      </c>
      <c r="L30" s="56"/>
      <c r="M30" s="54">
        <f>SUM(M12:M29)</f>
        <v>0</v>
      </c>
      <c r="N30" s="56"/>
      <c r="O30" s="54">
        <f>SUM(O12:O29)</f>
        <v>0</v>
      </c>
      <c r="P30" s="56"/>
      <c r="Q30" s="54">
        <f>SUM(Q12:Q29)</f>
        <v>0</v>
      </c>
      <c r="R30" s="56"/>
      <c r="S30" s="54">
        <f>SUM(S12:S29)</f>
        <v>1505.9198825725289</v>
      </c>
      <c r="T30" s="54">
        <f>SUM(T12:T29)</f>
        <v>12861.916803428292</v>
      </c>
      <c r="U30" s="55"/>
      <c r="V30" s="54">
        <f>SUM(V12:V29)</f>
        <v>14367.836686000821</v>
      </c>
    </row>
    <row r="31" spans="1:22" ht="15.75" thickTop="1" x14ac:dyDescent="0.25">
      <c r="A31" s="51"/>
      <c r="B31" s="51"/>
      <c r="C31" s="51"/>
      <c r="D31" s="51"/>
      <c r="E31" s="52"/>
      <c r="F31" s="52"/>
      <c r="G31" s="52"/>
      <c r="H31" s="52"/>
      <c r="I31" s="52"/>
      <c r="J31" s="52"/>
      <c r="K31" s="52"/>
      <c r="L31" s="51"/>
      <c r="M31" s="51"/>
      <c r="N31" s="51"/>
      <c r="O31" s="51"/>
      <c r="P31" s="51"/>
      <c r="Q31" s="51"/>
      <c r="R31" s="51"/>
      <c r="S31" s="53"/>
      <c r="T31" s="51"/>
      <c r="U31" s="51"/>
      <c r="V31" s="51"/>
    </row>
    <row r="32" spans="1:22" x14ac:dyDescent="0.25">
      <c r="A32" s="51"/>
      <c r="B32" s="51"/>
      <c r="C32" s="51"/>
      <c r="D32" s="51"/>
      <c r="E32" s="52"/>
      <c r="F32" s="52"/>
      <c r="G32" s="52"/>
      <c r="H32" s="52"/>
      <c r="I32" s="52"/>
      <c r="J32" s="52"/>
      <c r="K32" s="5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x14ac:dyDescent="0.25">
      <c r="A33" s="51" t="s">
        <v>40</v>
      </c>
      <c r="B33" s="51"/>
      <c r="C33" s="51"/>
      <c r="D33" s="51"/>
      <c r="E33" s="52"/>
      <c r="F33" s="52"/>
      <c r="G33" s="52"/>
      <c r="H33" s="52"/>
      <c r="I33" s="52"/>
      <c r="J33" s="52"/>
      <c r="K33" s="5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x14ac:dyDescent="0.25">
      <c r="A34" s="51" t="s">
        <v>39</v>
      </c>
      <c r="B34" s="51"/>
      <c r="C34" s="51" t="s">
        <v>38</v>
      </c>
      <c r="D34" s="51"/>
      <c r="E34" s="52"/>
      <c r="F34" s="52"/>
      <c r="G34" s="52"/>
      <c r="H34" s="52"/>
      <c r="I34" s="52"/>
      <c r="J34" s="52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x14ac:dyDescent="0.25">
      <c r="A35" s="51" t="s">
        <v>37</v>
      </c>
      <c r="B35" s="51"/>
      <c r="C35" s="51" t="s">
        <v>36</v>
      </c>
      <c r="D35" s="51"/>
      <c r="E35" s="52"/>
      <c r="F35" s="52"/>
      <c r="G35" s="52"/>
      <c r="H35" s="52"/>
      <c r="I35" s="52"/>
      <c r="J35" s="52"/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x14ac:dyDescent="0.25">
      <c r="A36" s="51" t="s">
        <v>35</v>
      </c>
      <c r="B36" s="51"/>
      <c r="C36" s="51" t="s">
        <v>34</v>
      </c>
      <c r="D36" s="51"/>
      <c r="E36" s="52"/>
      <c r="F36" s="52"/>
      <c r="G36" s="52"/>
      <c r="H36" s="52"/>
      <c r="I36" s="52"/>
      <c r="J36" s="52"/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x14ac:dyDescent="0.25">
      <c r="A37" s="51"/>
      <c r="B37" s="51"/>
      <c r="C37" s="51" t="s">
        <v>33</v>
      </c>
      <c r="D37" s="51"/>
      <c r="E37" s="52"/>
      <c r="F37" s="52"/>
      <c r="G37" s="52"/>
      <c r="H37" s="52"/>
      <c r="I37" s="52"/>
      <c r="J37" s="52"/>
      <c r="K37" s="52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x14ac:dyDescent="0.25">
      <c r="A38" s="51" t="s">
        <v>32</v>
      </c>
      <c r="B38" s="51"/>
      <c r="C38" s="51" t="s">
        <v>31</v>
      </c>
      <c r="D38" s="51"/>
      <c r="E38" s="52"/>
      <c r="F38" s="52"/>
      <c r="G38" s="52"/>
      <c r="H38" s="52"/>
      <c r="I38" s="52"/>
      <c r="J38" s="52"/>
      <c r="K38" s="52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x14ac:dyDescent="0.25">
      <c r="A39" s="51" t="s">
        <v>30</v>
      </c>
      <c r="B39" s="51"/>
      <c r="C39" s="51" t="s">
        <v>29</v>
      </c>
      <c r="D39" s="51"/>
      <c r="E39" s="52"/>
      <c r="F39" s="52"/>
      <c r="G39" s="52"/>
      <c r="H39" s="52"/>
      <c r="I39" s="52"/>
      <c r="J39" s="52"/>
      <c r="K39" s="52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x14ac:dyDescent="0.25">
      <c r="A40" s="51"/>
      <c r="B40" s="51"/>
      <c r="C40" s="51"/>
      <c r="D40" s="51"/>
      <c r="E40" s="52"/>
      <c r="F40" s="52"/>
      <c r="G40" s="52"/>
      <c r="H40" s="52"/>
      <c r="I40" s="52"/>
      <c r="J40" s="52"/>
      <c r="K40" s="52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</sheetData>
  <printOptions horizontalCentered="1"/>
  <pageMargins left="0" right="0" top="0.75" bottom="0.75" header="0.3" footer="0.3"/>
  <pageSetup scale="54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CFA4-30F7-4402-8C91-94FE9304B3FF}">
  <dimension ref="A1:J33"/>
  <sheetViews>
    <sheetView showGridLines="0" zoomScaleNormal="100" workbookViewId="0">
      <selection activeCell="H38" sqref="H38"/>
    </sheetView>
  </sheetViews>
  <sheetFormatPr defaultColWidth="9.140625" defaultRowHeight="15" x14ac:dyDescent="0.25"/>
  <cols>
    <col min="1" max="1" width="12.140625" style="1" customWidth="1"/>
    <col min="2" max="2" width="5.28515625" style="1" customWidth="1"/>
    <col min="3" max="3" width="7.5703125" style="1" customWidth="1"/>
    <col min="4" max="4" width="4.5703125" style="1" customWidth="1"/>
    <col min="5" max="5" width="19" style="1" customWidth="1"/>
    <col min="6" max="6" width="17.42578125" style="1" customWidth="1"/>
    <col min="7" max="7" width="16.7109375" style="1" customWidth="1"/>
    <col min="8" max="8" width="14.42578125" style="1" customWidth="1"/>
    <col min="9" max="9" width="3" style="1" customWidth="1"/>
    <col min="10" max="10" width="22.140625" style="1" customWidth="1"/>
    <col min="11" max="16384" width="9.140625" style="1"/>
  </cols>
  <sheetData>
    <row r="1" spans="1:10" x14ac:dyDescent="0.25">
      <c r="A1" s="74"/>
      <c r="B1" s="74"/>
      <c r="C1" s="74"/>
      <c r="D1" s="74"/>
      <c r="E1" s="74"/>
      <c r="F1" s="74"/>
      <c r="G1" s="74"/>
      <c r="H1" s="74"/>
      <c r="I1" s="74" t="s">
        <v>28</v>
      </c>
      <c r="J1" s="74"/>
    </row>
    <row r="2" spans="1:10" x14ac:dyDescent="0.25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x14ac:dyDescent="0.25">
      <c r="A3" s="73" t="s">
        <v>26</v>
      </c>
      <c r="B3" s="73"/>
      <c r="C3" s="73"/>
      <c r="D3" s="73"/>
      <c r="E3" s="73"/>
      <c r="F3" s="73"/>
      <c r="G3" s="73"/>
      <c r="H3" s="73"/>
      <c r="I3" s="73"/>
      <c r="J3" s="73"/>
    </row>
    <row r="4" spans="1:10" x14ac:dyDescent="0.25">
      <c r="A4" s="73" t="s">
        <v>105</v>
      </c>
      <c r="B4" s="73"/>
      <c r="C4" s="73"/>
      <c r="D4" s="73"/>
      <c r="E4" s="73"/>
      <c r="F4" s="73"/>
      <c r="G4" s="73"/>
      <c r="H4" s="73"/>
      <c r="I4" s="73"/>
      <c r="J4" s="73"/>
    </row>
    <row r="5" spans="1:10" x14ac:dyDescent="0.25">
      <c r="A5" s="73" t="s">
        <v>24</v>
      </c>
      <c r="B5" s="73"/>
      <c r="C5" s="73"/>
      <c r="D5" s="73"/>
      <c r="E5" s="73"/>
      <c r="F5" s="73"/>
      <c r="G5" s="73"/>
      <c r="H5" s="73"/>
      <c r="I5" s="73"/>
      <c r="J5" s="73"/>
    </row>
    <row r="6" spans="1:10" x14ac:dyDescent="0.25">
      <c r="A6" s="73" t="s">
        <v>23</v>
      </c>
      <c r="B6" s="73"/>
      <c r="C6" s="73"/>
      <c r="D6" s="73"/>
      <c r="E6" s="73"/>
      <c r="F6" s="73"/>
      <c r="G6" s="73"/>
      <c r="H6" s="73"/>
      <c r="I6" s="73"/>
      <c r="J6" s="73"/>
    </row>
    <row r="7" spans="1:10" x14ac:dyDescent="0.25">
      <c r="A7" s="75" t="s">
        <v>22</v>
      </c>
      <c r="B7" s="75"/>
      <c r="C7" s="76" t="s">
        <v>21</v>
      </c>
      <c r="D7" s="76"/>
      <c r="E7" s="76"/>
      <c r="F7" s="76"/>
      <c r="G7" s="76"/>
      <c r="H7" s="76"/>
      <c r="I7" s="74"/>
      <c r="J7" s="74"/>
    </row>
    <row r="8" spans="1:10" x14ac:dyDescent="0.25">
      <c r="A8" s="75" t="s">
        <v>1</v>
      </c>
      <c r="B8" s="75"/>
      <c r="C8" s="76" t="s">
        <v>104</v>
      </c>
      <c r="D8" s="76"/>
      <c r="E8" s="76"/>
      <c r="F8" s="76"/>
      <c r="G8" s="76"/>
      <c r="H8" s="76"/>
      <c r="I8" s="76"/>
      <c r="J8" s="74"/>
    </row>
    <row r="9" spans="1:10" x14ac:dyDescent="0.25">
      <c r="A9" s="75"/>
      <c r="B9" s="75"/>
      <c r="C9" s="78"/>
      <c r="D9" s="78"/>
      <c r="E9" s="78"/>
      <c r="F9" s="78"/>
      <c r="G9" s="78"/>
      <c r="H9" s="78"/>
      <c r="I9" s="76"/>
      <c r="J9" s="74"/>
    </row>
    <row r="10" spans="1:10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</row>
    <row r="11" spans="1:10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</row>
    <row r="12" spans="1:10" x14ac:dyDescent="0.25">
      <c r="A12" s="80" t="s">
        <v>19</v>
      </c>
      <c r="B12" s="80"/>
      <c r="C12" s="80"/>
      <c r="D12" s="80"/>
      <c r="E12" s="80"/>
      <c r="F12" s="80"/>
      <c r="G12" s="80"/>
      <c r="H12" s="80"/>
      <c r="I12" s="80"/>
      <c r="J12" s="80"/>
    </row>
    <row r="13" spans="1:10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0" ht="24.75" customHeight="1" x14ac:dyDescent="0.25">
      <c r="A14" s="81" t="s">
        <v>18</v>
      </c>
      <c r="B14" s="81"/>
      <c r="C14" s="81"/>
      <c r="D14" s="81"/>
      <c r="E14" s="81"/>
      <c r="F14" s="9" t="s">
        <v>17</v>
      </c>
      <c r="G14" s="9" t="s">
        <v>16</v>
      </c>
      <c r="H14" s="82" t="s">
        <v>15</v>
      </c>
      <c r="I14" s="82"/>
      <c r="J14" s="9" t="s">
        <v>14</v>
      </c>
    </row>
    <row r="15" spans="1:10" ht="17.25" customHeight="1" x14ac:dyDescent="0.25">
      <c r="A15" s="77" t="s">
        <v>13</v>
      </c>
      <c r="B15" s="77"/>
      <c r="C15" s="77"/>
      <c r="D15" s="77"/>
      <c r="E15" s="77"/>
      <c r="F15" s="77"/>
      <c r="G15" s="77"/>
      <c r="H15" s="77"/>
      <c r="I15" s="77"/>
      <c r="J15" s="77"/>
    </row>
    <row r="16" spans="1:10" x14ac:dyDescent="0.25">
      <c r="A16" s="74" t="s">
        <v>12</v>
      </c>
      <c r="B16" s="74"/>
      <c r="C16" s="74"/>
      <c r="D16" s="74"/>
      <c r="E16" s="74"/>
      <c r="F16" s="6">
        <v>2096567</v>
      </c>
      <c r="G16" s="6">
        <v>0</v>
      </c>
      <c r="H16" s="83">
        <v>0</v>
      </c>
      <c r="I16" s="83"/>
      <c r="J16" s="6">
        <f>F16+G16-H16</f>
        <v>2096567</v>
      </c>
    </row>
    <row r="17" spans="1:10" x14ac:dyDescent="0.25">
      <c r="A17" s="74" t="s">
        <v>10</v>
      </c>
      <c r="B17" s="74"/>
      <c r="C17" s="74"/>
      <c r="D17" s="74"/>
      <c r="E17" s="74"/>
      <c r="F17" s="6">
        <v>71391.289999999994</v>
      </c>
      <c r="G17" s="6">
        <v>0</v>
      </c>
      <c r="H17" s="83">
        <v>0</v>
      </c>
      <c r="I17" s="83"/>
      <c r="J17" s="6">
        <f>F17+G17-H17</f>
        <v>71391.289999999994</v>
      </c>
    </row>
    <row r="18" spans="1:10" x14ac:dyDescent="0.25">
      <c r="A18" s="74" t="s">
        <v>9</v>
      </c>
      <c r="B18" s="74"/>
      <c r="C18" s="74"/>
      <c r="D18" s="74"/>
      <c r="E18" s="74"/>
      <c r="F18" s="6">
        <v>0</v>
      </c>
      <c r="G18" s="6">
        <v>0</v>
      </c>
      <c r="H18" s="83">
        <v>0</v>
      </c>
      <c r="I18" s="83"/>
      <c r="J18" s="6">
        <f>F18+G18-H18</f>
        <v>0</v>
      </c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8" t="s">
        <v>8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74" t="s">
        <v>6</v>
      </c>
      <c r="B21" s="74"/>
      <c r="C21" s="74"/>
      <c r="D21" s="74"/>
      <c r="E21" s="74"/>
      <c r="F21" s="6">
        <v>0</v>
      </c>
      <c r="G21" s="6">
        <v>0</v>
      </c>
      <c r="H21" s="83">
        <v>0</v>
      </c>
      <c r="I21" s="83"/>
      <c r="J21" s="6">
        <f>F21+G21-H21</f>
        <v>0</v>
      </c>
    </row>
    <row r="22" spans="1:10" x14ac:dyDescent="0.25">
      <c r="A22" s="74" t="s">
        <v>5</v>
      </c>
      <c r="B22" s="74"/>
      <c r="C22" s="74"/>
      <c r="D22" s="74"/>
      <c r="E22" s="74"/>
      <c r="F22" s="6">
        <v>0</v>
      </c>
      <c r="G22" s="6">
        <v>0</v>
      </c>
      <c r="H22" s="83">
        <v>0</v>
      </c>
      <c r="I22" s="83"/>
      <c r="J22" s="6">
        <f>F22+G22-H22</f>
        <v>0</v>
      </c>
    </row>
    <row r="23" spans="1:10" x14ac:dyDescent="0.25">
      <c r="A23" s="74" t="s">
        <v>4</v>
      </c>
      <c r="B23" s="74"/>
      <c r="C23" s="74"/>
      <c r="D23" s="74"/>
      <c r="E23" s="74"/>
      <c r="F23" s="6">
        <v>105592.83</v>
      </c>
      <c r="G23" s="6">
        <v>0</v>
      </c>
      <c r="H23" s="83">
        <v>0</v>
      </c>
      <c r="I23" s="83"/>
      <c r="J23" s="6">
        <f>F23+G23-H23</f>
        <v>105592.83</v>
      </c>
    </row>
    <row r="24" spans="1:10" x14ac:dyDescent="0.25">
      <c r="A24" s="74" t="s">
        <v>3</v>
      </c>
      <c r="B24" s="74"/>
      <c r="C24" s="74"/>
      <c r="D24" s="74"/>
      <c r="E24" s="74"/>
      <c r="F24" s="6">
        <v>12363.19</v>
      </c>
      <c r="G24" s="6">
        <v>1235.06</v>
      </c>
      <c r="H24" s="83">
        <v>963.92</v>
      </c>
      <c r="I24" s="83"/>
      <c r="J24" s="6">
        <f>F24+G24-H24</f>
        <v>12634.33</v>
      </c>
    </row>
    <row r="25" spans="1:10" x14ac:dyDescent="0.25">
      <c r="A25" s="74" t="s">
        <v>2</v>
      </c>
      <c r="B25" s="74"/>
      <c r="C25" s="74"/>
      <c r="D25" s="74"/>
      <c r="E25" s="74"/>
      <c r="F25" s="6">
        <v>0</v>
      </c>
      <c r="G25" s="6">
        <v>0</v>
      </c>
      <c r="H25" s="83">
        <v>0</v>
      </c>
      <c r="I25" s="83"/>
      <c r="J25" s="6">
        <f>F25+G25-H25</f>
        <v>0</v>
      </c>
    </row>
    <row r="26" spans="1:10" x14ac:dyDescent="0.25">
      <c r="A26" s="7"/>
      <c r="B26" s="7"/>
      <c r="C26" s="7"/>
      <c r="D26" s="7"/>
      <c r="E26" s="7"/>
      <c r="F26" s="6"/>
      <c r="G26" s="6"/>
      <c r="H26" s="6"/>
      <c r="I26" s="6"/>
      <c r="J26" s="6"/>
    </row>
    <row r="27" spans="1:10" ht="15.75" customHeight="1" x14ac:dyDescent="0.25">
      <c r="A27" s="5"/>
      <c r="B27" s="5"/>
      <c r="C27" s="5"/>
      <c r="D27" s="5"/>
      <c r="E27" s="5"/>
      <c r="F27" s="4"/>
      <c r="G27" s="4"/>
      <c r="H27" s="4"/>
      <c r="I27" s="4"/>
      <c r="J27" s="4"/>
    </row>
    <row r="28" spans="1:10" x14ac:dyDescent="0.25">
      <c r="A28" s="3" t="s">
        <v>1</v>
      </c>
      <c r="B28" s="85" t="s">
        <v>103</v>
      </c>
      <c r="C28" s="86"/>
      <c r="D28" s="86"/>
      <c r="E28" s="87">
        <f>SUM(F16:F25)</f>
        <v>2285914.31</v>
      </c>
      <c r="F28" s="87"/>
      <c r="G28" s="87">
        <f>SUM(G16:G25)</f>
        <v>1235.06</v>
      </c>
      <c r="H28" s="87">
        <f>SUM(H16:H25)</f>
        <v>963.92</v>
      </c>
      <c r="I28" s="87"/>
      <c r="J28" s="87">
        <f>SUM(J16:J25)</f>
        <v>2286185.4500000002</v>
      </c>
    </row>
    <row r="29" spans="1:10" x14ac:dyDescent="0.25">
      <c r="A29" s="3"/>
      <c r="B29" s="88"/>
      <c r="C29" s="88"/>
      <c r="D29" s="88"/>
      <c r="E29" s="87"/>
      <c r="F29" s="87"/>
      <c r="G29" s="87"/>
      <c r="H29" s="87"/>
      <c r="I29" s="87"/>
      <c r="J29" s="87"/>
    </row>
    <row r="30" spans="1:10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</row>
    <row r="31" spans="1:10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</row>
    <row r="32" spans="1:10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</row>
    <row r="33" spans="1:10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</row>
  </sheetData>
  <mergeCells count="52">
    <mergeCell ref="A15:J15"/>
    <mergeCell ref="A9:B9"/>
    <mergeCell ref="C9:H9"/>
    <mergeCell ref="I9:J9"/>
    <mergeCell ref="A10:B10"/>
    <mergeCell ref="A14:E14"/>
    <mergeCell ref="H14:I14"/>
    <mergeCell ref="A1:C1"/>
    <mergeCell ref="D1:H1"/>
    <mergeCell ref="I1:J1"/>
    <mergeCell ref="A2:J2"/>
    <mergeCell ref="A3:J3"/>
    <mergeCell ref="A8:B8"/>
    <mergeCell ref="C8:H8"/>
    <mergeCell ref="I8:J8"/>
    <mergeCell ref="A4:J4"/>
    <mergeCell ref="A5:J5"/>
    <mergeCell ref="A6:J6"/>
    <mergeCell ref="A7:B7"/>
    <mergeCell ref="C7:H7"/>
    <mergeCell ref="I7:J7"/>
    <mergeCell ref="C10:H10"/>
    <mergeCell ref="I10:J10"/>
    <mergeCell ref="A11:J11"/>
    <mergeCell ref="A12:J12"/>
    <mergeCell ref="A13:J13"/>
    <mergeCell ref="A16:E16"/>
    <mergeCell ref="H16:I16"/>
    <mergeCell ref="A17:E17"/>
    <mergeCell ref="H17:I17"/>
    <mergeCell ref="A18:E18"/>
    <mergeCell ref="H18:I18"/>
    <mergeCell ref="A21:E21"/>
    <mergeCell ref="H21:I21"/>
    <mergeCell ref="A22:E22"/>
    <mergeCell ref="H22:I22"/>
    <mergeCell ref="A23:E23"/>
    <mergeCell ref="H23:I23"/>
    <mergeCell ref="A24:E24"/>
    <mergeCell ref="H24:I24"/>
    <mergeCell ref="A25:E25"/>
    <mergeCell ref="H25:I25"/>
    <mergeCell ref="B28:D28"/>
    <mergeCell ref="E28:F29"/>
    <mergeCell ref="G28:G29"/>
    <mergeCell ref="H28:I29"/>
    <mergeCell ref="B29:D29"/>
    <mergeCell ref="A30:J30"/>
    <mergeCell ref="A31:J31"/>
    <mergeCell ref="A32:J32"/>
    <mergeCell ref="A33:J33"/>
    <mergeCell ref="J28:J29"/>
  </mergeCells>
  <pageMargins left="0.7" right="0.7" top="0.75" bottom="0.75" header="0.3" footer="0.3"/>
  <pageSetup scale="98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273A-5F87-48B2-AD9A-80E4ACF62350}">
  <dimension ref="A1:V41"/>
  <sheetViews>
    <sheetView zoomScaleNormal="100" workbookViewId="0">
      <selection activeCell="E27" sqref="E27"/>
    </sheetView>
  </sheetViews>
  <sheetFormatPr defaultColWidth="9.140625" defaultRowHeight="15" x14ac:dyDescent="0.25"/>
  <cols>
    <col min="1" max="1" width="1.7109375" style="10" customWidth="1"/>
    <col min="2" max="2" width="9" style="10" customWidth="1"/>
    <col min="3" max="3" width="44.28515625" style="10" customWidth="1"/>
    <col min="4" max="4" width="1.7109375" style="10" customWidth="1"/>
    <col min="5" max="5" width="15.7109375" style="11" customWidth="1"/>
    <col min="6" max="6" width="1.7109375" style="11" customWidth="1"/>
    <col min="7" max="7" width="15.7109375" style="11" customWidth="1"/>
    <col min="8" max="8" width="1.7109375" style="11" customWidth="1"/>
    <col min="9" max="9" width="15.7109375" style="11" customWidth="1"/>
    <col min="10" max="10" width="1.7109375" style="11" customWidth="1"/>
    <col min="11" max="11" width="15.7109375" style="11" customWidth="1"/>
    <col min="12" max="12" width="1.7109375" style="10" customWidth="1"/>
    <col min="13" max="13" width="15.7109375" style="10" customWidth="1"/>
    <col min="14" max="14" width="1.7109375" style="10" customWidth="1"/>
    <col min="15" max="15" width="15.7109375" style="10" customWidth="1"/>
    <col min="16" max="16" width="1.7109375" style="10" customWidth="1"/>
    <col min="17" max="17" width="15.7109375" style="10" customWidth="1"/>
    <col min="18" max="18" width="1.7109375" style="10" customWidth="1"/>
    <col min="19" max="20" width="15.7109375" style="10" customWidth="1"/>
    <col min="21" max="21" width="1.7109375" style="10" customWidth="1"/>
    <col min="22" max="22" width="15.7109375" style="10" customWidth="1"/>
    <col min="23" max="16384" width="9.140625" style="10"/>
  </cols>
  <sheetData>
    <row r="1" spans="1:22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 t="s">
        <v>83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 t="s">
        <v>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33" t="s">
        <v>105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33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26"/>
      <c r="K7" s="32" t="s">
        <v>80</v>
      </c>
      <c r="L7" s="32"/>
      <c r="M7" s="32"/>
      <c r="N7" s="32"/>
      <c r="O7" s="32"/>
      <c r="P7" s="32"/>
      <c r="Q7" s="32"/>
      <c r="R7" s="32"/>
      <c r="S7" s="32"/>
      <c r="T7" s="32"/>
      <c r="U7" s="12"/>
      <c r="V7" s="12"/>
    </row>
    <row r="8" spans="1:22" x14ac:dyDescent="0.25">
      <c r="A8" s="12"/>
      <c r="B8" s="12"/>
      <c r="C8" s="12"/>
      <c r="D8" s="12"/>
      <c r="E8" s="31" t="s">
        <v>79</v>
      </c>
      <c r="F8" s="28"/>
      <c r="G8" s="31" t="s">
        <v>78</v>
      </c>
      <c r="H8" s="28"/>
      <c r="I8" s="31" t="s">
        <v>77</v>
      </c>
      <c r="J8" s="29"/>
      <c r="K8" s="31" t="s">
        <v>76</v>
      </c>
      <c r="L8" s="12"/>
      <c r="M8" s="31" t="s">
        <v>75</v>
      </c>
      <c r="N8" s="28"/>
      <c r="O8" s="31" t="s">
        <v>74</v>
      </c>
      <c r="P8" s="28"/>
      <c r="Q8" s="31" t="s">
        <v>73</v>
      </c>
      <c r="R8" s="28"/>
      <c r="S8" s="31" t="s">
        <v>72</v>
      </c>
      <c r="T8" s="31" t="s">
        <v>71</v>
      </c>
      <c r="U8" s="28"/>
      <c r="V8" s="31" t="s">
        <v>70</v>
      </c>
    </row>
    <row r="9" spans="1:22" ht="120" x14ac:dyDescent="0.25">
      <c r="A9" s="25"/>
      <c r="B9" s="12"/>
      <c r="C9" s="12"/>
      <c r="D9" s="12"/>
      <c r="E9" s="27" t="s">
        <v>69</v>
      </c>
      <c r="F9" s="28"/>
      <c r="G9" s="27" t="s">
        <v>68</v>
      </c>
      <c r="H9" s="28"/>
      <c r="I9" s="30" t="s">
        <v>67</v>
      </c>
      <c r="J9" s="29"/>
      <c r="K9" s="27" t="s">
        <v>66</v>
      </c>
      <c r="L9" s="28"/>
      <c r="M9" s="27" t="s">
        <v>65</v>
      </c>
      <c r="N9" s="12"/>
      <c r="O9" s="27" t="s">
        <v>64</v>
      </c>
      <c r="P9" s="12"/>
      <c r="Q9" s="27" t="s">
        <v>63</v>
      </c>
      <c r="R9" s="12"/>
      <c r="S9" s="27" t="s">
        <v>62</v>
      </c>
      <c r="T9" s="27" t="s">
        <v>61</v>
      </c>
      <c r="U9" s="12"/>
      <c r="V9" s="27" t="s">
        <v>60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26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25" t="s">
        <v>13</v>
      </c>
      <c r="B11" s="12"/>
      <c r="C11" s="12"/>
      <c r="D11" s="12"/>
      <c r="E11" s="13"/>
      <c r="F11" s="13"/>
      <c r="G11" s="13"/>
      <c r="H11" s="13"/>
      <c r="I11" s="13"/>
      <c r="J11" s="26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59</v>
      </c>
      <c r="C12" s="12"/>
      <c r="D12" s="12"/>
      <c r="E12" s="18"/>
      <c r="F12" s="18"/>
      <c r="G12" s="18"/>
      <c r="H12" s="18"/>
      <c r="I12" s="15"/>
      <c r="J12" s="2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>
        <f t="shared" ref="V12:V17" si="0">SUM(K12:T12)</f>
        <v>0</v>
      </c>
    </row>
    <row r="13" spans="1:22" x14ac:dyDescent="0.25">
      <c r="A13" s="12"/>
      <c r="B13" s="12" t="s">
        <v>58</v>
      </c>
      <c r="C13" s="12"/>
      <c r="D13" s="12"/>
      <c r="E13" s="18"/>
      <c r="F13" s="18"/>
      <c r="G13" s="18"/>
      <c r="H13" s="18"/>
      <c r="I13" s="15"/>
      <c r="J13" s="2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>
        <f t="shared" si="0"/>
        <v>0</v>
      </c>
    </row>
    <row r="14" spans="1:22" x14ac:dyDescent="0.25">
      <c r="A14" s="12"/>
      <c r="B14" s="12" t="s">
        <v>57</v>
      </c>
      <c r="C14" s="12"/>
      <c r="D14" s="12"/>
      <c r="E14" s="18"/>
      <c r="F14" s="18"/>
      <c r="G14" s="18"/>
      <c r="H14" s="18"/>
      <c r="I14" s="15"/>
      <c r="J14" s="2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5">
        <f t="shared" si="0"/>
        <v>0</v>
      </c>
    </row>
    <row r="15" spans="1:22" x14ac:dyDescent="0.25">
      <c r="A15" s="12"/>
      <c r="B15" s="12" t="s">
        <v>56</v>
      </c>
      <c r="C15" s="12"/>
      <c r="D15" s="12"/>
      <c r="E15" s="18"/>
      <c r="F15" s="18"/>
      <c r="G15" s="18"/>
      <c r="H15" s="18"/>
      <c r="I15" s="15"/>
      <c r="J15" s="2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>
        <f t="shared" si="0"/>
        <v>0</v>
      </c>
    </row>
    <row r="16" spans="1:22" x14ac:dyDescent="0.25">
      <c r="A16" s="12"/>
      <c r="B16" s="12" t="s">
        <v>55</v>
      </c>
      <c r="C16" s="12"/>
      <c r="D16" s="12"/>
      <c r="E16" s="18"/>
      <c r="F16" s="18"/>
      <c r="G16" s="18"/>
      <c r="H16" s="18"/>
      <c r="I16" s="15"/>
      <c r="J16" s="2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>
        <f t="shared" si="0"/>
        <v>0</v>
      </c>
    </row>
    <row r="17" spans="1:22" x14ac:dyDescent="0.25">
      <c r="A17" s="12"/>
      <c r="B17" s="12" t="s">
        <v>54</v>
      </c>
      <c r="C17" s="12"/>
      <c r="D17" s="12"/>
      <c r="E17" s="18"/>
      <c r="F17" s="18"/>
      <c r="G17" s="18"/>
      <c r="H17" s="18"/>
      <c r="I17" s="15"/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>
        <f t="shared" si="0"/>
        <v>0</v>
      </c>
    </row>
    <row r="18" spans="1:22" x14ac:dyDescent="0.25">
      <c r="A18" s="25" t="s">
        <v>8</v>
      </c>
      <c r="B18" s="12"/>
      <c r="C18" s="12"/>
      <c r="D18" s="12"/>
      <c r="E18" s="18"/>
      <c r="F18" s="18"/>
      <c r="G18" s="18"/>
      <c r="H18" s="18"/>
      <c r="I18" s="15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</row>
    <row r="19" spans="1:22" x14ac:dyDescent="0.25">
      <c r="A19" s="12"/>
      <c r="B19" s="12" t="s">
        <v>53</v>
      </c>
      <c r="C19" s="12"/>
      <c r="D19" s="12"/>
      <c r="E19" s="18"/>
      <c r="F19" s="18"/>
      <c r="G19" s="18"/>
      <c r="H19" s="18"/>
      <c r="I19" s="15"/>
      <c r="J19" s="2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>
        <f t="shared" ref="V19:V30" si="1">SUM(K19:T19)</f>
        <v>0</v>
      </c>
    </row>
    <row r="20" spans="1:22" x14ac:dyDescent="0.25">
      <c r="A20" s="12"/>
      <c r="B20" s="12" t="s">
        <v>52</v>
      </c>
      <c r="C20" s="12"/>
      <c r="D20" s="12"/>
      <c r="E20" s="18"/>
      <c r="F20" s="18"/>
      <c r="G20" s="18"/>
      <c r="H20" s="18"/>
      <c r="I20" s="15"/>
      <c r="J20" s="2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5">
        <f t="shared" si="1"/>
        <v>0</v>
      </c>
    </row>
    <row r="21" spans="1:22" x14ac:dyDescent="0.25">
      <c r="A21" s="12"/>
      <c r="B21" s="12" t="s">
        <v>51</v>
      </c>
      <c r="C21" s="12"/>
      <c r="D21" s="12"/>
      <c r="E21" s="18"/>
      <c r="F21" s="18"/>
      <c r="G21" s="18"/>
      <c r="H21" s="18"/>
      <c r="I21" s="15"/>
      <c r="J21" s="2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5">
        <f t="shared" si="1"/>
        <v>0</v>
      </c>
    </row>
    <row r="22" spans="1:22" x14ac:dyDescent="0.25">
      <c r="A22" s="12"/>
      <c r="B22" s="12" t="s">
        <v>50</v>
      </c>
      <c r="C22" s="12"/>
      <c r="D22" s="12"/>
      <c r="E22" s="18"/>
      <c r="F22" s="18"/>
      <c r="G22" s="18"/>
      <c r="H22" s="18"/>
      <c r="I22" s="15"/>
      <c r="J22" s="2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5">
        <f t="shared" si="1"/>
        <v>0</v>
      </c>
    </row>
    <row r="23" spans="1:22" x14ac:dyDescent="0.25">
      <c r="A23" s="12"/>
      <c r="B23" s="12" t="s">
        <v>49</v>
      </c>
      <c r="C23" s="12"/>
      <c r="D23" s="12"/>
      <c r="E23" s="18"/>
      <c r="F23" s="18"/>
      <c r="G23" s="18"/>
      <c r="H23" s="18"/>
      <c r="I23" s="15"/>
      <c r="J23" s="2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5">
        <f t="shared" si="1"/>
        <v>0</v>
      </c>
    </row>
    <row r="24" spans="1:22" x14ac:dyDescent="0.25">
      <c r="A24" s="12"/>
      <c r="B24" s="12" t="s">
        <v>48</v>
      </c>
      <c r="C24" s="12"/>
      <c r="D24" s="12"/>
      <c r="E24" s="18"/>
      <c r="F24" s="18"/>
      <c r="G24" s="18"/>
      <c r="H24" s="18"/>
      <c r="I24" s="15"/>
      <c r="J24" s="20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5">
        <f t="shared" si="1"/>
        <v>0</v>
      </c>
    </row>
    <row r="25" spans="1:22" x14ac:dyDescent="0.25">
      <c r="A25" s="12"/>
      <c r="B25" s="12" t="s">
        <v>47</v>
      </c>
      <c r="C25" s="12"/>
      <c r="D25" s="12"/>
      <c r="E25" s="18">
        <v>291931</v>
      </c>
      <c r="F25" s="18"/>
      <c r="G25" s="18">
        <v>105592.83</v>
      </c>
      <c r="H25" s="18"/>
      <c r="I25" s="21">
        <f>G25-E25</f>
        <v>-186338.16999999998</v>
      </c>
      <c r="J25" s="20"/>
      <c r="K25" s="18"/>
      <c r="L25" s="18"/>
      <c r="M25" s="18"/>
      <c r="N25" s="18"/>
      <c r="O25" s="18"/>
      <c r="P25" s="18"/>
      <c r="Q25" s="18"/>
      <c r="R25" s="18"/>
      <c r="S25" s="18"/>
      <c r="T25" s="18">
        <f>I25</f>
        <v>-186338.16999999998</v>
      </c>
      <c r="U25" s="18"/>
      <c r="V25" s="15">
        <f t="shared" si="1"/>
        <v>-186338.16999999998</v>
      </c>
    </row>
    <row r="26" spans="1:22" x14ac:dyDescent="0.25">
      <c r="A26" s="12"/>
      <c r="B26" s="12" t="s">
        <v>45</v>
      </c>
      <c r="C26" s="12"/>
      <c r="D26" s="12"/>
      <c r="E26" s="18"/>
      <c r="F26" s="18"/>
      <c r="G26" s="18"/>
      <c r="H26" s="18"/>
      <c r="I26" s="15"/>
      <c r="J26" s="20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5">
        <f t="shared" si="1"/>
        <v>0</v>
      </c>
    </row>
    <row r="27" spans="1:22" customFormat="1" x14ac:dyDescent="0.25">
      <c r="A27" s="24"/>
      <c r="B27" s="24" t="s">
        <v>46</v>
      </c>
      <c r="C27" s="24"/>
      <c r="D27" s="24"/>
      <c r="E27" s="71">
        <v>34180.339999999997</v>
      </c>
      <c r="F27" s="71"/>
      <c r="G27" s="71">
        <v>12363.19</v>
      </c>
      <c r="H27" s="71"/>
      <c r="I27" s="21">
        <f>G27-E27</f>
        <v>-21817.149999999994</v>
      </c>
      <c r="J27" s="72"/>
      <c r="K27" s="71"/>
      <c r="L27" s="71"/>
      <c r="M27" s="71"/>
      <c r="N27" s="71"/>
      <c r="O27" s="71"/>
      <c r="P27" s="71"/>
      <c r="Q27" s="71"/>
      <c r="R27" s="71"/>
      <c r="S27" s="71">
        <f>I27</f>
        <v>-21817.149999999994</v>
      </c>
      <c r="T27" s="71"/>
      <c r="U27" s="71"/>
      <c r="V27" s="21">
        <f t="shared" si="1"/>
        <v>-21817.149999999994</v>
      </c>
    </row>
    <row r="28" spans="1:22" x14ac:dyDescent="0.25">
      <c r="A28" s="12"/>
      <c r="B28" s="12" t="s">
        <v>44</v>
      </c>
      <c r="C28" s="12"/>
      <c r="D28" s="12"/>
      <c r="E28" s="18"/>
      <c r="F28" s="18"/>
      <c r="G28" s="18"/>
      <c r="H28" s="18"/>
      <c r="I28" s="15">
        <f>G28-E28</f>
        <v>0</v>
      </c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>
        <f t="shared" si="1"/>
        <v>0</v>
      </c>
    </row>
    <row r="29" spans="1:22" x14ac:dyDescent="0.25">
      <c r="A29" s="12"/>
      <c r="B29" s="12" t="s">
        <v>43</v>
      </c>
      <c r="C29" s="12"/>
      <c r="D29" s="12"/>
      <c r="E29" s="18"/>
      <c r="F29" s="18"/>
      <c r="G29" s="18"/>
      <c r="H29" s="18"/>
      <c r="I29" s="15"/>
      <c r="J29" s="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5">
        <f t="shared" si="1"/>
        <v>0</v>
      </c>
    </row>
    <row r="30" spans="1:22" x14ac:dyDescent="0.25">
      <c r="A30" s="12"/>
      <c r="B30" s="12" t="s">
        <v>42</v>
      </c>
      <c r="C30" s="12"/>
      <c r="D30" s="12"/>
      <c r="E30" s="19"/>
      <c r="F30" s="18"/>
      <c r="G30" s="19"/>
      <c r="H30" s="18"/>
      <c r="I30" s="15"/>
      <c r="J30" s="20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5">
        <f t="shared" si="1"/>
        <v>0</v>
      </c>
    </row>
    <row r="31" spans="1:22" ht="15.75" thickBot="1" x14ac:dyDescent="0.3">
      <c r="A31" s="17" t="s">
        <v>41</v>
      </c>
      <c r="E31" s="14">
        <f>SUM(E12:E30)</f>
        <v>326111.33999999997</v>
      </c>
      <c r="F31" s="15"/>
      <c r="G31" s="14">
        <f>SUM(G12:G30)</f>
        <v>117956.02</v>
      </c>
      <c r="H31" s="15"/>
      <c r="I31" s="14">
        <f>SUM(I12:I30)</f>
        <v>-208155.31999999998</v>
      </c>
      <c r="J31" s="16"/>
      <c r="K31" s="14">
        <f>SUM(K12:K30)</f>
        <v>0</v>
      </c>
      <c r="L31" s="15"/>
      <c r="M31" s="14">
        <f>SUM(M12:M30)</f>
        <v>0</v>
      </c>
      <c r="N31" s="15"/>
      <c r="O31" s="14">
        <f>SUM(O12:O30)</f>
        <v>0</v>
      </c>
      <c r="P31" s="15"/>
      <c r="Q31" s="14">
        <f>SUM(Q12:Q30)</f>
        <v>0</v>
      </c>
      <c r="R31" s="15"/>
      <c r="S31" s="14">
        <f>SUM(S12:S30)</f>
        <v>-21817.149999999994</v>
      </c>
      <c r="T31" s="14">
        <f>SUM(T12:T30)</f>
        <v>-186338.16999999998</v>
      </c>
      <c r="U31" s="15"/>
      <c r="V31" s="14">
        <f>SUM(V12:V30)</f>
        <v>-208155.31999999998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40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39</v>
      </c>
      <c r="B35" s="12"/>
      <c r="C35" s="12" t="s">
        <v>38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37</v>
      </c>
      <c r="B36" s="12"/>
      <c r="C36" s="12" t="s">
        <v>36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35</v>
      </c>
      <c r="B37" s="12"/>
      <c r="C37" s="12" t="s">
        <v>34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33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32</v>
      </c>
      <c r="B39" s="12"/>
      <c r="C39" s="12" t="s">
        <v>31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30</v>
      </c>
      <c r="B40" s="12"/>
      <c r="C40" s="12" t="s">
        <v>29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57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F2F1-208B-4E64-AE24-F90652132048}">
  <dimension ref="A1:J33"/>
  <sheetViews>
    <sheetView showGridLines="0" zoomScaleNormal="100" workbookViewId="0">
      <selection activeCell="I7" sqref="I7:J7"/>
    </sheetView>
  </sheetViews>
  <sheetFormatPr defaultColWidth="9.140625" defaultRowHeight="15" x14ac:dyDescent="0.25"/>
  <cols>
    <col min="1" max="1" width="12.140625" style="107" customWidth="1"/>
    <col min="2" max="2" width="5.28515625" style="107" customWidth="1"/>
    <col min="3" max="3" width="7.5703125" style="107" customWidth="1"/>
    <col min="4" max="4" width="4.5703125" style="107" customWidth="1"/>
    <col min="5" max="5" width="19" style="107" customWidth="1"/>
    <col min="6" max="6" width="17.42578125" style="107" customWidth="1"/>
    <col min="7" max="7" width="16.7109375" style="107" customWidth="1"/>
    <col min="8" max="8" width="14.42578125" style="107" customWidth="1"/>
    <col min="9" max="9" width="3" style="107" customWidth="1"/>
    <col min="10" max="10" width="22.140625" style="107" customWidth="1"/>
    <col min="11" max="16384" width="9.140625" style="107"/>
  </cols>
  <sheetData>
    <row r="1" spans="1:10" x14ac:dyDescent="0.25">
      <c r="A1" s="120"/>
      <c r="B1" s="120"/>
      <c r="C1" s="120"/>
      <c r="D1" s="120"/>
      <c r="E1" s="120"/>
      <c r="F1" s="120"/>
      <c r="G1" s="120"/>
      <c r="H1" s="120"/>
      <c r="I1" s="120" t="s">
        <v>28</v>
      </c>
      <c r="J1" s="120"/>
    </row>
    <row r="2" spans="1:10" x14ac:dyDescent="0.25">
      <c r="A2" s="131" t="s">
        <v>27</v>
      </c>
      <c r="B2" s="131"/>
      <c r="C2" s="131"/>
      <c r="D2" s="131"/>
      <c r="E2" s="131"/>
      <c r="F2" s="131"/>
      <c r="G2" s="131"/>
      <c r="H2" s="131"/>
      <c r="I2" s="131"/>
      <c r="J2" s="131"/>
    </row>
    <row r="3" spans="1:10" x14ac:dyDescent="0.25">
      <c r="A3" s="131" t="s">
        <v>26</v>
      </c>
      <c r="B3" s="131"/>
      <c r="C3" s="131"/>
      <c r="D3" s="131"/>
      <c r="E3" s="131"/>
      <c r="F3" s="131"/>
      <c r="G3" s="131"/>
      <c r="H3" s="131"/>
      <c r="I3" s="131"/>
      <c r="J3" s="131"/>
    </row>
    <row r="4" spans="1:10" x14ac:dyDescent="0.25">
      <c r="A4" s="131" t="s">
        <v>108</v>
      </c>
      <c r="B4" s="131"/>
      <c r="C4" s="131"/>
      <c r="D4" s="131"/>
      <c r="E4" s="131"/>
      <c r="F4" s="131"/>
      <c r="G4" s="131"/>
      <c r="H4" s="131"/>
      <c r="I4" s="131"/>
      <c r="J4" s="131"/>
    </row>
    <row r="5" spans="1:10" x14ac:dyDescent="0.25">
      <c r="A5" s="131" t="s">
        <v>24</v>
      </c>
      <c r="B5" s="131"/>
      <c r="C5" s="131"/>
      <c r="D5" s="131"/>
      <c r="E5" s="131"/>
      <c r="F5" s="131"/>
      <c r="G5" s="131"/>
      <c r="H5" s="131"/>
      <c r="I5" s="131"/>
      <c r="J5" s="131"/>
    </row>
    <row r="6" spans="1:10" x14ac:dyDescent="0.25">
      <c r="A6" s="131" t="s">
        <v>23</v>
      </c>
      <c r="B6" s="131"/>
      <c r="C6" s="131"/>
      <c r="D6" s="131"/>
      <c r="E6" s="131"/>
      <c r="F6" s="131"/>
      <c r="G6" s="131"/>
      <c r="H6" s="131"/>
      <c r="I6" s="131"/>
      <c r="J6" s="131"/>
    </row>
    <row r="7" spans="1:10" x14ac:dyDescent="0.25">
      <c r="A7" s="130" t="s">
        <v>22</v>
      </c>
      <c r="B7" s="130"/>
      <c r="C7" s="128" t="s">
        <v>21</v>
      </c>
      <c r="D7" s="128"/>
      <c r="E7" s="128"/>
      <c r="F7" s="128"/>
      <c r="G7" s="128"/>
      <c r="H7" s="128"/>
      <c r="I7" s="120"/>
      <c r="J7" s="120"/>
    </row>
    <row r="8" spans="1:10" x14ac:dyDescent="0.25">
      <c r="A8" s="130" t="s">
        <v>1</v>
      </c>
      <c r="B8" s="130"/>
      <c r="C8" s="128" t="s">
        <v>107</v>
      </c>
      <c r="D8" s="128"/>
      <c r="E8" s="128"/>
      <c r="F8" s="128"/>
      <c r="G8" s="128"/>
      <c r="H8" s="128"/>
      <c r="I8" s="128"/>
      <c r="J8" s="120"/>
    </row>
    <row r="9" spans="1:10" x14ac:dyDescent="0.25">
      <c r="A9" s="130"/>
      <c r="B9" s="130"/>
      <c r="C9" s="129"/>
      <c r="D9" s="129"/>
      <c r="E9" s="129"/>
      <c r="F9" s="129"/>
      <c r="G9" s="129"/>
      <c r="H9" s="129"/>
      <c r="I9" s="128"/>
      <c r="J9" s="120"/>
    </row>
    <row r="10" spans="1:10" x14ac:dyDescent="0.25">
      <c r="A10" s="120"/>
      <c r="B10" s="120"/>
      <c r="C10" s="120"/>
      <c r="D10" s="120"/>
      <c r="E10" s="120"/>
      <c r="F10" s="120"/>
      <c r="G10" s="120"/>
      <c r="H10" s="120"/>
      <c r="I10" s="120"/>
      <c r="J10" s="120"/>
    </row>
    <row r="11" spans="1:10" x14ac:dyDescent="0.25">
      <c r="A11" s="109"/>
      <c r="B11" s="109"/>
      <c r="C11" s="109"/>
      <c r="D11" s="109"/>
      <c r="E11" s="109"/>
      <c r="F11" s="109"/>
      <c r="G11" s="109"/>
      <c r="H11" s="109"/>
      <c r="I11" s="109"/>
      <c r="J11" s="109"/>
    </row>
    <row r="12" spans="1:10" x14ac:dyDescent="0.25">
      <c r="A12" s="127" t="s">
        <v>19</v>
      </c>
      <c r="B12" s="127"/>
      <c r="C12" s="127"/>
      <c r="D12" s="127"/>
      <c r="E12" s="127"/>
      <c r="F12" s="127"/>
      <c r="G12" s="127"/>
      <c r="H12" s="127"/>
      <c r="I12" s="127"/>
      <c r="J12" s="127"/>
    </row>
    <row r="13" spans="1:10" x14ac:dyDescent="0.25">
      <c r="A13" s="109"/>
      <c r="B13" s="109"/>
      <c r="C13" s="109"/>
      <c r="D13" s="109"/>
      <c r="E13" s="109"/>
      <c r="F13" s="109"/>
      <c r="G13" s="109"/>
      <c r="H13" s="109"/>
      <c r="I13" s="109"/>
      <c r="J13" s="109"/>
    </row>
    <row r="14" spans="1:10" ht="24.75" customHeight="1" x14ac:dyDescent="0.25">
      <c r="A14" s="126" t="s">
        <v>18</v>
      </c>
      <c r="B14" s="126"/>
      <c r="C14" s="126"/>
      <c r="D14" s="126"/>
      <c r="E14" s="126"/>
      <c r="F14" s="124" t="s">
        <v>17</v>
      </c>
      <c r="G14" s="124" t="s">
        <v>16</v>
      </c>
      <c r="H14" s="125" t="s">
        <v>15</v>
      </c>
      <c r="I14" s="125"/>
      <c r="J14" s="124" t="s">
        <v>14</v>
      </c>
    </row>
    <row r="15" spans="1:10" ht="17.25" customHeight="1" x14ac:dyDescent="0.25">
      <c r="A15" s="123" t="s">
        <v>13</v>
      </c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x14ac:dyDescent="0.25">
      <c r="A16" s="120" t="s">
        <v>12</v>
      </c>
      <c r="B16" s="120"/>
      <c r="C16" s="120"/>
      <c r="D16" s="120"/>
      <c r="E16" s="120"/>
      <c r="F16" s="117">
        <v>0</v>
      </c>
      <c r="G16" s="117">
        <v>0</v>
      </c>
      <c r="H16" s="119">
        <v>0</v>
      </c>
      <c r="I16" s="119"/>
      <c r="J16" s="117">
        <f>F16+G16-H16</f>
        <v>0</v>
      </c>
    </row>
    <row r="17" spans="1:10" x14ac:dyDescent="0.25">
      <c r="A17" s="120" t="s">
        <v>10</v>
      </c>
      <c r="B17" s="120"/>
      <c r="C17" s="120"/>
      <c r="D17" s="120"/>
      <c r="E17" s="120"/>
      <c r="F17" s="117">
        <v>408228.24</v>
      </c>
      <c r="G17" s="117">
        <v>0</v>
      </c>
      <c r="H17" s="119">
        <v>0</v>
      </c>
      <c r="I17" s="119"/>
      <c r="J17" s="117">
        <f>F17+G17-H17</f>
        <v>408228.24</v>
      </c>
    </row>
    <row r="18" spans="1:10" x14ac:dyDescent="0.25">
      <c r="A18" s="120" t="s">
        <v>9</v>
      </c>
      <c r="B18" s="120"/>
      <c r="C18" s="120"/>
      <c r="D18" s="120"/>
      <c r="E18" s="120"/>
      <c r="F18" s="117">
        <v>0</v>
      </c>
      <c r="G18" s="117">
        <v>0</v>
      </c>
      <c r="H18" s="119">
        <v>0</v>
      </c>
      <c r="I18" s="119"/>
      <c r="J18" s="117">
        <f>F18+G18-H18</f>
        <v>0</v>
      </c>
    </row>
    <row r="19" spans="1:10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</row>
    <row r="20" spans="1:10" x14ac:dyDescent="0.25">
      <c r="A20" s="121" t="s">
        <v>8</v>
      </c>
      <c r="B20" s="121"/>
      <c r="C20" s="121"/>
      <c r="D20" s="121"/>
      <c r="E20" s="121"/>
      <c r="F20" s="121"/>
      <c r="G20" s="121"/>
      <c r="H20" s="121"/>
      <c r="I20" s="121"/>
      <c r="J20" s="121"/>
    </row>
    <row r="21" spans="1:10" x14ac:dyDescent="0.25">
      <c r="A21" s="120" t="s">
        <v>6</v>
      </c>
      <c r="B21" s="120"/>
      <c r="C21" s="120"/>
      <c r="D21" s="120"/>
      <c r="E21" s="120"/>
      <c r="F21" s="117">
        <v>0</v>
      </c>
      <c r="G21" s="117">
        <v>0</v>
      </c>
      <c r="H21" s="119">
        <v>0</v>
      </c>
      <c r="I21" s="119"/>
      <c r="J21" s="117">
        <f>F21+G21-H21</f>
        <v>0</v>
      </c>
    </row>
    <row r="22" spans="1:10" x14ac:dyDescent="0.25">
      <c r="A22" s="120" t="s">
        <v>5</v>
      </c>
      <c r="B22" s="120"/>
      <c r="C22" s="120"/>
      <c r="D22" s="120"/>
      <c r="E22" s="120"/>
      <c r="F22" s="117">
        <v>0</v>
      </c>
      <c r="G22" s="117">
        <v>0</v>
      </c>
      <c r="H22" s="119">
        <v>0</v>
      </c>
      <c r="I22" s="119"/>
      <c r="J22" s="117">
        <f>F22+G22-H22</f>
        <v>0</v>
      </c>
    </row>
    <row r="23" spans="1:10" x14ac:dyDescent="0.25">
      <c r="A23" s="120" t="s">
        <v>4</v>
      </c>
      <c r="B23" s="120"/>
      <c r="C23" s="120"/>
      <c r="D23" s="120"/>
      <c r="E23" s="120"/>
      <c r="F23" s="117">
        <v>1763529.38</v>
      </c>
      <c r="G23" s="117">
        <v>0</v>
      </c>
      <c r="H23" s="119">
        <v>0</v>
      </c>
      <c r="I23" s="119"/>
      <c r="J23" s="117">
        <f>F23+G23-H23</f>
        <v>1763529.38</v>
      </c>
    </row>
    <row r="24" spans="1:10" x14ac:dyDescent="0.25">
      <c r="A24" s="120" t="s">
        <v>3</v>
      </c>
      <c r="B24" s="120"/>
      <c r="C24" s="120"/>
      <c r="D24" s="120"/>
      <c r="E24" s="120"/>
      <c r="F24" s="117">
        <v>206480.42</v>
      </c>
      <c r="G24" s="117">
        <v>20627.03</v>
      </c>
      <c r="H24" s="119">
        <v>16098.67</v>
      </c>
      <c r="I24" s="119"/>
      <c r="J24" s="117">
        <f>F24+G24-H24</f>
        <v>211008.78</v>
      </c>
    </row>
    <row r="25" spans="1:10" x14ac:dyDescent="0.25">
      <c r="A25" s="120" t="s">
        <v>2</v>
      </c>
      <c r="B25" s="120"/>
      <c r="C25" s="120"/>
      <c r="D25" s="120"/>
      <c r="E25" s="120"/>
      <c r="F25" s="117">
        <v>0</v>
      </c>
      <c r="G25" s="117">
        <v>0</v>
      </c>
      <c r="H25" s="119">
        <v>0</v>
      </c>
      <c r="I25" s="119"/>
      <c r="J25" s="117">
        <f>F25+G25-H25</f>
        <v>0</v>
      </c>
    </row>
    <row r="26" spans="1:10" x14ac:dyDescent="0.25">
      <c r="A26" s="118"/>
      <c r="B26" s="118"/>
      <c r="C26" s="118"/>
      <c r="D26" s="118"/>
      <c r="E26" s="118"/>
      <c r="F26" s="117"/>
      <c r="G26" s="117"/>
      <c r="H26" s="117"/>
      <c r="I26" s="117"/>
      <c r="J26" s="117"/>
    </row>
    <row r="27" spans="1:10" ht="15.75" customHeight="1" x14ac:dyDescent="0.25">
      <c r="A27" s="116"/>
      <c r="B27" s="116"/>
      <c r="C27" s="116"/>
      <c r="D27" s="116"/>
      <c r="E27" s="116"/>
      <c r="F27" s="115"/>
      <c r="G27" s="115"/>
      <c r="H27" s="115"/>
      <c r="I27" s="115"/>
      <c r="J27" s="115"/>
    </row>
    <row r="28" spans="1:10" x14ac:dyDescent="0.25">
      <c r="A28" s="112" t="s">
        <v>1</v>
      </c>
      <c r="B28" s="114" t="s">
        <v>106</v>
      </c>
      <c r="C28" s="113"/>
      <c r="D28" s="113"/>
      <c r="E28" s="110">
        <f>SUM(F16:F25)</f>
        <v>2378238.04</v>
      </c>
      <c r="F28" s="110"/>
      <c r="G28" s="110">
        <f>SUM(G16:G25)</f>
        <v>20627.03</v>
      </c>
      <c r="H28" s="110">
        <f>SUM(H16:H25)</f>
        <v>16098.67</v>
      </c>
      <c r="I28" s="110"/>
      <c r="J28" s="110">
        <f>SUM(J16:J25)</f>
        <v>2382766.4</v>
      </c>
    </row>
    <row r="29" spans="1:10" x14ac:dyDescent="0.25">
      <c r="A29" s="112"/>
      <c r="B29" s="111"/>
      <c r="C29" s="111"/>
      <c r="D29" s="111"/>
      <c r="E29" s="110"/>
      <c r="F29" s="110"/>
      <c r="G29" s="110"/>
      <c r="H29" s="110"/>
      <c r="I29" s="110"/>
      <c r="J29" s="110"/>
    </row>
    <row r="30" spans="1:10" x14ac:dyDescent="0.25">
      <c r="A30" s="109"/>
      <c r="B30" s="109"/>
      <c r="C30" s="109"/>
      <c r="D30" s="109"/>
      <c r="E30" s="109"/>
      <c r="F30" s="109"/>
      <c r="G30" s="109"/>
      <c r="H30" s="109"/>
      <c r="I30" s="109"/>
      <c r="J30" s="109"/>
    </row>
    <row r="31" spans="1:10" x14ac:dyDescent="0.25">
      <c r="A31" s="109"/>
      <c r="B31" s="109"/>
      <c r="C31" s="109"/>
      <c r="D31" s="109"/>
      <c r="E31" s="109"/>
      <c r="F31" s="109"/>
      <c r="G31" s="109"/>
      <c r="H31" s="109"/>
      <c r="I31" s="109"/>
      <c r="J31" s="109"/>
    </row>
    <row r="32" spans="1:10" x14ac:dyDescent="0.25">
      <c r="A32" s="109"/>
      <c r="B32" s="109"/>
      <c r="C32" s="109"/>
      <c r="D32" s="109"/>
      <c r="E32" s="109"/>
      <c r="F32" s="109"/>
      <c r="G32" s="109"/>
      <c r="H32" s="109"/>
      <c r="I32" s="109"/>
      <c r="J32" s="109"/>
    </row>
    <row r="33" spans="1:10" x14ac:dyDescent="0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</row>
  </sheetData>
  <mergeCells count="52"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  <mergeCell ref="A14:E14"/>
    <mergeCell ref="H14:I14"/>
    <mergeCell ref="A8:B8"/>
    <mergeCell ref="C8:H8"/>
    <mergeCell ref="I8:J8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6:E16"/>
    <mergeCell ref="H16:I16"/>
    <mergeCell ref="A17:E17"/>
    <mergeCell ref="H17:I17"/>
    <mergeCell ref="A18:E18"/>
    <mergeCell ref="H18:I18"/>
    <mergeCell ref="B29:D29"/>
    <mergeCell ref="A30:J30"/>
    <mergeCell ref="A31:J31"/>
    <mergeCell ref="A32:J32"/>
    <mergeCell ref="A21:E21"/>
    <mergeCell ref="H21:I21"/>
    <mergeCell ref="A22:E22"/>
    <mergeCell ref="H22:I22"/>
    <mergeCell ref="A23:E23"/>
    <mergeCell ref="H23:I23"/>
    <mergeCell ref="A33:J33"/>
    <mergeCell ref="A24:E24"/>
    <mergeCell ref="H24:I24"/>
    <mergeCell ref="A25:E25"/>
    <mergeCell ref="H25:I25"/>
    <mergeCell ref="B28:D28"/>
    <mergeCell ref="E28:F29"/>
    <mergeCell ref="G28:G29"/>
    <mergeCell ref="H28:I29"/>
    <mergeCell ref="J28:J29"/>
  </mergeCells>
  <pageMargins left="0.7" right="0.7" top="0.75" bottom="0.75" header="0.3" footer="0.3"/>
  <pageSetup scale="98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EEF3-C4A3-4A2A-B90F-526486B0024C}">
  <dimension ref="A1:V41"/>
  <sheetViews>
    <sheetView zoomScaleNormal="100" workbookViewId="0">
      <selection activeCell="A5" sqref="A5"/>
    </sheetView>
  </sheetViews>
  <sheetFormatPr defaultColWidth="9.140625" defaultRowHeight="15" x14ac:dyDescent="0.25"/>
  <cols>
    <col min="1" max="1" width="1.7109375" style="49" customWidth="1"/>
    <col min="2" max="2" width="9" style="49" customWidth="1"/>
    <col min="3" max="3" width="44.28515625" style="49" customWidth="1"/>
    <col min="4" max="4" width="1.7109375" style="49" customWidth="1"/>
    <col min="5" max="5" width="15.7109375" style="50" customWidth="1"/>
    <col min="6" max="6" width="1.7109375" style="50" customWidth="1"/>
    <col min="7" max="7" width="15.7109375" style="50" customWidth="1"/>
    <col min="8" max="8" width="1.7109375" style="50" customWidth="1"/>
    <col min="9" max="9" width="15.7109375" style="50" customWidth="1"/>
    <col min="10" max="10" width="1.7109375" style="50" customWidth="1"/>
    <col min="11" max="11" width="15.7109375" style="50" customWidth="1"/>
    <col min="12" max="12" width="1.7109375" style="49" customWidth="1"/>
    <col min="13" max="13" width="15.7109375" style="49" customWidth="1"/>
    <col min="14" max="14" width="1.7109375" style="49" customWidth="1"/>
    <col min="15" max="15" width="15.7109375" style="49" customWidth="1"/>
    <col min="16" max="16" width="1.7109375" style="49" customWidth="1"/>
    <col min="17" max="17" width="15.7109375" style="49" customWidth="1"/>
    <col min="18" max="18" width="1.7109375" style="49" customWidth="1"/>
    <col min="19" max="20" width="15.7109375" style="49" customWidth="1"/>
    <col min="21" max="21" width="1.7109375" style="49" customWidth="1"/>
    <col min="22" max="22" width="15.7109375" style="49" customWidth="1"/>
    <col min="23" max="16384" width="9.140625" style="49"/>
  </cols>
  <sheetData>
    <row r="1" spans="1:22" x14ac:dyDescent="0.25">
      <c r="A1" s="69" t="s">
        <v>26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x14ac:dyDescent="0.25">
      <c r="A2" s="69" t="s">
        <v>83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2" x14ac:dyDescent="0.25">
      <c r="A3" s="69" t="s">
        <v>82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2" x14ac:dyDescent="0.25">
      <c r="A4" s="69" t="s">
        <v>108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</row>
    <row r="5" spans="1:22" x14ac:dyDescent="0.25">
      <c r="A5" s="69" t="s">
        <v>81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</row>
    <row r="6" spans="1:22" x14ac:dyDescent="0.25">
      <c r="A6" s="51"/>
      <c r="B6" s="51"/>
      <c r="C6" s="51"/>
      <c r="D6" s="51"/>
      <c r="E6" s="52"/>
      <c r="F6" s="52"/>
      <c r="G6" s="52"/>
      <c r="H6" s="52"/>
      <c r="I6" s="52"/>
      <c r="J6" s="52"/>
      <c r="K6" s="52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spans="1:22" ht="15.75" thickBot="1" x14ac:dyDescent="0.3">
      <c r="A7" s="51"/>
      <c r="B7" s="51"/>
      <c r="C7" s="51"/>
      <c r="D7" s="51"/>
      <c r="E7" s="52"/>
      <c r="F7" s="52"/>
      <c r="G7" s="52"/>
      <c r="H7" s="52"/>
      <c r="I7" s="52"/>
      <c r="J7" s="62"/>
      <c r="K7" s="68" t="s">
        <v>80</v>
      </c>
      <c r="L7" s="68"/>
      <c r="M7" s="68"/>
      <c r="N7" s="68"/>
      <c r="O7" s="68"/>
      <c r="P7" s="68"/>
      <c r="Q7" s="68"/>
      <c r="R7" s="68"/>
      <c r="S7" s="68"/>
      <c r="T7" s="68"/>
      <c r="U7" s="51"/>
      <c r="V7" s="51"/>
    </row>
    <row r="8" spans="1:22" x14ac:dyDescent="0.25">
      <c r="A8" s="51"/>
      <c r="B8" s="51"/>
      <c r="C8" s="51"/>
      <c r="D8" s="51"/>
      <c r="E8" s="67" t="s">
        <v>79</v>
      </c>
      <c r="F8" s="64"/>
      <c r="G8" s="67" t="s">
        <v>78</v>
      </c>
      <c r="H8" s="64"/>
      <c r="I8" s="67" t="s">
        <v>77</v>
      </c>
      <c r="J8" s="65"/>
      <c r="K8" s="67" t="s">
        <v>76</v>
      </c>
      <c r="L8" s="51"/>
      <c r="M8" s="67" t="s">
        <v>75</v>
      </c>
      <c r="N8" s="64"/>
      <c r="O8" s="67" t="s">
        <v>74</v>
      </c>
      <c r="P8" s="64"/>
      <c r="Q8" s="67" t="s">
        <v>73</v>
      </c>
      <c r="R8" s="64"/>
      <c r="S8" s="67" t="s">
        <v>72</v>
      </c>
      <c r="T8" s="67" t="s">
        <v>71</v>
      </c>
      <c r="U8" s="64"/>
      <c r="V8" s="67" t="s">
        <v>70</v>
      </c>
    </row>
    <row r="9" spans="1:22" ht="120" x14ac:dyDescent="0.25">
      <c r="A9" s="61"/>
      <c r="B9" s="51"/>
      <c r="C9" s="51"/>
      <c r="D9" s="51"/>
      <c r="E9" s="63" t="s">
        <v>69</v>
      </c>
      <c r="F9" s="64"/>
      <c r="G9" s="63" t="s">
        <v>68</v>
      </c>
      <c r="H9" s="64"/>
      <c r="I9" s="66" t="s">
        <v>67</v>
      </c>
      <c r="J9" s="65"/>
      <c r="K9" s="63" t="s">
        <v>66</v>
      </c>
      <c r="L9" s="64"/>
      <c r="M9" s="63" t="s">
        <v>65</v>
      </c>
      <c r="N9" s="51"/>
      <c r="O9" s="63" t="s">
        <v>64</v>
      </c>
      <c r="P9" s="51"/>
      <c r="Q9" s="63" t="s">
        <v>63</v>
      </c>
      <c r="R9" s="51"/>
      <c r="S9" s="63" t="s">
        <v>62</v>
      </c>
      <c r="T9" s="63" t="s">
        <v>61</v>
      </c>
      <c r="U9" s="51"/>
      <c r="V9" s="63" t="s">
        <v>60</v>
      </c>
    </row>
    <row r="10" spans="1:22" x14ac:dyDescent="0.25">
      <c r="A10" s="51"/>
      <c r="B10" s="51"/>
      <c r="C10" s="51"/>
      <c r="D10" s="51"/>
      <c r="E10" s="52"/>
      <c r="F10" s="52"/>
      <c r="G10" s="52"/>
      <c r="H10" s="52"/>
      <c r="I10" s="52"/>
      <c r="J10" s="62"/>
      <c r="K10" s="52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spans="1:22" x14ac:dyDescent="0.25">
      <c r="A11" s="61" t="s">
        <v>13</v>
      </c>
      <c r="B11" s="51"/>
      <c r="C11" s="51"/>
      <c r="D11" s="51"/>
      <c r="E11" s="52"/>
      <c r="F11" s="52"/>
      <c r="G11" s="52"/>
      <c r="H11" s="52"/>
      <c r="I11" s="52"/>
      <c r="J11" s="62"/>
      <c r="K11" s="52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spans="1:22" x14ac:dyDescent="0.25">
      <c r="A12" s="51"/>
      <c r="B12" s="51" t="s">
        <v>59</v>
      </c>
      <c r="C12" s="51"/>
      <c r="D12" s="51"/>
      <c r="E12" s="53"/>
      <c r="F12" s="53"/>
      <c r="G12" s="53"/>
      <c r="H12" s="53"/>
      <c r="I12" s="56"/>
      <c r="J12" s="60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6">
        <f>SUM(K12:T12)</f>
        <v>0</v>
      </c>
    </row>
    <row r="13" spans="1:22" x14ac:dyDescent="0.25">
      <c r="A13" s="51"/>
      <c r="B13" s="51" t="s">
        <v>58</v>
      </c>
      <c r="C13" s="51"/>
      <c r="D13" s="51"/>
      <c r="E13" s="53"/>
      <c r="F13" s="53"/>
      <c r="G13" s="53"/>
      <c r="H13" s="53"/>
      <c r="I13" s="56"/>
      <c r="J13" s="60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6">
        <f>SUM(K13:T13)</f>
        <v>0</v>
      </c>
    </row>
    <row r="14" spans="1:22" x14ac:dyDescent="0.25">
      <c r="A14" s="51"/>
      <c r="B14" s="51" t="s">
        <v>57</v>
      </c>
      <c r="C14" s="51"/>
      <c r="D14" s="51"/>
      <c r="E14" s="53"/>
      <c r="F14" s="53"/>
      <c r="G14" s="53"/>
      <c r="H14" s="53"/>
      <c r="I14" s="56"/>
      <c r="J14" s="60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6">
        <f>SUM(K14:T14)</f>
        <v>0</v>
      </c>
    </row>
    <row r="15" spans="1:22" x14ac:dyDescent="0.25">
      <c r="A15" s="51"/>
      <c r="B15" s="51" t="s">
        <v>56</v>
      </c>
      <c r="C15" s="51"/>
      <c r="D15" s="51"/>
      <c r="E15" s="53">
        <v>408228.24</v>
      </c>
      <c r="F15" s="53"/>
      <c r="G15" s="53">
        <v>408228.24</v>
      </c>
      <c r="H15" s="53"/>
      <c r="I15" s="56"/>
      <c r="J15" s="60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6">
        <f>SUM(K15:T15)</f>
        <v>0</v>
      </c>
    </row>
    <row r="16" spans="1:22" x14ac:dyDescent="0.25">
      <c r="A16" s="51"/>
      <c r="B16" s="51" t="s">
        <v>55</v>
      </c>
      <c r="C16" s="51"/>
      <c r="D16" s="51"/>
      <c r="E16" s="53"/>
      <c r="F16" s="53"/>
      <c r="G16" s="53"/>
      <c r="H16" s="53"/>
      <c r="I16" s="56"/>
      <c r="J16" s="60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6">
        <f>SUM(K16:T16)</f>
        <v>0</v>
      </c>
    </row>
    <row r="17" spans="1:22" x14ac:dyDescent="0.25">
      <c r="A17" s="51"/>
      <c r="B17" s="51" t="s">
        <v>54</v>
      </c>
      <c r="C17" s="51"/>
      <c r="D17" s="51"/>
      <c r="E17" s="53"/>
      <c r="F17" s="53"/>
      <c r="G17" s="53"/>
      <c r="H17" s="53"/>
      <c r="I17" s="56"/>
      <c r="J17" s="60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6">
        <f>SUM(K17:T17)</f>
        <v>0</v>
      </c>
    </row>
    <row r="18" spans="1:22" x14ac:dyDescent="0.25">
      <c r="A18" s="61" t="s">
        <v>8</v>
      </c>
      <c r="B18" s="51"/>
      <c r="C18" s="51"/>
      <c r="D18" s="51"/>
      <c r="E18" s="53"/>
      <c r="F18" s="53"/>
      <c r="G18" s="53"/>
      <c r="H18" s="53"/>
      <c r="I18" s="56"/>
      <c r="J18" s="60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6"/>
    </row>
    <row r="19" spans="1:22" x14ac:dyDescent="0.25">
      <c r="A19" s="51"/>
      <c r="B19" s="51" t="s">
        <v>53</v>
      </c>
      <c r="C19" s="51"/>
      <c r="D19" s="51"/>
      <c r="E19" s="53"/>
      <c r="F19" s="53"/>
      <c r="G19" s="53"/>
      <c r="H19" s="53"/>
      <c r="I19" s="56"/>
      <c r="J19" s="60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6">
        <f>SUM(K19:T19)</f>
        <v>0</v>
      </c>
    </row>
    <row r="20" spans="1:22" x14ac:dyDescent="0.25">
      <c r="A20" s="51"/>
      <c r="B20" s="51" t="s">
        <v>52</v>
      </c>
      <c r="C20" s="51"/>
      <c r="D20" s="51"/>
      <c r="E20" s="53"/>
      <c r="F20" s="53"/>
      <c r="G20" s="53"/>
      <c r="H20" s="53"/>
      <c r="I20" s="56"/>
      <c r="J20" s="60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6">
        <f>SUM(K20:T20)</f>
        <v>0</v>
      </c>
    </row>
    <row r="21" spans="1:22" x14ac:dyDescent="0.25">
      <c r="A21" s="51"/>
      <c r="B21" s="51" t="s">
        <v>51</v>
      </c>
      <c r="C21" s="51"/>
      <c r="D21" s="51"/>
      <c r="E21" s="53"/>
      <c r="F21" s="53"/>
      <c r="G21" s="53"/>
      <c r="H21" s="53"/>
      <c r="I21" s="56"/>
      <c r="J21" s="60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6">
        <f>SUM(K21:T21)</f>
        <v>0</v>
      </c>
    </row>
    <row r="22" spans="1:22" x14ac:dyDescent="0.25">
      <c r="A22" s="51"/>
      <c r="B22" s="51" t="s">
        <v>50</v>
      </c>
      <c r="C22" s="51"/>
      <c r="D22" s="51"/>
      <c r="E22" s="53"/>
      <c r="F22" s="53"/>
      <c r="G22" s="53"/>
      <c r="H22" s="53"/>
      <c r="I22" s="56"/>
      <c r="J22" s="60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6">
        <f>SUM(K22:T22)</f>
        <v>0</v>
      </c>
    </row>
    <row r="23" spans="1:22" x14ac:dyDescent="0.25">
      <c r="A23" s="51"/>
      <c r="B23" s="51" t="s">
        <v>49</v>
      </c>
      <c r="C23" s="51"/>
      <c r="D23" s="51"/>
      <c r="E23" s="53"/>
      <c r="F23" s="53"/>
      <c r="G23" s="53"/>
      <c r="H23" s="53"/>
      <c r="I23" s="56"/>
      <c r="J23" s="60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6">
        <f>SUM(K23:T23)</f>
        <v>0</v>
      </c>
    </row>
    <row r="24" spans="1:22" x14ac:dyDescent="0.25">
      <c r="A24" s="51"/>
      <c r="B24" s="51" t="s">
        <v>48</v>
      </c>
      <c r="C24" s="51"/>
      <c r="D24" s="51"/>
      <c r="E24" s="53">
        <v>1816459.57</v>
      </c>
      <c r="F24" s="53"/>
      <c r="G24" s="53">
        <v>1763529.38</v>
      </c>
      <c r="H24" s="53"/>
      <c r="I24" s="56">
        <f>G24-E24</f>
        <v>-52930.190000000177</v>
      </c>
      <c r="J24" s="60"/>
      <c r="K24" s="53"/>
      <c r="L24" s="53"/>
      <c r="M24" s="53"/>
      <c r="N24" s="53"/>
      <c r="O24" s="53"/>
      <c r="P24" s="53"/>
      <c r="Q24" s="53"/>
      <c r="R24" s="53"/>
      <c r="S24" s="53"/>
      <c r="T24" s="53">
        <f>I24</f>
        <v>-52930.190000000177</v>
      </c>
      <c r="U24" s="53"/>
      <c r="V24" s="56">
        <f>SUM(K24:T24)</f>
        <v>-52930.190000000177</v>
      </c>
    </row>
    <row r="25" spans="1:22" x14ac:dyDescent="0.25">
      <c r="A25" s="51"/>
      <c r="B25" s="51" t="s">
        <v>47</v>
      </c>
      <c r="C25" s="51"/>
      <c r="D25" s="51"/>
      <c r="E25" s="53"/>
      <c r="F25" s="53"/>
      <c r="G25" s="53"/>
      <c r="H25" s="53"/>
      <c r="I25" s="56"/>
      <c r="J25" s="60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6">
        <f>SUM(K25:T25)</f>
        <v>0</v>
      </c>
    </row>
    <row r="26" spans="1:22" x14ac:dyDescent="0.25">
      <c r="A26" s="51"/>
      <c r="B26" s="135" t="s">
        <v>46</v>
      </c>
      <c r="C26" s="135"/>
      <c r="D26" s="135"/>
      <c r="E26" s="133">
        <v>212677.68</v>
      </c>
      <c r="F26" s="133"/>
      <c r="G26" s="133">
        <v>206480.42</v>
      </c>
      <c r="H26" s="133"/>
      <c r="I26" s="132">
        <f>G26-E26</f>
        <v>-6197.2599999999802</v>
      </c>
      <c r="J26" s="134"/>
      <c r="K26" s="133"/>
      <c r="L26" s="133"/>
      <c r="M26" s="133"/>
      <c r="N26" s="133"/>
      <c r="O26" s="133"/>
      <c r="P26" s="133"/>
      <c r="Q26" s="133"/>
      <c r="R26" s="133"/>
      <c r="S26" s="133">
        <f>I26</f>
        <v>-6197.2599999999802</v>
      </c>
      <c r="T26" s="133"/>
      <c r="U26" s="133"/>
      <c r="V26" s="132">
        <f>SUM(K26:T26)</f>
        <v>-6197.2599999999802</v>
      </c>
    </row>
    <row r="27" spans="1:22" x14ac:dyDescent="0.25">
      <c r="A27" s="51"/>
      <c r="B27" s="51" t="s">
        <v>45</v>
      </c>
      <c r="C27" s="51"/>
      <c r="D27" s="51"/>
      <c r="E27" s="53"/>
      <c r="F27" s="53"/>
      <c r="G27" s="53"/>
      <c r="H27" s="53"/>
      <c r="I27" s="56"/>
      <c r="J27" s="60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6">
        <f>SUM(K27:T27)</f>
        <v>0</v>
      </c>
    </row>
    <row r="28" spans="1:22" x14ac:dyDescent="0.25">
      <c r="A28" s="51"/>
      <c r="B28" s="51" t="s">
        <v>44</v>
      </c>
      <c r="C28" s="51"/>
      <c r="D28" s="51"/>
      <c r="E28" s="53"/>
      <c r="F28" s="53"/>
      <c r="G28" s="53"/>
      <c r="H28" s="53"/>
      <c r="I28" s="56">
        <f>G28-E28</f>
        <v>0</v>
      </c>
      <c r="J28" s="60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6">
        <f>SUM(K28:T28)</f>
        <v>0</v>
      </c>
    </row>
    <row r="29" spans="1:22" x14ac:dyDescent="0.25">
      <c r="A29" s="51"/>
      <c r="B29" s="51" t="s">
        <v>43</v>
      </c>
      <c r="C29" s="51"/>
      <c r="D29" s="51"/>
      <c r="E29" s="53"/>
      <c r="F29" s="53"/>
      <c r="G29" s="53"/>
      <c r="H29" s="53"/>
      <c r="I29" s="56"/>
      <c r="J29" s="60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6">
        <f>SUM(K29:T29)</f>
        <v>0</v>
      </c>
    </row>
    <row r="30" spans="1:22" x14ac:dyDescent="0.25">
      <c r="A30" s="51"/>
      <c r="B30" s="51" t="s">
        <v>42</v>
      </c>
      <c r="C30" s="51"/>
      <c r="D30" s="51"/>
      <c r="E30" s="59"/>
      <c r="F30" s="53"/>
      <c r="G30" s="59"/>
      <c r="H30" s="53"/>
      <c r="I30" s="56"/>
      <c r="J30" s="60"/>
      <c r="K30" s="59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6">
        <f>SUM(K30:T30)</f>
        <v>0</v>
      </c>
    </row>
    <row r="31" spans="1:22" ht="15.75" thickBot="1" x14ac:dyDescent="0.3">
      <c r="A31" s="58" t="s">
        <v>41</v>
      </c>
      <c r="E31" s="54">
        <f>SUM(E12:E30)</f>
        <v>2437365.4900000002</v>
      </c>
      <c r="F31" s="56"/>
      <c r="G31" s="54">
        <f>SUM(G12:G30)</f>
        <v>2378238.04</v>
      </c>
      <c r="H31" s="56"/>
      <c r="I31" s="54">
        <f>SUM(I12:I30)</f>
        <v>-59127.450000000157</v>
      </c>
      <c r="J31" s="57"/>
      <c r="K31" s="54">
        <f>SUM(K12:K30)</f>
        <v>0</v>
      </c>
      <c r="L31" s="56"/>
      <c r="M31" s="54">
        <f>SUM(M12:M30)</f>
        <v>0</v>
      </c>
      <c r="N31" s="56"/>
      <c r="O31" s="54">
        <f>SUM(O12:O30)</f>
        <v>0</v>
      </c>
      <c r="P31" s="56"/>
      <c r="Q31" s="54">
        <f>SUM(Q12:Q30)</f>
        <v>0</v>
      </c>
      <c r="R31" s="56"/>
      <c r="S31" s="54">
        <f>SUM(S12:S30)</f>
        <v>-6197.2599999999802</v>
      </c>
      <c r="T31" s="54">
        <f>SUM(T12:T30)</f>
        <v>-52930.190000000177</v>
      </c>
      <c r="U31" s="56"/>
      <c r="V31" s="54">
        <f>SUM(V12:V30)</f>
        <v>-59127.450000000157</v>
      </c>
    </row>
    <row r="32" spans="1:22" ht="15.75" thickTop="1" x14ac:dyDescent="0.25">
      <c r="A32" s="51"/>
      <c r="B32" s="51"/>
      <c r="C32" s="51"/>
      <c r="D32" s="51"/>
      <c r="E32" s="52"/>
      <c r="F32" s="52"/>
      <c r="G32" s="52"/>
      <c r="H32" s="52"/>
      <c r="I32" s="52"/>
      <c r="J32" s="52"/>
      <c r="K32" s="5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x14ac:dyDescent="0.25">
      <c r="A33" s="51"/>
      <c r="B33" s="51"/>
      <c r="C33" s="51"/>
      <c r="D33" s="51"/>
      <c r="E33" s="52"/>
      <c r="F33" s="52"/>
      <c r="G33" s="52"/>
      <c r="H33" s="52"/>
      <c r="I33" s="52"/>
      <c r="J33" s="52"/>
      <c r="K33" s="5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x14ac:dyDescent="0.25">
      <c r="A34" s="51" t="s">
        <v>40</v>
      </c>
      <c r="B34" s="51"/>
      <c r="C34" s="51"/>
      <c r="D34" s="51"/>
      <c r="E34" s="52"/>
      <c r="F34" s="52"/>
      <c r="G34" s="52"/>
      <c r="H34" s="52"/>
      <c r="I34" s="52"/>
      <c r="J34" s="52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x14ac:dyDescent="0.25">
      <c r="A35" s="51" t="s">
        <v>39</v>
      </c>
      <c r="B35" s="51"/>
      <c r="C35" s="51" t="s">
        <v>38</v>
      </c>
      <c r="D35" s="51"/>
      <c r="E35" s="52"/>
      <c r="F35" s="52"/>
      <c r="G35" s="52"/>
      <c r="H35" s="52"/>
      <c r="I35" s="52"/>
      <c r="J35" s="52"/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x14ac:dyDescent="0.25">
      <c r="A36" s="51" t="s">
        <v>37</v>
      </c>
      <c r="B36" s="51"/>
      <c r="C36" s="51" t="s">
        <v>36</v>
      </c>
      <c r="D36" s="51"/>
      <c r="E36" s="52"/>
      <c r="F36" s="52"/>
      <c r="G36" s="52"/>
      <c r="H36" s="52"/>
      <c r="I36" s="52"/>
      <c r="J36" s="52"/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x14ac:dyDescent="0.25">
      <c r="A37" s="51" t="s">
        <v>35</v>
      </c>
      <c r="B37" s="51"/>
      <c r="C37" s="51" t="s">
        <v>34</v>
      </c>
      <c r="D37" s="51"/>
      <c r="E37" s="52"/>
      <c r="F37" s="52"/>
      <c r="G37" s="52"/>
      <c r="H37" s="52"/>
      <c r="I37" s="52"/>
      <c r="J37" s="52"/>
      <c r="K37" s="52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x14ac:dyDescent="0.25">
      <c r="A38" s="51"/>
      <c r="B38" s="51"/>
      <c r="C38" s="51" t="s">
        <v>33</v>
      </c>
      <c r="D38" s="51"/>
      <c r="E38" s="52"/>
      <c r="F38" s="52"/>
      <c r="G38" s="52"/>
      <c r="H38" s="52"/>
      <c r="I38" s="52"/>
      <c r="J38" s="52"/>
      <c r="K38" s="52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x14ac:dyDescent="0.25">
      <c r="A39" s="51" t="s">
        <v>32</v>
      </c>
      <c r="B39" s="51"/>
      <c r="C39" s="51" t="s">
        <v>31</v>
      </c>
      <c r="D39" s="51"/>
      <c r="E39" s="52"/>
      <c r="F39" s="52"/>
      <c r="G39" s="52"/>
      <c r="H39" s="52"/>
      <c r="I39" s="52"/>
      <c r="J39" s="52"/>
      <c r="K39" s="52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x14ac:dyDescent="0.25">
      <c r="A40" s="51" t="s">
        <v>30</v>
      </c>
      <c r="B40" s="51"/>
      <c r="C40" s="51" t="s">
        <v>29</v>
      </c>
      <c r="D40" s="51"/>
      <c r="E40" s="52"/>
      <c r="F40" s="52"/>
      <c r="G40" s="52"/>
      <c r="H40" s="52"/>
      <c r="I40" s="52"/>
      <c r="J40" s="52"/>
      <c r="K40" s="52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x14ac:dyDescent="0.25">
      <c r="A41" s="51"/>
      <c r="B41" s="51"/>
      <c r="C41" s="51"/>
      <c r="D41" s="51"/>
      <c r="E41" s="52"/>
      <c r="F41" s="52"/>
      <c r="G41" s="52"/>
      <c r="H41" s="52"/>
      <c r="I41" s="52"/>
      <c r="J41" s="52"/>
      <c r="K41" s="52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</sheetData>
  <printOptions horizontalCentered="1"/>
  <pageMargins left="0" right="0" top="0.75" bottom="0.75" header="0.3" footer="0.3"/>
  <pageSetup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12B2-7339-46A5-B5F0-BC89832DE17D}">
  <dimension ref="A1:R28"/>
  <sheetViews>
    <sheetView showGridLines="0" zoomScaleNormal="100" workbookViewId="0">
      <selection activeCell="A13" sqref="A13:J13"/>
    </sheetView>
  </sheetViews>
  <sheetFormatPr defaultRowHeight="15" x14ac:dyDescent="0.25"/>
  <cols>
    <col min="1" max="1" width="32.7109375" style="1" customWidth="1"/>
    <col min="2" max="2" width="5.28515625" style="1" customWidth="1"/>
    <col min="3" max="3" width="7.5703125" style="1" customWidth="1"/>
    <col min="4" max="4" width="4.5703125" style="1" customWidth="1"/>
    <col min="5" max="5" width="19" style="1" customWidth="1"/>
    <col min="6" max="6" width="17.42578125" style="1" customWidth="1"/>
    <col min="7" max="7" width="16.7109375" style="1" customWidth="1"/>
    <col min="8" max="8" width="14.42578125" style="1" customWidth="1"/>
    <col min="9" max="9" width="3" style="1" customWidth="1"/>
    <col min="10" max="10" width="22.140625" style="1" customWidth="1"/>
    <col min="11" max="16384" width="9.140625" style="1"/>
  </cols>
  <sheetData>
    <row r="1" spans="1:10" x14ac:dyDescent="0.25">
      <c r="A1" s="74"/>
      <c r="B1" s="74"/>
      <c r="C1" s="74"/>
      <c r="D1" s="74"/>
      <c r="E1" s="74"/>
      <c r="F1" s="74"/>
      <c r="G1" s="74"/>
      <c r="H1" s="74"/>
      <c r="I1" s="74" t="s">
        <v>28</v>
      </c>
      <c r="J1" s="74"/>
    </row>
    <row r="2" spans="1:10" x14ac:dyDescent="0.25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x14ac:dyDescent="0.25">
      <c r="A3" s="73" t="s">
        <v>26</v>
      </c>
      <c r="B3" s="73"/>
      <c r="C3" s="73"/>
      <c r="D3" s="73"/>
      <c r="E3" s="73"/>
      <c r="F3" s="73"/>
      <c r="G3" s="73"/>
      <c r="H3" s="73"/>
      <c r="I3" s="73"/>
      <c r="J3" s="73"/>
    </row>
    <row r="4" spans="1:10" x14ac:dyDescent="0.25">
      <c r="A4" s="73" t="s">
        <v>111</v>
      </c>
      <c r="B4" s="73"/>
      <c r="C4" s="73"/>
      <c r="D4" s="73"/>
      <c r="E4" s="73"/>
      <c r="F4" s="73"/>
      <c r="G4" s="73"/>
      <c r="H4" s="73"/>
      <c r="I4" s="73"/>
      <c r="J4" s="73"/>
    </row>
    <row r="5" spans="1:10" x14ac:dyDescent="0.25">
      <c r="A5" s="73" t="s">
        <v>24</v>
      </c>
      <c r="B5" s="73"/>
      <c r="C5" s="73"/>
      <c r="D5" s="73"/>
      <c r="E5" s="73"/>
      <c r="F5" s="73"/>
      <c r="G5" s="73"/>
      <c r="H5" s="73"/>
      <c r="I5" s="73"/>
      <c r="J5" s="73"/>
    </row>
    <row r="6" spans="1:10" x14ac:dyDescent="0.25">
      <c r="A6" s="73" t="s">
        <v>23</v>
      </c>
      <c r="B6" s="73"/>
      <c r="C6" s="73"/>
      <c r="D6" s="73"/>
      <c r="E6" s="73"/>
      <c r="F6" s="73"/>
      <c r="G6" s="73"/>
      <c r="H6" s="73"/>
      <c r="I6" s="73"/>
      <c r="J6" s="73"/>
    </row>
    <row r="7" spans="1:10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</row>
    <row r="8" spans="1:10" x14ac:dyDescent="0.25">
      <c r="A8" s="75" t="s">
        <v>22</v>
      </c>
      <c r="B8" s="75"/>
      <c r="C8" s="76" t="s">
        <v>21</v>
      </c>
      <c r="D8" s="76"/>
      <c r="E8" s="76"/>
      <c r="F8" s="76"/>
      <c r="G8" s="76"/>
      <c r="H8" s="76"/>
      <c r="I8" s="74"/>
      <c r="J8" s="74"/>
    </row>
    <row r="9" spans="1:10" x14ac:dyDescent="0.25">
      <c r="A9" s="75" t="s">
        <v>1</v>
      </c>
      <c r="B9" s="75"/>
      <c r="C9" s="76" t="s">
        <v>110</v>
      </c>
      <c r="D9" s="76"/>
      <c r="E9" s="76"/>
      <c r="F9" s="76"/>
      <c r="G9" s="76"/>
      <c r="H9" s="76"/>
      <c r="I9" s="74"/>
      <c r="J9" s="74"/>
    </row>
    <row r="10" spans="1:10" x14ac:dyDescent="0.25">
      <c r="A10" s="75"/>
      <c r="B10" s="75"/>
      <c r="C10" s="78"/>
      <c r="D10" s="78"/>
      <c r="E10" s="78"/>
      <c r="F10" s="78"/>
      <c r="G10" s="78"/>
      <c r="H10" s="78"/>
      <c r="I10" s="74"/>
      <c r="J10" s="74"/>
    </row>
    <row r="11" spans="1:10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</row>
    <row r="12" spans="1:10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</row>
    <row r="13" spans="1:10" x14ac:dyDescent="0.25">
      <c r="A13" s="80" t="s">
        <v>19</v>
      </c>
      <c r="B13" s="80"/>
      <c r="C13" s="80"/>
      <c r="D13" s="80"/>
      <c r="E13" s="80"/>
      <c r="F13" s="80"/>
      <c r="G13" s="80"/>
      <c r="H13" s="80"/>
      <c r="I13" s="80"/>
      <c r="J13" s="80"/>
    </row>
    <row r="14" spans="1:10" x14ac:dyDescent="0.25">
      <c r="A14" s="79"/>
      <c r="B14" s="79"/>
      <c r="C14" s="79"/>
      <c r="D14" s="79"/>
      <c r="E14" s="79"/>
      <c r="F14" s="79"/>
      <c r="G14" s="79"/>
      <c r="H14" s="79"/>
      <c r="I14" s="79"/>
      <c r="J14" s="79"/>
    </row>
    <row r="15" spans="1:10" ht="24.75" customHeight="1" x14ac:dyDescent="0.25">
      <c r="A15" s="81" t="s">
        <v>18</v>
      </c>
      <c r="B15" s="81"/>
      <c r="C15" s="81"/>
      <c r="D15" s="81"/>
      <c r="E15" s="81"/>
      <c r="F15" s="9" t="s">
        <v>17</v>
      </c>
      <c r="G15" s="9" t="s">
        <v>16</v>
      </c>
      <c r="H15" s="82" t="s">
        <v>15</v>
      </c>
      <c r="I15" s="82"/>
      <c r="J15" s="9" t="s">
        <v>14</v>
      </c>
    </row>
    <row r="16" spans="1:10" ht="17.25" customHeight="1" x14ac:dyDescent="0.25">
      <c r="A16" s="77" t="s">
        <v>13</v>
      </c>
      <c r="B16" s="77"/>
      <c r="C16" s="77"/>
      <c r="D16" s="77"/>
      <c r="E16" s="77"/>
      <c r="F16" s="77"/>
      <c r="G16" s="77"/>
      <c r="H16" s="77"/>
      <c r="I16" s="77"/>
      <c r="J16" s="77"/>
    </row>
    <row r="17" spans="1:18" x14ac:dyDescent="0.25">
      <c r="A17" s="1" t="s">
        <v>109</v>
      </c>
      <c r="B17" s="2"/>
      <c r="C17" s="2"/>
      <c r="D17" s="2"/>
      <c r="E17" s="2"/>
      <c r="F17" s="137">
        <v>6003.51</v>
      </c>
      <c r="G17" s="6">
        <v>0</v>
      </c>
      <c r="H17" s="83">
        <v>0</v>
      </c>
      <c r="I17" s="83"/>
      <c r="J17" s="136">
        <f>+F17</f>
        <v>6003.51</v>
      </c>
    </row>
    <row r="18" spans="1:18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1:18" x14ac:dyDescent="0.25">
      <c r="A19" s="8" t="s">
        <v>8</v>
      </c>
      <c r="B19" s="8"/>
      <c r="C19" s="8"/>
      <c r="D19" s="8"/>
      <c r="E19" s="8"/>
      <c r="F19" s="8"/>
      <c r="G19" s="8"/>
      <c r="H19" s="8"/>
      <c r="I19" s="8"/>
      <c r="J19" s="8"/>
    </row>
    <row r="20" spans="1:18" x14ac:dyDescent="0.25">
      <c r="A20" s="74" t="s">
        <v>86</v>
      </c>
      <c r="B20" s="74"/>
      <c r="C20" s="74"/>
      <c r="D20" s="74"/>
      <c r="E20" s="74"/>
      <c r="F20" s="6">
        <v>76234</v>
      </c>
      <c r="G20" s="6">
        <v>0</v>
      </c>
      <c r="H20" s="83">
        <v>0</v>
      </c>
      <c r="I20" s="83"/>
      <c r="J20" s="6">
        <f>F20+G20-H20</f>
        <v>76234</v>
      </c>
      <c r="N20" s="74"/>
      <c r="O20" s="74"/>
      <c r="P20" s="74"/>
      <c r="Q20" s="74"/>
      <c r="R20" s="74"/>
    </row>
    <row r="21" spans="1:18" x14ac:dyDescent="0.25">
      <c r="A21" s="74" t="s">
        <v>85</v>
      </c>
      <c r="B21" s="74"/>
      <c r="C21" s="74"/>
      <c r="D21" s="74"/>
      <c r="E21" s="74"/>
      <c r="F21" s="6">
        <v>9115</v>
      </c>
      <c r="G21" s="6">
        <v>0</v>
      </c>
      <c r="H21" s="83">
        <v>0</v>
      </c>
      <c r="I21" s="83"/>
      <c r="J21" s="6">
        <f>F21+G21-H21</f>
        <v>9115</v>
      </c>
    </row>
    <row r="22" spans="1:18" ht="15.75" customHeight="1" x14ac:dyDescent="0.25">
      <c r="A22" s="5"/>
      <c r="B22" s="5"/>
      <c r="C22" s="5"/>
      <c r="D22" s="5"/>
      <c r="E22" s="5"/>
      <c r="F22" s="4"/>
      <c r="G22" s="4"/>
      <c r="H22" s="4"/>
      <c r="I22" s="4"/>
      <c r="J22" s="4"/>
    </row>
    <row r="23" spans="1:18" x14ac:dyDescent="0.25">
      <c r="A23" s="3" t="s">
        <v>1</v>
      </c>
      <c r="B23" s="88">
        <v>3100</v>
      </c>
      <c r="C23" s="88"/>
      <c r="D23" s="88"/>
      <c r="E23" s="87">
        <f>SUM(F17:F21)</f>
        <v>91352.51</v>
      </c>
      <c r="F23" s="87"/>
      <c r="G23" s="87">
        <v>0</v>
      </c>
      <c r="H23" s="87">
        <f>SUM(I17:I20)</f>
        <v>0</v>
      </c>
      <c r="I23" s="87"/>
      <c r="J23" s="87">
        <v>91352.51</v>
      </c>
    </row>
    <row r="24" spans="1:18" x14ac:dyDescent="0.25">
      <c r="A24" s="3"/>
      <c r="B24" s="88"/>
      <c r="C24" s="88"/>
      <c r="D24" s="88"/>
      <c r="E24" s="87"/>
      <c r="F24" s="87"/>
      <c r="G24" s="87"/>
      <c r="H24" s="87"/>
      <c r="I24" s="87"/>
      <c r="J24" s="87"/>
    </row>
    <row r="25" spans="1:18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</row>
    <row r="26" spans="1:18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</row>
    <row r="27" spans="1:18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</row>
    <row r="28" spans="1:18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</row>
  </sheetData>
  <mergeCells count="42">
    <mergeCell ref="B24:D24"/>
    <mergeCell ref="A21:E21"/>
    <mergeCell ref="H21:I21"/>
    <mergeCell ref="A20:E20"/>
    <mergeCell ref="H20:I20"/>
    <mergeCell ref="A25:J25"/>
    <mergeCell ref="H17:I17"/>
    <mergeCell ref="N20:R20"/>
    <mergeCell ref="A26:J26"/>
    <mergeCell ref="A27:J27"/>
    <mergeCell ref="A28:J28"/>
    <mergeCell ref="B23:D23"/>
    <mergeCell ref="E23:F24"/>
    <mergeCell ref="G23:G24"/>
    <mergeCell ref="H23:I24"/>
    <mergeCell ref="J23:J24"/>
    <mergeCell ref="A12:J12"/>
    <mergeCell ref="A13:J13"/>
    <mergeCell ref="A14:J14"/>
    <mergeCell ref="A15:E15"/>
    <mergeCell ref="H15:I15"/>
    <mergeCell ref="A16:J16"/>
    <mergeCell ref="A10:B10"/>
    <mergeCell ref="C10:H10"/>
    <mergeCell ref="I10:J10"/>
    <mergeCell ref="A11:B11"/>
    <mergeCell ref="C11:H11"/>
    <mergeCell ref="I11:J11"/>
    <mergeCell ref="A5:J5"/>
    <mergeCell ref="A6:J6"/>
    <mergeCell ref="A8:B8"/>
    <mergeCell ref="C8:H8"/>
    <mergeCell ref="I8:J8"/>
    <mergeCell ref="A9:B9"/>
    <mergeCell ref="C9:H9"/>
    <mergeCell ref="I9:J9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  <pageSetup scale="98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0B15-78A1-411B-BDA4-9AF5E64C3FF1}">
  <dimension ref="A1:V40"/>
  <sheetViews>
    <sheetView topLeftCell="A11" workbookViewId="0">
      <selection activeCell="G30" sqref="G30"/>
    </sheetView>
  </sheetViews>
  <sheetFormatPr defaultRowHeight="15" x14ac:dyDescent="0.25"/>
  <cols>
    <col min="1" max="1" width="1.7109375" style="10" customWidth="1"/>
    <col min="2" max="2" width="9" style="10" customWidth="1"/>
    <col min="3" max="3" width="52.85546875" style="10" customWidth="1"/>
    <col min="4" max="4" width="1.7109375" style="10" customWidth="1"/>
    <col min="5" max="5" width="15.7109375" style="11" customWidth="1"/>
    <col min="6" max="6" width="1.7109375" style="11" customWidth="1"/>
    <col min="7" max="7" width="15.7109375" style="11" customWidth="1"/>
    <col min="8" max="8" width="1.7109375" style="11" customWidth="1"/>
    <col min="9" max="9" width="15.7109375" style="11" customWidth="1"/>
    <col min="10" max="10" width="1.7109375" style="11" customWidth="1"/>
    <col min="11" max="11" width="15.7109375" style="11" customWidth="1"/>
    <col min="12" max="12" width="1.7109375" style="10" customWidth="1"/>
    <col min="13" max="13" width="15.7109375" style="10" customWidth="1"/>
    <col min="14" max="14" width="1.7109375" style="10" customWidth="1"/>
    <col min="15" max="15" width="15.7109375" style="10" customWidth="1"/>
    <col min="16" max="16" width="1.7109375" style="10" customWidth="1"/>
    <col min="17" max="17" width="15.7109375" style="10" customWidth="1"/>
    <col min="18" max="18" width="1.7109375" style="10" customWidth="1"/>
    <col min="19" max="20" width="15.7109375" style="10" customWidth="1"/>
    <col min="21" max="21" width="1.7109375" style="10" customWidth="1"/>
    <col min="22" max="22" width="15.7109375" style="10" customWidth="1"/>
    <col min="23" max="16384" width="9.140625" style="10"/>
  </cols>
  <sheetData>
    <row r="1" spans="1:22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 t="s">
        <v>83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 t="s">
        <v>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33" t="s">
        <v>111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33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26"/>
      <c r="K7" s="32" t="s">
        <v>80</v>
      </c>
      <c r="L7" s="32"/>
      <c r="M7" s="32"/>
      <c r="N7" s="32"/>
      <c r="O7" s="32"/>
      <c r="P7" s="32"/>
      <c r="Q7" s="32"/>
      <c r="R7" s="32"/>
      <c r="S7" s="32"/>
      <c r="T7" s="32"/>
      <c r="U7" s="12"/>
      <c r="V7" s="12"/>
    </row>
    <row r="8" spans="1:22" x14ac:dyDescent="0.25">
      <c r="A8" s="12"/>
      <c r="B8" s="12"/>
      <c r="C8" s="12"/>
      <c r="D8" s="12"/>
      <c r="E8" s="31" t="s">
        <v>79</v>
      </c>
      <c r="F8" s="28"/>
      <c r="G8" s="31" t="s">
        <v>78</v>
      </c>
      <c r="H8" s="28"/>
      <c r="I8" s="31" t="s">
        <v>77</v>
      </c>
      <c r="J8" s="29"/>
      <c r="K8" s="31" t="s">
        <v>76</v>
      </c>
      <c r="L8" s="12"/>
      <c r="M8" s="31" t="s">
        <v>75</v>
      </c>
      <c r="N8" s="28"/>
      <c r="O8" s="31" t="s">
        <v>74</v>
      </c>
      <c r="P8" s="28"/>
      <c r="Q8" s="31" t="s">
        <v>73</v>
      </c>
      <c r="R8" s="28"/>
      <c r="S8" s="31" t="s">
        <v>72</v>
      </c>
      <c r="T8" s="31" t="s">
        <v>71</v>
      </c>
      <c r="U8" s="28"/>
      <c r="V8" s="31" t="s">
        <v>70</v>
      </c>
    </row>
    <row r="9" spans="1:22" ht="120" x14ac:dyDescent="0.25">
      <c r="A9" s="25"/>
      <c r="B9" s="12"/>
      <c r="C9" s="12"/>
      <c r="D9" s="12"/>
      <c r="E9" s="27" t="s">
        <v>69</v>
      </c>
      <c r="F9" s="28"/>
      <c r="G9" s="27" t="s">
        <v>68</v>
      </c>
      <c r="H9" s="28"/>
      <c r="I9" s="30" t="s">
        <v>67</v>
      </c>
      <c r="J9" s="29"/>
      <c r="K9" s="27" t="s">
        <v>66</v>
      </c>
      <c r="L9" s="28"/>
      <c r="M9" s="27" t="s">
        <v>65</v>
      </c>
      <c r="N9" s="12"/>
      <c r="O9" s="27" t="s">
        <v>64</v>
      </c>
      <c r="P9" s="12"/>
      <c r="Q9" s="27" t="s">
        <v>63</v>
      </c>
      <c r="R9" s="12"/>
      <c r="S9" s="27" t="s">
        <v>115</v>
      </c>
      <c r="T9" s="27" t="s">
        <v>114</v>
      </c>
      <c r="U9" s="12"/>
      <c r="V9" s="27" t="s">
        <v>60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26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25" t="s">
        <v>13</v>
      </c>
      <c r="B11" s="12"/>
      <c r="C11" s="12"/>
      <c r="D11" s="12"/>
      <c r="E11" s="13"/>
      <c r="F11" s="13"/>
      <c r="G11" s="13"/>
      <c r="H11" s="13"/>
      <c r="I11" s="13"/>
      <c r="J11" s="26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59</v>
      </c>
      <c r="C12" s="12"/>
      <c r="D12" s="12"/>
      <c r="E12" s="18"/>
      <c r="F12" s="18"/>
      <c r="G12" s="18"/>
      <c r="H12" s="18"/>
      <c r="I12" s="15"/>
      <c r="J12" s="2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>
        <f>SUM(K12:T12)</f>
        <v>0</v>
      </c>
    </row>
    <row r="13" spans="1:22" x14ac:dyDescent="0.25">
      <c r="A13" s="12"/>
      <c r="B13" s="12" t="s">
        <v>58</v>
      </c>
      <c r="C13" s="12"/>
      <c r="D13" s="12"/>
      <c r="E13" s="18"/>
      <c r="F13" s="18"/>
      <c r="G13" s="18"/>
      <c r="H13" s="18"/>
      <c r="I13" s="15"/>
      <c r="J13" s="2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>
        <f>SUM(K13:T13)</f>
        <v>0</v>
      </c>
    </row>
    <row r="14" spans="1:22" x14ac:dyDescent="0.25">
      <c r="A14" s="12"/>
      <c r="B14" s="12" t="s">
        <v>57</v>
      </c>
      <c r="C14" s="12"/>
      <c r="D14" s="12"/>
      <c r="E14" s="18"/>
      <c r="F14" s="18"/>
      <c r="G14" s="18"/>
      <c r="H14" s="18"/>
      <c r="I14" s="15"/>
      <c r="J14" s="2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5">
        <f>SUM(K14:T14)</f>
        <v>0</v>
      </c>
    </row>
    <row r="15" spans="1:22" x14ac:dyDescent="0.25">
      <c r="A15" s="12"/>
      <c r="B15" s="12" t="s">
        <v>56</v>
      </c>
      <c r="C15" s="12"/>
      <c r="D15" s="12"/>
      <c r="E15" s="38">
        <v>6003.51</v>
      </c>
      <c r="F15" s="18"/>
      <c r="G15" s="38">
        <v>6003.51</v>
      </c>
      <c r="H15" s="18"/>
      <c r="I15" s="15">
        <f>G15-E15</f>
        <v>0</v>
      </c>
      <c r="J15" s="2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>
        <f>SUM(K15:T15)</f>
        <v>0</v>
      </c>
    </row>
    <row r="16" spans="1:22" x14ac:dyDescent="0.25">
      <c r="A16" s="12"/>
      <c r="B16" s="12" t="s">
        <v>55</v>
      </c>
      <c r="C16" s="12"/>
      <c r="D16" s="12"/>
      <c r="E16" s="18"/>
      <c r="F16" s="18"/>
      <c r="G16" s="18"/>
      <c r="H16" s="18"/>
      <c r="I16" s="15"/>
      <c r="J16" s="2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>
        <f>SUM(K16:T16)</f>
        <v>0</v>
      </c>
    </row>
    <row r="17" spans="1:22" x14ac:dyDescent="0.25">
      <c r="A17" s="12"/>
      <c r="B17" s="12" t="s">
        <v>54</v>
      </c>
      <c r="C17" s="12"/>
      <c r="D17" s="12"/>
      <c r="E17" s="18"/>
      <c r="F17" s="18"/>
      <c r="G17" s="18"/>
      <c r="H17" s="18"/>
      <c r="I17" s="15"/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>
        <f>SUM(K17:T17)</f>
        <v>0</v>
      </c>
    </row>
    <row r="18" spans="1:22" x14ac:dyDescent="0.25">
      <c r="A18" s="25" t="s">
        <v>8</v>
      </c>
      <c r="B18" s="12"/>
      <c r="C18" s="12"/>
      <c r="D18" s="12"/>
      <c r="E18" s="18"/>
      <c r="F18" s="18"/>
      <c r="G18" s="18"/>
      <c r="H18" s="18"/>
      <c r="I18" s="15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</row>
    <row r="19" spans="1:22" x14ac:dyDescent="0.25">
      <c r="A19" s="12"/>
      <c r="B19" s="12" t="s">
        <v>113</v>
      </c>
      <c r="C19" s="12"/>
      <c r="D19" s="12"/>
      <c r="E19" s="38"/>
      <c r="F19" s="18"/>
      <c r="G19" s="38"/>
      <c r="H19" s="18"/>
      <c r="I19" s="15">
        <f>G19-E19</f>
        <v>0</v>
      </c>
      <c r="J19" s="2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>
        <f>SUM(K19:T19)</f>
        <v>0</v>
      </c>
    </row>
    <row r="20" spans="1:22" x14ac:dyDescent="0.25">
      <c r="A20" s="12"/>
      <c r="B20" s="12" t="s">
        <v>52</v>
      </c>
      <c r="C20" s="12"/>
      <c r="D20" s="12"/>
      <c r="E20" s="18"/>
      <c r="F20" s="18"/>
      <c r="G20" s="18"/>
      <c r="H20" s="18"/>
      <c r="I20" s="15"/>
      <c r="J20" s="2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5">
        <f>SUM(K20:T20)</f>
        <v>0</v>
      </c>
    </row>
    <row r="21" spans="1:22" x14ac:dyDescent="0.25">
      <c r="A21" s="12"/>
      <c r="B21" s="12" t="s">
        <v>51</v>
      </c>
      <c r="C21" s="12"/>
      <c r="D21" s="12"/>
      <c r="E21" s="18"/>
      <c r="F21" s="18"/>
      <c r="G21" s="18"/>
      <c r="H21" s="18"/>
      <c r="I21" s="15"/>
      <c r="J21" s="2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5">
        <f>SUM(K21:T21)</f>
        <v>0</v>
      </c>
    </row>
    <row r="22" spans="1:22" x14ac:dyDescent="0.25">
      <c r="A22" s="12"/>
      <c r="B22" s="12" t="s">
        <v>112</v>
      </c>
      <c r="C22" s="12"/>
      <c r="D22" s="12"/>
      <c r="E22" s="38">
        <v>9115</v>
      </c>
      <c r="F22" s="18"/>
      <c r="G22" s="38">
        <v>9115</v>
      </c>
      <c r="H22" s="18"/>
      <c r="I22" s="15"/>
      <c r="J22" s="2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5">
        <f>SUM(K22:T22)</f>
        <v>0</v>
      </c>
    </row>
    <row r="23" spans="1:22" x14ac:dyDescent="0.25">
      <c r="A23" s="12"/>
      <c r="B23" s="12" t="s">
        <v>49</v>
      </c>
      <c r="C23" s="12"/>
      <c r="D23" s="12"/>
      <c r="E23" s="18"/>
      <c r="F23" s="18"/>
      <c r="G23" s="18"/>
      <c r="H23" s="18"/>
      <c r="I23" s="15"/>
      <c r="J23" s="2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5">
        <f>SUM(K23:T23)</f>
        <v>0</v>
      </c>
    </row>
    <row r="24" spans="1:22" x14ac:dyDescent="0.25">
      <c r="A24" s="12"/>
      <c r="B24" s="12" t="s">
        <v>48</v>
      </c>
      <c r="C24" s="12"/>
      <c r="D24" s="12"/>
      <c r="E24" s="38">
        <v>76234</v>
      </c>
      <c r="F24" s="18"/>
      <c r="G24" s="38">
        <v>76234</v>
      </c>
      <c r="H24" s="18"/>
      <c r="I24" s="15">
        <f>G24-E24</f>
        <v>0</v>
      </c>
      <c r="J24" s="20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5">
        <f>SUM(K24:T24)</f>
        <v>0</v>
      </c>
    </row>
    <row r="25" spans="1:22" x14ac:dyDescent="0.25">
      <c r="A25" s="12"/>
      <c r="B25" s="12" t="s">
        <v>47</v>
      </c>
      <c r="C25" s="12"/>
      <c r="D25" s="12"/>
      <c r="E25" s="18"/>
      <c r="F25" s="18"/>
      <c r="G25" s="18"/>
      <c r="H25" s="18"/>
      <c r="I25" s="15"/>
      <c r="J25" s="20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5">
        <f>SUM(K25:T25)</f>
        <v>0</v>
      </c>
    </row>
    <row r="26" spans="1:22" x14ac:dyDescent="0.25">
      <c r="A26" s="12"/>
      <c r="B26" s="12" t="s">
        <v>45</v>
      </c>
      <c r="C26" s="12"/>
      <c r="D26" s="12"/>
      <c r="E26" s="18"/>
      <c r="F26" s="18"/>
      <c r="G26" s="18"/>
      <c r="H26" s="18"/>
      <c r="I26" s="15"/>
      <c r="J26" s="20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5">
        <f>SUM(K26:T26)</f>
        <v>0</v>
      </c>
    </row>
    <row r="27" spans="1:22" x14ac:dyDescent="0.25">
      <c r="A27" s="12"/>
      <c r="B27" s="12" t="s">
        <v>44</v>
      </c>
      <c r="C27" s="12"/>
      <c r="D27" s="12"/>
      <c r="E27" s="18"/>
      <c r="F27" s="18"/>
      <c r="G27" s="18"/>
      <c r="H27" s="18"/>
      <c r="I27" s="15"/>
      <c r="J27" s="20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5">
        <f>SUM(K27:T27)</f>
        <v>0</v>
      </c>
    </row>
    <row r="28" spans="1:22" x14ac:dyDescent="0.25">
      <c r="A28" s="12"/>
      <c r="B28" s="12" t="s">
        <v>43</v>
      </c>
      <c r="C28" s="12"/>
      <c r="D28" s="12"/>
      <c r="E28" s="18"/>
      <c r="F28" s="18"/>
      <c r="G28" s="18"/>
      <c r="H28" s="18"/>
      <c r="I28" s="15"/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>
        <f>SUM(K28:T28)</f>
        <v>0</v>
      </c>
    </row>
    <row r="29" spans="1:22" x14ac:dyDescent="0.25">
      <c r="A29" s="12"/>
      <c r="B29" s="12" t="s">
        <v>42</v>
      </c>
      <c r="C29" s="12"/>
      <c r="D29" s="12"/>
      <c r="E29" s="19"/>
      <c r="F29" s="18"/>
      <c r="G29" s="19"/>
      <c r="H29" s="18"/>
      <c r="I29" s="15"/>
      <c r="J29" s="20"/>
      <c r="K29" s="19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5">
        <f>SUM(K29:T29)</f>
        <v>0</v>
      </c>
    </row>
    <row r="30" spans="1:22" ht="15.75" thickBot="1" x14ac:dyDescent="0.3">
      <c r="A30" s="17" t="s">
        <v>41</v>
      </c>
      <c r="E30" s="138">
        <f>SUM(E12:E29)</f>
        <v>91352.51</v>
      </c>
      <c r="F30" s="15"/>
      <c r="G30" s="138">
        <f>SUM(G12:G29)</f>
        <v>91352.51</v>
      </c>
      <c r="H30" s="15"/>
      <c r="I30" s="14">
        <f>SUM(I12:I29)</f>
        <v>0</v>
      </c>
      <c r="J30" s="16"/>
      <c r="K30" s="14">
        <f>SUM(K12:K29)</f>
        <v>0</v>
      </c>
      <c r="L30" s="15"/>
      <c r="M30" s="14">
        <f>SUM(M12:M29)</f>
        <v>0</v>
      </c>
      <c r="N30" s="15"/>
      <c r="O30" s="14">
        <f>SUM(O12:O29)</f>
        <v>0</v>
      </c>
      <c r="P30" s="15"/>
      <c r="Q30" s="14">
        <f>SUM(Q12:Q29)</f>
        <v>0</v>
      </c>
      <c r="R30" s="15"/>
      <c r="S30" s="14">
        <f>SUM(S12:S29)</f>
        <v>0</v>
      </c>
      <c r="T30" s="14">
        <f>SUM(T12:T29)</f>
        <v>0</v>
      </c>
      <c r="U30" s="15"/>
      <c r="V30" s="14">
        <f>SUM(V12:V29)</f>
        <v>0</v>
      </c>
    </row>
    <row r="31" spans="1:22" ht="15.75" thickTop="1" x14ac:dyDescent="0.25">
      <c r="A31" s="12"/>
      <c r="B31" s="12"/>
      <c r="C31" s="12"/>
      <c r="D31" s="12"/>
      <c r="E31" s="13"/>
      <c r="F31" s="13"/>
      <c r="G31" s="13"/>
      <c r="H31" s="13"/>
      <c r="I31" s="13"/>
      <c r="J31" s="13"/>
      <c r="K31" s="13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 t="s">
        <v>40</v>
      </c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39</v>
      </c>
      <c r="B34" s="12"/>
      <c r="C34" s="12" t="s">
        <v>38</v>
      </c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37</v>
      </c>
      <c r="B35" s="12"/>
      <c r="C35" s="12" t="s">
        <v>36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35</v>
      </c>
      <c r="B36" s="12"/>
      <c r="C36" s="12" t="s">
        <v>34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/>
      <c r="B37" s="12"/>
      <c r="C37" s="12" t="s">
        <v>33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 t="s">
        <v>32</v>
      </c>
      <c r="B38" s="12"/>
      <c r="C38" s="12" t="s">
        <v>31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30</v>
      </c>
      <c r="B39" s="12"/>
      <c r="C39" s="12" t="s">
        <v>29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/>
      <c r="B40" s="12"/>
      <c r="C40" s="12"/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81E1-9222-46C5-8703-5C100E706F35}">
  <dimension ref="A1:J32"/>
  <sheetViews>
    <sheetView showGridLines="0" zoomScaleNormal="100" workbookViewId="0">
      <selection activeCell="A4" sqref="A4:J4"/>
    </sheetView>
  </sheetViews>
  <sheetFormatPr defaultColWidth="9.140625" defaultRowHeight="15" x14ac:dyDescent="0.25"/>
  <cols>
    <col min="1" max="1" width="12.140625" style="139" customWidth="1"/>
    <col min="2" max="2" width="5.28515625" style="139" customWidth="1"/>
    <col min="3" max="3" width="7.5703125" style="139" customWidth="1"/>
    <col min="4" max="4" width="4.5703125" style="139" customWidth="1"/>
    <col min="5" max="5" width="19" style="139" customWidth="1"/>
    <col min="6" max="6" width="17.42578125" style="139" customWidth="1"/>
    <col min="7" max="7" width="16.7109375" style="139" customWidth="1"/>
    <col min="8" max="8" width="14.42578125" style="139" customWidth="1"/>
    <col min="9" max="9" width="3" style="139" customWidth="1"/>
    <col min="10" max="10" width="22.140625" style="139" customWidth="1"/>
    <col min="11" max="16384" width="9.140625" style="139"/>
  </cols>
  <sheetData>
    <row r="1" spans="1:10" x14ac:dyDescent="0.25">
      <c r="A1" s="150"/>
      <c r="B1" s="150"/>
      <c r="C1" s="150"/>
      <c r="D1" s="150"/>
      <c r="E1" s="150"/>
      <c r="F1" s="150"/>
      <c r="G1" s="150"/>
      <c r="H1" s="150"/>
      <c r="I1" s="150" t="s">
        <v>28</v>
      </c>
      <c r="J1" s="150"/>
    </row>
    <row r="2" spans="1:10" x14ac:dyDescent="0.25">
      <c r="A2" s="161" t="s">
        <v>27</v>
      </c>
      <c r="B2" s="161"/>
      <c r="C2" s="161"/>
      <c r="D2" s="161"/>
      <c r="E2" s="161"/>
      <c r="F2" s="161"/>
      <c r="G2" s="161"/>
      <c r="H2" s="161"/>
      <c r="I2" s="161"/>
      <c r="J2" s="161"/>
    </row>
    <row r="3" spans="1:10" x14ac:dyDescent="0.25">
      <c r="A3" s="161" t="s">
        <v>119</v>
      </c>
      <c r="B3" s="161"/>
      <c r="C3" s="161"/>
      <c r="D3" s="161"/>
      <c r="E3" s="161"/>
      <c r="F3" s="161"/>
      <c r="G3" s="161"/>
      <c r="H3" s="161"/>
      <c r="I3" s="161"/>
      <c r="J3" s="161"/>
    </row>
    <row r="4" spans="1:10" x14ac:dyDescent="0.25">
      <c r="A4" s="161" t="s">
        <v>118</v>
      </c>
      <c r="B4" s="161"/>
      <c r="C4" s="161"/>
      <c r="D4" s="161"/>
      <c r="E4" s="161"/>
      <c r="F4" s="161"/>
      <c r="G4" s="161"/>
      <c r="H4" s="161"/>
      <c r="I4" s="161"/>
      <c r="J4" s="161"/>
    </row>
    <row r="5" spans="1:10" x14ac:dyDescent="0.25">
      <c r="A5" s="161" t="s">
        <v>24</v>
      </c>
      <c r="B5" s="161"/>
      <c r="C5" s="161"/>
      <c r="D5" s="161"/>
      <c r="E5" s="161"/>
      <c r="F5" s="161"/>
      <c r="G5" s="161"/>
      <c r="H5" s="161"/>
      <c r="I5" s="161"/>
      <c r="J5" s="161"/>
    </row>
    <row r="6" spans="1:10" x14ac:dyDescent="0.25">
      <c r="A6" s="161" t="s">
        <v>23</v>
      </c>
      <c r="B6" s="161"/>
      <c r="C6" s="161"/>
      <c r="D6" s="161"/>
      <c r="E6" s="161"/>
      <c r="F6" s="161"/>
      <c r="G6" s="161"/>
      <c r="H6" s="161"/>
      <c r="I6" s="161"/>
      <c r="J6" s="161"/>
    </row>
    <row r="7" spans="1:10" x14ac:dyDescent="0.25">
      <c r="A7" s="160" t="s">
        <v>22</v>
      </c>
      <c r="B7" s="160"/>
      <c r="C7" s="158" t="s">
        <v>21</v>
      </c>
      <c r="D7" s="158"/>
      <c r="E7" s="158"/>
      <c r="F7" s="158"/>
      <c r="G7" s="158"/>
      <c r="H7" s="158"/>
      <c r="I7" s="150"/>
      <c r="J7" s="150"/>
    </row>
    <row r="8" spans="1:10" x14ac:dyDescent="0.25">
      <c r="A8" s="160" t="s">
        <v>1</v>
      </c>
      <c r="B8" s="160"/>
      <c r="C8" s="158" t="s">
        <v>117</v>
      </c>
      <c r="D8" s="158"/>
      <c r="E8" s="158"/>
      <c r="F8" s="158"/>
      <c r="G8" s="158"/>
      <c r="H8" s="158"/>
      <c r="I8" s="158"/>
      <c r="J8" s="150"/>
    </row>
    <row r="9" spans="1:10" x14ac:dyDescent="0.25">
      <c r="A9" s="160"/>
      <c r="B9" s="160"/>
      <c r="C9" s="159"/>
      <c r="D9" s="159"/>
      <c r="E9" s="159"/>
      <c r="F9" s="159"/>
      <c r="G9" s="159"/>
      <c r="H9" s="159"/>
      <c r="I9" s="158"/>
      <c r="J9" s="150"/>
    </row>
    <row r="10" spans="1:10" x14ac:dyDescent="0.25">
      <c r="A10" s="150"/>
      <c r="B10" s="150"/>
      <c r="C10" s="150"/>
      <c r="D10" s="150"/>
      <c r="E10" s="150"/>
      <c r="F10" s="150"/>
      <c r="G10" s="150"/>
      <c r="H10" s="150"/>
      <c r="I10" s="150"/>
      <c r="J10" s="150"/>
    </row>
    <row r="11" spans="1:10" x14ac:dyDescent="0.25">
      <c r="A11" s="141"/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x14ac:dyDescent="0.25">
      <c r="A12" s="157" t="s">
        <v>19</v>
      </c>
      <c r="B12" s="157"/>
      <c r="C12" s="157"/>
      <c r="D12" s="157"/>
      <c r="E12" s="157"/>
      <c r="F12" s="157"/>
      <c r="G12" s="157"/>
      <c r="H12" s="157"/>
      <c r="I12" s="157"/>
      <c r="J12" s="157"/>
    </row>
    <row r="13" spans="1:10" x14ac:dyDescent="0.25">
      <c r="A13" s="141"/>
      <c r="B13" s="141"/>
      <c r="C13" s="141"/>
      <c r="D13" s="141"/>
      <c r="E13" s="141"/>
      <c r="F13" s="141"/>
      <c r="G13" s="141"/>
      <c r="H13" s="141"/>
      <c r="I13" s="141"/>
      <c r="J13" s="141"/>
    </row>
    <row r="14" spans="1:10" ht="24.75" customHeight="1" x14ac:dyDescent="0.25">
      <c r="A14" s="156" t="s">
        <v>18</v>
      </c>
      <c r="B14" s="156"/>
      <c r="C14" s="156"/>
      <c r="D14" s="156"/>
      <c r="E14" s="156"/>
      <c r="F14" s="154" t="s">
        <v>17</v>
      </c>
      <c r="G14" s="154" t="s">
        <v>16</v>
      </c>
      <c r="H14" s="155" t="s">
        <v>15</v>
      </c>
      <c r="I14" s="155"/>
      <c r="J14" s="154" t="s">
        <v>14</v>
      </c>
    </row>
    <row r="15" spans="1:10" ht="17.25" customHeight="1" x14ac:dyDescent="0.25">
      <c r="A15" s="153" t="s">
        <v>13</v>
      </c>
      <c r="B15" s="153"/>
      <c r="C15" s="153"/>
      <c r="D15" s="153"/>
      <c r="E15" s="153"/>
      <c r="F15" s="153"/>
      <c r="G15" s="153"/>
      <c r="H15" s="153"/>
      <c r="I15" s="153"/>
      <c r="J15" s="153"/>
    </row>
    <row r="16" spans="1:10" x14ac:dyDescent="0.25">
      <c r="A16" s="150" t="s">
        <v>12</v>
      </c>
      <c r="B16" s="150"/>
      <c r="C16" s="150"/>
      <c r="D16" s="150"/>
      <c r="E16" s="150"/>
      <c r="F16" s="147">
        <v>0</v>
      </c>
      <c r="G16" s="147">
        <v>0</v>
      </c>
      <c r="H16" s="149">
        <v>0</v>
      </c>
      <c r="I16" s="149"/>
      <c r="J16" s="147">
        <f>F16+G16-H16</f>
        <v>0</v>
      </c>
    </row>
    <row r="17" spans="1:10" x14ac:dyDescent="0.25">
      <c r="A17" s="150" t="s">
        <v>9</v>
      </c>
      <c r="B17" s="150"/>
      <c r="C17" s="150"/>
      <c r="D17" s="150"/>
      <c r="E17" s="150"/>
      <c r="F17" s="147">
        <v>0</v>
      </c>
      <c r="G17" s="147">
        <v>0</v>
      </c>
      <c r="H17" s="149">
        <v>0</v>
      </c>
      <c r="I17" s="149"/>
      <c r="J17" s="147">
        <f>F17+G17-H17</f>
        <v>0</v>
      </c>
    </row>
    <row r="18" spans="1:10" x14ac:dyDescent="0.25">
      <c r="A18" s="152"/>
      <c r="B18" s="152"/>
      <c r="C18" s="152"/>
      <c r="D18" s="152"/>
      <c r="E18" s="152"/>
      <c r="F18" s="152"/>
      <c r="G18" s="152"/>
      <c r="H18" s="152"/>
      <c r="I18" s="152"/>
      <c r="J18" s="152"/>
    </row>
    <row r="19" spans="1:10" x14ac:dyDescent="0.25">
      <c r="A19" s="151" t="s">
        <v>8</v>
      </c>
      <c r="B19" s="151"/>
      <c r="C19" s="151"/>
      <c r="D19" s="151"/>
      <c r="E19" s="151"/>
      <c r="F19" s="151"/>
      <c r="G19" s="151"/>
      <c r="H19" s="151"/>
      <c r="I19" s="151"/>
      <c r="J19" s="151"/>
    </row>
    <row r="20" spans="1:10" x14ac:dyDescent="0.25">
      <c r="A20" s="150" t="s">
        <v>6</v>
      </c>
      <c r="B20" s="150"/>
      <c r="C20" s="150"/>
      <c r="D20" s="150"/>
      <c r="E20" s="150"/>
      <c r="F20" s="147">
        <v>0</v>
      </c>
      <c r="G20" s="147">
        <v>0</v>
      </c>
      <c r="H20" s="149">
        <v>0</v>
      </c>
      <c r="I20" s="149"/>
      <c r="J20" s="147">
        <f>F20+G20-H20</f>
        <v>0</v>
      </c>
    </row>
    <row r="21" spans="1:10" x14ac:dyDescent="0.25">
      <c r="A21" s="150" t="s">
        <v>5</v>
      </c>
      <c r="B21" s="150"/>
      <c r="C21" s="150"/>
      <c r="D21" s="150"/>
      <c r="E21" s="150"/>
      <c r="F21" s="147">
        <v>0</v>
      </c>
      <c r="G21" s="147">
        <v>0</v>
      </c>
      <c r="H21" s="149">
        <v>0</v>
      </c>
      <c r="I21" s="149"/>
      <c r="J21" s="147">
        <f>F21+G21-H21</f>
        <v>0</v>
      </c>
    </row>
    <row r="22" spans="1:10" x14ac:dyDescent="0.25">
      <c r="A22" s="150" t="s">
        <v>2</v>
      </c>
      <c r="B22" s="150"/>
      <c r="C22" s="150"/>
      <c r="D22" s="150"/>
      <c r="E22" s="150"/>
      <c r="F22" s="147">
        <v>0</v>
      </c>
      <c r="G22" s="147">
        <v>0</v>
      </c>
      <c r="H22" s="149">
        <v>0</v>
      </c>
      <c r="I22" s="149"/>
      <c r="J22" s="147">
        <f>F22+G22-H22</f>
        <v>0</v>
      </c>
    </row>
    <row r="23" spans="1:10" x14ac:dyDescent="0.25">
      <c r="A23" s="150" t="s">
        <v>4</v>
      </c>
      <c r="B23" s="150"/>
      <c r="C23" s="150"/>
      <c r="D23" s="150"/>
      <c r="E23" s="150"/>
      <c r="F23" s="147">
        <v>14632.69</v>
      </c>
      <c r="G23" s="147">
        <v>0</v>
      </c>
      <c r="H23" s="149">
        <v>0</v>
      </c>
      <c r="I23" s="149"/>
      <c r="J23" s="147">
        <f>F23+G23-H23</f>
        <v>14632.69</v>
      </c>
    </row>
    <row r="24" spans="1:10" x14ac:dyDescent="0.25">
      <c r="A24" s="150" t="s">
        <v>116</v>
      </c>
      <c r="B24" s="150"/>
      <c r="C24" s="150"/>
      <c r="D24" s="150"/>
      <c r="E24" s="150"/>
      <c r="F24" s="147">
        <v>1713.25</v>
      </c>
      <c r="G24" s="147">
        <v>171.15</v>
      </c>
      <c r="H24" s="149">
        <v>133.58000000000001</v>
      </c>
      <c r="I24" s="149"/>
      <c r="J24" s="147">
        <f>F24+G24-H24</f>
        <v>1750.8200000000002</v>
      </c>
    </row>
    <row r="25" spans="1:10" x14ac:dyDescent="0.25">
      <c r="A25" s="148"/>
      <c r="B25" s="148"/>
      <c r="C25" s="148"/>
      <c r="D25" s="148"/>
      <c r="E25" s="148"/>
      <c r="F25" s="147"/>
      <c r="G25" s="147"/>
      <c r="H25" s="147"/>
      <c r="I25" s="147"/>
      <c r="J25" s="147"/>
    </row>
    <row r="26" spans="1:10" ht="15.75" customHeight="1" x14ac:dyDescent="0.25">
      <c r="A26" s="146"/>
      <c r="B26" s="146"/>
      <c r="C26" s="146"/>
      <c r="D26" s="146"/>
      <c r="E26" s="146"/>
      <c r="F26" s="145"/>
      <c r="G26" s="145"/>
      <c r="H26" s="145"/>
      <c r="I26" s="145"/>
      <c r="J26" s="145"/>
    </row>
    <row r="27" spans="1:10" x14ac:dyDescent="0.25">
      <c r="A27" s="144" t="s">
        <v>1</v>
      </c>
      <c r="B27" s="143">
        <v>3237</v>
      </c>
      <c r="C27" s="143"/>
      <c r="D27" s="143"/>
      <c r="E27" s="142">
        <f>SUM(F16:F24)</f>
        <v>16345.94</v>
      </c>
      <c r="F27" s="142"/>
      <c r="G27" s="142">
        <f>SUM(G16:G26)</f>
        <v>171.15</v>
      </c>
      <c r="H27" s="142">
        <f>SUM(H16:I26)</f>
        <v>133.58000000000001</v>
      </c>
      <c r="I27" s="142"/>
      <c r="J27" s="142">
        <f>SUM(J16:J26)</f>
        <v>16383.51</v>
      </c>
    </row>
    <row r="28" spans="1:10" x14ac:dyDescent="0.25">
      <c r="A28" s="144"/>
      <c r="B28" s="143"/>
      <c r="C28" s="143"/>
      <c r="D28" s="143"/>
      <c r="E28" s="142"/>
      <c r="F28" s="142"/>
      <c r="G28" s="142"/>
      <c r="H28" s="142"/>
      <c r="I28" s="142"/>
      <c r="J28" s="142"/>
    </row>
    <row r="29" spans="1:10" x14ac:dyDescent="0.25">
      <c r="A29" s="141"/>
      <c r="B29" s="141"/>
      <c r="C29" s="141"/>
      <c r="D29" s="141"/>
      <c r="E29" s="141"/>
      <c r="F29" s="141"/>
      <c r="G29" s="141"/>
      <c r="H29" s="141"/>
      <c r="I29" s="141"/>
      <c r="J29" s="141"/>
    </row>
    <row r="30" spans="1:10" x14ac:dyDescent="0.25">
      <c r="A30" s="141"/>
      <c r="B30" s="141"/>
      <c r="C30" s="141"/>
      <c r="D30" s="141"/>
      <c r="E30" s="141"/>
      <c r="F30" s="141"/>
      <c r="G30" s="141"/>
      <c r="H30" s="141"/>
      <c r="I30" s="141"/>
      <c r="J30" s="141"/>
    </row>
    <row r="31" spans="1:10" x14ac:dyDescent="0.25">
      <c r="A31" s="141"/>
      <c r="B31" s="141"/>
      <c r="C31" s="141"/>
      <c r="D31" s="141"/>
      <c r="E31" s="141"/>
      <c r="F31" s="141"/>
      <c r="G31" s="141"/>
      <c r="H31" s="141"/>
      <c r="I31" s="141"/>
      <c r="J31" s="141"/>
    </row>
    <row r="32" spans="1:10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</row>
  </sheetData>
  <mergeCells count="50">
    <mergeCell ref="A4:J4"/>
    <mergeCell ref="A5:J5"/>
    <mergeCell ref="A6:J6"/>
    <mergeCell ref="A7:B7"/>
    <mergeCell ref="C7:H7"/>
    <mergeCell ref="I7:J7"/>
    <mergeCell ref="A14:E14"/>
    <mergeCell ref="H14:I14"/>
    <mergeCell ref="A8:B8"/>
    <mergeCell ref="C8:H8"/>
    <mergeCell ref="I8:J8"/>
    <mergeCell ref="A1:C1"/>
    <mergeCell ref="D1:H1"/>
    <mergeCell ref="I1:J1"/>
    <mergeCell ref="A2:J2"/>
    <mergeCell ref="A3:J3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6:E16"/>
    <mergeCell ref="H16:I16"/>
    <mergeCell ref="A17:E17"/>
    <mergeCell ref="H17:I17"/>
    <mergeCell ref="A20:E20"/>
    <mergeCell ref="H20:I20"/>
    <mergeCell ref="A30:J30"/>
    <mergeCell ref="A31:J31"/>
    <mergeCell ref="A21:E21"/>
    <mergeCell ref="H21:I21"/>
    <mergeCell ref="A22:E22"/>
    <mergeCell ref="H22:I22"/>
    <mergeCell ref="A23:E23"/>
    <mergeCell ref="H23:I23"/>
    <mergeCell ref="A32:J32"/>
    <mergeCell ref="A24:E24"/>
    <mergeCell ref="H24:I24"/>
    <mergeCell ref="B27:D27"/>
    <mergeCell ref="E27:F28"/>
    <mergeCell ref="G27:G28"/>
    <mergeCell ref="H27:I28"/>
    <mergeCell ref="J27:J28"/>
    <mergeCell ref="B28:D28"/>
    <mergeCell ref="A29:J29"/>
  </mergeCells>
  <pageMargins left="0.7" right="0.7" top="0.75" bottom="0.75" header="0.3" footer="0.3"/>
  <pageSetup scale="98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E34E-BE89-4499-B1A6-5746BABF62AF}">
  <dimension ref="A1:V41"/>
  <sheetViews>
    <sheetView zoomScaleNormal="100" workbookViewId="0">
      <selection activeCell="G12" sqref="G12"/>
    </sheetView>
  </sheetViews>
  <sheetFormatPr defaultColWidth="9.140625" defaultRowHeight="15" x14ac:dyDescent="0.25"/>
  <cols>
    <col min="1" max="1" width="1.7109375" style="10" customWidth="1"/>
    <col min="2" max="2" width="9" style="10" customWidth="1"/>
    <col min="3" max="3" width="44.28515625" style="10" customWidth="1"/>
    <col min="4" max="4" width="1.7109375" style="10" customWidth="1"/>
    <col min="5" max="5" width="15.7109375" style="11" customWidth="1"/>
    <col min="6" max="6" width="1.7109375" style="11" customWidth="1"/>
    <col min="7" max="7" width="15.7109375" style="11" customWidth="1"/>
    <col min="8" max="8" width="1.7109375" style="11" customWidth="1"/>
    <col min="9" max="9" width="15.7109375" style="11" customWidth="1"/>
    <col min="10" max="10" width="1.7109375" style="11" customWidth="1"/>
    <col min="11" max="11" width="15.7109375" style="11" customWidth="1"/>
    <col min="12" max="12" width="1.7109375" style="10" customWidth="1"/>
    <col min="13" max="13" width="15.7109375" style="10" customWidth="1"/>
    <col min="14" max="14" width="1.7109375" style="10" customWidth="1"/>
    <col min="15" max="15" width="15.7109375" style="10" customWidth="1"/>
    <col min="16" max="16" width="1.7109375" style="10" customWidth="1"/>
    <col min="17" max="17" width="15.7109375" style="10" customWidth="1"/>
    <col min="18" max="18" width="1.7109375" style="10" customWidth="1"/>
    <col min="19" max="20" width="15.7109375" style="10" customWidth="1"/>
    <col min="21" max="21" width="1.7109375" style="10" customWidth="1"/>
    <col min="22" max="22" width="15.7109375" style="10" customWidth="1"/>
    <col min="23" max="16384" width="9.140625" style="10"/>
  </cols>
  <sheetData>
    <row r="1" spans="1:22" x14ac:dyDescent="0.25">
      <c r="A1" s="33" t="s">
        <v>119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 t="s">
        <v>83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 t="s">
        <v>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33" t="s">
        <v>120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33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26"/>
      <c r="K7" s="32" t="s">
        <v>80</v>
      </c>
      <c r="L7" s="32"/>
      <c r="M7" s="32"/>
      <c r="N7" s="32"/>
      <c r="O7" s="32"/>
      <c r="P7" s="32"/>
      <c r="Q7" s="32"/>
      <c r="R7" s="32"/>
      <c r="S7" s="32"/>
      <c r="T7" s="32"/>
      <c r="U7" s="12"/>
      <c r="V7" s="12"/>
    </row>
    <row r="8" spans="1:22" x14ac:dyDescent="0.25">
      <c r="A8" s="12"/>
      <c r="B8" s="12"/>
      <c r="C8" s="12"/>
      <c r="D8" s="12"/>
      <c r="E8" s="31" t="s">
        <v>79</v>
      </c>
      <c r="F8" s="28"/>
      <c r="G8" s="31" t="s">
        <v>78</v>
      </c>
      <c r="H8" s="28"/>
      <c r="I8" s="31" t="s">
        <v>77</v>
      </c>
      <c r="J8" s="29"/>
      <c r="K8" s="31" t="s">
        <v>76</v>
      </c>
      <c r="L8" s="12"/>
      <c r="M8" s="31" t="s">
        <v>75</v>
      </c>
      <c r="N8" s="28"/>
      <c r="O8" s="31" t="s">
        <v>74</v>
      </c>
      <c r="P8" s="28"/>
      <c r="Q8" s="31" t="s">
        <v>73</v>
      </c>
      <c r="R8" s="28"/>
      <c r="S8" s="31" t="s">
        <v>72</v>
      </c>
      <c r="T8" s="31" t="s">
        <v>71</v>
      </c>
      <c r="U8" s="28"/>
      <c r="V8" s="31" t="s">
        <v>70</v>
      </c>
    </row>
    <row r="9" spans="1:22" ht="120" x14ac:dyDescent="0.25">
      <c r="A9" s="25"/>
      <c r="B9" s="12"/>
      <c r="C9" s="12"/>
      <c r="D9" s="12"/>
      <c r="E9" s="27" t="s">
        <v>69</v>
      </c>
      <c r="F9" s="28"/>
      <c r="G9" s="27" t="s">
        <v>68</v>
      </c>
      <c r="H9" s="28"/>
      <c r="I9" s="30" t="s">
        <v>67</v>
      </c>
      <c r="J9" s="29"/>
      <c r="K9" s="27" t="s">
        <v>66</v>
      </c>
      <c r="L9" s="28"/>
      <c r="M9" s="27" t="s">
        <v>65</v>
      </c>
      <c r="N9" s="12"/>
      <c r="O9" s="27" t="s">
        <v>64</v>
      </c>
      <c r="P9" s="12"/>
      <c r="Q9" s="27" t="s">
        <v>63</v>
      </c>
      <c r="R9" s="12"/>
      <c r="S9" s="27" t="s">
        <v>62</v>
      </c>
      <c r="T9" s="27" t="s">
        <v>61</v>
      </c>
      <c r="U9" s="12"/>
      <c r="V9" s="27" t="s">
        <v>60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26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25" t="s">
        <v>13</v>
      </c>
      <c r="B11" s="12"/>
      <c r="C11" s="12"/>
      <c r="D11" s="12"/>
      <c r="E11" s="13"/>
      <c r="F11" s="13"/>
      <c r="G11" s="13"/>
      <c r="H11" s="13"/>
      <c r="I11" s="13"/>
      <c r="J11" s="26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59</v>
      </c>
      <c r="C12" s="12"/>
      <c r="D12" s="12"/>
      <c r="E12" s="18"/>
      <c r="F12" s="18"/>
      <c r="G12" s="18"/>
      <c r="H12" s="18"/>
      <c r="I12" s="15"/>
      <c r="J12" s="2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>
        <f>SUM(K12:T12)</f>
        <v>0</v>
      </c>
    </row>
    <row r="13" spans="1:22" x14ac:dyDescent="0.25">
      <c r="A13" s="12"/>
      <c r="B13" s="12" t="s">
        <v>58</v>
      </c>
      <c r="C13" s="12"/>
      <c r="D13" s="12"/>
      <c r="E13" s="18"/>
      <c r="F13" s="18"/>
      <c r="G13" s="18"/>
      <c r="H13" s="18"/>
      <c r="I13" s="15"/>
      <c r="J13" s="2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>
        <f>SUM(K13:T13)</f>
        <v>0</v>
      </c>
    </row>
    <row r="14" spans="1:22" x14ac:dyDescent="0.25">
      <c r="A14" s="12"/>
      <c r="B14" s="12" t="s">
        <v>57</v>
      </c>
      <c r="C14" s="12"/>
      <c r="D14" s="12"/>
      <c r="E14" s="18"/>
      <c r="F14" s="18"/>
      <c r="G14" s="18"/>
      <c r="H14" s="18"/>
      <c r="I14" s="15"/>
      <c r="J14" s="2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5">
        <f>SUM(K14:T14)</f>
        <v>0</v>
      </c>
    </row>
    <row r="15" spans="1:22" x14ac:dyDescent="0.25">
      <c r="A15" s="12"/>
      <c r="B15" s="12" t="s">
        <v>56</v>
      </c>
      <c r="C15" s="12"/>
      <c r="D15" s="12"/>
      <c r="E15" s="18"/>
      <c r="F15" s="18"/>
      <c r="G15" s="18"/>
      <c r="H15" s="18"/>
      <c r="I15" s="15"/>
      <c r="J15" s="2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>
        <f>SUM(K15:T15)</f>
        <v>0</v>
      </c>
    </row>
    <row r="16" spans="1:22" x14ac:dyDescent="0.25">
      <c r="A16" s="12"/>
      <c r="B16" s="12" t="s">
        <v>55</v>
      </c>
      <c r="C16" s="12"/>
      <c r="D16" s="12"/>
      <c r="E16" s="18"/>
      <c r="F16" s="18"/>
      <c r="G16" s="18"/>
      <c r="H16" s="18"/>
      <c r="I16" s="15"/>
      <c r="J16" s="2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>
        <f>SUM(K16:T16)</f>
        <v>0</v>
      </c>
    </row>
    <row r="17" spans="1:22" x14ac:dyDescent="0.25">
      <c r="A17" s="12"/>
      <c r="B17" s="12" t="s">
        <v>54</v>
      </c>
      <c r="C17" s="12"/>
      <c r="D17" s="12"/>
      <c r="E17" s="18"/>
      <c r="F17" s="18"/>
      <c r="G17" s="18"/>
      <c r="H17" s="18"/>
      <c r="I17" s="15"/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>
        <f>SUM(K17:T17)</f>
        <v>0</v>
      </c>
    </row>
    <row r="18" spans="1:22" x14ac:dyDescent="0.25">
      <c r="A18" s="25" t="s">
        <v>8</v>
      </c>
      <c r="B18" s="12"/>
      <c r="C18" s="12"/>
      <c r="D18" s="12"/>
      <c r="E18" s="18"/>
      <c r="F18" s="18"/>
      <c r="G18" s="18"/>
      <c r="H18" s="18"/>
      <c r="I18" s="15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</row>
    <row r="19" spans="1:22" x14ac:dyDescent="0.25">
      <c r="A19" s="12"/>
      <c r="B19" s="12" t="s">
        <v>53</v>
      </c>
      <c r="C19" s="12"/>
      <c r="D19" s="12"/>
      <c r="E19" s="18"/>
      <c r="F19" s="18"/>
      <c r="G19" s="18"/>
      <c r="H19" s="18"/>
      <c r="I19" s="15"/>
      <c r="J19" s="2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>
        <f>SUM(K19:T19)</f>
        <v>0</v>
      </c>
    </row>
    <row r="20" spans="1:22" x14ac:dyDescent="0.25">
      <c r="A20" s="12"/>
      <c r="B20" s="12" t="s">
        <v>52</v>
      </c>
      <c r="C20" s="12"/>
      <c r="D20" s="12"/>
      <c r="E20" s="18"/>
      <c r="F20" s="18"/>
      <c r="G20" s="18"/>
      <c r="H20" s="18"/>
      <c r="I20" s="15"/>
      <c r="J20" s="2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5">
        <f>SUM(K20:T20)</f>
        <v>0</v>
      </c>
    </row>
    <row r="21" spans="1:22" x14ac:dyDescent="0.25">
      <c r="A21" s="12"/>
      <c r="B21" s="12" t="s">
        <v>51</v>
      </c>
      <c r="C21" s="12"/>
      <c r="D21" s="12"/>
      <c r="E21" s="18"/>
      <c r="F21" s="18"/>
      <c r="G21" s="18"/>
      <c r="H21" s="18"/>
      <c r="I21" s="15"/>
      <c r="J21" s="2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5">
        <f>SUM(K21:T21)</f>
        <v>0</v>
      </c>
    </row>
    <row r="22" spans="1:22" x14ac:dyDescent="0.25">
      <c r="A22" s="12"/>
      <c r="B22" s="12" t="s">
        <v>50</v>
      </c>
      <c r="C22" s="12"/>
      <c r="D22" s="12"/>
      <c r="E22" s="18"/>
      <c r="F22" s="18"/>
      <c r="G22" s="18"/>
      <c r="H22" s="18"/>
      <c r="I22" s="15"/>
      <c r="J22" s="2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5">
        <f>SUM(K22:T22)</f>
        <v>0</v>
      </c>
    </row>
    <row r="23" spans="1:22" x14ac:dyDescent="0.25">
      <c r="A23" s="12"/>
      <c r="B23" s="12" t="s">
        <v>49</v>
      </c>
      <c r="C23" s="12"/>
      <c r="D23" s="12"/>
      <c r="E23" s="18"/>
      <c r="F23" s="18"/>
      <c r="G23" s="18"/>
      <c r="H23" s="18"/>
      <c r="I23" s="15"/>
      <c r="J23" s="2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5">
        <f>SUM(K23:T23)</f>
        <v>0</v>
      </c>
    </row>
    <row r="24" spans="1:22" x14ac:dyDescent="0.25">
      <c r="A24" s="12"/>
      <c r="B24" s="12" t="s">
        <v>48</v>
      </c>
      <c r="C24" s="12"/>
      <c r="D24" s="12"/>
      <c r="E24" s="18">
        <v>12974.71</v>
      </c>
      <c r="F24" s="18"/>
      <c r="G24" s="18">
        <v>14632.69</v>
      </c>
      <c r="H24" s="18"/>
      <c r="I24" s="163">
        <f>G24-E24</f>
        <v>1657.9800000000014</v>
      </c>
      <c r="J24" s="20"/>
      <c r="K24" s="18"/>
      <c r="L24" s="18"/>
      <c r="M24" s="18"/>
      <c r="N24" s="18"/>
      <c r="O24" s="18"/>
      <c r="P24" s="18"/>
      <c r="Q24" s="18"/>
      <c r="R24" s="18"/>
      <c r="S24" s="18"/>
      <c r="T24" s="162">
        <v>1657.98</v>
      </c>
      <c r="U24" s="18"/>
      <c r="V24" s="15">
        <f>SUM(K24:T24)</f>
        <v>1657.98</v>
      </c>
    </row>
    <row r="25" spans="1:22" x14ac:dyDescent="0.25">
      <c r="A25" s="12"/>
      <c r="B25" s="12" t="s">
        <v>47</v>
      </c>
      <c r="C25" s="12"/>
      <c r="D25" s="12"/>
      <c r="E25" s="18"/>
      <c r="F25" s="18"/>
      <c r="G25" s="18"/>
      <c r="H25" s="18"/>
      <c r="I25" s="15"/>
      <c r="J25" s="20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5">
        <f>SUM(K25:T25)</f>
        <v>0</v>
      </c>
    </row>
    <row r="26" spans="1:22" x14ac:dyDescent="0.25">
      <c r="A26" s="12"/>
      <c r="B26" s="24" t="s">
        <v>46</v>
      </c>
      <c r="C26" s="12"/>
      <c r="D26" s="12"/>
      <c r="E26" s="18">
        <v>1519.13</v>
      </c>
      <c r="F26" s="18"/>
      <c r="G26" s="18">
        <v>1713.25</v>
      </c>
      <c r="H26" s="18"/>
      <c r="I26" s="163">
        <f>G26-E26</f>
        <v>194.11999999999989</v>
      </c>
      <c r="J26" s="20"/>
      <c r="K26" s="18"/>
      <c r="L26" s="18"/>
      <c r="M26" s="18"/>
      <c r="N26" s="18"/>
      <c r="O26" s="18"/>
      <c r="P26" s="18"/>
      <c r="Q26" s="18"/>
      <c r="R26" s="18"/>
      <c r="S26" s="162">
        <v>194.12</v>
      </c>
      <c r="T26" s="18"/>
      <c r="U26" s="18"/>
      <c r="V26" s="15">
        <f>SUM(K26:T26)</f>
        <v>194.12</v>
      </c>
    </row>
    <row r="27" spans="1:22" x14ac:dyDescent="0.25">
      <c r="A27" s="12"/>
      <c r="B27" s="12" t="s">
        <v>45</v>
      </c>
      <c r="C27" s="12"/>
      <c r="D27" s="12"/>
      <c r="E27" s="18"/>
      <c r="F27" s="18"/>
      <c r="G27" s="18"/>
      <c r="H27" s="18"/>
      <c r="I27" s="15"/>
      <c r="J27" s="20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5">
        <f>SUM(K27:T27)</f>
        <v>0</v>
      </c>
    </row>
    <row r="28" spans="1:22" x14ac:dyDescent="0.25">
      <c r="A28" s="12"/>
      <c r="B28" s="12" t="s">
        <v>44</v>
      </c>
      <c r="C28" s="12"/>
      <c r="D28" s="12"/>
      <c r="E28" s="18"/>
      <c r="F28" s="18"/>
      <c r="G28" s="18"/>
      <c r="H28" s="18"/>
      <c r="I28" s="15">
        <f>G28-E28</f>
        <v>0</v>
      </c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>
        <f>SUM(K28:T28)</f>
        <v>0</v>
      </c>
    </row>
    <row r="29" spans="1:22" x14ac:dyDescent="0.25">
      <c r="A29" s="12"/>
      <c r="B29" s="12" t="s">
        <v>43</v>
      </c>
      <c r="C29" s="12"/>
      <c r="D29" s="12"/>
      <c r="E29" s="18"/>
      <c r="F29" s="18"/>
      <c r="G29" s="18"/>
      <c r="H29" s="18"/>
      <c r="I29" s="15"/>
      <c r="J29" s="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5">
        <f>SUM(K29:T29)</f>
        <v>0</v>
      </c>
    </row>
    <row r="30" spans="1:22" x14ac:dyDescent="0.25">
      <c r="A30" s="12"/>
      <c r="B30" s="12" t="s">
        <v>42</v>
      </c>
      <c r="C30" s="12"/>
      <c r="D30" s="12"/>
      <c r="E30" s="19"/>
      <c r="F30" s="18"/>
      <c r="G30" s="19"/>
      <c r="H30" s="18"/>
      <c r="I30" s="15"/>
      <c r="J30" s="20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5">
        <f>SUM(K30:T30)</f>
        <v>0</v>
      </c>
    </row>
    <row r="31" spans="1:22" ht="15.75" thickBot="1" x14ac:dyDescent="0.3">
      <c r="A31" s="17" t="s">
        <v>41</v>
      </c>
      <c r="E31" s="14">
        <f>SUM(E12:E30)</f>
        <v>14493.84</v>
      </c>
      <c r="F31" s="15"/>
      <c r="G31" s="14">
        <f>SUM(G12:G30)</f>
        <v>16345.94</v>
      </c>
      <c r="H31" s="15"/>
      <c r="I31" s="14">
        <f>SUM(I12:I30)</f>
        <v>1852.1000000000013</v>
      </c>
      <c r="J31" s="16"/>
      <c r="K31" s="14">
        <f>SUM(K12:K30)</f>
        <v>0</v>
      </c>
      <c r="L31" s="15"/>
      <c r="M31" s="14">
        <f>SUM(M12:M30)</f>
        <v>0</v>
      </c>
      <c r="N31" s="15"/>
      <c r="O31" s="14">
        <f>SUM(O12:O30)</f>
        <v>0</v>
      </c>
      <c r="P31" s="15"/>
      <c r="Q31" s="14">
        <f>SUM(Q12:Q30)</f>
        <v>0</v>
      </c>
      <c r="R31" s="15"/>
      <c r="S31" s="14">
        <f>SUM(S12:S30)</f>
        <v>194.12</v>
      </c>
      <c r="T31" s="14">
        <f>SUM(T12:T30)</f>
        <v>1657.98</v>
      </c>
      <c r="U31" s="15"/>
      <c r="V31" s="14">
        <f>SUM(V12:V30)</f>
        <v>1852.1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40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39</v>
      </c>
      <c r="B35" s="12"/>
      <c r="C35" s="12" t="s">
        <v>38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37</v>
      </c>
      <c r="B36" s="12"/>
      <c r="C36" s="12" t="s">
        <v>36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35</v>
      </c>
      <c r="B37" s="12"/>
      <c r="C37" s="12" t="s">
        <v>34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33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32</v>
      </c>
      <c r="B39" s="12"/>
      <c r="C39" s="12" t="s">
        <v>31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30</v>
      </c>
      <c r="B40" s="12"/>
      <c r="C40" s="12" t="s">
        <v>29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59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961B-08DC-4039-9EE5-673AC1310AD8}">
  <dimension ref="A1:J32"/>
  <sheetViews>
    <sheetView showGridLines="0" zoomScaleNormal="100" workbookViewId="0">
      <selection activeCell="D34" sqref="D34"/>
    </sheetView>
  </sheetViews>
  <sheetFormatPr defaultRowHeight="15" x14ac:dyDescent="0.25"/>
  <cols>
    <col min="1" max="1" width="12.140625" style="164" customWidth="1"/>
    <col min="2" max="2" width="5.28515625" style="164" customWidth="1"/>
    <col min="3" max="3" width="7.5703125" style="164" customWidth="1"/>
    <col min="4" max="4" width="4.5703125" style="164" customWidth="1"/>
    <col min="5" max="5" width="19" style="164" customWidth="1"/>
    <col min="6" max="6" width="17.42578125" style="164" customWidth="1"/>
    <col min="7" max="7" width="16.7109375" style="164" customWidth="1"/>
    <col min="8" max="8" width="14.42578125" style="164" customWidth="1"/>
    <col min="9" max="9" width="3" style="164" customWidth="1"/>
    <col min="10" max="10" width="22.140625" style="164" customWidth="1"/>
    <col min="11" max="16384" width="9.140625" style="164"/>
  </cols>
  <sheetData>
    <row r="1" spans="1:10" x14ac:dyDescent="0.25">
      <c r="A1" s="175"/>
      <c r="B1" s="175"/>
      <c r="C1" s="175"/>
      <c r="D1" s="175"/>
      <c r="E1" s="175"/>
      <c r="F1" s="175"/>
      <c r="G1" s="175"/>
      <c r="H1" s="175"/>
      <c r="I1" s="175" t="s">
        <v>28</v>
      </c>
      <c r="J1" s="175"/>
    </row>
    <row r="2" spans="1:10" x14ac:dyDescent="0.25">
      <c r="A2" s="186" t="s">
        <v>27</v>
      </c>
      <c r="B2" s="186"/>
      <c r="C2" s="186"/>
      <c r="D2" s="186"/>
      <c r="E2" s="186"/>
      <c r="F2" s="186"/>
      <c r="G2" s="186"/>
      <c r="H2" s="186"/>
      <c r="I2" s="186"/>
      <c r="J2" s="186"/>
    </row>
    <row r="3" spans="1:10" x14ac:dyDescent="0.25">
      <c r="A3" s="186" t="s">
        <v>26</v>
      </c>
      <c r="B3" s="186"/>
      <c r="C3" s="186"/>
      <c r="D3" s="186"/>
      <c r="E3" s="186"/>
      <c r="F3" s="186"/>
      <c r="G3" s="186"/>
      <c r="H3" s="186"/>
      <c r="I3" s="186"/>
      <c r="J3" s="186"/>
    </row>
    <row r="4" spans="1:10" x14ac:dyDescent="0.25">
      <c r="A4" s="186" t="s">
        <v>122</v>
      </c>
      <c r="B4" s="186"/>
      <c r="C4" s="186"/>
      <c r="D4" s="186"/>
      <c r="E4" s="186"/>
      <c r="F4" s="186"/>
      <c r="G4" s="186"/>
      <c r="H4" s="186"/>
      <c r="I4" s="186"/>
      <c r="J4" s="186"/>
    </row>
    <row r="5" spans="1:10" x14ac:dyDescent="0.25">
      <c r="A5" s="186" t="s">
        <v>24</v>
      </c>
      <c r="B5" s="186"/>
      <c r="C5" s="186"/>
      <c r="D5" s="186"/>
      <c r="E5" s="186"/>
      <c r="F5" s="186"/>
      <c r="G5" s="186"/>
      <c r="H5" s="186"/>
      <c r="I5" s="186"/>
      <c r="J5" s="186"/>
    </row>
    <row r="6" spans="1:10" x14ac:dyDescent="0.25">
      <c r="A6" s="186" t="s">
        <v>23</v>
      </c>
      <c r="B6" s="186"/>
      <c r="C6" s="186"/>
      <c r="D6" s="186"/>
      <c r="E6" s="186"/>
      <c r="F6" s="186"/>
      <c r="G6" s="186"/>
      <c r="H6" s="186"/>
      <c r="I6" s="186"/>
      <c r="J6" s="186"/>
    </row>
    <row r="7" spans="1:10" x14ac:dyDescent="0.25">
      <c r="A7" s="185" t="s">
        <v>22</v>
      </c>
      <c r="B7" s="185"/>
      <c r="C7" s="183" t="s">
        <v>21</v>
      </c>
      <c r="D7" s="183"/>
      <c r="E7" s="183"/>
      <c r="F7" s="183"/>
      <c r="G7" s="183"/>
      <c r="H7" s="183"/>
      <c r="I7" s="183" t="s">
        <v>90</v>
      </c>
      <c r="J7" s="175"/>
    </row>
    <row r="8" spans="1:10" x14ac:dyDescent="0.25">
      <c r="A8" s="185" t="s">
        <v>1</v>
      </c>
      <c r="B8" s="185"/>
      <c r="C8" s="183" t="s">
        <v>121</v>
      </c>
      <c r="D8" s="183"/>
      <c r="E8" s="183"/>
      <c r="F8" s="183"/>
      <c r="G8" s="183"/>
      <c r="H8" s="183"/>
      <c r="I8" s="185" t="s">
        <v>100</v>
      </c>
      <c r="J8" s="175"/>
    </row>
    <row r="9" spans="1:10" x14ac:dyDescent="0.25">
      <c r="A9" s="185"/>
      <c r="B9" s="185"/>
      <c r="C9" s="184"/>
      <c r="D9" s="184"/>
      <c r="E9" s="184"/>
      <c r="F9" s="184"/>
      <c r="G9" s="184"/>
      <c r="H9" s="184"/>
      <c r="I9" s="183" t="s">
        <v>87</v>
      </c>
      <c r="J9" s="175"/>
    </row>
    <row r="10" spans="1:10" x14ac:dyDescent="0.25">
      <c r="A10" s="175"/>
      <c r="B10" s="175"/>
      <c r="C10" s="175"/>
      <c r="D10" s="175"/>
      <c r="E10" s="175"/>
      <c r="F10" s="175"/>
      <c r="G10" s="175"/>
      <c r="H10" s="175"/>
      <c r="I10" s="175"/>
      <c r="J10" s="175"/>
    </row>
    <row r="11" spans="1:10" x14ac:dyDescent="0.25">
      <c r="A11" s="166"/>
      <c r="B11" s="166"/>
      <c r="C11" s="166"/>
      <c r="D11" s="166"/>
      <c r="E11" s="166"/>
      <c r="F11" s="166"/>
      <c r="G11" s="166"/>
      <c r="H11" s="166"/>
      <c r="I11" s="166"/>
      <c r="J11" s="166"/>
    </row>
    <row r="12" spans="1:10" x14ac:dyDescent="0.25">
      <c r="A12" s="182" t="s">
        <v>19</v>
      </c>
      <c r="B12" s="182"/>
      <c r="C12" s="182"/>
      <c r="D12" s="182"/>
      <c r="E12" s="182"/>
      <c r="F12" s="182"/>
      <c r="G12" s="182"/>
      <c r="H12" s="182"/>
      <c r="I12" s="182"/>
      <c r="J12" s="182"/>
    </row>
    <row r="13" spans="1:10" x14ac:dyDescent="0.25">
      <c r="A13" s="166"/>
      <c r="B13" s="166"/>
      <c r="C13" s="166"/>
      <c r="D13" s="166"/>
      <c r="E13" s="166"/>
      <c r="F13" s="166"/>
      <c r="G13" s="166"/>
      <c r="H13" s="166"/>
      <c r="I13" s="166"/>
      <c r="J13" s="166"/>
    </row>
    <row r="14" spans="1:10" ht="24.75" customHeight="1" x14ac:dyDescent="0.25">
      <c r="A14" s="181" t="s">
        <v>18</v>
      </c>
      <c r="B14" s="181"/>
      <c r="C14" s="181"/>
      <c r="D14" s="181"/>
      <c r="E14" s="181"/>
      <c r="F14" s="179" t="s">
        <v>17</v>
      </c>
      <c r="G14" s="179" t="s">
        <v>16</v>
      </c>
      <c r="H14" s="180" t="s">
        <v>15</v>
      </c>
      <c r="I14" s="180"/>
      <c r="J14" s="179" t="s">
        <v>14</v>
      </c>
    </row>
    <row r="15" spans="1:10" ht="17.25" customHeight="1" x14ac:dyDescent="0.25">
      <c r="A15" s="178" t="s">
        <v>13</v>
      </c>
      <c r="B15" s="178"/>
      <c r="C15" s="178"/>
      <c r="D15" s="178"/>
      <c r="E15" s="178"/>
      <c r="F15" s="178"/>
      <c r="G15" s="178"/>
      <c r="H15" s="178"/>
      <c r="I15" s="178"/>
      <c r="J15" s="178"/>
    </row>
    <row r="16" spans="1:10" x14ac:dyDescent="0.25">
      <c r="A16" s="175" t="s">
        <v>12</v>
      </c>
      <c r="B16" s="175"/>
      <c r="C16" s="175"/>
      <c r="D16" s="175"/>
      <c r="E16" s="175"/>
      <c r="F16" s="172">
        <v>0</v>
      </c>
      <c r="G16" s="172">
        <v>0</v>
      </c>
      <c r="H16" s="174">
        <v>0</v>
      </c>
      <c r="I16" s="174"/>
      <c r="J16" s="172">
        <f>F16+G16-H16</f>
        <v>0</v>
      </c>
    </row>
    <row r="17" spans="1:10" x14ac:dyDescent="0.25">
      <c r="A17" s="175" t="s">
        <v>9</v>
      </c>
      <c r="B17" s="175"/>
      <c r="C17" s="175"/>
      <c r="D17" s="175"/>
      <c r="E17" s="175"/>
      <c r="F17" s="172">
        <v>0</v>
      </c>
      <c r="G17" s="172">
        <v>0</v>
      </c>
      <c r="H17" s="174">
        <v>0</v>
      </c>
      <c r="I17" s="174"/>
      <c r="J17" s="172">
        <f>F17+G17-H17</f>
        <v>0</v>
      </c>
    </row>
    <row r="18" spans="1:10" x14ac:dyDescent="0.25">
      <c r="A18" s="177"/>
      <c r="B18" s="177"/>
      <c r="C18" s="177"/>
      <c r="D18" s="177"/>
      <c r="E18" s="177"/>
      <c r="F18" s="177"/>
      <c r="G18" s="177"/>
      <c r="H18" s="177"/>
      <c r="I18" s="177"/>
      <c r="J18" s="177"/>
    </row>
    <row r="19" spans="1:10" x14ac:dyDescent="0.25">
      <c r="A19" s="176" t="s">
        <v>8</v>
      </c>
      <c r="B19" s="176"/>
      <c r="C19" s="176"/>
      <c r="D19" s="176"/>
      <c r="E19" s="176"/>
      <c r="F19" s="176"/>
      <c r="G19" s="176"/>
      <c r="H19" s="176"/>
      <c r="I19" s="176"/>
      <c r="J19" s="176"/>
    </row>
    <row r="20" spans="1:10" x14ac:dyDescent="0.25">
      <c r="A20" s="175" t="s">
        <v>6</v>
      </c>
      <c r="B20" s="175"/>
      <c r="C20" s="175"/>
      <c r="D20" s="175"/>
      <c r="E20" s="175"/>
      <c r="F20" s="172">
        <v>0</v>
      </c>
      <c r="G20" s="172">
        <v>0</v>
      </c>
      <c r="H20" s="174">
        <v>0</v>
      </c>
      <c r="I20" s="174"/>
      <c r="J20" s="172">
        <f>F20+G20-H20</f>
        <v>0</v>
      </c>
    </row>
    <row r="21" spans="1:10" x14ac:dyDescent="0.25">
      <c r="A21" s="175" t="s">
        <v>5</v>
      </c>
      <c r="B21" s="175"/>
      <c r="C21" s="175"/>
      <c r="D21" s="175"/>
      <c r="E21" s="175"/>
      <c r="F21" s="172">
        <v>0</v>
      </c>
      <c r="G21" s="172">
        <v>0</v>
      </c>
      <c r="H21" s="174">
        <v>0</v>
      </c>
      <c r="I21" s="174"/>
      <c r="J21" s="172">
        <f>F21+G21-H21</f>
        <v>0</v>
      </c>
    </row>
    <row r="22" spans="1:10" x14ac:dyDescent="0.25">
      <c r="A22" s="175" t="s">
        <v>98</v>
      </c>
      <c r="B22" s="175"/>
      <c r="C22" s="175"/>
      <c r="D22" s="175"/>
      <c r="E22" s="175"/>
      <c r="F22" s="172">
        <v>242976.70524042626</v>
      </c>
      <c r="G22" s="172">
        <v>0</v>
      </c>
      <c r="H22" s="174">
        <v>0</v>
      </c>
      <c r="I22" s="174"/>
      <c r="J22" s="172">
        <f>F22+G22-H22</f>
        <v>242976.70524042626</v>
      </c>
    </row>
    <row r="23" spans="1:10" x14ac:dyDescent="0.25">
      <c r="A23" s="175" t="s">
        <v>116</v>
      </c>
      <c r="B23" s="175"/>
      <c r="C23" s="175"/>
      <c r="D23" s="175"/>
      <c r="E23" s="175"/>
      <c r="F23" s="172">
        <v>28448.594172681369</v>
      </c>
      <c r="G23" s="172">
        <v>2841.9643185194009</v>
      </c>
      <c r="H23" s="174">
        <v>2218.0524403675399</v>
      </c>
      <c r="I23" s="174"/>
      <c r="J23" s="172">
        <f>F23+G23-H23</f>
        <v>29072.506050833228</v>
      </c>
    </row>
    <row r="24" spans="1:10" x14ac:dyDescent="0.25">
      <c r="A24" s="175" t="s">
        <v>2</v>
      </c>
      <c r="B24" s="175"/>
      <c r="C24" s="175"/>
      <c r="D24" s="175"/>
      <c r="E24" s="175"/>
      <c r="F24" s="172">
        <v>0</v>
      </c>
      <c r="G24" s="172">
        <v>0</v>
      </c>
      <c r="H24" s="174">
        <v>0</v>
      </c>
      <c r="I24" s="174"/>
      <c r="J24" s="172">
        <f>F24+G24-H24</f>
        <v>0</v>
      </c>
    </row>
    <row r="25" spans="1:10" x14ac:dyDescent="0.25">
      <c r="A25" s="173"/>
      <c r="B25" s="173"/>
      <c r="C25" s="173"/>
      <c r="D25" s="173"/>
      <c r="E25" s="173"/>
      <c r="F25" s="172"/>
      <c r="G25" s="172"/>
      <c r="H25" s="172"/>
      <c r="I25" s="172"/>
      <c r="J25" s="172"/>
    </row>
    <row r="26" spans="1:10" ht="15.75" customHeight="1" x14ac:dyDescent="0.25">
      <c r="A26" s="171"/>
      <c r="B26" s="171"/>
      <c r="C26" s="171"/>
      <c r="D26" s="171"/>
      <c r="E26" s="171"/>
      <c r="F26" s="170"/>
      <c r="G26" s="170"/>
      <c r="H26" s="170"/>
      <c r="I26" s="170"/>
      <c r="J26" s="170"/>
    </row>
    <row r="27" spans="1:10" x14ac:dyDescent="0.25">
      <c r="A27" s="169" t="s">
        <v>1</v>
      </c>
      <c r="B27" s="168">
        <v>3398</v>
      </c>
      <c r="C27" s="168"/>
      <c r="D27" s="168"/>
      <c r="E27" s="167">
        <f>SUM(F16:F24)</f>
        <v>271425.29941310763</v>
      </c>
      <c r="F27" s="167"/>
      <c r="G27" s="167">
        <f>SUM(G16:G24)</f>
        <v>2841.9643185194009</v>
      </c>
      <c r="H27" s="167">
        <f>SUM(H16:I24)</f>
        <v>2218.0524403675399</v>
      </c>
      <c r="I27" s="167"/>
      <c r="J27" s="167">
        <f>SUM(J16:J24)</f>
        <v>272049.2112912595</v>
      </c>
    </row>
    <row r="28" spans="1:10" x14ac:dyDescent="0.25">
      <c r="A28" s="169"/>
      <c r="B28" s="168"/>
      <c r="C28" s="168"/>
      <c r="D28" s="168"/>
      <c r="E28" s="167"/>
      <c r="F28" s="167"/>
      <c r="G28" s="167"/>
      <c r="H28" s="167"/>
      <c r="I28" s="167"/>
      <c r="J28" s="167"/>
    </row>
    <row r="29" spans="1:10" x14ac:dyDescent="0.25">
      <c r="A29" s="166"/>
      <c r="B29" s="166"/>
      <c r="C29" s="166"/>
      <c r="D29" s="166"/>
      <c r="E29" s="166"/>
      <c r="F29" s="166"/>
      <c r="G29" s="166"/>
      <c r="H29" s="166"/>
      <c r="I29" s="166"/>
      <c r="J29" s="166"/>
    </row>
    <row r="30" spans="1:10" x14ac:dyDescent="0.25">
      <c r="A30" s="166"/>
      <c r="B30" s="166"/>
      <c r="C30" s="166"/>
      <c r="D30" s="166"/>
      <c r="E30" s="166"/>
      <c r="F30" s="166"/>
      <c r="G30" s="166"/>
      <c r="H30" s="166"/>
      <c r="I30" s="166"/>
      <c r="J30" s="166"/>
    </row>
    <row r="31" spans="1:10" x14ac:dyDescent="0.25">
      <c r="A31" s="166"/>
      <c r="B31" s="166"/>
      <c r="C31" s="166"/>
      <c r="D31" s="166"/>
      <c r="E31" s="166"/>
      <c r="F31" s="166"/>
      <c r="G31" s="166"/>
      <c r="H31" s="166"/>
      <c r="I31" s="166"/>
      <c r="J31" s="166"/>
    </row>
    <row r="32" spans="1:10" x14ac:dyDescent="0.25">
      <c r="A32" s="165"/>
      <c r="B32" s="165"/>
      <c r="C32" s="165"/>
      <c r="D32" s="165"/>
      <c r="E32" s="165"/>
      <c r="F32" s="165"/>
      <c r="G32" s="165"/>
      <c r="H32" s="165"/>
      <c r="I32" s="165"/>
      <c r="J32" s="165"/>
    </row>
  </sheetData>
  <mergeCells count="50">
    <mergeCell ref="A30:J30"/>
    <mergeCell ref="A31:J31"/>
    <mergeCell ref="A32:J32"/>
    <mergeCell ref="A24:E24"/>
    <mergeCell ref="H24:I24"/>
    <mergeCell ref="B27:D27"/>
    <mergeCell ref="E27:F28"/>
    <mergeCell ref="G27:G28"/>
    <mergeCell ref="H27:I28"/>
    <mergeCell ref="J27:J28"/>
    <mergeCell ref="B28:D28"/>
    <mergeCell ref="A29:J29"/>
    <mergeCell ref="A21:E21"/>
    <mergeCell ref="H21:I21"/>
    <mergeCell ref="A22:E22"/>
    <mergeCell ref="H22:I22"/>
    <mergeCell ref="A23:E23"/>
    <mergeCell ref="H23:I23"/>
    <mergeCell ref="A16:E16"/>
    <mergeCell ref="H16:I16"/>
    <mergeCell ref="A17:E17"/>
    <mergeCell ref="H17:I17"/>
    <mergeCell ref="A20:E20"/>
    <mergeCell ref="H20:I20"/>
    <mergeCell ref="I10:J10"/>
    <mergeCell ref="A11:J11"/>
    <mergeCell ref="A12:J12"/>
    <mergeCell ref="A13:J13"/>
    <mergeCell ref="A14:E14"/>
    <mergeCell ref="H14:I14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</mergeCells>
  <pageMargins left="0.7" right="0.7" top="0.75" bottom="0.75" header="0.3" footer="0.3"/>
  <pageSetup scale="98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C11C-913B-47D8-8CC1-97CA7D6374A5}">
  <dimension ref="A1:V41"/>
  <sheetViews>
    <sheetView workbookViewId="0">
      <selection activeCell="A32" sqref="A32:J32"/>
    </sheetView>
  </sheetViews>
  <sheetFormatPr defaultRowHeight="15" x14ac:dyDescent="0.25"/>
  <cols>
    <col min="1" max="1" width="1.7109375" style="187" customWidth="1"/>
    <col min="2" max="2" width="9" style="187" customWidth="1"/>
    <col min="3" max="3" width="44.28515625" style="187" customWidth="1"/>
    <col min="4" max="4" width="1.7109375" style="187" customWidth="1"/>
    <col min="5" max="5" width="15.7109375" style="188" customWidth="1"/>
    <col min="6" max="6" width="1.7109375" style="188" customWidth="1"/>
    <col min="7" max="7" width="15.7109375" style="188" customWidth="1"/>
    <col min="8" max="8" width="1.7109375" style="188" customWidth="1"/>
    <col min="9" max="9" width="15.7109375" style="188" customWidth="1"/>
    <col min="10" max="10" width="1.7109375" style="188" customWidth="1"/>
    <col min="11" max="11" width="15.7109375" style="188" customWidth="1"/>
    <col min="12" max="12" width="1.7109375" style="187" customWidth="1"/>
    <col min="13" max="13" width="15.7109375" style="187" customWidth="1"/>
    <col min="14" max="14" width="1.7109375" style="187" customWidth="1"/>
    <col min="15" max="15" width="15.7109375" style="187" customWidth="1"/>
    <col min="16" max="16" width="1.7109375" style="187" customWidth="1"/>
    <col min="17" max="17" width="15.7109375" style="187" customWidth="1"/>
    <col min="18" max="18" width="1.7109375" style="187" customWidth="1"/>
    <col min="19" max="20" width="15.7109375" style="187" customWidth="1"/>
    <col min="21" max="21" width="1.7109375" style="187" customWidth="1"/>
    <col min="22" max="22" width="15.7109375" style="187" customWidth="1"/>
    <col min="23" max="16384" width="9.140625" style="187"/>
  </cols>
  <sheetData>
    <row r="1" spans="1:22" x14ac:dyDescent="0.25">
      <c r="A1" s="207" t="s">
        <v>26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</row>
    <row r="2" spans="1:22" x14ac:dyDescent="0.25">
      <c r="A2" s="206" t="s">
        <v>83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</row>
    <row r="3" spans="1:22" x14ac:dyDescent="0.25">
      <c r="A3" s="206" t="s">
        <v>82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</row>
    <row r="4" spans="1:22" x14ac:dyDescent="0.25">
      <c r="A4" s="207" t="s">
        <v>122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</row>
    <row r="5" spans="1:22" x14ac:dyDescent="0.25">
      <c r="A5" s="206" t="s">
        <v>81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</row>
    <row r="6" spans="1:22" x14ac:dyDescent="0.25">
      <c r="A6" s="189"/>
      <c r="B6" s="189"/>
      <c r="C6" s="189"/>
      <c r="D6" s="189"/>
      <c r="E6" s="190"/>
      <c r="F6" s="190"/>
      <c r="G6" s="190"/>
      <c r="H6" s="190"/>
      <c r="I6" s="190"/>
      <c r="J6" s="190"/>
      <c r="K6" s="190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</row>
    <row r="7" spans="1:22" ht="15.75" thickBot="1" x14ac:dyDescent="0.3">
      <c r="A7" s="189"/>
      <c r="B7" s="189"/>
      <c r="C7" s="189"/>
      <c r="D7" s="189"/>
      <c r="E7" s="190"/>
      <c r="F7" s="190"/>
      <c r="G7" s="190"/>
      <c r="H7" s="190"/>
      <c r="I7" s="190"/>
      <c r="J7" s="199"/>
      <c r="K7" s="205" t="s">
        <v>80</v>
      </c>
      <c r="L7" s="205"/>
      <c r="M7" s="205"/>
      <c r="N7" s="205"/>
      <c r="O7" s="205"/>
      <c r="P7" s="205"/>
      <c r="Q7" s="205"/>
      <c r="R7" s="205"/>
      <c r="S7" s="205"/>
      <c r="T7" s="205"/>
      <c r="U7" s="189"/>
      <c r="V7" s="189"/>
    </row>
    <row r="8" spans="1:22" x14ac:dyDescent="0.25">
      <c r="A8" s="189"/>
      <c r="B8" s="189"/>
      <c r="C8" s="189"/>
      <c r="D8" s="189"/>
      <c r="E8" s="204" t="s">
        <v>79</v>
      </c>
      <c r="F8" s="201"/>
      <c r="G8" s="204" t="s">
        <v>78</v>
      </c>
      <c r="H8" s="201"/>
      <c r="I8" s="204" t="s">
        <v>77</v>
      </c>
      <c r="J8" s="202"/>
      <c r="K8" s="204" t="s">
        <v>76</v>
      </c>
      <c r="L8" s="189"/>
      <c r="M8" s="204" t="s">
        <v>75</v>
      </c>
      <c r="N8" s="201"/>
      <c r="O8" s="204" t="s">
        <v>74</v>
      </c>
      <c r="P8" s="201"/>
      <c r="Q8" s="204" t="s">
        <v>73</v>
      </c>
      <c r="R8" s="201"/>
      <c r="S8" s="204" t="s">
        <v>72</v>
      </c>
      <c r="T8" s="204" t="s">
        <v>71</v>
      </c>
      <c r="U8" s="201"/>
      <c r="V8" s="204" t="s">
        <v>70</v>
      </c>
    </row>
    <row r="9" spans="1:22" ht="120" x14ac:dyDescent="0.25">
      <c r="A9" s="198"/>
      <c r="B9" s="189"/>
      <c r="C9" s="189"/>
      <c r="D9" s="189"/>
      <c r="E9" s="200" t="s">
        <v>69</v>
      </c>
      <c r="F9" s="201"/>
      <c r="G9" s="200" t="s">
        <v>68</v>
      </c>
      <c r="H9" s="201"/>
      <c r="I9" s="203" t="s">
        <v>67</v>
      </c>
      <c r="J9" s="202"/>
      <c r="K9" s="200" t="s">
        <v>66</v>
      </c>
      <c r="L9" s="201"/>
      <c r="M9" s="200" t="s">
        <v>65</v>
      </c>
      <c r="N9" s="189"/>
      <c r="O9" s="200" t="s">
        <v>127</v>
      </c>
      <c r="P9" s="189"/>
      <c r="Q9" s="200" t="s">
        <v>126</v>
      </c>
      <c r="R9" s="189"/>
      <c r="S9" s="200" t="s">
        <v>125</v>
      </c>
      <c r="T9" s="200" t="s">
        <v>124</v>
      </c>
      <c r="U9" s="189"/>
      <c r="V9" s="200" t="s">
        <v>123</v>
      </c>
    </row>
    <row r="10" spans="1:22" x14ac:dyDescent="0.25">
      <c r="A10" s="189"/>
      <c r="B10" s="189"/>
      <c r="C10" s="189"/>
      <c r="D10" s="189"/>
      <c r="E10" s="190"/>
      <c r="F10" s="190"/>
      <c r="G10" s="190"/>
      <c r="H10" s="190"/>
      <c r="I10" s="190"/>
      <c r="J10" s="199"/>
      <c r="K10" s="190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</row>
    <row r="11" spans="1:22" x14ac:dyDescent="0.25">
      <c r="A11" s="198" t="s">
        <v>13</v>
      </c>
      <c r="B11" s="189"/>
      <c r="C11" s="189"/>
      <c r="D11" s="189"/>
      <c r="E11" s="190"/>
      <c r="F11" s="190"/>
      <c r="G11" s="190"/>
      <c r="H11" s="190"/>
      <c r="I11" s="190"/>
      <c r="J11" s="199"/>
      <c r="K11" s="190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</row>
    <row r="12" spans="1:22" x14ac:dyDescent="0.25">
      <c r="A12" s="189"/>
      <c r="B12" s="189" t="s">
        <v>59</v>
      </c>
      <c r="C12" s="189"/>
      <c r="D12" s="189"/>
      <c r="E12" s="195"/>
      <c r="F12" s="195"/>
      <c r="G12" s="195"/>
      <c r="H12" s="195"/>
      <c r="I12" s="192">
        <f>G12-E12</f>
        <v>0</v>
      </c>
      <c r="J12" s="197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2">
        <f>SUM(K12:T12)</f>
        <v>0</v>
      </c>
    </row>
    <row r="13" spans="1:22" x14ac:dyDescent="0.25">
      <c r="A13" s="189"/>
      <c r="B13" s="189" t="s">
        <v>58</v>
      </c>
      <c r="C13" s="189"/>
      <c r="D13" s="189"/>
      <c r="E13" s="195"/>
      <c r="F13" s="195"/>
      <c r="G13" s="195"/>
      <c r="H13" s="195"/>
      <c r="I13" s="192">
        <f>G13-E13</f>
        <v>0</v>
      </c>
      <c r="J13" s="197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2">
        <f>SUM(K13:T13)</f>
        <v>0</v>
      </c>
    </row>
    <row r="14" spans="1:22" x14ac:dyDescent="0.25">
      <c r="A14" s="189"/>
      <c r="B14" s="189" t="s">
        <v>57</v>
      </c>
      <c r="C14" s="189"/>
      <c r="D14" s="189"/>
      <c r="E14" s="195"/>
      <c r="F14" s="195"/>
      <c r="G14" s="195"/>
      <c r="H14" s="195"/>
      <c r="I14" s="192">
        <f>G14-E14</f>
        <v>0</v>
      </c>
      <c r="J14" s="197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2">
        <f>SUM(K14:T14)</f>
        <v>0</v>
      </c>
    </row>
    <row r="15" spans="1:22" x14ac:dyDescent="0.25">
      <c r="A15" s="189"/>
      <c r="B15" s="189" t="s">
        <v>56</v>
      </c>
      <c r="C15" s="189"/>
      <c r="D15" s="189"/>
      <c r="E15" s="195"/>
      <c r="F15" s="195"/>
      <c r="G15" s="195"/>
      <c r="H15" s="195"/>
      <c r="I15" s="192">
        <f>G15-E15</f>
        <v>0</v>
      </c>
      <c r="J15" s="197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2">
        <f>SUM(K15:T15)</f>
        <v>0</v>
      </c>
    </row>
    <row r="16" spans="1:22" x14ac:dyDescent="0.25">
      <c r="A16" s="189"/>
      <c r="B16" s="189" t="s">
        <v>55</v>
      </c>
      <c r="C16" s="189"/>
      <c r="D16" s="189"/>
      <c r="E16" s="195"/>
      <c r="F16" s="195"/>
      <c r="G16" s="195"/>
      <c r="H16" s="195"/>
      <c r="I16" s="192">
        <f>G16-E16</f>
        <v>0</v>
      </c>
      <c r="J16" s="197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2">
        <f>SUM(K16:T16)</f>
        <v>0</v>
      </c>
    </row>
    <row r="17" spans="1:22" x14ac:dyDescent="0.25">
      <c r="A17" s="189"/>
      <c r="B17" s="189" t="s">
        <v>54</v>
      </c>
      <c r="C17" s="189"/>
      <c r="D17" s="189"/>
      <c r="E17" s="195"/>
      <c r="F17" s="195"/>
      <c r="G17" s="195"/>
      <c r="H17" s="195"/>
      <c r="I17" s="192">
        <f>G17-E17</f>
        <v>0</v>
      </c>
      <c r="J17" s="197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2">
        <f>SUM(K17:T17)</f>
        <v>0</v>
      </c>
    </row>
    <row r="18" spans="1:22" x14ac:dyDescent="0.25">
      <c r="A18" s="198" t="s">
        <v>8</v>
      </c>
      <c r="B18" s="189"/>
      <c r="C18" s="189"/>
      <c r="D18" s="189"/>
      <c r="E18" s="195"/>
      <c r="F18" s="195"/>
      <c r="G18" s="195"/>
      <c r="H18" s="195"/>
      <c r="I18" s="192"/>
      <c r="J18" s="197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2"/>
    </row>
    <row r="19" spans="1:22" x14ac:dyDescent="0.25">
      <c r="A19" s="189"/>
      <c r="B19" s="189" t="s">
        <v>53</v>
      </c>
      <c r="C19" s="189"/>
      <c r="D19" s="189"/>
      <c r="E19" s="195"/>
      <c r="F19" s="195"/>
      <c r="G19" s="195"/>
      <c r="H19" s="195"/>
      <c r="I19" s="192">
        <f>G19-E19</f>
        <v>0</v>
      </c>
      <c r="J19" s="197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2">
        <f>SUM(K19:T19)</f>
        <v>0</v>
      </c>
    </row>
    <row r="20" spans="1:22" x14ac:dyDescent="0.25">
      <c r="A20" s="189"/>
      <c r="B20" s="189" t="s">
        <v>52</v>
      </c>
      <c r="C20" s="189"/>
      <c r="D20" s="189"/>
      <c r="E20" s="195"/>
      <c r="F20" s="195"/>
      <c r="G20" s="195"/>
      <c r="H20" s="195"/>
      <c r="I20" s="192">
        <f>G20-E20</f>
        <v>0</v>
      </c>
      <c r="J20" s="197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2">
        <f>SUM(K20:T20)</f>
        <v>0</v>
      </c>
    </row>
    <row r="21" spans="1:22" x14ac:dyDescent="0.25">
      <c r="A21" s="189"/>
      <c r="B21" s="189" t="s">
        <v>51</v>
      </c>
      <c r="C21" s="189"/>
      <c r="D21" s="189"/>
      <c r="E21" s="195"/>
      <c r="F21" s="195"/>
      <c r="G21" s="195"/>
      <c r="H21" s="195"/>
      <c r="I21" s="192">
        <f>G21-E21</f>
        <v>0</v>
      </c>
      <c r="J21" s="197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2">
        <f>SUM(K21:T21)</f>
        <v>0</v>
      </c>
    </row>
    <row r="22" spans="1:22" x14ac:dyDescent="0.25">
      <c r="A22" s="189"/>
      <c r="B22" s="189" t="s">
        <v>50</v>
      </c>
      <c r="C22" s="189"/>
      <c r="D22" s="189"/>
      <c r="E22" s="195"/>
      <c r="F22" s="195"/>
      <c r="G22" s="195"/>
      <c r="H22" s="195"/>
      <c r="I22" s="192">
        <f>G22-E22</f>
        <v>0</v>
      </c>
      <c r="J22" s="197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2">
        <f>SUM(K22:T22)</f>
        <v>0</v>
      </c>
    </row>
    <row r="23" spans="1:22" x14ac:dyDescent="0.25">
      <c r="A23" s="189"/>
      <c r="B23" s="189" t="s">
        <v>49</v>
      </c>
      <c r="C23" s="189"/>
      <c r="D23" s="189"/>
      <c r="E23" s="195"/>
      <c r="F23" s="195"/>
      <c r="G23" s="195"/>
      <c r="H23" s="195"/>
      <c r="I23" s="192">
        <f>G23-E23</f>
        <v>0</v>
      </c>
      <c r="J23" s="197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2">
        <f>SUM(K23:T23)</f>
        <v>0</v>
      </c>
    </row>
    <row r="24" spans="1:22" x14ac:dyDescent="0.25">
      <c r="A24" s="189"/>
      <c r="B24" s="189" t="s">
        <v>48</v>
      </c>
      <c r="C24" s="189"/>
      <c r="D24" s="189"/>
      <c r="E24" s="195">
        <v>142721.82366200001</v>
      </c>
      <c r="F24" s="195"/>
      <c r="G24" s="195">
        <v>242976.70524042626</v>
      </c>
      <c r="H24" s="195"/>
      <c r="I24" s="192">
        <f>G24-E24</f>
        <v>100254.88157842626</v>
      </c>
      <c r="J24" s="197"/>
      <c r="K24" s="195"/>
      <c r="L24" s="195"/>
      <c r="M24" s="195"/>
      <c r="N24" s="195"/>
      <c r="O24" s="195"/>
      <c r="P24" s="195"/>
      <c r="Q24" s="195"/>
      <c r="R24" s="195"/>
      <c r="S24" s="195"/>
      <c r="T24" s="195">
        <v>100254.88</v>
      </c>
      <c r="U24" s="195"/>
      <c r="V24" s="192">
        <f>SUM(K24:T24)</f>
        <v>100254.88</v>
      </c>
    </row>
    <row r="25" spans="1:22" x14ac:dyDescent="0.25">
      <c r="A25" s="189"/>
      <c r="B25" s="189" t="s">
        <v>47</v>
      </c>
      <c r="C25" s="189"/>
      <c r="D25" s="189"/>
      <c r="E25" s="195"/>
      <c r="F25" s="195"/>
      <c r="G25" s="195"/>
      <c r="H25" s="195"/>
      <c r="I25" s="192">
        <f>G25-E25</f>
        <v>0</v>
      </c>
      <c r="J25" s="197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2">
        <f>SUM(K25:T25)</f>
        <v>0</v>
      </c>
    </row>
    <row r="26" spans="1:22" x14ac:dyDescent="0.25">
      <c r="A26" s="189"/>
      <c r="B26" s="189" t="s">
        <v>46</v>
      </c>
      <c r="C26" s="189"/>
      <c r="D26" s="189"/>
      <c r="E26" s="195">
        <v>16710.388911264621</v>
      </c>
      <c r="F26" s="195"/>
      <c r="G26" s="195">
        <v>28448.594172681369</v>
      </c>
      <c r="H26" s="195"/>
      <c r="I26" s="192">
        <f>G26-E26</f>
        <v>11738.205261416748</v>
      </c>
      <c r="J26" s="197"/>
      <c r="K26" s="195"/>
      <c r="L26" s="195"/>
      <c r="M26" s="195"/>
      <c r="N26" s="195"/>
      <c r="O26" s="195"/>
      <c r="P26" s="195"/>
      <c r="Q26" s="195"/>
      <c r="R26" s="195"/>
      <c r="S26" s="195">
        <v>11738.21</v>
      </c>
      <c r="T26" s="195"/>
      <c r="U26" s="195"/>
      <c r="V26" s="192">
        <f>SUM(K26:T26)</f>
        <v>11738.21</v>
      </c>
    </row>
    <row r="27" spans="1:22" x14ac:dyDescent="0.25">
      <c r="A27" s="189"/>
      <c r="B27" s="189" t="s">
        <v>45</v>
      </c>
      <c r="C27" s="189"/>
      <c r="D27" s="189"/>
      <c r="E27" s="195"/>
      <c r="F27" s="195"/>
      <c r="G27" s="195"/>
      <c r="H27" s="195"/>
      <c r="I27" s="192">
        <f>G27-E27</f>
        <v>0</v>
      </c>
      <c r="J27" s="197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2">
        <f>SUM(K27:T27)</f>
        <v>0</v>
      </c>
    </row>
    <row r="28" spans="1:22" x14ac:dyDescent="0.25">
      <c r="A28" s="189"/>
      <c r="B28" s="189" t="s">
        <v>44</v>
      </c>
      <c r="C28" s="189"/>
      <c r="D28" s="189"/>
      <c r="E28" s="195"/>
      <c r="F28" s="195"/>
      <c r="G28" s="195"/>
      <c r="H28" s="195"/>
      <c r="I28" s="192">
        <f>G28-E28</f>
        <v>0</v>
      </c>
      <c r="J28" s="197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2">
        <f>SUM(K28:T28)</f>
        <v>0</v>
      </c>
    </row>
    <row r="29" spans="1:22" x14ac:dyDescent="0.25">
      <c r="A29" s="189"/>
      <c r="B29" s="189" t="s">
        <v>43</v>
      </c>
      <c r="C29" s="189"/>
      <c r="D29" s="189"/>
      <c r="E29" s="195"/>
      <c r="F29" s="195"/>
      <c r="G29" s="195"/>
      <c r="H29" s="195"/>
      <c r="I29" s="192">
        <f>G29-E29</f>
        <v>0</v>
      </c>
      <c r="J29" s="197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2">
        <f>SUM(K29:T29)</f>
        <v>0</v>
      </c>
    </row>
    <row r="30" spans="1:22" x14ac:dyDescent="0.25">
      <c r="A30" s="189"/>
      <c r="B30" s="189" t="s">
        <v>42</v>
      </c>
      <c r="C30" s="189"/>
      <c r="D30" s="189"/>
      <c r="E30" s="196"/>
      <c r="F30" s="195"/>
      <c r="G30" s="196"/>
      <c r="H30" s="195"/>
      <c r="I30" s="192">
        <f>G30-E30</f>
        <v>0</v>
      </c>
      <c r="J30" s="197"/>
      <c r="K30" s="196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2">
        <f>SUM(K30:T30)</f>
        <v>0</v>
      </c>
    </row>
    <row r="31" spans="1:22" ht="15.75" thickBot="1" x14ac:dyDescent="0.3">
      <c r="A31" s="194" t="s">
        <v>41</v>
      </c>
      <c r="E31" s="191">
        <f>SUM(E12:E30)</f>
        <v>159432.21257326464</v>
      </c>
      <c r="F31" s="192"/>
      <c r="G31" s="191">
        <f>SUM(G12:G30)</f>
        <v>271425.29941310763</v>
      </c>
      <c r="H31" s="192"/>
      <c r="I31" s="191">
        <f>SUM(I12:I30)</f>
        <v>111993.086839843</v>
      </c>
      <c r="J31" s="193"/>
      <c r="K31" s="191">
        <f>SUM(K12:K30)</f>
        <v>0</v>
      </c>
      <c r="L31" s="192"/>
      <c r="M31" s="191">
        <f>SUM(M12:M30)</f>
        <v>0</v>
      </c>
      <c r="N31" s="192"/>
      <c r="O31" s="191">
        <f>SUM(O12:O30)</f>
        <v>0</v>
      </c>
      <c r="P31" s="192"/>
      <c r="Q31" s="191">
        <f>SUM(Q12:Q30)</f>
        <v>0</v>
      </c>
      <c r="R31" s="192"/>
      <c r="S31" s="191">
        <f>SUM(S12:S30)</f>
        <v>11738.21</v>
      </c>
      <c r="T31" s="191">
        <f>SUM(T12:T30)</f>
        <v>100254.88</v>
      </c>
      <c r="U31" s="192"/>
      <c r="V31" s="191">
        <f>SUM(V12:V30)</f>
        <v>111993.09</v>
      </c>
    </row>
    <row r="32" spans="1:22" ht="15.75" thickTop="1" x14ac:dyDescent="0.25">
      <c r="A32" s="189"/>
      <c r="B32" s="189"/>
      <c r="C32" s="189"/>
      <c r="D32" s="189"/>
      <c r="E32" s="190"/>
      <c r="F32" s="190"/>
      <c r="G32" s="190"/>
      <c r="H32" s="190"/>
      <c r="I32" s="190"/>
      <c r="J32" s="190"/>
      <c r="K32" s="190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</row>
    <row r="33" spans="1:22" x14ac:dyDescent="0.25">
      <c r="A33" s="189"/>
      <c r="B33" s="189"/>
      <c r="C33" s="189"/>
      <c r="D33" s="189"/>
      <c r="E33" s="190"/>
      <c r="F33" s="190"/>
      <c r="G33" s="190"/>
      <c r="H33" s="190"/>
      <c r="I33" s="190"/>
      <c r="J33" s="190"/>
      <c r="K33" s="190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</row>
    <row r="34" spans="1:22" x14ac:dyDescent="0.25">
      <c r="A34" s="189" t="s">
        <v>40</v>
      </c>
      <c r="B34" s="189"/>
      <c r="C34" s="189"/>
      <c r="D34" s="189"/>
      <c r="E34" s="190"/>
      <c r="F34" s="190"/>
      <c r="G34" s="190"/>
      <c r="H34" s="190"/>
      <c r="I34" s="190"/>
      <c r="J34" s="190"/>
      <c r="K34" s="190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</row>
    <row r="35" spans="1:22" x14ac:dyDescent="0.25">
      <c r="A35" s="189" t="s">
        <v>39</v>
      </c>
      <c r="B35" s="189"/>
      <c r="C35" s="189" t="s">
        <v>38</v>
      </c>
      <c r="D35" s="189"/>
      <c r="E35" s="190"/>
      <c r="F35" s="190"/>
      <c r="G35" s="190"/>
      <c r="H35" s="190"/>
      <c r="I35" s="190"/>
      <c r="J35" s="190"/>
      <c r="K35" s="190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</row>
    <row r="36" spans="1:22" x14ac:dyDescent="0.25">
      <c r="A36" s="189" t="s">
        <v>37</v>
      </c>
      <c r="B36" s="189"/>
      <c r="C36" s="189" t="s">
        <v>36</v>
      </c>
      <c r="D36" s="189"/>
      <c r="E36" s="190"/>
      <c r="F36" s="190"/>
      <c r="G36" s="190"/>
      <c r="H36" s="190"/>
      <c r="I36" s="190"/>
      <c r="J36" s="190"/>
      <c r="K36" s="190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</row>
    <row r="37" spans="1:22" x14ac:dyDescent="0.25">
      <c r="A37" s="189" t="s">
        <v>35</v>
      </c>
      <c r="B37" s="189"/>
      <c r="C37" s="189" t="s">
        <v>34</v>
      </c>
      <c r="D37" s="189"/>
      <c r="E37" s="190"/>
      <c r="F37" s="190"/>
      <c r="G37" s="190"/>
      <c r="H37" s="190"/>
      <c r="I37" s="190"/>
      <c r="J37" s="190"/>
      <c r="K37" s="190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</row>
    <row r="38" spans="1:22" x14ac:dyDescent="0.25">
      <c r="A38" s="189"/>
      <c r="B38" s="189"/>
      <c r="C38" s="189" t="s">
        <v>33</v>
      </c>
      <c r="D38" s="189"/>
      <c r="E38" s="190"/>
      <c r="F38" s="190"/>
      <c r="G38" s="190"/>
      <c r="H38" s="190"/>
      <c r="I38" s="190"/>
      <c r="J38" s="190"/>
      <c r="K38" s="190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</row>
    <row r="39" spans="1:22" x14ac:dyDescent="0.25">
      <c r="A39" s="189" t="s">
        <v>32</v>
      </c>
      <c r="B39" s="189"/>
      <c r="C39" s="189" t="s">
        <v>31</v>
      </c>
      <c r="D39" s="189"/>
      <c r="E39" s="190"/>
      <c r="F39" s="190"/>
      <c r="G39" s="190"/>
      <c r="H39" s="190"/>
      <c r="I39" s="190"/>
      <c r="J39" s="190"/>
      <c r="K39" s="190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</row>
    <row r="40" spans="1:22" x14ac:dyDescent="0.25">
      <c r="A40" s="189" t="s">
        <v>30</v>
      </c>
      <c r="B40" s="189"/>
      <c r="C40" s="189" t="s">
        <v>29</v>
      </c>
      <c r="D40" s="189"/>
      <c r="E40" s="190"/>
      <c r="F40" s="190"/>
      <c r="G40" s="190"/>
      <c r="H40" s="190"/>
      <c r="I40" s="190"/>
      <c r="J40" s="190"/>
      <c r="K40" s="190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</row>
    <row r="41" spans="1:22" x14ac:dyDescent="0.25">
      <c r="A41" s="189"/>
      <c r="B41" s="189"/>
      <c r="C41" s="189"/>
      <c r="D41" s="189"/>
      <c r="E41" s="190"/>
      <c r="F41" s="190"/>
      <c r="G41" s="190"/>
      <c r="H41" s="190"/>
      <c r="I41" s="190"/>
      <c r="J41" s="190"/>
      <c r="K41" s="190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3513-858C-4850-BE0C-D336973AF596}">
  <dimension ref="A1:J32"/>
  <sheetViews>
    <sheetView showGridLines="0" zoomScaleNormal="100" workbookViewId="0">
      <selection activeCell="E33" sqref="E33"/>
    </sheetView>
  </sheetViews>
  <sheetFormatPr defaultRowHeight="15" x14ac:dyDescent="0.25"/>
  <cols>
    <col min="1" max="1" width="12.140625" style="164" customWidth="1"/>
    <col min="2" max="2" width="5.28515625" style="164" customWidth="1"/>
    <col min="3" max="3" width="7.5703125" style="164" customWidth="1"/>
    <col min="4" max="4" width="4.5703125" style="164" customWidth="1"/>
    <col min="5" max="5" width="19" style="164" customWidth="1"/>
    <col min="6" max="6" width="17.42578125" style="164" customWidth="1"/>
    <col min="7" max="7" width="16.7109375" style="164" customWidth="1"/>
    <col min="8" max="8" width="14.42578125" style="164" customWidth="1"/>
    <col min="9" max="9" width="3" style="164" customWidth="1"/>
    <col min="10" max="10" width="22.140625" style="164" customWidth="1"/>
    <col min="11" max="16384" width="9.140625" style="164"/>
  </cols>
  <sheetData>
    <row r="1" spans="1:10" x14ac:dyDescent="0.25">
      <c r="A1" s="175"/>
      <c r="B1" s="175"/>
      <c r="C1" s="175"/>
      <c r="D1" s="175"/>
      <c r="E1" s="175"/>
      <c r="F1" s="175"/>
      <c r="G1" s="175"/>
      <c r="H1" s="175"/>
      <c r="I1" s="175" t="s">
        <v>28</v>
      </c>
      <c r="J1" s="175"/>
    </row>
    <row r="2" spans="1:10" x14ac:dyDescent="0.25">
      <c r="A2" s="186" t="s">
        <v>27</v>
      </c>
      <c r="B2" s="186"/>
      <c r="C2" s="186"/>
      <c r="D2" s="186"/>
      <c r="E2" s="186"/>
      <c r="F2" s="186"/>
      <c r="G2" s="186"/>
      <c r="H2" s="186"/>
      <c r="I2" s="186"/>
      <c r="J2" s="186"/>
    </row>
    <row r="3" spans="1:10" x14ac:dyDescent="0.25">
      <c r="A3" s="186" t="s">
        <v>26</v>
      </c>
      <c r="B3" s="186"/>
      <c r="C3" s="186"/>
      <c r="D3" s="186"/>
      <c r="E3" s="186"/>
      <c r="F3" s="186"/>
      <c r="G3" s="186"/>
      <c r="H3" s="186"/>
      <c r="I3" s="186"/>
      <c r="J3" s="186"/>
    </row>
    <row r="4" spans="1:10" x14ac:dyDescent="0.25">
      <c r="A4" s="186" t="s">
        <v>130</v>
      </c>
      <c r="B4" s="186"/>
      <c r="C4" s="186"/>
      <c r="D4" s="186"/>
      <c r="E4" s="186"/>
      <c r="F4" s="186"/>
      <c r="G4" s="186"/>
      <c r="H4" s="186"/>
      <c r="I4" s="186"/>
      <c r="J4" s="186"/>
    </row>
    <row r="5" spans="1:10" x14ac:dyDescent="0.25">
      <c r="A5" s="186" t="s">
        <v>24</v>
      </c>
      <c r="B5" s="186"/>
      <c r="C5" s="186"/>
      <c r="D5" s="186"/>
      <c r="E5" s="186"/>
      <c r="F5" s="186"/>
      <c r="G5" s="186"/>
      <c r="H5" s="186"/>
      <c r="I5" s="186"/>
      <c r="J5" s="186"/>
    </row>
    <row r="6" spans="1:10" x14ac:dyDescent="0.25">
      <c r="A6" s="186" t="s">
        <v>23</v>
      </c>
      <c r="B6" s="186"/>
      <c r="C6" s="186"/>
      <c r="D6" s="186"/>
      <c r="E6" s="186"/>
      <c r="F6" s="186"/>
      <c r="G6" s="186"/>
      <c r="H6" s="186"/>
      <c r="I6" s="186"/>
      <c r="J6" s="186"/>
    </row>
    <row r="7" spans="1:10" x14ac:dyDescent="0.25">
      <c r="A7" s="185" t="s">
        <v>22</v>
      </c>
      <c r="B7" s="185"/>
      <c r="C7" s="183" t="s">
        <v>21</v>
      </c>
      <c r="D7" s="183"/>
      <c r="E7" s="183"/>
      <c r="F7" s="183"/>
      <c r="G7" s="183"/>
      <c r="H7" s="183"/>
      <c r="I7" s="183" t="s">
        <v>90</v>
      </c>
      <c r="J7" s="175"/>
    </row>
    <row r="8" spans="1:10" x14ac:dyDescent="0.25">
      <c r="A8" s="185" t="s">
        <v>1</v>
      </c>
      <c r="B8" s="185"/>
      <c r="C8" s="183" t="s">
        <v>129</v>
      </c>
      <c r="D8" s="183"/>
      <c r="E8" s="183"/>
      <c r="F8" s="183"/>
      <c r="G8" s="183"/>
      <c r="H8" s="183"/>
      <c r="I8" s="183" t="s">
        <v>88</v>
      </c>
      <c r="J8" s="175"/>
    </row>
    <row r="9" spans="1:10" x14ac:dyDescent="0.25">
      <c r="A9" s="185"/>
      <c r="B9" s="185"/>
      <c r="C9" s="184"/>
      <c r="D9" s="184"/>
      <c r="E9" s="184"/>
      <c r="F9" s="184"/>
      <c r="G9" s="184"/>
      <c r="H9" s="184"/>
      <c r="I9" s="183" t="s">
        <v>87</v>
      </c>
      <c r="J9" s="175"/>
    </row>
    <row r="10" spans="1:10" x14ac:dyDescent="0.25">
      <c r="A10" s="175"/>
      <c r="B10" s="175"/>
      <c r="C10" s="175"/>
      <c r="D10" s="175"/>
      <c r="E10" s="175"/>
      <c r="F10" s="175"/>
      <c r="G10" s="175"/>
      <c r="H10" s="175"/>
      <c r="I10" s="175"/>
      <c r="J10" s="175"/>
    </row>
    <row r="11" spans="1:10" x14ac:dyDescent="0.25">
      <c r="A11" s="166"/>
      <c r="B11" s="166"/>
      <c r="C11" s="166"/>
      <c r="D11" s="166"/>
      <c r="E11" s="166"/>
      <c r="F11" s="166"/>
      <c r="G11" s="166"/>
      <c r="H11" s="166"/>
      <c r="I11" s="166"/>
      <c r="J11" s="166"/>
    </row>
    <row r="12" spans="1:10" x14ac:dyDescent="0.25">
      <c r="A12" s="182" t="s">
        <v>19</v>
      </c>
      <c r="B12" s="182"/>
      <c r="C12" s="182"/>
      <c r="D12" s="182"/>
      <c r="E12" s="182"/>
      <c r="F12" s="182"/>
      <c r="G12" s="182"/>
      <c r="H12" s="182"/>
      <c r="I12" s="182"/>
      <c r="J12" s="182"/>
    </row>
    <row r="13" spans="1:10" x14ac:dyDescent="0.25">
      <c r="A13" s="166"/>
      <c r="B13" s="166"/>
      <c r="C13" s="166"/>
      <c r="D13" s="166"/>
      <c r="E13" s="166"/>
      <c r="F13" s="166"/>
      <c r="G13" s="166"/>
      <c r="H13" s="166"/>
      <c r="I13" s="166"/>
      <c r="J13" s="166"/>
    </row>
    <row r="14" spans="1:10" ht="24.75" customHeight="1" x14ac:dyDescent="0.25">
      <c r="A14" s="181" t="s">
        <v>18</v>
      </c>
      <c r="B14" s="181"/>
      <c r="C14" s="181"/>
      <c r="D14" s="181"/>
      <c r="E14" s="181"/>
      <c r="F14" s="179" t="s">
        <v>17</v>
      </c>
      <c r="G14" s="179" t="s">
        <v>16</v>
      </c>
      <c r="H14" s="180" t="s">
        <v>15</v>
      </c>
      <c r="I14" s="180"/>
      <c r="J14" s="179" t="s">
        <v>14</v>
      </c>
    </row>
    <row r="15" spans="1:10" ht="17.25" customHeight="1" x14ac:dyDescent="0.25">
      <c r="A15" s="178" t="s">
        <v>13</v>
      </c>
      <c r="B15" s="178"/>
      <c r="C15" s="178"/>
      <c r="D15" s="178"/>
      <c r="E15" s="178"/>
      <c r="F15" s="178"/>
      <c r="G15" s="178"/>
      <c r="H15" s="178"/>
      <c r="I15" s="178"/>
      <c r="J15" s="178"/>
    </row>
    <row r="16" spans="1:10" x14ac:dyDescent="0.25">
      <c r="A16" s="175" t="s">
        <v>12</v>
      </c>
      <c r="B16" s="175"/>
      <c r="C16" s="175"/>
      <c r="D16" s="175"/>
      <c r="E16" s="175"/>
      <c r="F16" s="172">
        <v>0</v>
      </c>
      <c r="G16" s="172">
        <v>0</v>
      </c>
      <c r="H16" s="174">
        <v>0</v>
      </c>
      <c r="I16" s="174"/>
      <c r="J16" s="172">
        <f>F16+G16-H16</f>
        <v>0</v>
      </c>
    </row>
    <row r="17" spans="1:10" x14ac:dyDescent="0.25">
      <c r="A17" s="175" t="s">
        <v>9</v>
      </c>
      <c r="B17" s="175"/>
      <c r="C17" s="175"/>
      <c r="D17" s="175"/>
      <c r="E17" s="175"/>
      <c r="F17" s="172">
        <v>0</v>
      </c>
      <c r="G17" s="172">
        <v>0</v>
      </c>
      <c r="H17" s="174">
        <v>0</v>
      </c>
      <c r="I17" s="174"/>
      <c r="J17" s="172">
        <f>F17+G17-H17</f>
        <v>0</v>
      </c>
    </row>
    <row r="18" spans="1:10" x14ac:dyDescent="0.25">
      <c r="A18" s="177"/>
      <c r="B18" s="177"/>
      <c r="C18" s="177"/>
      <c r="D18" s="177"/>
      <c r="E18" s="177"/>
      <c r="F18" s="177"/>
      <c r="G18" s="177"/>
      <c r="H18" s="177"/>
      <c r="I18" s="177"/>
      <c r="J18" s="177"/>
    </row>
    <row r="19" spans="1:10" x14ac:dyDescent="0.25">
      <c r="A19" s="176" t="s">
        <v>8</v>
      </c>
      <c r="B19" s="176"/>
      <c r="C19" s="176"/>
      <c r="D19" s="176"/>
      <c r="E19" s="176"/>
      <c r="F19" s="176"/>
      <c r="G19" s="176"/>
      <c r="H19" s="176"/>
      <c r="I19" s="176"/>
      <c r="J19" s="176"/>
    </row>
    <row r="20" spans="1:10" x14ac:dyDescent="0.25">
      <c r="A20" s="175" t="s">
        <v>6</v>
      </c>
      <c r="B20" s="175"/>
      <c r="C20" s="175"/>
      <c r="D20" s="175"/>
      <c r="E20" s="175"/>
      <c r="F20" s="172">
        <v>0</v>
      </c>
      <c r="G20" s="172">
        <v>0</v>
      </c>
      <c r="H20" s="174">
        <v>0</v>
      </c>
      <c r="I20" s="174"/>
      <c r="J20" s="172">
        <f>F20+G20-H20</f>
        <v>0</v>
      </c>
    </row>
    <row r="21" spans="1:10" x14ac:dyDescent="0.25">
      <c r="A21" s="175" t="s">
        <v>5</v>
      </c>
      <c r="B21" s="175"/>
      <c r="C21" s="175"/>
      <c r="D21" s="175"/>
      <c r="E21" s="175"/>
      <c r="F21" s="172">
        <v>0</v>
      </c>
      <c r="G21" s="172">
        <v>0</v>
      </c>
      <c r="H21" s="174">
        <v>0</v>
      </c>
      <c r="I21" s="174"/>
      <c r="J21" s="172">
        <f>F21+G21-H21</f>
        <v>0</v>
      </c>
    </row>
    <row r="22" spans="1:10" x14ac:dyDescent="0.25">
      <c r="A22" s="175" t="s">
        <v>98</v>
      </c>
      <c r="B22" s="175"/>
      <c r="C22" s="175"/>
      <c r="D22" s="175"/>
      <c r="E22" s="175"/>
      <c r="F22" s="172">
        <v>76804.007366174876</v>
      </c>
      <c r="G22" s="172">
        <v>0</v>
      </c>
      <c r="H22" s="174">
        <v>0</v>
      </c>
      <c r="I22" s="174"/>
      <c r="J22" s="172">
        <f>F22+G22-H22</f>
        <v>76804.007366174876</v>
      </c>
    </row>
    <row r="23" spans="1:10" x14ac:dyDescent="0.25">
      <c r="A23" s="175" t="s">
        <v>116</v>
      </c>
      <c r="B23" s="175"/>
      <c r="C23" s="175"/>
      <c r="D23" s="175"/>
      <c r="E23" s="175"/>
      <c r="F23" s="172">
        <v>8992.4918285228541</v>
      </c>
      <c r="G23" s="172">
        <v>898.33405320887493</v>
      </c>
      <c r="H23" s="174">
        <v>701.11789440878101</v>
      </c>
      <c r="I23" s="174"/>
      <c r="J23" s="172">
        <f>F23+G23-H23</f>
        <v>9189.7079873229486</v>
      </c>
    </row>
    <row r="24" spans="1:10" x14ac:dyDescent="0.25">
      <c r="A24" s="175" t="s">
        <v>2</v>
      </c>
      <c r="B24" s="175"/>
      <c r="C24" s="175"/>
      <c r="D24" s="175"/>
      <c r="E24" s="175"/>
      <c r="F24" s="172">
        <v>0</v>
      </c>
      <c r="G24" s="172">
        <v>0</v>
      </c>
      <c r="H24" s="174">
        <v>0</v>
      </c>
      <c r="I24" s="174"/>
      <c r="J24" s="172">
        <f>F24+G24-H24</f>
        <v>0</v>
      </c>
    </row>
    <row r="25" spans="1:10" x14ac:dyDescent="0.25">
      <c r="A25" s="173"/>
      <c r="B25" s="173"/>
      <c r="C25" s="173"/>
      <c r="D25" s="173"/>
      <c r="E25" s="173"/>
      <c r="F25" s="172"/>
      <c r="G25" s="172"/>
      <c r="H25" s="172"/>
      <c r="I25" s="172"/>
      <c r="J25" s="172"/>
    </row>
    <row r="26" spans="1:10" ht="15.75" customHeight="1" x14ac:dyDescent="0.25">
      <c r="A26" s="171"/>
      <c r="B26" s="171"/>
      <c r="C26" s="171"/>
      <c r="D26" s="171"/>
      <c r="E26" s="171"/>
      <c r="F26" s="170"/>
      <c r="G26" s="170"/>
      <c r="H26" s="170"/>
      <c r="I26" s="170"/>
      <c r="J26" s="170"/>
    </row>
    <row r="27" spans="1:10" x14ac:dyDescent="0.25">
      <c r="A27" s="169" t="s">
        <v>1</v>
      </c>
      <c r="B27" s="208" t="s">
        <v>128</v>
      </c>
      <c r="C27" s="168"/>
      <c r="D27" s="168"/>
      <c r="E27" s="167">
        <f>SUM(F16:F24)</f>
        <v>85796.499194697724</v>
      </c>
      <c r="F27" s="167"/>
      <c r="G27" s="167">
        <f>SUM(G16:G24)</f>
        <v>898.33405320887493</v>
      </c>
      <c r="H27" s="167">
        <f>SUM(H16:I24)</f>
        <v>701.11789440878101</v>
      </c>
      <c r="I27" s="167"/>
      <c r="J27" s="167">
        <f>SUM(J16:J24)</f>
        <v>85993.715353497828</v>
      </c>
    </row>
    <row r="28" spans="1:10" x14ac:dyDescent="0.25">
      <c r="A28" s="169"/>
      <c r="B28" s="168"/>
      <c r="C28" s="168"/>
      <c r="D28" s="168"/>
      <c r="E28" s="167"/>
      <c r="F28" s="167"/>
      <c r="G28" s="167"/>
      <c r="H28" s="167"/>
      <c r="I28" s="167"/>
      <c r="J28" s="167"/>
    </row>
    <row r="29" spans="1:10" x14ac:dyDescent="0.25">
      <c r="A29" s="166"/>
      <c r="B29" s="166"/>
      <c r="C29" s="166"/>
      <c r="D29" s="166"/>
      <c r="E29" s="166"/>
      <c r="F29" s="166"/>
      <c r="G29" s="166"/>
      <c r="H29" s="166"/>
      <c r="I29" s="166"/>
      <c r="J29" s="166"/>
    </row>
    <row r="30" spans="1:10" x14ac:dyDescent="0.25">
      <c r="A30" s="166"/>
      <c r="B30" s="166"/>
      <c r="C30" s="166"/>
      <c r="D30" s="166"/>
      <c r="E30" s="166"/>
      <c r="F30" s="166"/>
      <c r="G30" s="166"/>
      <c r="H30" s="166"/>
      <c r="I30" s="166"/>
      <c r="J30" s="166"/>
    </row>
    <row r="31" spans="1:10" x14ac:dyDescent="0.25">
      <c r="A31" s="166"/>
      <c r="B31" s="166"/>
      <c r="C31" s="166"/>
      <c r="D31" s="166"/>
      <c r="E31" s="166"/>
      <c r="F31" s="166"/>
      <c r="G31" s="166"/>
      <c r="H31" s="166"/>
      <c r="I31" s="166"/>
      <c r="J31" s="166"/>
    </row>
    <row r="32" spans="1:10" x14ac:dyDescent="0.25">
      <c r="A32" s="165"/>
      <c r="B32" s="165"/>
      <c r="C32" s="165"/>
      <c r="D32" s="165"/>
      <c r="E32" s="165"/>
      <c r="F32" s="165"/>
      <c r="G32" s="165"/>
      <c r="H32" s="165"/>
      <c r="I32" s="165"/>
      <c r="J32" s="165"/>
    </row>
  </sheetData>
  <mergeCells count="50">
    <mergeCell ref="H27:I28"/>
    <mergeCell ref="J27:J28"/>
    <mergeCell ref="B28:D28"/>
    <mergeCell ref="A29:J29"/>
    <mergeCell ref="A23:E23"/>
    <mergeCell ref="H23:I23"/>
    <mergeCell ref="A30:J30"/>
    <mergeCell ref="A31:J31"/>
    <mergeCell ref="A32:J32"/>
    <mergeCell ref="A24:E24"/>
    <mergeCell ref="H24:I24"/>
    <mergeCell ref="B27:D27"/>
    <mergeCell ref="E27:F28"/>
    <mergeCell ref="G27:G28"/>
    <mergeCell ref="A20:E20"/>
    <mergeCell ref="H20:I20"/>
    <mergeCell ref="A21:E21"/>
    <mergeCell ref="H21:I21"/>
    <mergeCell ref="A22:E22"/>
    <mergeCell ref="H22:I22"/>
    <mergeCell ref="A13:J13"/>
    <mergeCell ref="A14:E14"/>
    <mergeCell ref="H14:I14"/>
    <mergeCell ref="A16:E16"/>
    <mergeCell ref="H16:I16"/>
    <mergeCell ref="A17:E17"/>
    <mergeCell ref="H17:I17"/>
    <mergeCell ref="A8:B8"/>
    <mergeCell ref="C8:H8"/>
    <mergeCell ref="I8:J8"/>
    <mergeCell ref="I10:J10"/>
    <mergeCell ref="A11:J11"/>
    <mergeCell ref="A12:J12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4:J4"/>
    <mergeCell ref="A5:J5"/>
    <mergeCell ref="A1:C1"/>
    <mergeCell ref="D1:H1"/>
    <mergeCell ref="I1:J1"/>
    <mergeCell ref="A2:J2"/>
    <mergeCell ref="A3:J3"/>
  </mergeCells>
  <pageMargins left="0.7" right="0.7" top="0.75" bottom="0.75" header="0.3" footer="0.3"/>
  <pageSetup scale="98" orientation="landscape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5D8E-B476-470E-9EF2-9A1EE8BDD899}">
  <dimension ref="A1:V41"/>
  <sheetViews>
    <sheetView tabSelected="1" topLeftCell="A9" workbookViewId="0">
      <selection activeCell="S34" sqref="S34"/>
    </sheetView>
  </sheetViews>
  <sheetFormatPr defaultRowHeight="15" x14ac:dyDescent="0.25"/>
  <cols>
    <col min="1" max="1" width="1.7109375" style="10" customWidth="1"/>
    <col min="2" max="2" width="9" style="10" customWidth="1"/>
    <col min="3" max="3" width="44.28515625" style="10" customWidth="1"/>
    <col min="4" max="4" width="1.7109375" style="10" customWidth="1"/>
    <col min="5" max="5" width="15.7109375" style="11" customWidth="1"/>
    <col min="6" max="6" width="1.7109375" style="11" customWidth="1"/>
    <col min="7" max="7" width="15.7109375" style="11" customWidth="1"/>
    <col min="8" max="8" width="1.7109375" style="11" customWidth="1"/>
    <col min="9" max="9" width="15.7109375" style="11" customWidth="1"/>
    <col min="10" max="10" width="1.7109375" style="11" customWidth="1"/>
    <col min="11" max="11" width="15.7109375" style="11" customWidth="1"/>
    <col min="12" max="12" width="1.7109375" style="10" customWidth="1"/>
    <col min="13" max="13" width="15.7109375" style="10" customWidth="1"/>
    <col min="14" max="14" width="1.7109375" style="10" customWidth="1"/>
    <col min="15" max="15" width="15.7109375" style="10" customWidth="1"/>
    <col min="16" max="16" width="1.7109375" style="10" customWidth="1"/>
    <col min="17" max="17" width="15.7109375" style="10" customWidth="1"/>
    <col min="18" max="18" width="1.7109375" style="10" customWidth="1"/>
    <col min="19" max="20" width="15.7109375" style="10" customWidth="1"/>
    <col min="21" max="21" width="1.7109375" style="10" customWidth="1"/>
    <col min="22" max="22" width="15.7109375" style="10" customWidth="1"/>
    <col min="23" max="16384" width="9.140625" style="10"/>
  </cols>
  <sheetData>
    <row r="1" spans="1:22" x14ac:dyDescent="0.25">
      <c r="A1" s="207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 t="s">
        <v>83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 t="s">
        <v>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207" t="s">
        <v>130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33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26"/>
      <c r="K7" s="32" t="s">
        <v>80</v>
      </c>
      <c r="L7" s="32"/>
      <c r="M7" s="32"/>
      <c r="N7" s="32"/>
      <c r="O7" s="32"/>
      <c r="P7" s="32"/>
      <c r="Q7" s="32"/>
      <c r="R7" s="32"/>
      <c r="S7" s="32"/>
      <c r="T7" s="32"/>
      <c r="U7" s="12"/>
      <c r="V7" s="12"/>
    </row>
    <row r="8" spans="1:22" x14ac:dyDescent="0.25">
      <c r="A8" s="12"/>
      <c r="B8" s="12"/>
      <c r="C8" s="12"/>
      <c r="D8" s="12"/>
      <c r="E8" s="31" t="s">
        <v>79</v>
      </c>
      <c r="F8" s="28"/>
      <c r="G8" s="31" t="s">
        <v>78</v>
      </c>
      <c r="H8" s="28"/>
      <c r="I8" s="31" t="s">
        <v>77</v>
      </c>
      <c r="J8" s="29"/>
      <c r="K8" s="31" t="s">
        <v>76</v>
      </c>
      <c r="L8" s="12"/>
      <c r="M8" s="31" t="s">
        <v>75</v>
      </c>
      <c r="N8" s="28"/>
      <c r="O8" s="31" t="s">
        <v>74</v>
      </c>
      <c r="P8" s="28"/>
      <c r="Q8" s="31" t="s">
        <v>73</v>
      </c>
      <c r="R8" s="28"/>
      <c r="S8" s="31" t="s">
        <v>72</v>
      </c>
      <c r="T8" s="31" t="s">
        <v>71</v>
      </c>
      <c r="U8" s="28"/>
      <c r="V8" s="31" t="s">
        <v>70</v>
      </c>
    </row>
    <row r="9" spans="1:22" ht="120" x14ac:dyDescent="0.25">
      <c r="A9" s="25"/>
      <c r="B9" s="12"/>
      <c r="C9" s="12"/>
      <c r="D9" s="12"/>
      <c r="E9" s="27" t="s">
        <v>69</v>
      </c>
      <c r="F9" s="28"/>
      <c r="G9" s="27" t="s">
        <v>68</v>
      </c>
      <c r="H9" s="28"/>
      <c r="I9" s="30" t="s">
        <v>67</v>
      </c>
      <c r="J9" s="29"/>
      <c r="K9" s="27" t="s">
        <v>66</v>
      </c>
      <c r="L9" s="28"/>
      <c r="M9" s="27" t="s">
        <v>65</v>
      </c>
      <c r="N9" s="12"/>
      <c r="O9" s="27" t="s">
        <v>64</v>
      </c>
      <c r="P9" s="12"/>
      <c r="Q9" s="27" t="s">
        <v>63</v>
      </c>
      <c r="R9" s="12"/>
      <c r="S9" s="27" t="s">
        <v>62</v>
      </c>
      <c r="T9" s="27" t="s">
        <v>61</v>
      </c>
      <c r="U9" s="12"/>
      <c r="V9" s="27" t="s">
        <v>60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26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25" t="s">
        <v>13</v>
      </c>
      <c r="B11" s="12"/>
      <c r="C11" s="12"/>
      <c r="D11" s="12"/>
      <c r="E11" s="13"/>
      <c r="F11" s="13"/>
      <c r="G11" s="13"/>
      <c r="H11" s="13"/>
      <c r="I11" s="13"/>
      <c r="J11" s="26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59</v>
      </c>
      <c r="C12" s="12"/>
      <c r="D12" s="12"/>
      <c r="E12" s="18"/>
      <c r="F12" s="18"/>
      <c r="G12" s="18"/>
      <c r="H12" s="18"/>
      <c r="I12" s="15"/>
      <c r="J12" s="2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>
        <f>SUM(K12:T12)</f>
        <v>0</v>
      </c>
    </row>
    <row r="13" spans="1:22" x14ac:dyDescent="0.25">
      <c r="A13" s="12"/>
      <c r="B13" s="12" t="s">
        <v>58</v>
      </c>
      <c r="C13" s="12"/>
      <c r="D13" s="12"/>
      <c r="E13" s="18"/>
      <c r="F13" s="18"/>
      <c r="G13" s="18"/>
      <c r="H13" s="18"/>
      <c r="I13" s="15"/>
      <c r="J13" s="2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5">
        <f>SUM(K13:T13)</f>
        <v>0</v>
      </c>
    </row>
    <row r="14" spans="1:22" x14ac:dyDescent="0.25">
      <c r="A14" s="12"/>
      <c r="B14" s="12" t="s">
        <v>57</v>
      </c>
      <c r="C14" s="12"/>
      <c r="D14" s="12"/>
      <c r="E14" s="18"/>
      <c r="F14" s="18"/>
      <c r="G14" s="18"/>
      <c r="H14" s="18"/>
      <c r="I14" s="15"/>
      <c r="J14" s="2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5">
        <f>SUM(K14:T14)</f>
        <v>0</v>
      </c>
    </row>
    <row r="15" spans="1:22" x14ac:dyDescent="0.25">
      <c r="A15" s="12"/>
      <c r="B15" s="12" t="s">
        <v>56</v>
      </c>
      <c r="C15" s="12"/>
      <c r="D15" s="12"/>
      <c r="E15" s="18"/>
      <c r="F15" s="18"/>
      <c r="G15" s="18"/>
      <c r="H15" s="18"/>
      <c r="I15" s="15"/>
      <c r="J15" s="2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>
        <f>SUM(K15:T15)</f>
        <v>0</v>
      </c>
    </row>
    <row r="16" spans="1:22" x14ac:dyDescent="0.25">
      <c r="A16" s="12"/>
      <c r="B16" s="12" t="s">
        <v>55</v>
      </c>
      <c r="C16" s="12"/>
      <c r="D16" s="12"/>
      <c r="E16" s="18"/>
      <c r="F16" s="18"/>
      <c r="G16" s="18"/>
      <c r="H16" s="18"/>
      <c r="I16" s="15"/>
      <c r="J16" s="2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>
        <f>SUM(K16:T16)</f>
        <v>0</v>
      </c>
    </row>
    <row r="17" spans="1:22" x14ac:dyDescent="0.25">
      <c r="A17" s="12"/>
      <c r="B17" s="12" t="s">
        <v>54</v>
      </c>
      <c r="C17" s="12"/>
      <c r="D17" s="12"/>
      <c r="E17" s="18"/>
      <c r="F17" s="18"/>
      <c r="G17" s="18"/>
      <c r="H17" s="18"/>
      <c r="I17" s="15"/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>
        <f>SUM(K17:T17)</f>
        <v>0</v>
      </c>
    </row>
    <row r="18" spans="1:22" x14ac:dyDescent="0.25">
      <c r="A18" s="25" t="s">
        <v>8</v>
      </c>
      <c r="B18" s="12"/>
      <c r="C18" s="12"/>
      <c r="D18" s="12"/>
      <c r="E18" s="18"/>
      <c r="F18" s="18"/>
      <c r="G18" s="18"/>
      <c r="H18" s="18"/>
      <c r="I18" s="15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</row>
    <row r="19" spans="1:22" x14ac:dyDescent="0.25">
      <c r="A19" s="12"/>
      <c r="B19" s="12" t="s">
        <v>53</v>
      </c>
      <c r="C19" s="12"/>
      <c r="D19" s="12"/>
      <c r="E19" s="18"/>
      <c r="F19" s="18"/>
      <c r="G19" s="18"/>
      <c r="H19" s="18"/>
      <c r="I19" s="15"/>
      <c r="J19" s="2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>
        <f>SUM(K19:T19)</f>
        <v>0</v>
      </c>
    </row>
    <row r="20" spans="1:22" x14ac:dyDescent="0.25">
      <c r="A20" s="12"/>
      <c r="B20" s="12" t="s">
        <v>52</v>
      </c>
      <c r="C20" s="12"/>
      <c r="D20" s="12"/>
      <c r="E20" s="18"/>
      <c r="F20" s="18"/>
      <c r="G20" s="18"/>
      <c r="H20" s="18"/>
      <c r="I20" s="15"/>
      <c r="J20" s="2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5">
        <f>SUM(K20:T20)</f>
        <v>0</v>
      </c>
    </row>
    <row r="21" spans="1:22" x14ac:dyDescent="0.25">
      <c r="A21" s="12"/>
      <c r="B21" s="12" t="s">
        <v>51</v>
      </c>
      <c r="C21" s="12"/>
      <c r="D21" s="12"/>
      <c r="E21" s="18"/>
      <c r="F21" s="18"/>
      <c r="G21" s="18"/>
      <c r="H21" s="18"/>
      <c r="I21" s="15"/>
      <c r="J21" s="2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5">
        <f>SUM(K21:T21)</f>
        <v>0</v>
      </c>
    </row>
    <row r="22" spans="1:22" x14ac:dyDescent="0.25">
      <c r="A22" s="12"/>
      <c r="B22" s="12" t="s">
        <v>50</v>
      </c>
      <c r="C22" s="12"/>
      <c r="D22" s="12"/>
      <c r="E22" s="18"/>
      <c r="F22" s="18"/>
      <c r="G22" s="18"/>
      <c r="H22" s="18"/>
      <c r="I22" s="15"/>
      <c r="J22" s="2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5">
        <f>SUM(K22:T22)</f>
        <v>0</v>
      </c>
    </row>
    <row r="23" spans="1:22" x14ac:dyDescent="0.25">
      <c r="A23" s="12"/>
      <c r="B23" s="12" t="s">
        <v>49</v>
      </c>
      <c r="C23" s="12"/>
      <c r="D23" s="12"/>
      <c r="E23" s="18"/>
      <c r="F23" s="18"/>
      <c r="G23" s="18"/>
      <c r="H23" s="18"/>
      <c r="I23" s="15"/>
      <c r="J23" s="2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5">
        <f>SUM(K23:T23)</f>
        <v>0</v>
      </c>
    </row>
    <row r="24" spans="1:22" x14ac:dyDescent="0.25">
      <c r="A24" s="12"/>
      <c r="B24" s="12" t="s">
        <v>48</v>
      </c>
      <c r="C24" s="12"/>
      <c r="D24" s="12"/>
      <c r="E24" s="18">
        <v>0</v>
      </c>
      <c r="F24" s="18"/>
      <c r="G24" s="18">
        <v>76804.007366174876</v>
      </c>
      <c r="H24" s="18"/>
      <c r="I24" s="15">
        <f>G24-E24</f>
        <v>76804.007366174876</v>
      </c>
      <c r="J24" s="20"/>
      <c r="K24" s="18"/>
      <c r="L24" s="18"/>
      <c r="M24" s="18"/>
      <c r="N24" s="18"/>
      <c r="O24" s="18"/>
      <c r="P24" s="18"/>
      <c r="Q24" s="18"/>
      <c r="R24" s="18"/>
      <c r="S24" s="18"/>
      <c r="T24" s="18">
        <v>76804.007366174876</v>
      </c>
      <c r="U24" s="18"/>
      <c r="V24" s="15">
        <f>SUM(K24:T24)</f>
        <v>76804.007366174876</v>
      </c>
    </row>
    <row r="25" spans="1:22" x14ac:dyDescent="0.25">
      <c r="A25" s="12"/>
      <c r="B25" s="12" t="s">
        <v>47</v>
      </c>
      <c r="C25" s="12"/>
      <c r="D25" s="12"/>
      <c r="E25" s="18"/>
      <c r="F25" s="18"/>
      <c r="G25" s="18"/>
      <c r="H25" s="18"/>
      <c r="I25" s="15"/>
      <c r="J25" s="20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5">
        <f>SUM(K25:T25)</f>
        <v>0</v>
      </c>
    </row>
    <row r="26" spans="1:22" x14ac:dyDescent="0.25">
      <c r="A26" s="12"/>
      <c r="B26" s="189" t="s">
        <v>46</v>
      </c>
      <c r="C26" s="12"/>
      <c r="D26" s="12"/>
      <c r="E26" s="18">
        <v>0</v>
      </c>
      <c r="F26" s="18"/>
      <c r="G26" s="18">
        <v>8992.4918285228541</v>
      </c>
      <c r="H26" s="18"/>
      <c r="I26" s="15">
        <f>G26-E26</f>
        <v>8992.4918285228541</v>
      </c>
      <c r="J26" s="20"/>
      <c r="K26" s="18"/>
      <c r="L26" s="18"/>
      <c r="M26" s="18"/>
      <c r="N26" s="18"/>
      <c r="O26" s="18"/>
      <c r="P26" s="18"/>
      <c r="Q26" s="18"/>
      <c r="R26" s="18"/>
      <c r="S26" s="18">
        <v>8992.4918285228541</v>
      </c>
      <c r="T26" s="18"/>
      <c r="U26" s="18"/>
      <c r="V26" s="15">
        <f>SUM(K26:T26)</f>
        <v>8992.4918285228541</v>
      </c>
    </row>
    <row r="27" spans="1:22" x14ac:dyDescent="0.25">
      <c r="A27" s="12"/>
      <c r="B27" s="12" t="s">
        <v>45</v>
      </c>
      <c r="C27" s="12"/>
      <c r="D27" s="12"/>
      <c r="E27" s="18"/>
      <c r="F27" s="18"/>
      <c r="G27" s="18"/>
      <c r="H27" s="18"/>
      <c r="I27" s="15"/>
      <c r="J27" s="20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5">
        <f>SUM(K27:T27)</f>
        <v>0</v>
      </c>
    </row>
    <row r="28" spans="1:22" x14ac:dyDescent="0.25">
      <c r="A28" s="12"/>
      <c r="B28" s="12" t="s">
        <v>44</v>
      </c>
      <c r="C28" s="12"/>
      <c r="D28" s="12"/>
      <c r="E28" s="18"/>
      <c r="F28" s="18"/>
      <c r="G28" s="18"/>
      <c r="H28" s="18"/>
      <c r="I28" s="15">
        <f>G28-E28</f>
        <v>0</v>
      </c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>
        <f>SUM(K28:T28)</f>
        <v>0</v>
      </c>
    </row>
    <row r="29" spans="1:22" x14ac:dyDescent="0.25">
      <c r="A29" s="12"/>
      <c r="B29" s="12" t="s">
        <v>43</v>
      </c>
      <c r="C29" s="12"/>
      <c r="D29" s="12"/>
      <c r="E29" s="18"/>
      <c r="F29" s="18"/>
      <c r="G29" s="18"/>
      <c r="H29" s="18"/>
      <c r="I29" s="15"/>
      <c r="J29" s="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5">
        <f>SUM(K29:T29)</f>
        <v>0</v>
      </c>
    </row>
    <row r="30" spans="1:22" x14ac:dyDescent="0.25">
      <c r="A30" s="12"/>
      <c r="B30" s="12" t="s">
        <v>42</v>
      </c>
      <c r="C30" s="12"/>
      <c r="D30" s="12"/>
      <c r="E30" s="19"/>
      <c r="F30" s="18"/>
      <c r="G30" s="19"/>
      <c r="H30" s="18"/>
      <c r="I30" s="15"/>
      <c r="J30" s="20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5">
        <f>SUM(K30:T30)</f>
        <v>0</v>
      </c>
    </row>
    <row r="31" spans="1:22" ht="15.75" thickBot="1" x14ac:dyDescent="0.3">
      <c r="A31" s="17" t="s">
        <v>41</v>
      </c>
      <c r="E31" s="14">
        <f>SUM(E12:E30)</f>
        <v>0</v>
      </c>
      <c r="F31" s="15"/>
      <c r="G31" s="14">
        <f>SUM(G12:G30)</f>
        <v>85796.499194697724</v>
      </c>
      <c r="H31" s="15"/>
      <c r="I31" s="14">
        <f>SUM(I12:I30)</f>
        <v>85796.499194697724</v>
      </c>
      <c r="J31" s="16"/>
      <c r="K31" s="14">
        <f>SUM(K12:K30)</f>
        <v>0</v>
      </c>
      <c r="L31" s="15"/>
      <c r="M31" s="14">
        <f>SUM(M12:M30)</f>
        <v>0</v>
      </c>
      <c r="N31" s="15"/>
      <c r="O31" s="14">
        <f>SUM(O12:O30)</f>
        <v>0</v>
      </c>
      <c r="P31" s="15"/>
      <c r="Q31" s="14">
        <f>SUM(Q12:Q30)</f>
        <v>0</v>
      </c>
      <c r="R31" s="15"/>
      <c r="S31" s="14">
        <f>SUM(S12:S30)</f>
        <v>8992.4918285228541</v>
      </c>
      <c r="T31" s="14">
        <f>SUM(T12:T30)</f>
        <v>76804.007366174876</v>
      </c>
      <c r="U31" s="15"/>
      <c r="V31" s="14">
        <f>SUM(V12:V30)</f>
        <v>85796.499194697724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40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39</v>
      </c>
      <c r="B35" s="12"/>
      <c r="C35" s="12" t="s">
        <v>38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37</v>
      </c>
      <c r="B36" s="12"/>
      <c r="C36" s="12" t="s">
        <v>36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35</v>
      </c>
      <c r="B37" s="12"/>
      <c r="C37" s="12" t="s">
        <v>34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33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32</v>
      </c>
      <c r="B39" s="12"/>
      <c r="C39" s="12" t="s">
        <v>31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30</v>
      </c>
      <c r="B40" s="12"/>
      <c r="C40" s="12" t="s">
        <v>29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44</vt:i4>
      </vt:variant>
    </vt:vector>
  </HeadingPairs>
  <TitlesOfParts>
    <vt:vector size="64" baseType="lpstr">
      <vt:lpstr>F0001</vt:lpstr>
      <vt:lpstr>F0001 Diff</vt:lpstr>
      <vt:lpstr>F0140</vt:lpstr>
      <vt:lpstr>F0140 Diff</vt:lpstr>
      <vt:lpstr>F0465</vt:lpstr>
      <vt:lpstr>F0465 Diff</vt:lpstr>
      <vt:lpstr>F0545</vt:lpstr>
      <vt:lpstr>F0545 Diff</vt:lpstr>
      <vt:lpstr>F0890</vt:lpstr>
      <vt:lpstr>F0890 Diff</vt:lpstr>
      <vt:lpstr>F3057</vt:lpstr>
      <vt:lpstr>F3057 Diff</vt:lpstr>
      <vt:lpstr>F3100</vt:lpstr>
      <vt:lpstr>F3100 Diff</vt:lpstr>
      <vt:lpstr>F3237</vt:lpstr>
      <vt:lpstr>F3237 Diff</vt:lpstr>
      <vt:lpstr>F3398</vt:lpstr>
      <vt:lpstr>F3398 Diff</vt:lpstr>
      <vt:lpstr>F3413</vt:lpstr>
      <vt:lpstr>F3413 Diff</vt:lpstr>
      <vt:lpstr>'F0140'!page\x2dtotal\x2dmaster0_2_1</vt:lpstr>
      <vt:lpstr>'F0140 Diff'!page\x2dtotal\x2dmaster0_2_1</vt:lpstr>
      <vt:lpstr>'F0465'!page\x2dtotal\x2dmaster0_2_1</vt:lpstr>
      <vt:lpstr>'F0465 Diff'!page\x2dtotal\x2dmaster0_2_1</vt:lpstr>
      <vt:lpstr>'F0545'!page\x2dtotal\x2dmaster0_2_1</vt:lpstr>
      <vt:lpstr>'F0545 Diff'!page\x2dtotal\x2dmaster0_2_1</vt:lpstr>
      <vt:lpstr>'F0890'!page\x2dtotal\x2dmaster0_2_1</vt:lpstr>
      <vt:lpstr>'F0890 Diff'!page\x2dtotal\x2dmaster0_2_1</vt:lpstr>
      <vt:lpstr>'F3057'!page\x2dtotal\x2dmaster0_2_1</vt:lpstr>
      <vt:lpstr>'F3100'!page\x2dtotal\x2dmaster0_2_1</vt:lpstr>
      <vt:lpstr>'F3100 Diff'!page\x2dtotal\x2dmaster0_2_1</vt:lpstr>
      <vt:lpstr>'F3237'!page\x2dtotal\x2dmaster0_2_1</vt:lpstr>
      <vt:lpstr>'F3398'!page\x2dtotal\x2dmaster0_2_1</vt:lpstr>
      <vt:lpstr>'F3398 Diff'!page\x2dtotal\x2dmaster0_2_1</vt:lpstr>
      <vt:lpstr>'F3413'!page\x2dtotal\x2dmaster0_2_1</vt:lpstr>
      <vt:lpstr>'F3413 Diff'!page\x2dtotal\x2dmaster0_2_1</vt:lpstr>
      <vt:lpstr>page\x2dtotal\x2dmaster0_2_1</vt:lpstr>
      <vt:lpstr>'F0140'!page\x2dtotal_2_1</vt:lpstr>
      <vt:lpstr>'F0140 Diff'!page\x2dtotal_2_1</vt:lpstr>
      <vt:lpstr>'F0465'!page\x2dtotal_2_1</vt:lpstr>
      <vt:lpstr>'F0465 Diff'!page\x2dtotal_2_1</vt:lpstr>
      <vt:lpstr>'F0545'!page\x2dtotal_2_1</vt:lpstr>
      <vt:lpstr>'F0545 Diff'!page\x2dtotal_2_1</vt:lpstr>
      <vt:lpstr>'F0890'!page\x2dtotal_2_1</vt:lpstr>
      <vt:lpstr>'F0890 Diff'!page\x2dtotal_2_1</vt:lpstr>
      <vt:lpstr>'F3057'!page\x2dtotal_2_1</vt:lpstr>
      <vt:lpstr>'F3100'!page\x2dtotal_2_1</vt:lpstr>
      <vt:lpstr>'F3100 Diff'!page\x2dtotal_2_1</vt:lpstr>
      <vt:lpstr>'F3237'!page\x2dtotal_2_1</vt:lpstr>
      <vt:lpstr>'F3398'!page\x2dtotal_2_1</vt:lpstr>
      <vt:lpstr>'F3398 Diff'!page\x2dtotal_2_1</vt:lpstr>
      <vt:lpstr>'F3413'!page\x2dtotal_2_1</vt:lpstr>
      <vt:lpstr>'F3413 Diff'!page\x2dtotal_2_1</vt:lpstr>
      <vt:lpstr>page\x2dtotal_2_1</vt:lpstr>
      <vt:lpstr>'F0001'!Print_Area</vt:lpstr>
      <vt:lpstr>'F0140'!Print_Area</vt:lpstr>
      <vt:lpstr>'F0465'!Print_Area</vt:lpstr>
      <vt:lpstr>'F0545'!Print_Area</vt:lpstr>
      <vt:lpstr>'F0890'!Print_Area</vt:lpstr>
      <vt:lpstr>'F3057'!Print_Area</vt:lpstr>
      <vt:lpstr>'F3100'!Print_Area</vt:lpstr>
      <vt:lpstr>'F3237'!Print_Area</vt:lpstr>
      <vt:lpstr>'F3398'!Print_Area</vt:lpstr>
      <vt:lpstr>'F3413'!Print_Area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Josephine@DWR</dc:creator>
  <cp:lastModifiedBy>Zhao, Jing</cp:lastModifiedBy>
  <dcterms:created xsi:type="dcterms:W3CDTF">2024-08-31T17:11:32Z</dcterms:created>
  <dcterms:modified xsi:type="dcterms:W3CDTF">2024-11-09T00:22:17Z</dcterms:modified>
</cp:coreProperties>
</file>