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CE566224-AB72-43F7-932D-51766CECB19C}" xr6:coauthVersionLast="47" xr6:coauthVersionMax="47" xr10:uidLastSave="{00000000-0000-0000-0000-000000000000}"/>
  <bookViews>
    <workbookView xWindow="20370" yWindow="-120" windowWidth="29040" windowHeight="15840" tabRatio="979" xr2:uid="{00000000-000D-0000-FFFF-FFFF00000000}"/>
  </bookViews>
  <sheets>
    <sheet name="F0001" sheetId="50" r:id="rId1"/>
    <sheet name="F0001 Diff" sheetId="51" r:id="rId2"/>
    <sheet name="0012" sheetId="7" r:id="rId3"/>
    <sheet name="0012 Differential" sheetId="8" r:id="rId4"/>
    <sheet name="0017" sheetId="1" r:id="rId5"/>
    <sheet name="0017 Differential" sheetId="2" r:id="rId6"/>
    <sheet name="0044" sheetId="3" r:id="rId7"/>
    <sheet name="0044 Differential" sheetId="4" r:id="rId8"/>
    <sheet name="0142" sheetId="5" r:id="rId9"/>
    <sheet name="0142 Differential" sheetId="6" r:id="rId10"/>
    <sheet name="0158" sheetId="44" r:id="rId11"/>
    <sheet name="0158 Differential" sheetId="45" r:id="rId12"/>
    <sheet name="0256" sheetId="9" r:id="rId13"/>
    <sheet name="0256 Differential" sheetId="10" r:id="rId14"/>
    <sheet name="0367" sheetId="11" r:id="rId15"/>
    <sheet name="0367 Differential" sheetId="12" r:id="rId16"/>
    <sheet name="0378" sheetId="13" r:id="rId17"/>
    <sheet name="0378 Differential" sheetId="14" r:id="rId18"/>
    <sheet name="0460" sheetId="15" r:id="rId19"/>
    <sheet name="0460 Differential" sheetId="16" r:id="rId20"/>
    <sheet name="0566" sheetId="17" r:id="rId21"/>
    <sheet name="0566 Differential" sheetId="18" r:id="rId22"/>
    <sheet name="0567" sheetId="19" r:id="rId23"/>
    <sheet name="0567 Differential" sheetId="21" r:id="rId24"/>
    <sheet name="0569" sheetId="30" r:id="rId25"/>
    <sheet name="0569 Differential" sheetId="31" r:id="rId26"/>
    <sheet name="0890" sheetId="32" r:id="rId27"/>
    <sheet name="0890 Differential" sheetId="33" r:id="rId28"/>
    <sheet name="1008" sheetId="34" r:id="rId29"/>
    <sheet name="1008 Differential" sheetId="35" r:id="rId30"/>
    <sheet name="3016" sheetId="36" r:id="rId31"/>
    <sheet name="3016 Differential" sheetId="37" r:id="rId32"/>
    <sheet name="3053" sheetId="38" r:id="rId33"/>
    <sheet name="3053 Differential" sheetId="39" r:id="rId34"/>
    <sheet name="3086" sheetId="40" r:id="rId35"/>
    <sheet name="3086 Differential" sheetId="41" r:id="rId36"/>
    <sheet name="3087" sheetId="42" r:id="rId37"/>
    <sheet name="3087 Differential" sheetId="43" r:id="rId38"/>
    <sheet name="3088" sheetId="46" r:id="rId39"/>
    <sheet name="3088 Differential" sheetId="47" r:id="rId40"/>
    <sheet name="3297" sheetId="48" r:id="rId41"/>
    <sheet name="3297 Report 18 Differential" sheetId="49" r:id="rId42"/>
    <sheet name="3320" sheetId="28" r:id="rId43"/>
    <sheet name="3320 Differential" sheetId="29" r:id="rId44"/>
    <sheet name="9731" sheetId="26" r:id="rId45"/>
    <sheet name="9731 Differential" sheetId="25" r:id="rId46"/>
    <sheet name="9740" sheetId="24" r:id="rId47"/>
    <sheet name="9740 Differential" sheetId="27" r:id="rId48"/>
  </sheets>
  <externalReferences>
    <externalReference r:id="rId49"/>
    <externalReference r:id="rId50"/>
    <externalReference r:id="rId51"/>
    <externalReference r:id="rId52"/>
  </externalReferences>
  <definedNames>
    <definedName name="\Z">'[1]TC-24'!#REF!</definedName>
    <definedName name="_0122">#REF!</definedName>
    <definedName name="_rep18">#REF!</definedName>
    <definedName name="a">#REF!</definedName>
    <definedName name="AGY">#REF!</definedName>
    <definedName name="binhnguyen">#REF!</definedName>
    <definedName name="date">#REF!</definedName>
    <definedName name="date2">#REF!</definedName>
    <definedName name="dgs">#REF!</definedName>
    <definedName name="dgss">#REF!</definedName>
    <definedName name="doj">#REF!</definedName>
    <definedName name="email">#REF!</definedName>
    <definedName name="financialreport">#REF!</definedName>
    <definedName name="finrpt">#REF!</definedName>
    <definedName name="FUND">#REF!</definedName>
    <definedName name="FY">#REF!</definedName>
    <definedName name="GENERAL_FUND__0001000">#REF!</definedName>
    <definedName name="khjkh">#REF!</definedName>
    <definedName name="kljkljklj">#REF!</definedName>
    <definedName name="mauaothienthanh">#REF!</definedName>
    <definedName name="Name">#REF!</definedName>
    <definedName name="new">'[3]RA ADVICE - CA 21'!#REF!</definedName>
    <definedName name="olya">#REF!</definedName>
    <definedName name="onetwothreefourfive">#REF!</definedName>
    <definedName name="page\x2dtotal\x2dmaster0_1_1">#REF!</definedName>
    <definedName name="page\x2dtotal_1_1">#REF!</definedName>
    <definedName name="PAGE1">#REF!</definedName>
    <definedName name="PAGE2">#REF!</definedName>
    <definedName name="PAGE3">#REF!</definedName>
    <definedName name="PAGE4">#REF!</definedName>
    <definedName name="Phone">#REF!</definedName>
    <definedName name="Phuong">#REF!</definedName>
    <definedName name="phuongtran">#REF!</definedName>
    <definedName name="_xlnm.Print_Area" localSheetId="2">'0012'!$A$1:$K$37</definedName>
    <definedName name="_xlnm.Print_Area" localSheetId="4">'0017'!$A$1:$K$37</definedName>
    <definedName name="_xlnm.Print_Area" localSheetId="6">'0044'!$A$1:$K$37</definedName>
    <definedName name="_xlnm.Print_Area" localSheetId="8">'0142'!$A$1:$K$37</definedName>
    <definedName name="_xlnm.Print_Area" localSheetId="10">'0158'!$A$1:$K$37</definedName>
    <definedName name="_xlnm.Print_Area" localSheetId="12">'0256'!$A$1:$K$37</definedName>
    <definedName name="_xlnm.Print_Area" localSheetId="14">'0367'!$A$1:$K$37</definedName>
    <definedName name="_xlnm.Print_Area" localSheetId="16">'0378'!$A$1:$K$37</definedName>
    <definedName name="_xlnm.Print_Area" localSheetId="18">'0460'!$A$1:$K$37</definedName>
    <definedName name="_xlnm.Print_Area" localSheetId="20">'0566'!$A$1:$K$37</definedName>
    <definedName name="_xlnm.Print_Area" localSheetId="22">'0567'!$A$1:$K$37</definedName>
    <definedName name="_xlnm.Print_Area" localSheetId="24">'0569'!$A$1:$K$37</definedName>
    <definedName name="_xlnm.Print_Area" localSheetId="26">'0890'!$A$1:$K$37</definedName>
    <definedName name="_xlnm.Print_Area" localSheetId="28">'1008'!$A$1:$K$37</definedName>
    <definedName name="_xlnm.Print_Area" localSheetId="30">'3016'!$A$1:$K$37</definedName>
    <definedName name="_xlnm.Print_Area" localSheetId="32">'3053'!$A$1:$K$37</definedName>
    <definedName name="_xlnm.Print_Area" localSheetId="34">'3086'!$A$1:$K$37</definedName>
    <definedName name="_xlnm.Print_Area" localSheetId="36">'3087'!$A$1:$K$37</definedName>
    <definedName name="_xlnm.Print_Area" localSheetId="38">'3088'!$A$1:$K$37</definedName>
    <definedName name="_xlnm.Print_Area" localSheetId="40">'3297'!$A$1:$K$37</definedName>
    <definedName name="_xlnm.Print_Area" localSheetId="42">'3320'!$A$1:$K$37</definedName>
    <definedName name="_xlnm.Print_Area" localSheetId="44">'9731'!$A$1:$K$37</definedName>
    <definedName name="_xlnm.Print_Area" localSheetId="46">'9740'!$A$1:$K$37</definedName>
    <definedName name="_xlnm.Print_Area" localSheetId="0">'F0001'!$A$1:$J$44</definedName>
    <definedName name="Print_Area_MI">#REF!</definedName>
    <definedName name="sdasd">#REF!</definedName>
    <definedName name="SEH" hidden="1">{"Pg 1_Orig. to SCO",#N/A,FALSE,"RA ADVICE - CA 21";"Pg 2_Dupl. to STO",#N/A,FALSE,"RA ADVICE - CA 21";"Pg 3_Tripl. to STO",#N/A,FALSE,"RA ADVICE - CA 21";"Pg 4_Quad. to Remitter",#N/A,FALSE,"RA ADVICE - CA 21"}</definedName>
    <definedName name="SLC">#REF!</definedName>
    <definedName name="stockton">'[4]TC-24'!#REF!</definedName>
    <definedName name="taithephongvan">#REF!</definedName>
    <definedName name="tententh">#REF!</definedName>
    <definedName name="Three">#REF!</definedName>
    <definedName name="wrn.CA21_RA_All._.4._.Pages." hidden="1">{"Pg 1_Orig. to SCO",#N/A,FALSE,"RA ADVICE - CA 21";"Pg 2_Dupl. to STO",#N/A,FALSE,"RA ADVICE - CA 21";"Pg 3_Tripl. to STO",#N/A,FALSE,"RA ADVICE - CA 21";"Pg 4_Quad. to Remitter",#N/A,FALSE,"RA ADVICE - CA 21"}</definedName>
    <definedName name="x">#REF!</definedName>
    <definedName name="yesyesyes">#REF!</definedName>
    <definedName name="yesyesyes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51" l="1"/>
  <c r="S31" i="51"/>
  <c r="Q31" i="51"/>
  <c r="O31" i="51"/>
  <c r="M31" i="51"/>
  <c r="K31" i="51"/>
  <c r="G31" i="51"/>
  <c r="E31" i="51"/>
  <c r="V30" i="51"/>
  <c r="I30" i="51"/>
  <c r="V29" i="51"/>
  <c r="I29" i="51"/>
  <c r="V28" i="51"/>
  <c r="I28" i="51"/>
  <c r="V27" i="51"/>
  <c r="I27" i="51"/>
  <c r="I26" i="51"/>
  <c r="V25" i="51"/>
  <c r="I25" i="51"/>
  <c r="V24" i="51"/>
  <c r="I24" i="51"/>
  <c r="V23" i="51"/>
  <c r="I23" i="51"/>
  <c r="V22" i="51"/>
  <c r="I22" i="51"/>
  <c r="V21" i="51"/>
  <c r="I21" i="51"/>
  <c r="V20" i="51"/>
  <c r="I20" i="51"/>
  <c r="V19" i="51"/>
  <c r="I19" i="51"/>
  <c r="I18" i="51"/>
  <c r="V17" i="51"/>
  <c r="I17" i="51"/>
  <c r="V16" i="51"/>
  <c r="I16" i="51"/>
  <c r="V15" i="51"/>
  <c r="I15" i="51"/>
  <c r="I31" i="51" s="1"/>
  <c r="V14" i="51"/>
  <c r="I14" i="51"/>
  <c r="V13" i="51"/>
  <c r="I13" i="51"/>
  <c r="V12" i="51"/>
  <c r="V31" i="51" s="1"/>
  <c r="I12" i="51"/>
  <c r="N46" i="50"/>
  <c r="H29" i="50"/>
  <c r="F29" i="50"/>
  <c r="D29" i="50"/>
  <c r="J28" i="50"/>
  <c r="J27" i="50"/>
  <c r="O26" i="50"/>
  <c r="N26" i="50"/>
  <c r="J26" i="50"/>
  <c r="J25" i="50"/>
  <c r="J24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29" i="50" s="1"/>
  <c r="J9" i="19"/>
  <c r="V31" i="27"/>
  <c r="T31" i="27"/>
  <c r="S31" i="27"/>
  <c r="Q31" i="27"/>
  <c r="O31" i="27"/>
  <c r="M31" i="27"/>
  <c r="K31" i="27"/>
  <c r="I31" i="27"/>
  <c r="G31" i="27"/>
  <c r="E31" i="27"/>
  <c r="V30" i="27"/>
  <c r="I30" i="27"/>
  <c r="V29" i="27"/>
  <c r="I29" i="27"/>
  <c r="V28" i="27"/>
  <c r="I28" i="27"/>
  <c r="V27" i="27"/>
  <c r="I27" i="27"/>
  <c r="V26" i="27"/>
  <c r="I26" i="27"/>
  <c r="V25" i="27"/>
  <c r="I25" i="27"/>
  <c r="I24" i="27"/>
  <c r="V23" i="27"/>
  <c r="I23" i="27"/>
  <c r="V22" i="27"/>
  <c r="I22" i="27"/>
  <c r="V21" i="27"/>
  <c r="I21" i="27"/>
  <c r="V20" i="27"/>
  <c r="I20" i="27"/>
  <c r="V19" i="27"/>
  <c r="I19" i="27"/>
  <c r="V17" i="27"/>
  <c r="I17" i="27"/>
  <c r="V16" i="27"/>
  <c r="I16" i="27"/>
  <c r="V15" i="27"/>
  <c r="I15" i="27"/>
  <c r="V14" i="27"/>
  <c r="I14" i="27"/>
  <c r="V13" i="27"/>
  <c r="I13" i="27"/>
  <c r="V12" i="27"/>
  <c r="I12" i="27"/>
  <c r="J28" i="24"/>
  <c r="H28" i="24"/>
  <c r="F28" i="24"/>
  <c r="D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4" i="24"/>
  <c r="J13" i="24"/>
  <c r="J12" i="24"/>
  <c r="J11" i="24"/>
  <c r="J10" i="24"/>
  <c r="J9" i="24"/>
  <c r="V31" i="25"/>
  <c r="T31" i="25"/>
  <c r="S31" i="25"/>
  <c r="Q31" i="25"/>
  <c r="O31" i="25"/>
  <c r="M31" i="25"/>
  <c r="K31" i="25"/>
  <c r="I31" i="25"/>
  <c r="G31" i="25"/>
  <c r="E31" i="25"/>
  <c r="V30" i="25"/>
  <c r="I30" i="25"/>
  <c r="V29" i="25"/>
  <c r="I29" i="25"/>
  <c r="V28" i="25"/>
  <c r="I28" i="25"/>
  <c r="V27" i="25"/>
  <c r="I27" i="25"/>
  <c r="V26" i="25"/>
  <c r="I26" i="25"/>
  <c r="V25" i="25"/>
  <c r="I25" i="25"/>
  <c r="V24" i="25"/>
  <c r="I24" i="25"/>
  <c r="V23" i="25"/>
  <c r="I23" i="25"/>
  <c r="V22" i="25"/>
  <c r="I22" i="25"/>
  <c r="V21" i="25"/>
  <c r="I21" i="25"/>
  <c r="V20" i="25"/>
  <c r="I20" i="25"/>
  <c r="V19" i="25"/>
  <c r="I19" i="25"/>
  <c r="V17" i="25"/>
  <c r="I17" i="25"/>
  <c r="V16" i="25"/>
  <c r="I16" i="25"/>
  <c r="V15" i="25"/>
  <c r="I15" i="25"/>
  <c r="V14" i="25"/>
  <c r="I14" i="25"/>
  <c r="V13" i="25"/>
  <c r="I13" i="25"/>
  <c r="V12" i="25"/>
  <c r="I12" i="25"/>
  <c r="J28" i="26"/>
  <c r="H28" i="26"/>
  <c r="F28" i="26"/>
  <c r="D28" i="26"/>
  <c r="J27" i="26"/>
  <c r="J26" i="26"/>
  <c r="J25" i="26"/>
  <c r="J24" i="26"/>
  <c r="J23" i="26"/>
  <c r="H23" i="26"/>
  <c r="J22" i="26"/>
  <c r="J21" i="26"/>
  <c r="J20" i="26"/>
  <c r="J19" i="26"/>
  <c r="J18" i="26"/>
  <c r="J17" i="26"/>
  <c r="J16" i="26"/>
  <c r="J14" i="26"/>
  <c r="J13" i="26"/>
  <c r="J12" i="26"/>
  <c r="J11" i="26"/>
  <c r="J10" i="26"/>
  <c r="J9" i="26"/>
  <c r="V31" i="29"/>
  <c r="T31" i="29"/>
  <c r="S31" i="29"/>
  <c r="Q31" i="29"/>
  <c r="O31" i="29"/>
  <c r="M31" i="29"/>
  <c r="K31" i="29"/>
  <c r="I31" i="29"/>
  <c r="G31" i="29"/>
  <c r="E31" i="29"/>
  <c r="V30" i="29"/>
  <c r="I30" i="29"/>
  <c r="V29" i="29"/>
  <c r="I29" i="29"/>
  <c r="V28" i="29"/>
  <c r="I28" i="29"/>
  <c r="V27" i="29"/>
  <c r="I27" i="29"/>
  <c r="V26" i="29"/>
  <c r="I26" i="29"/>
  <c r="V25" i="29"/>
  <c r="I25" i="29"/>
  <c r="V24" i="29"/>
  <c r="I24" i="29"/>
  <c r="V23" i="29"/>
  <c r="I23" i="29"/>
  <c r="V22" i="29"/>
  <c r="I22" i="29"/>
  <c r="V21" i="29"/>
  <c r="I21" i="29"/>
  <c r="V20" i="29"/>
  <c r="I20" i="29"/>
  <c r="V19" i="29"/>
  <c r="I19" i="29"/>
  <c r="V17" i="29"/>
  <c r="I17" i="29"/>
  <c r="V16" i="29"/>
  <c r="I16" i="29"/>
  <c r="V15" i="29"/>
  <c r="I15" i="29"/>
  <c r="V14" i="29"/>
  <c r="I14" i="29"/>
  <c r="V13" i="29"/>
  <c r="I13" i="29"/>
  <c r="V12" i="29"/>
  <c r="I12" i="29"/>
  <c r="J28" i="28"/>
  <c r="H28" i="28"/>
  <c r="F28" i="28"/>
  <c r="D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4" i="28"/>
  <c r="J13" i="28"/>
  <c r="J12" i="28"/>
  <c r="J11" i="28"/>
  <c r="J10" i="28"/>
  <c r="J9" i="28"/>
  <c r="U31" i="49"/>
  <c r="S31" i="49"/>
  <c r="Q31" i="49"/>
  <c r="O31" i="49"/>
  <c r="M31" i="49"/>
  <c r="K31" i="49"/>
  <c r="I31" i="49"/>
  <c r="G31" i="49"/>
  <c r="E31" i="49"/>
  <c r="U30" i="49"/>
  <c r="I30" i="49"/>
  <c r="U29" i="49"/>
  <c r="I29" i="49"/>
  <c r="U28" i="49"/>
  <c r="I28" i="49"/>
  <c r="U27" i="49"/>
  <c r="I27" i="49"/>
  <c r="U26" i="49"/>
  <c r="I26" i="49"/>
  <c r="U25" i="49"/>
  <c r="I25" i="49"/>
  <c r="U24" i="49"/>
  <c r="I24" i="49"/>
  <c r="U23" i="49"/>
  <c r="I23" i="49"/>
  <c r="U22" i="49"/>
  <c r="I22" i="49"/>
  <c r="U21" i="49"/>
  <c r="I21" i="49"/>
  <c r="U20" i="49"/>
  <c r="I20" i="49"/>
  <c r="U19" i="49"/>
  <c r="I19" i="49"/>
  <c r="U17" i="49"/>
  <c r="I17" i="49"/>
  <c r="U16" i="49"/>
  <c r="I16" i="49"/>
  <c r="U15" i="49"/>
  <c r="I15" i="49"/>
  <c r="U14" i="49"/>
  <c r="I14" i="49"/>
  <c r="U13" i="49"/>
  <c r="I13" i="49"/>
  <c r="U12" i="49"/>
  <c r="I12" i="49"/>
  <c r="J28" i="48"/>
  <c r="H28" i="48"/>
  <c r="F28" i="48"/>
  <c r="D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4" i="48"/>
  <c r="J13" i="48"/>
  <c r="J12" i="48"/>
  <c r="J11" i="48"/>
  <c r="J10" i="48"/>
  <c r="J9" i="48"/>
  <c r="U31" i="47"/>
  <c r="S31" i="47"/>
  <c r="Q31" i="47"/>
  <c r="O31" i="47"/>
  <c r="M31" i="47"/>
  <c r="K31" i="47"/>
  <c r="I31" i="47"/>
  <c r="G31" i="47"/>
  <c r="E31" i="47"/>
  <c r="U30" i="47"/>
  <c r="I30" i="47"/>
  <c r="U29" i="47"/>
  <c r="I29" i="47"/>
  <c r="U28" i="47"/>
  <c r="I28" i="47"/>
  <c r="U27" i="47"/>
  <c r="I27" i="47"/>
  <c r="U26" i="47"/>
  <c r="I26" i="47"/>
  <c r="U25" i="47"/>
  <c r="I25" i="47"/>
  <c r="U24" i="47"/>
  <c r="I24" i="47"/>
  <c r="U23" i="47"/>
  <c r="I23" i="47"/>
  <c r="U22" i="47"/>
  <c r="I22" i="47"/>
  <c r="U21" i="47"/>
  <c r="I21" i="47"/>
  <c r="U20" i="47"/>
  <c r="I20" i="47"/>
  <c r="U19" i="47"/>
  <c r="I19" i="47"/>
  <c r="U17" i="47"/>
  <c r="I17" i="47"/>
  <c r="U16" i="47"/>
  <c r="I16" i="47"/>
  <c r="U15" i="47"/>
  <c r="I15" i="47"/>
  <c r="U14" i="47"/>
  <c r="I14" i="47"/>
  <c r="U13" i="47"/>
  <c r="I13" i="47"/>
  <c r="U12" i="47"/>
  <c r="I12" i="47"/>
  <c r="J28" i="46"/>
  <c r="H28" i="46"/>
  <c r="F28" i="46"/>
  <c r="D28" i="46"/>
  <c r="J27" i="46"/>
  <c r="J26" i="46"/>
  <c r="J25" i="46"/>
  <c r="J24" i="46"/>
  <c r="J23" i="46"/>
  <c r="H23" i="46"/>
  <c r="J22" i="46"/>
  <c r="J21" i="46"/>
  <c r="J20" i="46"/>
  <c r="J19" i="46"/>
  <c r="J18" i="46"/>
  <c r="J17" i="46"/>
  <c r="J16" i="46"/>
  <c r="J14" i="46"/>
  <c r="J13" i="46"/>
  <c r="J12" i="46"/>
  <c r="J11" i="46"/>
  <c r="J10" i="46"/>
  <c r="J9" i="46"/>
  <c r="V31" i="43"/>
  <c r="T31" i="43"/>
  <c r="S31" i="43"/>
  <c r="Q31" i="43"/>
  <c r="O31" i="43"/>
  <c r="M31" i="43"/>
  <c r="K31" i="43"/>
  <c r="I31" i="43"/>
  <c r="G31" i="43"/>
  <c r="E31" i="43"/>
  <c r="V30" i="43"/>
  <c r="I30" i="43"/>
  <c r="V29" i="43"/>
  <c r="I29" i="43"/>
  <c r="V28" i="43"/>
  <c r="I28" i="43"/>
  <c r="V27" i="43"/>
  <c r="I27" i="43"/>
  <c r="V26" i="43"/>
  <c r="I26" i="43"/>
  <c r="V25" i="43"/>
  <c r="I25" i="43"/>
  <c r="I24" i="43"/>
  <c r="V23" i="43"/>
  <c r="I23" i="43"/>
  <c r="V22" i="43"/>
  <c r="I22" i="43"/>
  <c r="V21" i="43"/>
  <c r="I21" i="43"/>
  <c r="V20" i="43"/>
  <c r="I20" i="43"/>
  <c r="V19" i="43"/>
  <c r="I19" i="43"/>
  <c r="V17" i="43"/>
  <c r="I17" i="43"/>
  <c r="V16" i="43"/>
  <c r="I16" i="43"/>
  <c r="V15" i="43"/>
  <c r="I15" i="43"/>
  <c r="V14" i="43"/>
  <c r="I14" i="43"/>
  <c r="V13" i="43"/>
  <c r="I13" i="43"/>
  <c r="V12" i="43"/>
  <c r="I12" i="43"/>
  <c r="J28" i="42"/>
  <c r="H28" i="42"/>
  <c r="F28" i="42"/>
  <c r="D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4" i="42"/>
  <c r="J13" i="42"/>
  <c r="J12" i="42"/>
  <c r="J11" i="42"/>
  <c r="J10" i="42"/>
  <c r="J9" i="42"/>
  <c r="V31" i="41"/>
  <c r="T31" i="41"/>
  <c r="S31" i="41"/>
  <c r="Q31" i="41"/>
  <c r="O31" i="41"/>
  <c r="M31" i="41"/>
  <c r="K31" i="41"/>
  <c r="I31" i="41"/>
  <c r="G31" i="41"/>
  <c r="E31" i="41"/>
  <c r="V30" i="41"/>
  <c r="I30" i="41"/>
  <c r="V29" i="41"/>
  <c r="I29" i="41"/>
  <c r="V28" i="41"/>
  <c r="I28" i="41"/>
  <c r="V27" i="41"/>
  <c r="I27" i="41"/>
  <c r="V26" i="41"/>
  <c r="I26" i="41"/>
  <c r="I25" i="41"/>
  <c r="I24" i="41"/>
  <c r="V23" i="41"/>
  <c r="I23" i="41"/>
  <c r="V22" i="41"/>
  <c r="I22" i="41"/>
  <c r="V21" i="41"/>
  <c r="I21" i="41"/>
  <c r="V20" i="41"/>
  <c r="I20" i="41"/>
  <c r="V19" i="41"/>
  <c r="I19" i="41"/>
  <c r="V17" i="41"/>
  <c r="I17" i="41"/>
  <c r="V16" i="41"/>
  <c r="I16" i="41"/>
  <c r="V15" i="41"/>
  <c r="I15" i="41"/>
  <c r="V14" i="41"/>
  <c r="I14" i="41"/>
  <c r="V13" i="41"/>
  <c r="I13" i="41"/>
  <c r="V12" i="41"/>
  <c r="I12" i="41"/>
  <c r="J28" i="40"/>
  <c r="H28" i="40"/>
  <c r="F28" i="40"/>
  <c r="D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4" i="40"/>
  <c r="J13" i="40"/>
  <c r="J12" i="40"/>
  <c r="J11" i="40"/>
  <c r="J10" i="40"/>
  <c r="J9" i="40"/>
  <c r="V31" i="39"/>
  <c r="T31" i="39"/>
  <c r="S31" i="39"/>
  <c r="Q31" i="39"/>
  <c r="O31" i="39"/>
  <c r="M31" i="39"/>
  <c r="K31" i="39"/>
  <c r="I31" i="39"/>
  <c r="G31" i="39"/>
  <c r="E31" i="39"/>
  <c r="V30" i="39"/>
  <c r="I30" i="39"/>
  <c r="V29" i="39"/>
  <c r="I29" i="39"/>
  <c r="V28" i="39"/>
  <c r="I28" i="39"/>
  <c r="V27" i="39"/>
  <c r="I27" i="39"/>
  <c r="V26" i="39"/>
  <c r="I26" i="39"/>
  <c r="V25" i="39"/>
  <c r="I25" i="39"/>
  <c r="I24" i="39"/>
  <c r="V23" i="39"/>
  <c r="I23" i="39"/>
  <c r="V22" i="39"/>
  <c r="I22" i="39"/>
  <c r="V21" i="39"/>
  <c r="I21" i="39"/>
  <c r="V20" i="39"/>
  <c r="I20" i="39"/>
  <c r="V19" i="39"/>
  <c r="I19" i="39"/>
  <c r="V17" i="39"/>
  <c r="I17" i="39"/>
  <c r="V16" i="39"/>
  <c r="I16" i="39"/>
  <c r="V15" i="39"/>
  <c r="I15" i="39"/>
  <c r="V14" i="39"/>
  <c r="I14" i="39"/>
  <c r="V13" i="39"/>
  <c r="I13" i="39"/>
  <c r="V12" i="39"/>
  <c r="I12" i="39"/>
  <c r="J28" i="38"/>
  <c r="H28" i="38"/>
  <c r="F28" i="38"/>
  <c r="D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4" i="38"/>
  <c r="J13" i="38"/>
  <c r="J12" i="38"/>
  <c r="J11" i="38"/>
  <c r="J10" i="38"/>
  <c r="J9" i="38"/>
  <c r="V31" i="37"/>
  <c r="T31" i="37"/>
  <c r="S31" i="37"/>
  <c r="Q31" i="37"/>
  <c r="O31" i="37"/>
  <c r="M31" i="37"/>
  <c r="K31" i="37"/>
  <c r="I31" i="37"/>
  <c r="G31" i="37"/>
  <c r="E31" i="37"/>
  <c r="V30" i="37"/>
  <c r="I30" i="37"/>
  <c r="V29" i="37"/>
  <c r="I29" i="37"/>
  <c r="V28" i="37"/>
  <c r="I28" i="37"/>
  <c r="V27" i="37"/>
  <c r="I27" i="37"/>
  <c r="V26" i="37"/>
  <c r="I26" i="37"/>
  <c r="V25" i="37"/>
  <c r="I25" i="37"/>
  <c r="V24" i="37"/>
  <c r="I24" i="37"/>
  <c r="V23" i="37"/>
  <c r="I23" i="37"/>
  <c r="V22" i="37"/>
  <c r="I22" i="37"/>
  <c r="V21" i="37"/>
  <c r="I21" i="37"/>
  <c r="V20" i="37"/>
  <c r="I20" i="37"/>
  <c r="V19" i="37"/>
  <c r="I19" i="37"/>
  <c r="V17" i="37"/>
  <c r="I17" i="37"/>
  <c r="V16" i="37"/>
  <c r="I16" i="37"/>
  <c r="V15" i="37"/>
  <c r="I15" i="37"/>
  <c r="V14" i="37"/>
  <c r="I14" i="37"/>
  <c r="V13" i="37"/>
  <c r="I13" i="37"/>
  <c r="V12" i="37"/>
  <c r="I12" i="37"/>
  <c r="J28" i="36"/>
  <c r="H28" i="36"/>
  <c r="F28" i="36"/>
  <c r="D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4" i="36"/>
  <c r="J13" i="36"/>
  <c r="J12" i="36"/>
  <c r="J11" i="36"/>
  <c r="J10" i="36"/>
  <c r="J9" i="36"/>
  <c r="V31" i="35"/>
  <c r="T31" i="35"/>
  <c r="S31" i="35"/>
  <c r="Q31" i="35"/>
  <c r="O31" i="35"/>
  <c r="M31" i="35"/>
  <c r="K31" i="35"/>
  <c r="I31" i="35"/>
  <c r="G31" i="35"/>
  <c r="E31" i="35"/>
  <c r="V30" i="35"/>
  <c r="I30" i="35"/>
  <c r="V29" i="35"/>
  <c r="I29" i="35"/>
  <c r="V28" i="35"/>
  <c r="I28" i="35"/>
  <c r="V27" i="35"/>
  <c r="I27" i="35"/>
  <c r="V26" i="35"/>
  <c r="I26" i="35"/>
  <c r="V25" i="35"/>
  <c r="I25" i="35"/>
  <c r="V24" i="35"/>
  <c r="I24" i="35"/>
  <c r="V23" i="35"/>
  <c r="I23" i="35"/>
  <c r="V22" i="35"/>
  <c r="I22" i="35"/>
  <c r="V21" i="35"/>
  <c r="I21" i="35"/>
  <c r="V20" i="35"/>
  <c r="I20" i="35"/>
  <c r="V19" i="35"/>
  <c r="I19" i="35"/>
  <c r="V17" i="35"/>
  <c r="I17" i="35"/>
  <c r="V16" i="35"/>
  <c r="I16" i="35"/>
  <c r="V15" i="35"/>
  <c r="I15" i="35"/>
  <c r="V14" i="35"/>
  <c r="I14" i="35"/>
  <c r="V13" i="35"/>
  <c r="I13" i="35"/>
  <c r="V12" i="35"/>
  <c r="I12" i="35"/>
  <c r="J28" i="34"/>
  <c r="H28" i="34"/>
  <c r="F28" i="34"/>
  <c r="D28" i="34"/>
  <c r="J27" i="34"/>
  <c r="J26" i="34"/>
  <c r="J25" i="34"/>
  <c r="J24" i="34"/>
  <c r="J23" i="34"/>
  <c r="J22" i="34"/>
  <c r="J21" i="34"/>
  <c r="J20" i="34"/>
  <c r="J19" i="34"/>
  <c r="J18" i="34"/>
  <c r="J17" i="34"/>
  <c r="J16" i="34"/>
  <c r="J14" i="34"/>
  <c r="J13" i="34"/>
  <c r="J12" i="34"/>
  <c r="J11" i="34"/>
  <c r="J10" i="34"/>
  <c r="J9" i="34"/>
  <c r="V31" i="33"/>
  <c r="T31" i="33"/>
  <c r="S31" i="33"/>
  <c r="Q31" i="33"/>
  <c r="O31" i="33"/>
  <c r="M31" i="33"/>
  <c r="K31" i="33"/>
  <c r="I31" i="33"/>
  <c r="G31" i="33"/>
  <c r="E31" i="33"/>
  <c r="V30" i="33"/>
  <c r="I30" i="33"/>
  <c r="V29" i="33"/>
  <c r="I29" i="33"/>
  <c r="V28" i="33"/>
  <c r="I28" i="33"/>
  <c r="V27" i="33"/>
  <c r="I27" i="33"/>
  <c r="V26" i="33"/>
  <c r="I26" i="33"/>
  <c r="V25" i="33"/>
  <c r="I25" i="33"/>
  <c r="V24" i="33"/>
  <c r="I24" i="33"/>
  <c r="V23" i="33"/>
  <c r="I23" i="33"/>
  <c r="V22" i="33"/>
  <c r="I22" i="33"/>
  <c r="V21" i="33"/>
  <c r="I21" i="33"/>
  <c r="V20" i="33"/>
  <c r="I20" i="33"/>
  <c r="V19" i="33"/>
  <c r="I19" i="33"/>
  <c r="V17" i="33"/>
  <c r="I17" i="33"/>
  <c r="V16" i="33"/>
  <c r="I16" i="33"/>
  <c r="V15" i="33"/>
  <c r="I15" i="33"/>
  <c r="V14" i="33"/>
  <c r="I14" i="33"/>
  <c r="V13" i="33"/>
  <c r="I13" i="33"/>
  <c r="V12" i="33"/>
  <c r="I12" i="33"/>
  <c r="J28" i="32"/>
  <c r="H28" i="32"/>
  <c r="F28" i="32"/>
  <c r="D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4" i="32"/>
  <c r="J13" i="32"/>
  <c r="J12" i="32"/>
  <c r="J11" i="32"/>
  <c r="J10" i="32"/>
  <c r="J9" i="32"/>
  <c r="V31" i="31"/>
  <c r="T31" i="31"/>
  <c r="S31" i="31"/>
  <c r="Q31" i="31"/>
  <c r="O31" i="31"/>
  <c r="M31" i="31"/>
  <c r="K31" i="31"/>
  <c r="I31" i="31"/>
  <c r="G31" i="31"/>
  <c r="E31" i="31"/>
  <c r="V30" i="31"/>
  <c r="I30" i="31"/>
  <c r="V29" i="31"/>
  <c r="I29" i="31"/>
  <c r="V28" i="31"/>
  <c r="I28" i="31"/>
  <c r="V27" i="31"/>
  <c r="I27" i="31"/>
  <c r="V26" i="31"/>
  <c r="I26" i="31"/>
  <c r="V25" i="31"/>
  <c r="I25" i="31"/>
  <c r="I24" i="31"/>
  <c r="V23" i="31"/>
  <c r="I23" i="31"/>
  <c r="V22" i="31"/>
  <c r="I22" i="31"/>
  <c r="V21" i="31"/>
  <c r="I21" i="31"/>
  <c r="V20" i="31"/>
  <c r="I20" i="31"/>
  <c r="V19" i="31"/>
  <c r="I19" i="31"/>
  <c r="V17" i="31"/>
  <c r="I17" i="31"/>
  <c r="V16" i="31"/>
  <c r="I16" i="31"/>
  <c r="V15" i="31"/>
  <c r="I15" i="31"/>
  <c r="V14" i="31"/>
  <c r="I14" i="31"/>
  <c r="V13" i="31"/>
  <c r="I13" i="31"/>
  <c r="V12" i="31"/>
  <c r="I12" i="31"/>
  <c r="J28" i="30"/>
  <c r="H28" i="30"/>
  <c r="F28" i="30"/>
  <c r="D28" i="30"/>
  <c r="J27" i="30"/>
  <c r="J26" i="30"/>
  <c r="J25" i="30"/>
  <c r="J24" i="30"/>
  <c r="J23" i="30"/>
  <c r="H23" i="30"/>
  <c r="J22" i="30"/>
  <c r="J21" i="30"/>
  <c r="J20" i="30"/>
  <c r="J19" i="30"/>
  <c r="J18" i="30"/>
  <c r="J17" i="30"/>
  <c r="J16" i="30"/>
  <c r="J14" i="30"/>
  <c r="J13" i="30"/>
  <c r="J12" i="30"/>
  <c r="J11" i="30"/>
  <c r="J10" i="30"/>
  <c r="J9" i="30"/>
  <c r="V31" i="21"/>
  <c r="T31" i="21"/>
  <c r="S31" i="21"/>
  <c r="Q31" i="21"/>
  <c r="O31" i="21"/>
  <c r="M31" i="21"/>
  <c r="K31" i="21"/>
  <c r="I31" i="21"/>
  <c r="G31" i="21"/>
  <c r="E31" i="21"/>
  <c r="V30" i="21"/>
  <c r="I30" i="21"/>
  <c r="V29" i="21"/>
  <c r="I29" i="21"/>
  <c r="V28" i="21"/>
  <c r="I28" i="21"/>
  <c r="V27" i="21"/>
  <c r="I27" i="21"/>
  <c r="V26" i="21"/>
  <c r="I26" i="21"/>
  <c r="V25" i="21"/>
  <c r="I25" i="21"/>
  <c r="V24" i="21"/>
  <c r="I24" i="21"/>
  <c r="V23" i="21"/>
  <c r="I23" i="21"/>
  <c r="V22" i="21"/>
  <c r="I22" i="21"/>
  <c r="V21" i="21"/>
  <c r="I21" i="21"/>
  <c r="V20" i="21"/>
  <c r="I20" i="21"/>
  <c r="V19" i="21"/>
  <c r="I19" i="21"/>
  <c r="V17" i="21"/>
  <c r="I17" i="21"/>
  <c r="V16" i="21"/>
  <c r="I16" i="21"/>
  <c r="V15" i="21"/>
  <c r="I15" i="21"/>
  <c r="V14" i="21"/>
  <c r="I14" i="21"/>
  <c r="V13" i="21"/>
  <c r="I13" i="21"/>
  <c r="V12" i="21"/>
  <c r="I12" i="21"/>
  <c r="J28" i="19"/>
  <c r="H28" i="19"/>
  <c r="F28" i="19"/>
  <c r="D28" i="19"/>
  <c r="J27" i="19"/>
  <c r="J26" i="19"/>
  <c r="J25" i="19"/>
  <c r="J24" i="19"/>
  <c r="J23" i="19"/>
  <c r="H23" i="19"/>
  <c r="J22" i="19"/>
  <c r="J21" i="19"/>
  <c r="J20" i="19"/>
  <c r="J19" i="19"/>
  <c r="J18" i="19"/>
  <c r="J17" i="19"/>
  <c r="J16" i="19"/>
  <c r="J14" i="19"/>
  <c r="J13" i="19"/>
  <c r="J12" i="19"/>
  <c r="J11" i="19"/>
  <c r="J10" i="19"/>
  <c r="V31" i="18"/>
  <c r="T31" i="18"/>
  <c r="S31" i="18"/>
  <c r="Q31" i="18"/>
  <c r="O31" i="18"/>
  <c r="M31" i="18"/>
  <c r="K31" i="18"/>
  <c r="I31" i="18"/>
  <c r="G31" i="18"/>
  <c r="E31" i="18"/>
  <c r="V30" i="18"/>
  <c r="I30" i="18"/>
  <c r="V29" i="18"/>
  <c r="I29" i="18"/>
  <c r="V28" i="18"/>
  <c r="I28" i="18"/>
  <c r="V27" i="18"/>
  <c r="I27" i="18"/>
  <c r="V26" i="18"/>
  <c r="I26" i="18"/>
  <c r="I25" i="18"/>
  <c r="V24" i="18"/>
  <c r="I24" i="18"/>
  <c r="V23" i="18"/>
  <c r="I23" i="18"/>
  <c r="V22" i="18"/>
  <c r="I22" i="18"/>
  <c r="V21" i="18"/>
  <c r="I21" i="18"/>
  <c r="V20" i="18"/>
  <c r="I20" i="18"/>
  <c r="V19" i="18"/>
  <c r="I19" i="18"/>
  <c r="V17" i="18"/>
  <c r="I17" i="18"/>
  <c r="V16" i="18"/>
  <c r="I16" i="18"/>
  <c r="V15" i="18"/>
  <c r="I15" i="18"/>
  <c r="V14" i="18"/>
  <c r="I14" i="18"/>
  <c r="V13" i="18"/>
  <c r="I13" i="18"/>
  <c r="V12" i="18"/>
  <c r="I12" i="18"/>
  <c r="J28" i="17"/>
  <c r="H28" i="17"/>
  <c r="F28" i="17"/>
  <c r="D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4" i="17"/>
  <c r="J13" i="17"/>
  <c r="J12" i="17"/>
  <c r="J11" i="17"/>
  <c r="J10" i="17"/>
  <c r="J9" i="17"/>
  <c r="V31" i="16"/>
  <c r="T31" i="16"/>
  <c r="S31" i="16"/>
  <c r="Q31" i="16"/>
  <c r="O31" i="16"/>
  <c r="M31" i="16"/>
  <c r="K31" i="16"/>
  <c r="I31" i="16"/>
  <c r="G31" i="16"/>
  <c r="E31" i="16"/>
  <c r="V30" i="16"/>
  <c r="I30" i="16"/>
  <c r="V29" i="16"/>
  <c r="I29" i="16"/>
  <c r="V28" i="16"/>
  <c r="I28" i="16"/>
  <c r="V27" i="16"/>
  <c r="I27" i="16"/>
  <c r="V26" i="16"/>
  <c r="I26" i="16"/>
  <c r="I25" i="16"/>
  <c r="I24" i="16"/>
  <c r="V23" i="16"/>
  <c r="I23" i="16"/>
  <c r="V22" i="16"/>
  <c r="I22" i="16"/>
  <c r="V21" i="16"/>
  <c r="I21" i="16"/>
  <c r="V20" i="16"/>
  <c r="I20" i="16"/>
  <c r="V19" i="16"/>
  <c r="I19" i="16"/>
  <c r="V17" i="16"/>
  <c r="I17" i="16"/>
  <c r="V16" i="16"/>
  <c r="I16" i="16"/>
  <c r="V15" i="16"/>
  <c r="I15" i="16"/>
  <c r="V14" i="16"/>
  <c r="I14" i="16"/>
  <c r="V13" i="16"/>
  <c r="I13" i="16"/>
  <c r="V12" i="16"/>
  <c r="I12" i="16"/>
  <c r="J28" i="15"/>
  <c r="H28" i="15"/>
  <c r="F28" i="15"/>
  <c r="D28" i="15"/>
  <c r="J27" i="15"/>
  <c r="J26" i="15"/>
  <c r="J25" i="15"/>
  <c r="J24" i="15"/>
  <c r="J23" i="15"/>
  <c r="H23" i="15"/>
  <c r="J22" i="15"/>
  <c r="J21" i="15"/>
  <c r="J20" i="15"/>
  <c r="J19" i="15"/>
  <c r="J18" i="15"/>
  <c r="J17" i="15"/>
  <c r="J16" i="15"/>
  <c r="J14" i="15"/>
  <c r="J13" i="15"/>
  <c r="J12" i="15"/>
  <c r="J11" i="15"/>
  <c r="J10" i="15"/>
  <c r="J9" i="15"/>
  <c r="V31" i="14"/>
  <c r="T31" i="14"/>
  <c r="S31" i="14"/>
  <c r="Q31" i="14"/>
  <c r="O31" i="14"/>
  <c r="M31" i="14"/>
  <c r="K31" i="14"/>
  <c r="I31" i="14"/>
  <c r="G31" i="14"/>
  <c r="E31" i="14"/>
  <c r="V30" i="14"/>
  <c r="I30" i="14"/>
  <c r="V29" i="14"/>
  <c r="I29" i="14"/>
  <c r="V28" i="14"/>
  <c r="I28" i="14"/>
  <c r="V27" i="14"/>
  <c r="I27" i="14"/>
  <c r="V26" i="14"/>
  <c r="I26" i="14"/>
  <c r="V25" i="14"/>
  <c r="I25" i="14"/>
  <c r="I24" i="14"/>
  <c r="V23" i="14"/>
  <c r="I23" i="14"/>
  <c r="V22" i="14"/>
  <c r="I22" i="14"/>
  <c r="V21" i="14"/>
  <c r="I21" i="14"/>
  <c r="V20" i="14"/>
  <c r="I20" i="14"/>
  <c r="V19" i="14"/>
  <c r="I19" i="14"/>
  <c r="V17" i="14"/>
  <c r="I17" i="14"/>
  <c r="V16" i="14"/>
  <c r="I16" i="14"/>
  <c r="V15" i="14"/>
  <c r="I15" i="14"/>
  <c r="V14" i="14"/>
  <c r="I14" i="14"/>
  <c r="V13" i="14"/>
  <c r="I13" i="14"/>
  <c r="V12" i="14"/>
  <c r="I12" i="14"/>
  <c r="H28" i="13"/>
  <c r="F28" i="13"/>
  <c r="D28" i="13"/>
  <c r="J27" i="13"/>
  <c r="J26" i="13"/>
  <c r="J25" i="13"/>
  <c r="J24" i="13"/>
  <c r="J23" i="13"/>
  <c r="H23" i="13"/>
  <c r="J22" i="13"/>
  <c r="J21" i="13"/>
  <c r="J28" i="13" s="1"/>
  <c r="J20" i="13"/>
  <c r="J19" i="13"/>
  <c r="J18" i="13"/>
  <c r="J17" i="13"/>
  <c r="J16" i="13"/>
  <c r="J14" i="13"/>
  <c r="J13" i="13"/>
  <c r="J12" i="13"/>
  <c r="J11" i="13"/>
  <c r="J10" i="13"/>
  <c r="J9" i="13"/>
  <c r="V31" i="12"/>
  <c r="T31" i="12"/>
  <c r="S31" i="12"/>
  <c r="Q31" i="12"/>
  <c r="O31" i="12"/>
  <c r="M31" i="12"/>
  <c r="K31" i="12"/>
  <c r="I31" i="12"/>
  <c r="G31" i="12"/>
  <c r="E31" i="12"/>
  <c r="V30" i="12"/>
  <c r="I30" i="12"/>
  <c r="V29" i="12"/>
  <c r="I29" i="12"/>
  <c r="V28" i="12"/>
  <c r="I28" i="12"/>
  <c r="V27" i="12"/>
  <c r="I27" i="12"/>
  <c r="V26" i="12"/>
  <c r="I26" i="12"/>
  <c r="V25" i="12"/>
  <c r="I25" i="12"/>
  <c r="V24" i="12"/>
  <c r="I24" i="12"/>
  <c r="V23" i="12"/>
  <c r="I23" i="12"/>
  <c r="V22" i="12"/>
  <c r="I22" i="12"/>
  <c r="V21" i="12"/>
  <c r="I21" i="12"/>
  <c r="V20" i="12"/>
  <c r="I20" i="12"/>
  <c r="V19" i="12"/>
  <c r="I19" i="12"/>
  <c r="V17" i="12"/>
  <c r="I17" i="12"/>
  <c r="V16" i="12"/>
  <c r="I16" i="12"/>
  <c r="V15" i="12"/>
  <c r="I15" i="12"/>
  <c r="V14" i="12"/>
  <c r="I14" i="12"/>
  <c r="V13" i="12"/>
  <c r="I13" i="12"/>
  <c r="V12" i="12"/>
  <c r="I12" i="12"/>
  <c r="J28" i="11"/>
  <c r="H28" i="11"/>
  <c r="F28" i="11"/>
  <c r="D28" i="11"/>
  <c r="J27" i="11"/>
  <c r="J26" i="11"/>
  <c r="J25" i="11"/>
  <c r="J24" i="11"/>
  <c r="J23" i="11"/>
  <c r="H23" i="11"/>
  <c r="J22" i="11"/>
  <c r="J21" i="11"/>
  <c r="J20" i="11"/>
  <c r="J19" i="11"/>
  <c r="J18" i="11"/>
  <c r="J17" i="11"/>
  <c r="J16" i="11"/>
  <c r="J14" i="11"/>
  <c r="J13" i="11"/>
  <c r="J12" i="11"/>
  <c r="J11" i="11"/>
  <c r="J10" i="11"/>
  <c r="J9" i="11"/>
  <c r="V31" i="10"/>
  <c r="T31" i="10"/>
  <c r="S31" i="10"/>
  <c r="Q31" i="10"/>
  <c r="O31" i="10"/>
  <c r="M31" i="10"/>
  <c r="K31" i="10"/>
  <c r="I31" i="10"/>
  <c r="G31" i="10"/>
  <c r="E31" i="10"/>
  <c r="V30" i="10"/>
  <c r="I30" i="10"/>
  <c r="V29" i="10"/>
  <c r="I29" i="10"/>
  <c r="V28" i="10"/>
  <c r="I28" i="10"/>
  <c r="V27" i="10"/>
  <c r="I27" i="10"/>
  <c r="V26" i="10"/>
  <c r="I26" i="10"/>
  <c r="I25" i="10"/>
  <c r="I24" i="10"/>
  <c r="V23" i="10"/>
  <c r="I23" i="10"/>
  <c r="V22" i="10"/>
  <c r="I22" i="10"/>
  <c r="V21" i="10"/>
  <c r="I21" i="10"/>
  <c r="V20" i="10"/>
  <c r="I20" i="10"/>
  <c r="V19" i="10"/>
  <c r="I19" i="10"/>
  <c r="V17" i="10"/>
  <c r="I17" i="10"/>
  <c r="V16" i="10"/>
  <c r="I16" i="10"/>
  <c r="V15" i="10"/>
  <c r="I15" i="10"/>
  <c r="V14" i="10"/>
  <c r="I14" i="10"/>
  <c r="V13" i="10"/>
  <c r="I13" i="10"/>
  <c r="V12" i="10"/>
  <c r="I12" i="10"/>
  <c r="J28" i="9"/>
  <c r="H28" i="9"/>
  <c r="F28" i="9"/>
  <c r="D28" i="9"/>
  <c r="J27" i="9"/>
  <c r="J26" i="9"/>
  <c r="J25" i="9"/>
  <c r="J24" i="9"/>
  <c r="J23" i="9"/>
  <c r="J22" i="9"/>
  <c r="J21" i="9"/>
  <c r="J20" i="9"/>
  <c r="J19" i="9"/>
  <c r="J18" i="9"/>
  <c r="J17" i="9"/>
  <c r="J16" i="9"/>
  <c r="J14" i="9"/>
  <c r="J13" i="9"/>
  <c r="J12" i="9"/>
  <c r="J11" i="9"/>
  <c r="J10" i="9"/>
  <c r="J9" i="9"/>
  <c r="U31" i="45"/>
  <c r="S31" i="45"/>
  <c r="Q31" i="45"/>
  <c r="O31" i="45"/>
  <c r="M31" i="45"/>
  <c r="K31" i="45"/>
  <c r="I31" i="45"/>
  <c r="G31" i="45"/>
  <c r="E31" i="45"/>
  <c r="U30" i="45"/>
  <c r="I30" i="45"/>
  <c r="U29" i="45"/>
  <c r="I29" i="45"/>
  <c r="U28" i="45"/>
  <c r="I28" i="45"/>
  <c r="U27" i="45"/>
  <c r="I27" i="45"/>
  <c r="U26" i="45"/>
  <c r="I26" i="45"/>
  <c r="U25" i="45"/>
  <c r="I25" i="45"/>
  <c r="U24" i="45"/>
  <c r="I24" i="45"/>
  <c r="U23" i="45"/>
  <c r="I23" i="45"/>
  <c r="U22" i="45"/>
  <c r="I22" i="45"/>
  <c r="U21" i="45"/>
  <c r="I21" i="45"/>
  <c r="U20" i="45"/>
  <c r="I20" i="45"/>
  <c r="U19" i="45"/>
  <c r="I19" i="45"/>
  <c r="U17" i="45"/>
  <c r="I17" i="45"/>
  <c r="U16" i="45"/>
  <c r="I16" i="45"/>
  <c r="U15" i="45"/>
  <c r="I15" i="45"/>
  <c r="U14" i="45"/>
  <c r="I14" i="45"/>
  <c r="U13" i="45"/>
  <c r="I13" i="45"/>
  <c r="U12" i="45"/>
  <c r="I12" i="45"/>
  <c r="J28" i="44"/>
  <c r="H28" i="44"/>
  <c r="F28" i="44"/>
  <c r="D28" i="44"/>
  <c r="J27" i="44"/>
  <c r="J26" i="44"/>
  <c r="J25" i="44"/>
  <c r="J24" i="44"/>
  <c r="J23" i="44"/>
  <c r="H23" i="44"/>
  <c r="J22" i="44"/>
  <c r="J21" i="44"/>
  <c r="J20" i="44"/>
  <c r="J19" i="44"/>
  <c r="J18" i="44"/>
  <c r="J17" i="44"/>
  <c r="J16" i="44"/>
  <c r="J14" i="44"/>
  <c r="J13" i="44"/>
  <c r="J12" i="44"/>
  <c r="J11" i="44"/>
  <c r="J10" i="44"/>
  <c r="J9" i="44"/>
  <c r="V31" i="6"/>
  <c r="T31" i="6"/>
  <c r="S31" i="6"/>
  <c r="Q31" i="6"/>
  <c r="O31" i="6"/>
  <c r="M31" i="6"/>
  <c r="K31" i="6"/>
  <c r="I31" i="6"/>
  <c r="G31" i="6"/>
  <c r="E31" i="6"/>
  <c r="V30" i="6"/>
  <c r="I30" i="6"/>
  <c r="V29" i="6"/>
  <c r="I29" i="6"/>
  <c r="V28" i="6"/>
  <c r="I28" i="6"/>
  <c r="V27" i="6"/>
  <c r="I27" i="6"/>
  <c r="V26" i="6"/>
  <c r="I26" i="6"/>
  <c r="V25" i="6"/>
  <c r="I25" i="6"/>
  <c r="I24" i="6"/>
  <c r="V23" i="6"/>
  <c r="I23" i="6"/>
  <c r="V22" i="6"/>
  <c r="I22" i="6"/>
  <c r="V21" i="6"/>
  <c r="I21" i="6"/>
  <c r="V20" i="6"/>
  <c r="I20" i="6"/>
  <c r="V19" i="6"/>
  <c r="I19" i="6"/>
  <c r="V17" i="6"/>
  <c r="I17" i="6"/>
  <c r="V16" i="6"/>
  <c r="I16" i="6"/>
  <c r="V15" i="6"/>
  <c r="I15" i="6"/>
  <c r="V14" i="6"/>
  <c r="I14" i="6"/>
  <c r="V13" i="6"/>
  <c r="I13" i="6"/>
  <c r="V12" i="6"/>
  <c r="I12" i="6"/>
  <c r="J28" i="5"/>
  <c r="H28" i="5"/>
  <c r="F28" i="5"/>
  <c r="D28" i="5"/>
  <c r="J27" i="5"/>
  <c r="J26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J10" i="5"/>
  <c r="J9" i="5"/>
  <c r="V31" i="4"/>
  <c r="T31" i="4"/>
  <c r="S31" i="4"/>
  <c r="Q31" i="4"/>
  <c r="O31" i="4"/>
  <c r="M31" i="4"/>
  <c r="K31" i="4"/>
  <c r="I31" i="4"/>
  <c r="G31" i="4"/>
  <c r="E31" i="4"/>
  <c r="V30" i="4"/>
  <c r="I30" i="4"/>
  <c r="V29" i="4"/>
  <c r="I29" i="4"/>
  <c r="V28" i="4"/>
  <c r="I28" i="4"/>
  <c r="V27" i="4"/>
  <c r="I27" i="4"/>
  <c r="V26" i="4"/>
  <c r="I26" i="4"/>
  <c r="V25" i="4"/>
  <c r="I25" i="4"/>
  <c r="I24" i="4"/>
  <c r="V23" i="4"/>
  <c r="I23" i="4"/>
  <c r="V22" i="4"/>
  <c r="I22" i="4"/>
  <c r="V21" i="4"/>
  <c r="I21" i="4"/>
  <c r="V20" i="4"/>
  <c r="I20" i="4"/>
  <c r="V19" i="4"/>
  <c r="I19" i="4"/>
  <c r="V17" i="4"/>
  <c r="I17" i="4"/>
  <c r="V16" i="4"/>
  <c r="I16" i="4"/>
  <c r="V15" i="4"/>
  <c r="I15" i="4"/>
  <c r="V14" i="4"/>
  <c r="I14" i="4"/>
  <c r="V13" i="4"/>
  <c r="I13" i="4"/>
  <c r="V12" i="4"/>
  <c r="I12" i="4"/>
  <c r="J28" i="3"/>
  <c r="H28" i="3"/>
  <c r="F28" i="3"/>
  <c r="D28" i="3"/>
  <c r="J27" i="3"/>
  <c r="J26" i="3"/>
  <c r="J25" i="3"/>
  <c r="J24" i="3"/>
  <c r="J23" i="3"/>
  <c r="H23" i="3"/>
  <c r="J22" i="3"/>
  <c r="J21" i="3"/>
  <c r="J20" i="3"/>
  <c r="J19" i="3"/>
  <c r="J18" i="3"/>
  <c r="J17" i="3"/>
  <c r="J16" i="3"/>
  <c r="J14" i="3"/>
  <c r="J13" i="3"/>
  <c r="J12" i="3"/>
  <c r="J11" i="3"/>
  <c r="J10" i="3"/>
  <c r="J9" i="3"/>
  <c r="V31" i="2"/>
  <c r="T31" i="2"/>
  <c r="S31" i="2"/>
  <c r="Q31" i="2"/>
  <c r="O31" i="2"/>
  <c r="M31" i="2"/>
  <c r="K31" i="2"/>
  <c r="I31" i="2"/>
  <c r="G31" i="2"/>
  <c r="E31" i="2"/>
  <c r="V30" i="2"/>
  <c r="I30" i="2"/>
  <c r="V29" i="2"/>
  <c r="I29" i="2"/>
  <c r="V28" i="2"/>
  <c r="I28" i="2"/>
  <c r="V27" i="2"/>
  <c r="I27" i="2"/>
  <c r="V26" i="2"/>
  <c r="I26" i="2"/>
  <c r="V25" i="2"/>
  <c r="I25" i="2"/>
  <c r="I24" i="2"/>
  <c r="V23" i="2"/>
  <c r="I23" i="2"/>
  <c r="V22" i="2"/>
  <c r="I22" i="2"/>
  <c r="V21" i="2"/>
  <c r="I21" i="2"/>
  <c r="V20" i="2"/>
  <c r="I20" i="2"/>
  <c r="V19" i="2"/>
  <c r="I19" i="2"/>
  <c r="V17" i="2"/>
  <c r="I17" i="2"/>
  <c r="V16" i="2"/>
  <c r="I16" i="2"/>
  <c r="V15" i="2"/>
  <c r="I15" i="2"/>
  <c r="V14" i="2"/>
  <c r="I14" i="2"/>
  <c r="V13" i="2"/>
  <c r="I13" i="2"/>
  <c r="V12" i="2"/>
  <c r="I12" i="2"/>
  <c r="J28" i="1"/>
  <c r="H28" i="1"/>
  <c r="F28" i="1"/>
  <c r="D28" i="1"/>
  <c r="J27" i="1"/>
  <c r="J26" i="1"/>
  <c r="J25" i="1"/>
  <c r="J24" i="1"/>
  <c r="J23" i="1"/>
  <c r="H23" i="1"/>
  <c r="J22" i="1"/>
  <c r="J21" i="1"/>
  <c r="J20" i="1"/>
  <c r="J19" i="1"/>
  <c r="J18" i="1"/>
  <c r="J17" i="1"/>
  <c r="J16" i="1"/>
  <c r="J14" i="1"/>
  <c r="J13" i="1"/>
  <c r="J12" i="1"/>
  <c r="J11" i="1"/>
  <c r="J10" i="1"/>
  <c r="J9" i="1"/>
  <c r="V31" i="8"/>
  <c r="T31" i="8"/>
  <c r="S31" i="8"/>
  <c r="Q31" i="8"/>
  <c r="O31" i="8"/>
  <c r="M31" i="8"/>
  <c r="K31" i="8"/>
  <c r="I31" i="8"/>
  <c r="G31" i="8"/>
  <c r="E31" i="8"/>
  <c r="V30" i="8"/>
  <c r="I30" i="8"/>
  <c r="V29" i="8"/>
  <c r="I29" i="8"/>
  <c r="V28" i="8"/>
  <c r="I28" i="8"/>
  <c r="V27" i="8"/>
  <c r="I27" i="8"/>
  <c r="V26" i="8"/>
  <c r="I26" i="8"/>
  <c r="V25" i="8"/>
  <c r="I25" i="8"/>
  <c r="V24" i="8"/>
  <c r="I24" i="8"/>
  <c r="V23" i="8"/>
  <c r="I23" i="8"/>
  <c r="V22" i="8"/>
  <c r="I22" i="8"/>
  <c r="V21" i="8"/>
  <c r="I21" i="8"/>
  <c r="V20" i="8"/>
  <c r="I20" i="8"/>
  <c r="V19" i="8"/>
  <c r="I19" i="8"/>
  <c r="V17" i="8"/>
  <c r="I17" i="8"/>
  <c r="V16" i="8"/>
  <c r="I16" i="8"/>
  <c r="V15" i="8"/>
  <c r="I15" i="8"/>
  <c r="V14" i="8"/>
  <c r="I14" i="8"/>
  <c r="V13" i="8"/>
  <c r="I13" i="8"/>
  <c r="V12" i="8"/>
  <c r="I12" i="8"/>
  <c r="J28" i="7"/>
  <c r="H28" i="7"/>
  <c r="F28" i="7"/>
  <c r="D28" i="7"/>
  <c r="J27" i="7"/>
  <c r="J26" i="7"/>
  <c r="J25" i="7"/>
  <c r="J24" i="7"/>
  <c r="J23" i="7"/>
  <c r="H23" i="7"/>
  <c r="J22" i="7"/>
  <c r="J21" i="7"/>
  <c r="J20" i="7"/>
  <c r="J19" i="7"/>
  <c r="J18" i="7"/>
  <c r="J17" i="7"/>
  <c r="J16" i="7"/>
  <c r="J14" i="7"/>
  <c r="J13" i="7"/>
  <c r="J12" i="7"/>
  <c r="J11" i="7"/>
  <c r="J10" i="7"/>
  <c r="J9" i="7"/>
</calcChain>
</file>

<file path=xl/sharedStrings.xml><?xml version="1.0" encoding="utf-8"?>
<sst xmlns="http://schemas.openxmlformats.org/spreadsheetml/2006/main" count="2333" uniqueCount="122">
  <si>
    <t>Statement of Changes in Capital Assets Group of Accounts - Report 18</t>
  </si>
  <si>
    <t>CAPITAL ASSETS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</si>
  <si>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</si>
  <si>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Additions</t>
  </si>
  <si>
    <t>Deductions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</si>
  <si>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</si>
  <si>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</si>
  <si>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</si>
  <si>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</si>
  <si>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</si>
  <si>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</si>
  <si>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</si>
  <si>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</si>
  <si>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</si>
  <si>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</si>
  <si>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</si>
  <si>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</si>
  <si>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</si>
  <si>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</si>
  <si>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</si>
  <si>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r>
      <t>Right-to-Use Subscription-Based Information Technology Arrangements  (SBITA) - Amortizable</t>
    </r>
    <r>
      <rPr>
        <vertAlign val="superscript"/>
        <sz val="11"/>
        <color theme="1"/>
        <rFont val="Calibri"/>
        <family val="2"/>
        <scheme val="minor"/>
      </rPr>
      <t>3</t>
    </r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</si>
  <si>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</si>
  <si>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</si>
  <si>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</si>
  <si>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</si>
  <si>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</si>
  <si>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Asset beginning balances must agree with prior year ending balances. Any differences must be documented and explained in Report 18-</t>
  </si>
  <si>
    <t>Statement of Changes in Capital Assets Beginning Balance Differential Report. See illustration next page.</t>
  </si>
  <si>
    <t>The ending balances should equal the debit balances on Report 19 for each asset type.</t>
  </si>
  <si>
    <r>
      <t>New Right-to-Use SBITA per GASB Statement No. 96,</t>
    </r>
    <r>
      <rPr>
        <i/>
        <sz val="11"/>
        <color theme="1"/>
        <rFont val="Calibri"/>
        <family val="2"/>
        <scheme val="minor"/>
      </rPr>
      <t xml:space="preserve"> Subscription-Based Information Technology Arrangements.</t>
    </r>
  </si>
  <si>
    <t>provided in the "Report 18 Differential."</t>
  </si>
  <si>
    <t>Beginning Balance Differential Report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</si>
  <si>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</si>
  <si>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</si>
  <si>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</si>
  <si>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</si>
  <si>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</si>
  <si>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</si>
  <si>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</si>
  <si>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</si>
  <si>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</si>
  <si>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</si>
  <si>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</si>
  <si>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</si>
  <si>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</si>
  <si>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</si>
  <si>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</si>
  <si>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</si>
  <si>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</si>
  <si>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</si>
  <si>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GASB 96 FY 2022-2023 implementation beginning balance adjustment.</t>
    </r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</si>
  <si>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</si>
  <si>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>Land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</si>
  <si>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Buildings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</si>
  <si>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Equipment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</si>
  <si>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Right-to-Use Subscription-Based Information Technology Arrangements  (SBITA) - Amortizable</t>
    </r>
    <r>
      <rPr>
        <vertAlign val="superscript"/>
        <sz val="11"/>
        <color theme="1"/>
        <rFont val="Calibri"/>
        <family val="2"/>
        <scheme val="minor"/>
      </rPr>
      <t>2</t>
    </r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</si>
  <si>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</si>
  <si>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</si>
  <si>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</si>
  <si>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</si>
  <si>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</si>
  <si>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</si>
  <si>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</si>
  <si>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</si>
  <si>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</si>
  <si>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Breakdown and categorize the differences in columns 4 to 9.</t>
  </si>
  <si>
    <t>Col. 10 -</t>
  </si>
  <si>
    <t>Compute the sum of columns 4 to 8. The amount should agree with the computed difference in column 3.</t>
  </si>
  <si>
    <t>Footnotes:</t>
  </si>
  <si>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Financed Purchase contracts should be reported with its corresponding tangible capital asset account (e.g., Land, Buildings, Equipment)</t>
    </r>
  </si>
  <si>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New Right-to-Use SBITA per GASB Statement No. 96, </t>
    </r>
    <r>
      <rPr>
        <i/>
        <sz val="11"/>
        <rFont val="Arial"/>
        <family val="2"/>
      </rPr>
      <t>Subscription-Based Information Technology Arrangements.</t>
    </r>
  </si>
  <si>
    <t>SBITA contracts commencing before 07/01/2022 should be documented as a beginning balance restatement and explanation</t>
  </si>
  <si>
    <t>Col. 4-9 -</t>
  </si>
  <si>
    <t>Department of Justice (0820)</t>
  </si>
  <si>
    <t>Fingerprint Fund (0017)</t>
  </si>
  <si>
    <t>Motor Vehicle Account (0044)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</si>
  <si>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 </t>
    </r>
    <r>
      <rPr>
        <u/>
        <sz val="8"/>
        <color theme="1"/>
        <rFont val="Calibri"/>
        <family val="2"/>
        <scheme val="minor"/>
      </rPr>
      <t>change in fund split allocation for FY 22/23</t>
    </r>
  </si>
  <si>
    <t>Sexual Habitual Offender (0142)</t>
  </si>
  <si>
    <t>Antitrust (0012)</t>
  </si>
  <si>
    <t>Sexual Predator Public Information Act (0256)</t>
  </si>
  <si>
    <t>Indian Gaming Special Distribution (0367)</t>
  </si>
  <si>
    <t>False Claims Act (0378)</t>
  </si>
  <si>
    <t>Dealers Record of Sale (0460)</t>
  </si>
  <si>
    <t>Child Abuse Index (0566)</t>
  </si>
  <si>
    <t>Gambling Control Fund (0567)</t>
  </si>
  <si>
    <t>General Fund (0001)</t>
  </si>
  <si>
    <t>Central Services Cost Recovery (9740)</t>
  </si>
  <si>
    <t>Legal Services Revolving Fund (9731)</t>
  </si>
  <si>
    <t>DOJ Subaccount, Tobacco Law Enf Acct (3320)</t>
  </si>
  <si>
    <t>Gambling Control Fines &amp; Penalties (0569)</t>
  </si>
  <si>
    <t>Federal Trust Fund (0890)</t>
  </si>
  <si>
    <t>Firearms Safety &amp; Enforcement Special Fund (1008)</t>
  </si>
  <si>
    <t>Missing Persons DNA Database Fund (3016)</t>
  </si>
  <si>
    <t>Public Rights Law Enforcement Special Fund (3053)</t>
  </si>
  <si>
    <t>DNA Identification Fund (3086)</t>
  </si>
  <si>
    <t>Unfair Competition Law Fund (3087)</t>
  </si>
  <si>
    <t>As of June 30, 2024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</si>
  <si>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</si>
  <si>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 </t>
    </r>
    <r>
      <rPr>
        <u/>
        <sz val="8"/>
        <color theme="1"/>
        <rFont val="Calibri"/>
        <family val="2"/>
        <scheme val="minor"/>
      </rPr>
      <t>change in fund split allocation for FY 23/24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</si>
  <si>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GASB 96 FY 2023-2024 implementation beginning balance adjustment.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</si>
  <si>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 </t>
    </r>
    <r>
      <rPr>
        <u/>
        <sz val="8"/>
        <color theme="1"/>
        <rFont val="Calibri"/>
        <family val="2"/>
        <scheme val="minor"/>
      </rPr>
      <t>change in lease term for FY 23/24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</si>
  <si>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 </t>
    </r>
    <r>
      <rPr>
        <u/>
        <sz val="8"/>
        <color theme="1"/>
        <rFont val="Calibri"/>
        <family val="2"/>
        <scheme val="minor"/>
      </rPr>
      <t>change in lease term allocation for FY 23/24</t>
    </r>
  </si>
  <si>
    <t>Travel Sellers Fund (0158)</t>
  </si>
  <si>
    <t>Right-to-Use Subscription-Based Information Technology Arrangements  (SBITA) - Amortizable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</si>
  <si>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prior year balance</t>
    </r>
  </si>
  <si>
    <t>Col. 4-8 -</t>
  </si>
  <si>
    <t>Breakdown and categorize the differences in columns 4 to 8.</t>
  </si>
  <si>
    <t>Col. 9 -</t>
  </si>
  <si>
    <t>Registry of Charities and Fundraisers Fund (3088)</t>
  </si>
  <si>
    <t>Major League Sporting Event Raffle Fund (3297)</t>
  </si>
  <si>
    <t xml:space="preserve"> 2341 Equipment</t>
  </si>
  <si>
    <t xml:space="preserve">Additions </t>
  </si>
  <si>
    <t>3</t>
  </si>
  <si>
    <t>2411 Computer Software</t>
  </si>
  <si>
    <t>2430 Internally-generated intangible</t>
  </si>
  <si>
    <t>Asset beginning balances must agree with prior year ending balances. Any differences must be documented and explained in Report 18-Statement of Changes in Capital Assets Beginning Balance Differential Report. See illustration next page.</t>
  </si>
  <si>
    <t>Surveyed and disposed $3.2 million in various capital assets which include information technology, office, laboratory, fleet, and DNA equipment. 
See attachment #1 for additional information.</t>
  </si>
  <si>
    <r>
      <t xml:space="preserve">Transfers from other departments
</t>
    </r>
    <r>
      <rPr>
        <sz val="12"/>
        <rFont val="Calibri"/>
        <family val="2"/>
        <scheme val="minor"/>
      </rPr>
      <t>(at historical cost/book value)</t>
    </r>
  </si>
  <si>
    <r>
      <t xml:space="preserve">Other amounts that make up the difference </t>
    </r>
    <r>
      <rPr>
        <sz val="12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</si>
  <si>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2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</si>
  <si>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Restatement Amount 
</t>
    </r>
    <r>
      <rPr>
        <sz val="12"/>
        <rFont val="Calibri"/>
        <family val="2"/>
        <scheme val="minor"/>
      </rPr>
      <t>(should agree to the difference calculated)</t>
    </r>
  </si>
  <si>
    <t>Col. 4 - 9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</si>
</sst>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  <font>
      <i/>
      <sz val="11"/>
      <color theme="1"/>
      <name val="Calibri"/>
      <family val="2"/>
      <scheme val="minor"/>
    </font>
    <font>
      <i/>
      <sz val="11"/>
      <name val="Arial"/>
      <family val="2"/>
    </font>
    <font>
      <u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12" fillId="0" borderId="0">
      <alignment vertical="top"/>
    </xf>
    <xf numFmtId="4" fontId="12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 applyProtection="1">
      <alignment horizontal="left" wrapText="1"/>
      <protection locked="0"/>
    </xf>
    <xf numFmtId="43" fontId="0" fillId="0" borderId="0" xfId="0" applyNumberFormat="1"/>
    <xf numFmtId="0" fontId="0" fillId="0" borderId="0" xfId="0" applyAlignment="1">
      <alignment horizontal="center"/>
    </xf>
    <xf numFmtId="41" fontId="1" fillId="0" borderId="1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2" borderId="0" xfId="0" applyNumberFormat="1" applyFill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2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2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1" xfId="0" applyNumberFormat="1" applyFont="1" applyBorder="1"/>
    <xf numFmtId="44" fontId="0" fillId="0" borderId="0" xfId="0" applyNumberFormat="1"/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41" fontId="0" fillId="0" borderId="2" xfId="0" applyNumberFormat="1" applyBorder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centerContinuous"/>
      <protection locked="0"/>
    </xf>
    <xf numFmtId="43" fontId="1" fillId="0" borderId="3" xfId="0" applyNumberFormat="1" applyFont="1" applyBorder="1" applyAlignment="1" applyProtection="1">
      <alignment horizontal="centerContinuous"/>
      <protection locked="0"/>
    </xf>
    <xf numFmtId="0" fontId="5" fillId="0" borderId="0" xfId="0" applyFont="1"/>
    <xf numFmtId="0" fontId="0" fillId="0" borderId="0" xfId="0" applyAlignment="1" applyProtection="1">
      <alignment wrapText="1"/>
      <protection locked="0"/>
    </xf>
    <xf numFmtId="43" fontId="0" fillId="0" borderId="0" xfId="0" applyNumberFormat="1" applyAlignment="1" applyProtection="1">
      <alignment wrapText="1"/>
      <protection locked="0"/>
    </xf>
    <xf numFmtId="0" fontId="0" fillId="0" borderId="0" xfId="0" applyAlignment="1">
      <alignment wrapText="1"/>
    </xf>
    <xf numFmtId="41" fontId="0" fillId="0" borderId="0" xfId="0" applyNumberFormat="1" applyAlignment="1" applyProtection="1">
      <alignment wrapText="1"/>
      <protection locked="0"/>
    </xf>
    <xf numFmtId="41" fontId="0" fillId="0" borderId="0" xfId="0" applyNumberFormat="1" applyAlignment="1">
      <alignment wrapText="1"/>
    </xf>
    <xf numFmtId="41" fontId="0" fillId="2" borderId="0" xfId="0" applyNumberFormat="1" applyFill="1" applyAlignment="1" applyProtection="1">
      <alignment wrapText="1"/>
      <protection locked="0"/>
    </xf>
    <xf numFmtId="164" fontId="0" fillId="0" borderId="0" xfId="1" applyNumberFormat="1" applyFont="1"/>
    <xf numFmtId="3" fontId="0" fillId="0" borderId="0" xfId="0" applyNumberFormat="1"/>
    <xf numFmtId="3" fontId="0" fillId="0" borderId="0" xfId="0" applyNumberFormat="1" applyAlignment="1">
      <alignment wrapText="1"/>
    </xf>
    <xf numFmtId="3" fontId="10" fillId="0" borderId="0" xfId="0" applyNumberFormat="1" applyFont="1"/>
    <xf numFmtId="43" fontId="0" fillId="0" borderId="0" xfId="0" quotePrefix="1" applyNumberFormat="1" applyProtection="1">
      <protection locked="0"/>
    </xf>
    <xf numFmtId="43" fontId="1" fillId="0" borderId="0" xfId="0" applyNumberFormat="1" applyFont="1" applyProtection="1"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12" fillId="0" borderId="0" xfId="2" applyAlignment="1">
      <alignment vertical="center"/>
    </xf>
    <xf numFmtId="0" fontId="13" fillId="0" borderId="0" xfId="2" applyFont="1" applyAlignment="1" applyProtection="1">
      <alignment horizontal="center" vertical="center"/>
      <protection locked="0"/>
    </xf>
    <xf numFmtId="0" fontId="12" fillId="0" borderId="0" xfId="2" applyAlignment="1" applyProtection="1">
      <alignment vertical="center"/>
      <protection locked="0"/>
    </xf>
    <xf numFmtId="43" fontId="12" fillId="0" borderId="0" xfId="2" applyNumberFormat="1" applyAlignment="1" applyProtection="1">
      <alignment vertical="center"/>
      <protection locked="0"/>
    </xf>
    <xf numFmtId="0" fontId="1" fillId="0" borderId="0" xfId="2" applyFont="1" applyAlignment="1" applyProtection="1">
      <protection locked="0"/>
    </xf>
    <xf numFmtId="0" fontId="12" fillId="0" borderId="0" xfId="2" applyAlignment="1" applyProtection="1">
      <protection locked="0"/>
    </xf>
    <xf numFmtId="0" fontId="1" fillId="0" borderId="2" xfId="2" applyFont="1" applyBorder="1" applyAlignment="1" applyProtection="1">
      <alignment horizontal="center" wrapText="1"/>
      <protection locked="0"/>
    </xf>
    <xf numFmtId="43" fontId="12" fillId="0" borderId="0" xfId="2" applyNumberFormat="1" applyAlignment="1" applyProtection="1">
      <alignment horizontal="center"/>
      <protection locked="0"/>
    </xf>
    <xf numFmtId="43" fontId="1" fillId="0" borderId="2" xfId="2" applyNumberFormat="1" applyFont="1" applyBorder="1" applyAlignment="1" applyProtection="1">
      <alignment horizontal="center"/>
      <protection locked="0"/>
    </xf>
    <xf numFmtId="0" fontId="12" fillId="0" borderId="0" xfId="2" applyAlignment="1">
      <alignment horizontal="center" vertical="center"/>
    </xf>
    <xf numFmtId="43" fontId="12" fillId="0" borderId="0" xfId="2" applyNumberFormat="1" applyAlignment="1" applyProtection="1">
      <protection locked="0"/>
    </xf>
    <xf numFmtId="0" fontId="14" fillId="0" borderId="0" xfId="2" applyFont="1" applyAlignment="1" applyProtection="1">
      <protection locked="0"/>
    </xf>
    <xf numFmtId="0" fontId="15" fillId="0" borderId="0" xfId="2" applyFont="1" applyAlignment="1" applyProtection="1">
      <protection locked="0"/>
    </xf>
    <xf numFmtId="0" fontId="16" fillId="0" borderId="0" xfId="2" applyFont="1" applyAlignment="1" applyProtection="1">
      <protection locked="0"/>
    </xf>
    <xf numFmtId="43" fontId="16" fillId="0" borderId="0" xfId="2" applyNumberFormat="1" applyFont="1" applyAlignment="1" applyProtection="1">
      <protection locked="0"/>
    </xf>
    <xf numFmtId="4" fontId="12" fillId="0" borderId="2" xfId="3" applyFont="1" applyBorder="1" applyAlignment="1">
      <alignment horizontal="center" vertical="center"/>
    </xf>
    <xf numFmtId="4" fontId="0" fillId="0" borderId="2" xfId="3" applyFont="1" applyBorder="1" applyAlignment="1">
      <alignment horizontal="center" vertical="center"/>
    </xf>
    <xf numFmtId="0" fontId="12" fillId="0" borderId="0" xfId="2" applyAlignment="1">
      <alignment horizontal="centerContinuous"/>
    </xf>
    <xf numFmtId="44" fontId="16" fillId="0" borderId="0" xfId="2" applyNumberFormat="1" applyFont="1" applyAlignment="1" applyProtection="1">
      <protection locked="0"/>
    </xf>
    <xf numFmtId="44" fontId="16" fillId="0" borderId="0" xfId="2" applyNumberFormat="1" applyFont="1" applyAlignment="1"/>
    <xf numFmtId="4" fontId="0" fillId="3" borderId="4" xfId="3" applyFont="1" applyFill="1" applyBorder="1" applyAlignment="1">
      <alignment horizontal="center" vertical="center"/>
    </xf>
    <xf numFmtId="0" fontId="12" fillId="3" borderId="4" xfId="2" applyFill="1" applyBorder="1" applyAlignment="1">
      <alignment horizontal="center"/>
    </xf>
    <xf numFmtId="43" fontId="16" fillId="0" borderId="0" xfId="2" applyNumberFormat="1" applyFont="1" applyAlignment="1"/>
    <xf numFmtId="4" fontId="0" fillId="0" borderId="0" xfId="3" applyFont="1" applyAlignment="1">
      <alignment horizontal="center" vertical="center"/>
    </xf>
    <xf numFmtId="4" fontId="0" fillId="0" borderId="0" xfId="3" applyFont="1" applyBorder="1" applyAlignment="1">
      <alignment horizontal="center" vertical="center"/>
    </xf>
    <xf numFmtId="4" fontId="0" fillId="0" borderId="0" xfId="3" applyFont="1" applyFill="1" applyAlignment="1">
      <alignment horizontal="center" vertical="center"/>
    </xf>
    <xf numFmtId="49" fontId="3" fillId="0" borderId="0" xfId="2" quotePrefix="1" applyNumberFormat="1" applyFont="1" applyAlignment="1" applyProtection="1">
      <protection locked="0"/>
    </xf>
    <xf numFmtId="4" fontId="0" fillId="0" borderId="0" xfId="3" applyFont="1" applyFill="1" applyBorder="1" applyAlignment="1">
      <alignment horizontal="center" vertical="center"/>
    </xf>
    <xf numFmtId="0" fontId="16" fillId="0" borderId="0" xfId="2" applyFont="1" applyAlignment="1" applyProtection="1">
      <alignment wrapText="1"/>
      <protection locked="0"/>
    </xf>
    <xf numFmtId="4" fontId="0" fillId="0" borderId="1" xfId="3" applyFont="1" applyBorder="1" applyAlignment="1">
      <alignment horizontal="center" vertical="center"/>
    </xf>
    <xf numFmtId="43" fontId="16" fillId="0" borderId="2" xfId="2" applyNumberFormat="1" applyFont="1" applyBorder="1" applyAlignment="1" applyProtection="1">
      <protection locked="0"/>
    </xf>
    <xf numFmtId="44" fontId="1" fillId="0" borderId="1" xfId="2" applyNumberFormat="1" applyFont="1" applyBorder="1" applyAlignment="1"/>
    <xf numFmtId="0" fontId="16" fillId="0" borderId="0" xfId="2" applyFont="1" applyAlignment="1" applyProtection="1">
      <alignment vertical="center"/>
      <protection locked="0"/>
    </xf>
    <xf numFmtId="43" fontId="16" fillId="0" borderId="0" xfId="2" applyNumberFormat="1" applyFont="1" applyAlignment="1" applyProtection="1">
      <alignment vertical="center"/>
      <protection locked="0"/>
    </xf>
    <xf numFmtId="4" fontId="12" fillId="0" borderId="0" xfId="3" applyFont="1" applyAlignment="1">
      <alignment horizontal="center" vertical="center"/>
    </xf>
    <xf numFmtId="4" fontId="12" fillId="0" borderId="0" xfId="3" applyFont="1" applyBorder="1" applyAlignment="1">
      <alignment horizontal="center" vertical="center"/>
    </xf>
    <xf numFmtId="0" fontId="3" fillId="0" borderId="0" xfId="2" applyFont="1" applyAlignment="1" applyProtection="1">
      <alignment vertical="center"/>
      <protection locked="0"/>
    </xf>
    <xf numFmtId="0" fontId="15" fillId="0" borderId="0" xfId="2" applyFont="1" applyAlignment="1" applyProtection="1">
      <alignment horizontal="left" vertical="top" wrapText="1"/>
      <protection locked="0"/>
    </xf>
    <xf numFmtId="4" fontId="0" fillId="3" borderId="5" xfId="3" applyFont="1" applyFill="1" applyBorder="1" applyAlignment="1">
      <alignment horizontal="center" vertical="center"/>
    </xf>
    <xf numFmtId="0" fontId="15" fillId="0" borderId="0" xfId="2" applyFont="1" applyAlignment="1" applyProtection="1">
      <alignment vertical="center"/>
      <protection locked="0"/>
    </xf>
    <xf numFmtId="0" fontId="15" fillId="0" borderId="0" xfId="2" applyFont="1" applyProtection="1">
      <alignment vertical="top"/>
      <protection locked="0"/>
    </xf>
    <xf numFmtId="43" fontId="15" fillId="0" borderId="0" xfId="2" applyNumberFormat="1" applyFont="1" applyProtection="1">
      <alignment vertical="top"/>
      <protection locked="0"/>
    </xf>
    <xf numFmtId="4" fontId="0" fillId="0" borderId="0" xfId="3" applyFont="1" applyBorder="1" applyAlignment="1">
      <alignment horizontal="center" vertical="center" wrapText="1"/>
    </xf>
    <xf numFmtId="0" fontId="12" fillId="0" borderId="0" xfId="2" applyAlignment="1">
      <alignment horizontal="center" wrapText="1"/>
    </xf>
    <xf numFmtId="0" fontId="17" fillId="0" borderId="0" xfId="2" applyFont="1" applyAlignment="1" applyProtection="1">
      <alignment horizontal="left" vertical="center" wrapText="1"/>
      <protection locked="0"/>
    </xf>
    <xf numFmtId="43" fontId="12" fillId="0" borderId="0" xfId="2" applyNumberFormat="1" applyAlignment="1">
      <alignment vertical="center"/>
    </xf>
    <xf numFmtId="4" fontId="0" fillId="0" borderId="0" xfId="3" applyFont="1" applyBorder="1" applyAlignment="1">
      <alignment vertical="center"/>
    </xf>
    <xf numFmtId="4" fontId="0" fillId="0" borderId="0" xfId="3" applyFont="1" applyAlignment="1">
      <alignment vertical="center"/>
    </xf>
    <xf numFmtId="0" fontId="14" fillId="0" borderId="0" xfId="2" applyFont="1" applyAlignment="1" applyProtection="1">
      <alignment horizontal="centerContinuous"/>
      <protection locked="0"/>
    </xf>
    <xf numFmtId="0" fontId="15" fillId="0" borderId="0" xfId="2" applyFont="1" applyAlignment="1"/>
    <xf numFmtId="43" fontId="15" fillId="0" borderId="0" xfId="2" applyNumberFormat="1" applyFont="1" applyAlignment="1" applyProtection="1">
      <protection locked="0"/>
    </xf>
    <xf numFmtId="43" fontId="15" fillId="2" borderId="0" xfId="2" applyNumberFormat="1" applyFont="1" applyFill="1" applyAlignment="1" applyProtection="1">
      <protection locked="0"/>
    </xf>
    <xf numFmtId="43" fontId="1" fillId="0" borderId="3" xfId="2" applyNumberFormat="1" applyFont="1" applyBorder="1" applyAlignment="1" applyProtection="1">
      <alignment horizontal="centerContinuous"/>
      <protection locked="0"/>
    </xf>
    <xf numFmtId="0" fontId="15" fillId="0" borderId="0" xfId="2" quotePrefix="1" applyFont="1" applyAlignment="1" applyProtection="1">
      <alignment horizontal="center"/>
      <protection locked="0"/>
    </xf>
    <xf numFmtId="0" fontId="15" fillId="0" borderId="0" xfId="2" applyFont="1" applyAlignment="1" applyProtection="1">
      <alignment horizontal="center"/>
      <protection locked="0"/>
    </xf>
    <xf numFmtId="0" fontId="15" fillId="2" borderId="0" xfId="2" applyFont="1" applyFill="1" applyAlignment="1" applyProtection="1">
      <alignment horizontal="center"/>
      <protection locked="0"/>
    </xf>
    <xf numFmtId="0" fontId="1" fillId="0" borderId="2" xfId="2" applyFont="1" applyBorder="1" applyAlignment="1" applyProtection="1">
      <alignment horizontal="center" vertical="top" wrapText="1"/>
      <protection locked="0"/>
    </xf>
    <xf numFmtId="0" fontId="1" fillId="0" borderId="2" xfId="2" applyFont="1" applyBorder="1" applyAlignment="1" applyProtection="1">
      <alignment horizontal="center" vertical="top"/>
      <protection locked="0"/>
    </xf>
    <xf numFmtId="3" fontId="15" fillId="0" borderId="0" xfId="3" applyNumberFormat="1" applyFont="1" applyAlignment="1" applyProtection="1">
      <protection locked="0"/>
    </xf>
    <xf numFmtId="3" fontId="15" fillId="0" borderId="0" xfId="2" applyNumberFormat="1" applyFont="1" applyAlignment="1" applyProtection="1">
      <protection locked="0"/>
    </xf>
    <xf numFmtId="41" fontId="15" fillId="0" borderId="0" xfId="2" applyNumberFormat="1" applyFont="1" applyAlignment="1" applyProtection="1">
      <protection locked="0"/>
    </xf>
    <xf numFmtId="41" fontId="15" fillId="0" borderId="0" xfId="2" applyNumberFormat="1" applyFont="1" applyAlignment="1"/>
    <xf numFmtId="41" fontId="15" fillId="2" borderId="0" xfId="2" applyNumberFormat="1" applyFont="1" applyFill="1" applyAlignment="1" applyProtection="1">
      <protection locked="0"/>
    </xf>
    <xf numFmtId="0" fontId="15" fillId="0" borderId="0" xfId="2" applyFont="1" applyAlignment="1" applyProtection="1">
      <alignment horizontal="left" wrapText="1"/>
      <protection locked="0"/>
    </xf>
    <xf numFmtId="3" fontId="15" fillId="0" borderId="2" xfId="2" applyNumberFormat="1" applyFont="1" applyBorder="1" applyAlignment="1" applyProtection="1">
      <protection locked="0"/>
    </xf>
    <xf numFmtId="41" fontId="15" fillId="0" borderId="2" xfId="2" applyNumberFormat="1" applyFont="1" applyBorder="1" applyAlignment="1" applyProtection="1">
      <protection locked="0"/>
    </xf>
    <xf numFmtId="0" fontId="14" fillId="0" borderId="0" xfId="2" applyFont="1" applyAlignment="1"/>
    <xf numFmtId="41" fontId="1" fillId="0" borderId="1" xfId="2" applyNumberFormat="1" applyFont="1" applyBorder="1" applyAlignment="1"/>
    <xf numFmtId="41" fontId="15" fillId="2" borderId="0" xfId="2" applyNumberFormat="1" applyFont="1" applyFill="1" applyAlignment="1"/>
    <xf numFmtId="43" fontId="15" fillId="0" borderId="0" xfId="2" applyNumberFormat="1" applyFont="1" applyAlignment="1"/>
  </cellXfs>
  <cellStyles count="4">
    <cellStyle name="Comma" xfId="1" builtinId="3"/>
    <cellStyle name="Comma 2" xfId="3" xr:uid="{C49480FA-CFEA-4573-A6DF-41FB8A9F88CB}"/>
    <cellStyle name="Normal" xfId="0" builtinId="0"/>
    <cellStyle name="Normal 2" xfId="2" xr:uid="{845DFF33-7E77-4206-A1AD-C2599AFF90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avis\Local%20Settings\Temporary%20Internet%20Files\OLK9\TC-3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ADMIN%20-%20POLICY\GASB\GASB%2087%20-%20Leases\Project%20Tracking\FY%202023-24\ARSW%20Review\BU%200820%20DEPARTMENT%20OF%20JUSTICE\BU0820%20R18-1.xlsx" TargetMode="External"/><Relationship Id="rId1" Type="http://schemas.openxmlformats.org/officeDocument/2006/relationships/externalLinkPath" Target="BU0820%20R18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Excel\Fund%20328\Remit\328_09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dgs-my.sharepoint.com/Documents%20and%20Settings/adavis/Local%20Settings/Temporary%20Internet%20Files/OLK9/TC-3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71 AB"/>
      <sheetName val="571 D"/>
      <sheetName val="571 AB (2)"/>
      <sheetName val="571 AB (3)"/>
      <sheetName val="571 AB (4)"/>
      <sheetName val="571 AB (5)"/>
      <sheetName val="571-C"/>
      <sheetName val="TC-24"/>
      <sheetName val="TC-71"/>
      <sheetName val="Calcu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0001"/>
      <sheetName val="F0001 Diff"/>
      <sheetName val="0012"/>
      <sheetName val="0012 Differential"/>
      <sheetName val="F0017"/>
      <sheetName val="F0017 Diff"/>
      <sheetName val="0044"/>
      <sheetName val="0044 Differential"/>
      <sheetName val="F0142"/>
      <sheetName val="F0142 Diff"/>
      <sheetName val="0158"/>
      <sheetName val="0158 Differential"/>
      <sheetName val="F0378"/>
      <sheetName val="F0378 Diff"/>
      <sheetName val="F0460"/>
      <sheetName val="F0460 Diff"/>
      <sheetName val="F0569"/>
      <sheetName val="F0569 Dif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 2000"/>
      <sheetName val="MISC"/>
      <sheetName val="Applied"/>
      <sheetName val="RA ADVICE - CA 21"/>
      <sheetName val="AFS116"/>
      <sheetName val="o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71 AB"/>
      <sheetName val="571 D"/>
      <sheetName val="571 AB (2)"/>
      <sheetName val="571 AB (3)"/>
      <sheetName val="571 AB (4)"/>
      <sheetName val="571 AB (5)"/>
      <sheetName val="571-C"/>
      <sheetName val="TC-24"/>
      <sheetName val="TC-71"/>
      <sheetName val="Calculations"/>
      <sheetName val="TABLE-Rev Src"/>
      <sheetName val="TABLE-Org Code"/>
      <sheetName val="TABLE-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218B-1EA0-4211-8325-33934FD9B632}">
  <sheetPr>
    <pageSetUpPr fitToPage="1"/>
  </sheetPr>
  <dimension ref="A1:P51"/>
  <sheetViews>
    <sheetView tabSelected="1" topLeftCell="A9" workbookViewId="0">
      <selection activeCell="J22" sqref="J22"/>
    </sheetView>
  </sheetViews>
  <sheetFormatPr defaultRowHeight="15" x14ac:dyDescent="0.25"/>
  <cols>
    <col min="1" max="1" width="2.7109375" style="44" customWidth="1"/>
    <col min="2" max="2" width="58.5703125" style="44" customWidth="1"/>
    <col min="3" max="3" width="2.7109375" style="44" customWidth="1"/>
    <col min="4" max="4" width="22.5703125" style="89" bestFit="1" customWidth="1"/>
    <col min="5" max="5" width="2.7109375" style="89" customWidth="1"/>
    <col min="6" max="6" width="19.28515625" style="89" customWidth="1"/>
    <col min="7" max="7" width="2.7109375" style="89" customWidth="1"/>
    <col min="8" max="8" width="19.28515625" style="89" customWidth="1"/>
    <col min="9" max="9" width="2.7109375" style="89" customWidth="1"/>
    <col min="10" max="10" width="22.5703125" style="89" bestFit="1" customWidth="1"/>
    <col min="11" max="13" width="9.140625" style="44"/>
    <col min="14" max="14" width="31.28515625" style="44" customWidth="1"/>
    <col min="15" max="15" width="38.28515625" style="44" customWidth="1"/>
    <col min="16" max="16384" width="9.140625" style="44"/>
  </cols>
  <sheetData>
    <row r="1" spans="1:16" ht="18.75" x14ac:dyDescent="0.25">
      <c r="A1" s="43" t="s">
        <v>73</v>
      </c>
      <c r="B1" s="43"/>
      <c r="C1" s="43"/>
      <c r="D1" s="43"/>
      <c r="E1" s="43"/>
      <c r="F1" s="43"/>
      <c r="G1" s="43"/>
      <c r="H1" s="43"/>
      <c r="I1" s="43"/>
      <c r="J1" s="43"/>
    </row>
    <row r="2" spans="1:16" ht="18.75" x14ac:dyDescent="0.2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</row>
    <row r="3" spans="1:16" ht="18.75" x14ac:dyDescent="0.25">
      <c r="A3" s="43" t="s">
        <v>85</v>
      </c>
      <c r="B3" s="43"/>
      <c r="C3" s="43"/>
      <c r="D3" s="43"/>
      <c r="E3" s="43"/>
      <c r="F3" s="43"/>
      <c r="G3" s="43"/>
      <c r="H3" s="43"/>
      <c r="I3" s="43"/>
      <c r="J3" s="43"/>
    </row>
    <row r="4" spans="1:16" ht="18.75" x14ac:dyDescent="0.25">
      <c r="A4" s="43" t="s">
        <v>96</v>
      </c>
      <c r="B4" s="43"/>
      <c r="C4" s="43"/>
      <c r="D4" s="43"/>
      <c r="E4" s="43"/>
      <c r="F4" s="43"/>
      <c r="G4" s="43"/>
      <c r="H4" s="43"/>
      <c r="I4" s="43"/>
      <c r="J4" s="43"/>
    </row>
    <row r="5" spans="1:16" ht="18.75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</row>
    <row r="6" spans="1:16" x14ac:dyDescent="0.25">
      <c r="A6" s="46"/>
      <c r="B6" s="46"/>
      <c r="C6" s="46"/>
      <c r="D6" s="47"/>
      <c r="E6" s="47"/>
      <c r="F6" s="47"/>
      <c r="G6" s="47"/>
      <c r="H6" s="47"/>
      <c r="I6" s="47"/>
      <c r="J6" s="47"/>
    </row>
    <row r="7" spans="1:16" ht="17.25" x14ac:dyDescent="0.25">
      <c r="A7" s="48" t="s">
        <v>1</v>
      </c>
      <c r="B7" s="49"/>
      <c r="C7" s="49"/>
      <c r="D7" s="50" t="s">
        <v>2</v>
      </c>
      <c r="E7" s="51"/>
      <c r="F7" s="52" t="s">
        <v>3</v>
      </c>
      <c r="G7" s="51"/>
      <c r="H7" s="52" t="s">
        <v>4</v>
      </c>
      <c r="I7" s="51"/>
      <c r="J7" s="50" t="s">
        <v>97</v>
      </c>
      <c r="K7" s="53"/>
    </row>
    <row r="8" spans="1:16" x14ac:dyDescent="0.2">
      <c r="A8" s="49"/>
      <c r="B8" s="49"/>
      <c r="C8" s="49"/>
      <c r="D8" s="54"/>
      <c r="E8" s="54"/>
      <c r="F8" s="54"/>
      <c r="G8" s="54"/>
      <c r="H8" s="54"/>
      <c r="I8" s="54"/>
      <c r="J8" s="54"/>
    </row>
    <row r="9" spans="1:16" ht="15.75" x14ac:dyDescent="0.25">
      <c r="A9" s="55" t="s">
        <v>5</v>
      </c>
      <c r="B9" s="56"/>
      <c r="C9" s="57"/>
      <c r="D9" s="58"/>
      <c r="E9" s="58"/>
      <c r="F9" s="58"/>
      <c r="G9" s="58"/>
      <c r="H9" s="58"/>
      <c r="I9" s="58"/>
      <c r="J9" s="58"/>
      <c r="N9" s="59" t="s">
        <v>110</v>
      </c>
      <c r="O9" s="60"/>
      <c r="P9" s="61"/>
    </row>
    <row r="10" spans="1:16" ht="15.75" x14ac:dyDescent="0.25">
      <c r="A10" s="57"/>
      <c r="B10" s="57" t="s">
        <v>6</v>
      </c>
      <c r="C10" s="57"/>
      <c r="D10" s="62">
        <v>4789369.4800000004</v>
      </c>
      <c r="E10" s="62"/>
      <c r="F10" s="62"/>
      <c r="G10" s="62"/>
      <c r="H10" s="62"/>
      <c r="I10" s="62"/>
      <c r="J10" s="63">
        <f t="shared" ref="J10:J24" si="0">D10+F10-H10</f>
        <v>4789369.4800000004</v>
      </c>
      <c r="N10" s="64" t="s">
        <v>111</v>
      </c>
      <c r="O10" s="65" t="s">
        <v>4</v>
      </c>
      <c r="P10" s="61"/>
    </row>
    <row r="11" spans="1:16" ht="15.75" x14ac:dyDescent="0.25">
      <c r="A11" s="57"/>
      <c r="B11" s="57" t="s">
        <v>7</v>
      </c>
      <c r="C11" s="57"/>
      <c r="D11" s="58">
        <v>38906780.200000003</v>
      </c>
      <c r="E11" s="58"/>
      <c r="F11" s="58"/>
      <c r="G11" s="58"/>
      <c r="H11" s="58"/>
      <c r="I11" s="58"/>
      <c r="J11" s="66">
        <f t="shared" si="0"/>
        <v>38906780.200000003</v>
      </c>
      <c r="N11" s="67">
        <v>295846.69</v>
      </c>
      <c r="O11" s="68">
        <v>200144.9</v>
      </c>
      <c r="P11" s="61"/>
    </row>
    <row r="12" spans="1:16" ht="15.75" x14ac:dyDescent="0.25">
      <c r="A12" s="57"/>
      <c r="B12" s="57" t="s">
        <v>8</v>
      </c>
      <c r="C12" s="57"/>
      <c r="D12" s="58">
        <v>0</v>
      </c>
      <c r="E12" s="58"/>
      <c r="F12" s="58"/>
      <c r="G12" s="58"/>
      <c r="H12" s="58"/>
      <c r="I12" s="58"/>
      <c r="J12" s="66">
        <f t="shared" si="0"/>
        <v>0</v>
      </c>
      <c r="N12" s="69">
        <v>578540.25</v>
      </c>
      <c r="O12" s="68">
        <v>173534.11</v>
      </c>
      <c r="P12" s="61"/>
    </row>
    <row r="13" spans="1:16" ht="17.25" x14ac:dyDescent="0.25">
      <c r="A13" s="57"/>
      <c r="B13" s="57" t="s">
        <v>9</v>
      </c>
      <c r="C13" s="57"/>
      <c r="D13" s="58">
        <v>98781281.799999982</v>
      </c>
      <c r="E13" s="58"/>
      <c r="F13" s="58">
        <v>8389260.0600000005</v>
      </c>
      <c r="G13" s="58"/>
      <c r="H13" s="58">
        <v>3183122.54</v>
      </c>
      <c r="I13" s="70" t="s">
        <v>112</v>
      </c>
      <c r="J13" s="66">
        <f t="shared" si="0"/>
        <v>103987419.31999998</v>
      </c>
      <c r="N13" s="67">
        <v>281881.98</v>
      </c>
      <c r="O13" s="68">
        <v>41719.85</v>
      </c>
      <c r="P13" s="61"/>
    </row>
    <row r="14" spans="1:16" ht="15.75" x14ac:dyDescent="0.25">
      <c r="A14" s="57"/>
      <c r="B14" s="57" t="s">
        <v>10</v>
      </c>
      <c r="C14" s="57"/>
      <c r="D14" s="58">
        <v>0</v>
      </c>
      <c r="E14" s="58"/>
      <c r="F14" s="58"/>
      <c r="G14" s="58"/>
      <c r="H14" s="58"/>
      <c r="I14" s="58"/>
      <c r="J14" s="66">
        <f t="shared" si="0"/>
        <v>0</v>
      </c>
      <c r="N14" s="67">
        <v>486014.43</v>
      </c>
      <c r="O14" s="68">
        <v>646829.98</v>
      </c>
      <c r="P14" s="61"/>
    </row>
    <row r="15" spans="1:16" ht="15.75" x14ac:dyDescent="0.25">
      <c r="A15" s="57"/>
      <c r="B15" s="57" t="s">
        <v>11</v>
      </c>
      <c r="C15" s="57"/>
      <c r="D15" s="58">
        <v>0</v>
      </c>
      <c r="E15" s="58"/>
      <c r="F15" s="58"/>
      <c r="G15" s="58"/>
      <c r="H15" s="58"/>
      <c r="I15" s="58"/>
      <c r="J15" s="66">
        <f t="shared" si="0"/>
        <v>0</v>
      </c>
      <c r="N15" s="67">
        <v>334548.46000000002</v>
      </c>
      <c r="O15" s="68">
        <v>1860730.34</v>
      </c>
      <c r="P15" s="61"/>
    </row>
    <row r="16" spans="1:16" ht="18" customHeight="1" x14ac:dyDescent="0.25">
      <c r="A16" s="55" t="s">
        <v>12</v>
      </c>
      <c r="B16" s="57"/>
      <c r="C16" s="57"/>
      <c r="D16" s="58">
        <v>0</v>
      </c>
      <c r="E16" s="58"/>
      <c r="F16" s="58"/>
      <c r="G16" s="58"/>
      <c r="H16" s="58"/>
      <c r="I16" s="58"/>
      <c r="J16" s="66">
        <f t="shared" si="0"/>
        <v>0</v>
      </c>
      <c r="N16" s="67">
        <v>277798.64</v>
      </c>
      <c r="O16" s="68">
        <v>5428.53</v>
      </c>
      <c r="P16" s="61"/>
    </row>
    <row r="17" spans="1:16" ht="15.75" x14ac:dyDescent="0.25">
      <c r="A17" s="57"/>
      <c r="B17" s="57" t="s">
        <v>13</v>
      </c>
      <c r="C17" s="57"/>
      <c r="D17" s="58">
        <v>37639046.07</v>
      </c>
      <c r="E17" s="58"/>
      <c r="F17" s="58">
        <v>1882882.83</v>
      </c>
      <c r="G17" s="58"/>
      <c r="H17" s="58"/>
      <c r="I17" s="58"/>
      <c r="J17" s="66">
        <f t="shared" si="0"/>
        <v>39521928.899999999</v>
      </c>
      <c r="N17" s="67">
        <v>473697.13</v>
      </c>
      <c r="O17" s="68"/>
      <c r="P17" s="61"/>
    </row>
    <row r="18" spans="1:16" ht="15.75" x14ac:dyDescent="0.25">
      <c r="A18" s="57"/>
      <c r="B18" s="57" t="s">
        <v>14</v>
      </c>
      <c r="C18" s="57"/>
      <c r="D18" s="58">
        <v>0</v>
      </c>
      <c r="E18" s="58"/>
      <c r="F18" s="58"/>
      <c r="G18" s="58"/>
      <c r="H18" s="58"/>
      <c r="I18" s="58"/>
      <c r="J18" s="66">
        <f t="shared" si="0"/>
        <v>0</v>
      </c>
      <c r="N18" s="67">
        <v>178289.68</v>
      </c>
      <c r="O18" s="68">
        <v>254734.83</v>
      </c>
      <c r="P18" s="61"/>
    </row>
    <row r="19" spans="1:16" ht="15.75" x14ac:dyDescent="0.25">
      <c r="A19" s="57"/>
      <c r="B19" s="57" t="s">
        <v>15</v>
      </c>
      <c r="C19" s="57"/>
      <c r="D19" s="58">
        <v>0</v>
      </c>
      <c r="E19" s="58"/>
      <c r="F19" s="58"/>
      <c r="G19" s="58"/>
      <c r="H19" s="58"/>
      <c r="I19" s="58"/>
      <c r="J19" s="66">
        <f t="shared" si="0"/>
        <v>0</v>
      </c>
      <c r="N19" s="67">
        <v>1688636.35</v>
      </c>
      <c r="O19" s="68"/>
      <c r="P19" s="61"/>
    </row>
    <row r="20" spans="1:16" ht="15.75" x14ac:dyDescent="0.25">
      <c r="A20" s="57"/>
      <c r="B20" s="57" t="s">
        <v>16</v>
      </c>
      <c r="C20" s="57"/>
      <c r="D20" s="58">
        <v>0</v>
      </c>
      <c r="E20" s="58"/>
      <c r="F20" s="58"/>
      <c r="G20" s="58"/>
      <c r="H20" s="58"/>
      <c r="I20" s="58"/>
      <c r="J20" s="66">
        <f t="shared" si="0"/>
        <v>0</v>
      </c>
      <c r="N20" s="67"/>
      <c r="O20" s="68"/>
      <c r="P20" s="61"/>
    </row>
    <row r="21" spans="1:16" ht="15.75" x14ac:dyDescent="0.25">
      <c r="A21" s="57"/>
      <c r="B21" s="57" t="s">
        <v>17</v>
      </c>
      <c r="C21" s="57"/>
      <c r="D21" s="58">
        <v>0</v>
      </c>
      <c r="E21" s="58"/>
      <c r="F21" s="58"/>
      <c r="G21" s="58"/>
      <c r="H21" s="58"/>
      <c r="I21" s="58"/>
      <c r="J21" s="66">
        <f t="shared" si="0"/>
        <v>0</v>
      </c>
      <c r="N21" s="67">
        <v>823977.24</v>
      </c>
      <c r="O21" s="68"/>
      <c r="P21" s="61"/>
    </row>
    <row r="22" spans="1:16" ht="15.75" x14ac:dyDescent="0.25">
      <c r="A22" s="57"/>
      <c r="B22" s="57" t="s">
        <v>18</v>
      </c>
      <c r="C22" s="57"/>
      <c r="D22" s="58">
        <v>56311884</v>
      </c>
      <c r="E22" s="58"/>
      <c r="F22" s="58">
        <v>2615837</v>
      </c>
      <c r="G22" s="58"/>
      <c r="H22" s="58">
        <v>4989182</v>
      </c>
      <c r="I22" s="58"/>
      <c r="J22" s="66">
        <f t="shared" si="0"/>
        <v>53938539</v>
      </c>
      <c r="N22" s="67">
        <v>1425337.34</v>
      </c>
      <c r="O22" s="68"/>
      <c r="P22" s="61"/>
    </row>
    <row r="23" spans="1:16" ht="15.75" x14ac:dyDescent="0.25">
      <c r="A23" s="57"/>
      <c r="B23" s="57" t="s">
        <v>19</v>
      </c>
      <c r="C23" s="57"/>
      <c r="D23" s="58">
        <v>54342</v>
      </c>
      <c r="E23" s="58"/>
      <c r="F23" s="58"/>
      <c r="G23" s="58"/>
      <c r="H23" s="58"/>
      <c r="I23" s="58"/>
      <c r="J23" s="66">
        <f t="shared" si="0"/>
        <v>54342</v>
      </c>
      <c r="N23" s="67">
        <v>1544691.87</v>
      </c>
      <c r="O23" s="71"/>
      <c r="P23" s="61"/>
    </row>
    <row r="24" spans="1:16" ht="30" x14ac:dyDescent="0.25">
      <c r="A24" s="57"/>
      <c r="B24" s="72" t="s">
        <v>103</v>
      </c>
      <c r="C24" s="57"/>
      <c r="D24" s="58">
        <v>3655450.02</v>
      </c>
      <c r="E24" s="58"/>
      <c r="F24" s="58">
        <v>1083987</v>
      </c>
      <c r="G24" s="58"/>
      <c r="H24" s="58">
        <v>3402299</v>
      </c>
      <c r="I24" s="58"/>
      <c r="J24" s="66">
        <f t="shared" si="0"/>
        <v>1337138.0199999996</v>
      </c>
      <c r="N24" s="67"/>
      <c r="O24" s="71"/>
      <c r="P24" s="61"/>
    </row>
    <row r="25" spans="1:16" ht="15.75" x14ac:dyDescent="0.25">
      <c r="A25" s="57"/>
      <c r="B25" s="57" t="s">
        <v>21</v>
      </c>
      <c r="C25" s="57"/>
      <c r="D25" s="58">
        <v>0</v>
      </c>
      <c r="E25" s="58"/>
      <c r="F25" s="58"/>
      <c r="G25" s="58"/>
      <c r="H25" s="58"/>
      <c r="I25" s="58"/>
      <c r="J25" s="66">
        <f>D25+F25-H25</f>
        <v>0</v>
      </c>
      <c r="N25" s="67"/>
      <c r="O25" s="68"/>
      <c r="P25" s="61"/>
    </row>
    <row r="26" spans="1:16" ht="21" customHeight="1" thickBot="1" x14ac:dyDescent="0.3">
      <c r="A26" s="57"/>
      <c r="B26" s="57" t="s">
        <v>22</v>
      </c>
      <c r="C26" s="57"/>
      <c r="D26" s="58">
        <v>0</v>
      </c>
      <c r="E26" s="58"/>
      <c r="F26" s="58"/>
      <c r="G26" s="58"/>
      <c r="H26" s="58"/>
      <c r="I26" s="58"/>
      <c r="J26" s="66">
        <f>D26+F26-H26</f>
        <v>0</v>
      </c>
      <c r="N26" s="73">
        <f>SUM(N11:N25)</f>
        <v>8389260.0599999987</v>
      </c>
      <c r="O26" s="73">
        <f>SUM(O11:O25)</f>
        <v>3183122.5399999996</v>
      </c>
      <c r="P26" s="61"/>
    </row>
    <row r="27" spans="1:16" ht="16.5" thickTop="1" x14ac:dyDescent="0.25">
      <c r="A27" s="57"/>
      <c r="B27" s="57" t="s">
        <v>23</v>
      </c>
      <c r="C27" s="57"/>
      <c r="D27" s="58">
        <v>0</v>
      </c>
      <c r="E27" s="58"/>
      <c r="F27" s="58"/>
      <c r="G27" s="58"/>
      <c r="H27" s="58"/>
      <c r="I27" s="58"/>
      <c r="J27" s="66">
        <f>D27+F27-H27</f>
        <v>0</v>
      </c>
      <c r="N27" s="67"/>
      <c r="O27" s="68"/>
      <c r="P27" s="61"/>
    </row>
    <row r="28" spans="1:16" ht="15.75" x14ac:dyDescent="0.25">
      <c r="A28" s="57"/>
      <c r="B28" s="57" t="s">
        <v>24</v>
      </c>
      <c r="C28" s="57"/>
      <c r="D28" s="74">
        <v>2605016</v>
      </c>
      <c r="E28" s="58"/>
      <c r="F28" s="74"/>
      <c r="G28" s="58"/>
      <c r="H28" s="74"/>
      <c r="I28" s="58"/>
      <c r="J28" s="66">
        <f>D28+F28-H28</f>
        <v>2605016</v>
      </c>
      <c r="N28" s="67"/>
      <c r="O28" s="68"/>
      <c r="P28" s="61"/>
    </row>
    <row r="29" spans="1:16" ht="16.5" thickBot="1" x14ac:dyDescent="0.3">
      <c r="A29" s="55" t="s">
        <v>25</v>
      </c>
      <c r="B29" s="57"/>
      <c r="C29" s="57"/>
      <c r="D29" s="75">
        <f>SUM(D10:D28)</f>
        <v>242743169.56999999</v>
      </c>
      <c r="E29" s="63"/>
      <c r="F29" s="75">
        <f>SUM(F10:F28)</f>
        <v>13971966.890000001</v>
      </c>
      <c r="G29" s="63"/>
      <c r="H29" s="75">
        <f>SUM(H10:H28)</f>
        <v>11574603.539999999</v>
      </c>
      <c r="I29" s="63"/>
      <c r="J29" s="75">
        <f>SUM(J10:J28)</f>
        <v>245140532.92000002</v>
      </c>
      <c r="N29" s="67"/>
      <c r="O29" s="68"/>
      <c r="P29" s="61"/>
    </row>
    <row r="30" spans="1:16" ht="15.75" thickTop="1" x14ac:dyDescent="0.2">
      <c r="A30" s="76"/>
      <c r="B30" s="76"/>
      <c r="C30" s="76"/>
      <c r="D30" s="77"/>
      <c r="E30" s="77"/>
      <c r="F30" s="77"/>
      <c r="G30" s="77"/>
      <c r="H30" s="77"/>
      <c r="I30" s="77"/>
      <c r="J30" s="77"/>
      <c r="N30" s="67"/>
      <c r="O30" s="68"/>
      <c r="P30" s="61"/>
    </row>
    <row r="31" spans="1:16" x14ac:dyDescent="0.2">
      <c r="A31" s="46"/>
      <c r="B31" s="46"/>
      <c r="C31" s="46"/>
      <c r="D31" s="47"/>
      <c r="E31" s="47"/>
      <c r="F31" s="47"/>
      <c r="G31" s="47"/>
      <c r="H31" s="47"/>
      <c r="I31" s="47"/>
      <c r="J31" s="47"/>
      <c r="N31" s="67"/>
      <c r="O31" s="68"/>
      <c r="P31" s="61"/>
    </row>
    <row r="32" spans="1:16" x14ac:dyDescent="0.2">
      <c r="A32" s="46"/>
      <c r="B32" s="46"/>
      <c r="C32" s="46"/>
      <c r="D32" s="47"/>
      <c r="E32" s="47"/>
      <c r="F32" s="47"/>
      <c r="G32" s="47"/>
      <c r="H32" s="47"/>
      <c r="I32" s="47"/>
      <c r="J32" s="47"/>
      <c r="N32" s="67"/>
      <c r="O32" s="68"/>
      <c r="P32" s="61"/>
    </row>
    <row r="33" spans="1:16" x14ac:dyDescent="0.2">
      <c r="A33" s="46"/>
      <c r="B33" s="46"/>
      <c r="C33" s="46"/>
      <c r="D33" s="47"/>
      <c r="E33" s="47"/>
      <c r="F33" s="47"/>
      <c r="G33" s="47"/>
      <c r="H33" s="47"/>
      <c r="I33" s="47"/>
      <c r="J33" s="47"/>
      <c r="N33" s="78" t="s">
        <v>113</v>
      </c>
      <c r="O33" s="79" t="s">
        <v>114</v>
      </c>
      <c r="P33" s="61"/>
    </row>
    <row r="34" spans="1:16" ht="17.25" x14ac:dyDescent="0.2">
      <c r="A34" s="80">
        <v>1</v>
      </c>
      <c r="B34" s="81" t="s">
        <v>115</v>
      </c>
      <c r="C34" s="81"/>
      <c r="D34" s="81"/>
      <c r="E34" s="81"/>
      <c r="F34" s="81"/>
      <c r="G34" s="81"/>
      <c r="H34" s="81"/>
      <c r="I34" s="81"/>
      <c r="J34" s="81"/>
      <c r="N34" s="82" t="s">
        <v>111</v>
      </c>
      <c r="O34" s="82" t="s">
        <v>111</v>
      </c>
      <c r="P34" s="61"/>
    </row>
    <row r="35" spans="1:16" ht="15.75" x14ac:dyDescent="0.2">
      <c r="A35" s="83"/>
      <c r="B35" s="81"/>
      <c r="C35" s="81"/>
      <c r="D35" s="81"/>
      <c r="E35" s="81"/>
      <c r="F35" s="81"/>
      <c r="G35" s="81"/>
      <c r="H35" s="81"/>
      <c r="I35" s="81"/>
      <c r="J35" s="81"/>
      <c r="N35" s="68">
        <v>133965.45000000001</v>
      </c>
      <c r="O35" s="68"/>
      <c r="P35" s="61"/>
    </row>
    <row r="36" spans="1:16" ht="17.25" customHeight="1" x14ac:dyDescent="0.2">
      <c r="A36" s="83"/>
      <c r="B36" s="81"/>
      <c r="C36" s="81"/>
      <c r="D36" s="81"/>
      <c r="E36" s="81"/>
      <c r="F36" s="81"/>
      <c r="G36" s="81"/>
      <c r="H36" s="81"/>
      <c r="I36" s="81"/>
      <c r="J36" s="81"/>
      <c r="N36" s="68">
        <v>11942.84</v>
      </c>
      <c r="O36" s="68"/>
      <c r="P36" s="61"/>
    </row>
    <row r="37" spans="1:16" ht="21.75" customHeight="1" x14ac:dyDescent="0.2">
      <c r="A37" s="80">
        <v>2</v>
      </c>
      <c r="B37" s="84" t="s">
        <v>28</v>
      </c>
      <c r="C37" s="84"/>
      <c r="D37" s="85"/>
      <c r="E37" s="85"/>
      <c r="F37" s="85"/>
      <c r="G37" s="85"/>
      <c r="H37" s="85"/>
      <c r="I37" s="85"/>
      <c r="J37" s="85"/>
      <c r="N37" s="68">
        <v>59025.4</v>
      </c>
      <c r="O37" s="68"/>
      <c r="P37" s="61"/>
    </row>
    <row r="38" spans="1:16" ht="17.25" x14ac:dyDescent="0.2">
      <c r="A38" s="80">
        <v>3</v>
      </c>
      <c r="B38" s="81" t="s">
        <v>116</v>
      </c>
      <c r="C38" s="81"/>
      <c r="D38" s="81"/>
      <c r="E38" s="81"/>
      <c r="F38" s="81"/>
      <c r="G38" s="81"/>
      <c r="H38" s="81"/>
      <c r="I38" s="81"/>
      <c r="J38" s="81"/>
      <c r="N38" s="68">
        <v>8467.3700000000008</v>
      </c>
      <c r="O38" s="86"/>
      <c r="P38" s="61"/>
    </row>
    <row r="39" spans="1:16" ht="15.75" x14ac:dyDescent="0.2">
      <c r="A39" s="83"/>
      <c r="B39" s="81"/>
      <c r="C39" s="81"/>
      <c r="D39" s="81"/>
      <c r="E39" s="81"/>
      <c r="F39" s="81"/>
      <c r="G39" s="81"/>
      <c r="H39" s="81"/>
      <c r="I39" s="81"/>
      <c r="J39" s="81"/>
      <c r="N39" s="68">
        <v>61538.1</v>
      </c>
      <c r="O39" s="68"/>
      <c r="P39" s="87"/>
    </row>
    <row r="40" spans="1:16" ht="15.75" x14ac:dyDescent="0.2">
      <c r="A40" s="83"/>
      <c r="B40" s="81"/>
      <c r="C40" s="81"/>
      <c r="D40" s="81"/>
      <c r="E40" s="81"/>
      <c r="F40" s="81"/>
      <c r="G40" s="81"/>
      <c r="H40" s="81"/>
      <c r="I40" s="81"/>
      <c r="J40" s="81"/>
      <c r="N40" s="86">
        <v>17100</v>
      </c>
      <c r="O40" s="68"/>
      <c r="P40" s="61"/>
    </row>
    <row r="41" spans="1:16" x14ac:dyDescent="0.2">
      <c r="B41" s="88"/>
      <c r="C41" s="88"/>
      <c r="D41" s="88"/>
      <c r="E41" s="88"/>
      <c r="F41" s="88"/>
      <c r="G41" s="88"/>
      <c r="H41" s="88"/>
      <c r="I41" s="88"/>
      <c r="J41" s="88"/>
      <c r="N41" s="68">
        <v>116346.6</v>
      </c>
      <c r="O41" s="68"/>
      <c r="P41" s="61"/>
    </row>
    <row r="42" spans="1:16" x14ac:dyDescent="0.2">
      <c r="B42" s="88"/>
      <c r="C42" s="88"/>
      <c r="D42" s="88"/>
      <c r="E42" s="88"/>
      <c r="F42" s="88"/>
      <c r="G42" s="88"/>
      <c r="H42" s="88"/>
      <c r="I42" s="88"/>
      <c r="J42" s="88"/>
      <c r="N42" s="68">
        <v>211800</v>
      </c>
      <c r="O42" s="68"/>
      <c r="P42" s="61"/>
    </row>
    <row r="43" spans="1:16" x14ac:dyDescent="0.2">
      <c r="B43" s="88"/>
      <c r="C43" s="88"/>
      <c r="D43" s="88"/>
      <c r="E43" s="88"/>
      <c r="F43" s="88"/>
      <c r="G43" s="88"/>
      <c r="H43" s="88"/>
      <c r="I43" s="88"/>
      <c r="J43" s="88"/>
      <c r="N43" s="68">
        <v>1153957.27</v>
      </c>
      <c r="O43" s="68"/>
      <c r="P43" s="61"/>
    </row>
    <row r="44" spans="1:16" x14ac:dyDescent="0.2">
      <c r="N44" s="68">
        <v>108739.8</v>
      </c>
      <c r="O44" s="68"/>
      <c r="P44" s="61"/>
    </row>
    <row r="45" spans="1:16" x14ac:dyDescent="0.2">
      <c r="N45" s="68"/>
      <c r="O45" s="90"/>
      <c r="P45" s="61"/>
    </row>
    <row r="46" spans="1:16" ht="15.75" thickBot="1" x14ac:dyDescent="0.25">
      <c r="N46" s="73">
        <f>SUM(N35:N45)</f>
        <v>1882882.83</v>
      </c>
      <c r="O46" s="91"/>
      <c r="P46" s="61"/>
    </row>
    <row r="47" spans="1:16" ht="15.75" thickTop="1" x14ac:dyDescent="0.2">
      <c r="N47" s="90"/>
      <c r="O47" s="91"/>
      <c r="P47" s="61"/>
    </row>
    <row r="48" spans="1:16" x14ac:dyDescent="0.2">
      <c r="N48" s="91"/>
      <c r="O48" s="91"/>
      <c r="P48" s="61"/>
    </row>
    <row r="49" spans="14:16" x14ac:dyDescent="0.2">
      <c r="N49" s="91"/>
      <c r="O49" s="91"/>
      <c r="P49" s="61"/>
    </row>
    <row r="50" spans="14:16" x14ac:dyDescent="0.25">
      <c r="N50" s="91"/>
    </row>
    <row r="51" spans="14:16" x14ac:dyDescent="0.25">
      <c r="N51" s="91"/>
    </row>
  </sheetData>
  <mergeCells count="8">
    <mergeCell ref="B38:J40"/>
    <mergeCell ref="B41:J43"/>
    <mergeCell ref="A1:J1"/>
    <mergeCell ref="A2:J2"/>
    <mergeCell ref="A3:J3"/>
    <mergeCell ref="A4:J4"/>
    <mergeCell ref="N9:O9"/>
    <mergeCell ref="B34:J36"/>
  </mergeCells>
  <pageMargins left="0.7" right="0.7" top="0.75" bottom="0.75" header="0.3" footer="0.3"/>
  <pageSetup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8512-1690-4A4E-9934-441ADF70687F}">
  <sheetPr>
    <pageSetUpPr fitToPage="1"/>
  </sheetPr>
  <dimension ref="A1:V41"/>
  <sheetViews>
    <sheetView topLeftCell="A14" workbookViewId="0">
      <selection activeCell="H21" sqref="H21"/>
    </sheetView>
  </sheetViews>
  <sheetFormatPr defaultRowHeight="15.75" x14ac:dyDescent="0.25"/>
  <cols>
    <col min="1" max="1" width="1.7109375" style="93" customWidth="1"/>
    <col min="2" max="2" width="9" style="93" customWidth="1"/>
    <col min="3" max="3" width="44.28515625" style="93" customWidth="1"/>
    <col min="4" max="4" width="1.7109375" style="93" customWidth="1"/>
    <col min="5" max="5" width="15.7109375" style="113" customWidth="1"/>
    <col min="6" max="6" width="1.7109375" style="113" customWidth="1"/>
    <col min="7" max="7" width="15.7109375" style="113" customWidth="1"/>
    <col min="8" max="8" width="1.7109375" style="113" customWidth="1"/>
    <col min="9" max="9" width="15.7109375" style="113" customWidth="1"/>
    <col min="10" max="10" width="1.7109375" style="113" customWidth="1"/>
    <col min="11" max="11" width="15.7109375" style="113" customWidth="1"/>
    <col min="12" max="12" width="1.7109375" style="93" customWidth="1"/>
    <col min="13" max="13" width="15.7109375" style="93" customWidth="1"/>
    <col min="14" max="14" width="1.7109375" style="93" customWidth="1"/>
    <col min="15" max="15" width="15.7109375" style="93" customWidth="1"/>
    <col min="16" max="16" width="1.7109375" style="93" customWidth="1"/>
    <col min="17" max="17" width="15.7109375" style="93" customWidth="1"/>
    <col min="18" max="18" width="1.7109375" style="93" customWidth="1"/>
    <col min="19" max="20" width="15.7109375" style="93" customWidth="1"/>
    <col min="21" max="21" width="1.7109375" style="93" customWidth="1"/>
    <col min="22" max="22" width="15.7109375" style="93" customWidth="1"/>
    <col min="23" max="16384" width="9.140625" style="93"/>
  </cols>
  <sheetData>
    <row r="1" spans="1:22" x14ac:dyDescent="0.25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x14ac:dyDescent="0.25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 spans="1:22" x14ac:dyDescent="0.25">
      <c r="A3" s="92" t="s">
        <v>31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r="4" spans="1:22" x14ac:dyDescent="0.25">
      <c r="A4" s="92" t="s">
        <v>85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</row>
    <row r="5" spans="1:22" x14ac:dyDescent="0.25">
      <c r="A5" s="92" t="s">
        <v>96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</row>
    <row r="6" spans="1:22" x14ac:dyDescent="0.25">
      <c r="A6" s="56"/>
      <c r="B6" s="56"/>
      <c r="C6" s="56"/>
      <c r="D6" s="56"/>
      <c r="E6" s="94"/>
      <c r="F6" s="94"/>
      <c r="G6" s="94"/>
      <c r="H6" s="94"/>
      <c r="I6" s="94"/>
      <c r="J6" s="94"/>
      <c r="K6" s="94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1:22" ht="16.5" thickBot="1" x14ac:dyDescent="0.3">
      <c r="A7" s="56"/>
      <c r="B7" s="56"/>
      <c r="C7" s="56"/>
      <c r="D7" s="56"/>
      <c r="E7" s="94"/>
      <c r="F7" s="94"/>
      <c r="G7" s="94"/>
      <c r="H7" s="94"/>
      <c r="I7" s="94"/>
      <c r="J7" s="95"/>
      <c r="K7" s="96" t="s">
        <v>32</v>
      </c>
      <c r="L7" s="96"/>
      <c r="M7" s="96"/>
      <c r="N7" s="96"/>
      <c r="O7" s="96"/>
      <c r="P7" s="96"/>
      <c r="Q7" s="96"/>
      <c r="R7" s="96"/>
      <c r="S7" s="96"/>
      <c r="T7" s="96"/>
      <c r="U7" s="56"/>
      <c r="V7" s="56"/>
    </row>
    <row r="8" spans="1:22" x14ac:dyDescent="0.25">
      <c r="A8" s="56"/>
      <c r="B8" s="56"/>
      <c r="C8" s="56"/>
      <c r="D8" s="56"/>
      <c r="E8" s="97" t="s">
        <v>33</v>
      </c>
      <c r="F8" s="98"/>
      <c r="G8" s="97" t="s">
        <v>34</v>
      </c>
      <c r="H8" s="98"/>
      <c r="I8" s="97" t="s">
        <v>35</v>
      </c>
      <c r="J8" s="99"/>
      <c r="K8" s="97" t="s">
        <v>36</v>
      </c>
      <c r="L8" s="56"/>
      <c r="M8" s="97" t="s">
        <v>37</v>
      </c>
      <c r="N8" s="98"/>
      <c r="O8" s="97" t="s">
        <v>38</v>
      </c>
      <c r="P8" s="98"/>
      <c r="Q8" s="97" t="s">
        <v>39</v>
      </c>
      <c r="R8" s="98"/>
      <c r="S8" s="97" t="s">
        <v>40</v>
      </c>
      <c r="T8" s="97" t="s">
        <v>41</v>
      </c>
      <c r="U8" s="98"/>
      <c r="V8" s="97" t="s">
        <v>42</v>
      </c>
    </row>
    <row r="9" spans="1:22" ht="110.25" x14ac:dyDescent="0.25">
      <c r="A9" s="48"/>
      <c r="B9" s="56"/>
      <c r="C9" s="56"/>
      <c r="D9" s="56"/>
      <c r="E9" s="100" t="s">
        <v>43</v>
      </c>
      <c r="F9" s="98"/>
      <c r="G9" s="100" t="s">
        <v>44</v>
      </c>
      <c r="H9" s="98"/>
      <c r="I9" s="101" t="s">
        <v>45</v>
      </c>
      <c r="J9" s="99"/>
      <c r="K9" s="100" t="s">
        <v>46</v>
      </c>
      <c r="L9" s="98"/>
      <c r="M9" s="100" t="s">
        <v>47</v>
      </c>
      <c r="N9" s="56"/>
      <c r="O9" s="100" t="s">
        <v>117</v>
      </c>
      <c r="P9" s="56"/>
      <c r="Q9" s="100" t="s">
        <v>118</v>
      </c>
      <c r="R9" s="56"/>
      <c r="S9" s="100" t="s">
        <v>119</v>
      </c>
      <c r="T9" s="100" t="s">
        <v>100</v>
      </c>
      <c r="U9" s="56"/>
      <c r="V9" s="100" t="s">
        <v>120</v>
      </c>
    </row>
    <row r="10" spans="1:22" x14ac:dyDescent="0.25">
      <c r="A10" s="56"/>
      <c r="B10" s="56"/>
      <c r="C10" s="56"/>
      <c r="D10" s="56"/>
      <c r="E10" s="94"/>
      <c r="F10" s="94"/>
      <c r="G10" s="94"/>
      <c r="H10" s="94"/>
      <c r="I10" s="94"/>
      <c r="J10" s="95"/>
      <c r="K10" s="94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</row>
    <row r="11" spans="1:22" x14ac:dyDescent="0.25">
      <c r="A11" s="55" t="s">
        <v>5</v>
      </c>
      <c r="B11" s="56"/>
      <c r="C11" s="56"/>
      <c r="D11" s="56"/>
      <c r="E11" s="94"/>
      <c r="F11" s="94"/>
      <c r="G11" s="94"/>
      <c r="H11" s="94"/>
      <c r="I11" s="94"/>
      <c r="J11" s="95"/>
      <c r="K11" s="94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</row>
    <row r="12" spans="1:22" x14ac:dyDescent="0.25">
      <c r="A12" s="56"/>
      <c r="B12" s="56" t="s">
        <v>6</v>
      </c>
      <c r="C12" s="56"/>
      <c r="D12" s="56"/>
      <c r="E12" s="102">
        <v>5741369.4800000004</v>
      </c>
      <c r="F12" s="103"/>
      <c r="G12" s="102">
        <v>4789369.4800000004</v>
      </c>
      <c r="H12" s="104"/>
      <c r="I12" s="105">
        <f>G12-E12</f>
        <v>-952000</v>
      </c>
      <c r="J12" s="106"/>
      <c r="K12" s="104"/>
      <c r="L12" s="104"/>
      <c r="M12" s="104"/>
      <c r="N12" s="104"/>
      <c r="O12" s="104"/>
      <c r="P12" s="104"/>
      <c r="Q12" s="104"/>
      <c r="R12" s="104"/>
      <c r="S12" s="104">
        <v>-952000</v>
      </c>
      <c r="T12" s="104"/>
      <c r="U12" s="104"/>
      <c r="V12" s="105">
        <f>SUM(K12:T12)</f>
        <v>-952000</v>
      </c>
    </row>
    <row r="13" spans="1:22" x14ac:dyDescent="0.25">
      <c r="A13" s="56"/>
      <c r="B13" s="56" t="s">
        <v>7</v>
      </c>
      <c r="C13" s="56"/>
      <c r="D13" s="56"/>
      <c r="E13" s="102">
        <v>46132780.200000003</v>
      </c>
      <c r="F13" s="103"/>
      <c r="G13" s="102">
        <v>38906780.200000003</v>
      </c>
      <c r="H13" s="104"/>
      <c r="I13" s="105">
        <f t="shared" ref="I13:I30" si="0">G13-E13</f>
        <v>-7226000</v>
      </c>
      <c r="J13" s="106"/>
      <c r="K13" s="104"/>
      <c r="L13" s="104"/>
      <c r="M13" s="104"/>
      <c r="N13" s="104"/>
      <c r="O13" s="104"/>
      <c r="P13" s="104"/>
      <c r="Q13" s="104"/>
      <c r="R13" s="104"/>
      <c r="S13" s="104">
        <v>-7226000</v>
      </c>
      <c r="T13" s="104"/>
      <c r="U13" s="104"/>
      <c r="V13" s="105">
        <f t="shared" ref="V13:V30" si="1">SUM(K13:T13)</f>
        <v>-7226000</v>
      </c>
    </row>
    <row r="14" spans="1:22" x14ac:dyDescent="0.25">
      <c r="A14" s="56"/>
      <c r="B14" s="56" t="s">
        <v>8</v>
      </c>
      <c r="C14" s="56"/>
      <c r="D14" s="56"/>
      <c r="E14" s="103"/>
      <c r="F14" s="103"/>
      <c r="G14" s="103"/>
      <c r="H14" s="104"/>
      <c r="I14" s="105">
        <f t="shared" si="0"/>
        <v>0</v>
      </c>
      <c r="J14" s="106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5">
        <f t="shared" si="1"/>
        <v>0</v>
      </c>
    </row>
    <row r="15" spans="1:22" x14ac:dyDescent="0.25">
      <c r="A15" s="56"/>
      <c r="B15" s="56" t="s">
        <v>9</v>
      </c>
      <c r="C15" s="56"/>
      <c r="D15" s="56"/>
      <c r="E15" s="103">
        <v>98781281.799999997</v>
      </c>
      <c r="F15" s="103"/>
      <c r="G15" s="103">
        <v>98781281.799999997</v>
      </c>
      <c r="H15" s="104"/>
      <c r="I15" s="105">
        <f t="shared" si="0"/>
        <v>0</v>
      </c>
      <c r="J15" s="106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5">
        <f t="shared" si="1"/>
        <v>0</v>
      </c>
    </row>
    <row r="16" spans="1:22" x14ac:dyDescent="0.25">
      <c r="A16" s="56"/>
      <c r="B16" s="56" t="s">
        <v>10</v>
      </c>
      <c r="C16" s="56"/>
      <c r="D16" s="56"/>
      <c r="E16" s="103"/>
      <c r="F16" s="103"/>
      <c r="G16" s="103"/>
      <c r="H16" s="104"/>
      <c r="I16" s="105">
        <f t="shared" si="0"/>
        <v>0</v>
      </c>
      <c r="J16" s="106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5">
        <f t="shared" si="1"/>
        <v>0</v>
      </c>
    </row>
    <row r="17" spans="1:22" x14ac:dyDescent="0.25">
      <c r="A17" s="56"/>
      <c r="B17" s="56" t="s">
        <v>11</v>
      </c>
      <c r="C17" s="56"/>
      <c r="D17" s="56"/>
      <c r="E17" s="103"/>
      <c r="F17" s="103"/>
      <c r="G17" s="103"/>
      <c r="H17" s="104"/>
      <c r="I17" s="105">
        <f t="shared" si="0"/>
        <v>0</v>
      </c>
      <c r="J17" s="106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5">
        <f t="shared" si="1"/>
        <v>0</v>
      </c>
    </row>
    <row r="18" spans="1:22" x14ac:dyDescent="0.25">
      <c r="A18" s="55" t="s">
        <v>12</v>
      </c>
      <c r="B18" s="56"/>
      <c r="C18" s="56"/>
      <c r="D18" s="56"/>
      <c r="E18" s="103"/>
      <c r="F18" s="103"/>
      <c r="G18" s="103"/>
      <c r="H18" s="104"/>
      <c r="I18" s="105">
        <f t="shared" si="0"/>
        <v>0</v>
      </c>
      <c r="J18" s="106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5"/>
    </row>
    <row r="19" spans="1:22" x14ac:dyDescent="0.25">
      <c r="A19" s="56"/>
      <c r="B19" s="56" t="s">
        <v>13</v>
      </c>
      <c r="C19" s="56"/>
      <c r="D19" s="56"/>
      <c r="E19" s="103">
        <v>37639046.07</v>
      </c>
      <c r="F19" s="103"/>
      <c r="G19" s="103">
        <v>37639046.07</v>
      </c>
      <c r="H19" s="104"/>
      <c r="I19" s="105">
        <f t="shared" si="0"/>
        <v>0</v>
      </c>
      <c r="J19" s="106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5">
        <f t="shared" si="1"/>
        <v>0</v>
      </c>
    </row>
    <row r="20" spans="1:22" x14ac:dyDescent="0.25">
      <c r="A20" s="56"/>
      <c r="B20" s="56" t="s">
        <v>14</v>
      </c>
      <c r="C20" s="56"/>
      <c r="D20" s="56"/>
      <c r="E20" s="103"/>
      <c r="F20" s="103"/>
      <c r="G20" s="103"/>
      <c r="H20" s="104"/>
      <c r="I20" s="105">
        <f t="shared" si="0"/>
        <v>0</v>
      </c>
      <c r="J20" s="106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5">
        <f t="shared" si="1"/>
        <v>0</v>
      </c>
    </row>
    <row r="21" spans="1:22" x14ac:dyDescent="0.25">
      <c r="A21" s="56"/>
      <c r="B21" s="56" t="s">
        <v>15</v>
      </c>
      <c r="C21" s="56"/>
      <c r="D21" s="56"/>
      <c r="E21" s="103"/>
      <c r="F21" s="103"/>
      <c r="G21" s="103"/>
      <c r="H21" s="104"/>
      <c r="I21" s="105">
        <f t="shared" si="0"/>
        <v>0</v>
      </c>
      <c r="J21" s="106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5">
        <f t="shared" si="1"/>
        <v>0</v>
      </c>
    </row>
    <row r="22" spans="1:22" x14ac:dyDescent="0.25">
      <c r="A22" s="56"/>
      <c r="B22" s="56" t="s">
        <v>16</v>
      </c>
      <c r="C22" s="56"/>
      <c r="D22" s="56"/>
      <c r="E22" s="103"/>
      <c r="F22" s="103"/>
      <c r="G22" s="103"/>
      <c r="H22" s="104"/>
      <c r="I22" s="105">
        <f t="shared" si="0"/>
        <v>0</v>
      </c>
      <c r="J22" s="106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5">
        <f t="shared" si="1"/>
        <v>0</v>
      </c>
    </row>
    <row r="23" spans="1:22" x14ac:dyDescent="0.25">
      <c r="A23" s="56"/>
      <c r="B23" s="56" t="s">
        <v>17</v>
      </c>
      <c r="C23" s="56"/>
      <c r="D23" s="56"/>
      <c r="E23" s="103"/>
      <c r="F23" s="103"/>
      <c r="G23" s="103"/>
      <c r="H23" s="104"/>
      <c r="I23" s="105">
        <f t="shared" si="0"/>
        <v>0</v>
      </c>
      <c r="J23" s="106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5">
        <f t="shared" si="1"/>
        <v>0</v>
      </c>
    </row>
    <row r="24" spans="1:22" x14ac:dyDescent="0.25">
      <c r="A24" s="56"/>
      <c r="B24" s="56" t="s">
        <v>18</v>
      </c>
      <c r="C24" s="56"/>
      <c r="D24" s="56"/>
      <c r="E24" s="103">
        <v>57141192</v>
      </c>
      <c r="F24" s="103"/>
      <c r="G24" s="103">
        <v>56311884</v>
      </c>
      <c r="H24" s="104"/>
      <c r="I24" s="105">
        <f t="shared" si="0"/>
        <v>-829308</v>
      </c>
      <c r="J24" s="106"/>
      <c r="K24" s="104"/>
      <c r="L24" s="104"/>
      <c r="M24" s="104"/>
      <c r="N24" s="104"/>
      <c r="O24" s="104"/>
      <c r="P24" s="104"/>
      <c r="Q24" s="104"/>
      <c r="R24" s="104"/>
      <c r="S24" s="104"/>
      <c r="T24" s="104">
        <v>829308</v>
      </c>
      <c r="U24" s="104"/>
      <c r="V24" s="105">
        <f t="shared" si="1"/>
        <v>829308</v>
      </c>
    </row>
    <row r="25" spans="1:22" x14ac:dyDescent="0.25">
      <c r="A25" s="56"/>
      <c r="B25" s="56" t="s">
        <v>19</v>
      </c>
      <c r="C25" s="56"/>
      <c r="D25" s="56"/>
      <c r="E25" s="103">
        <v>54342</v>
      </c>
      <c r="F25" s="103"/>
      <c r="G25" s="103">
        <v>54342</v>
      </c>
      <c r="H25" s="104"/>
      <c r="I25" s="105">
        <f t="shared" si="0"/>
        <v>0</v>
      </c>
      <c r="J25" s="106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5">
        <f t="shared" si="1"/>
        <v>0</v>
      </c>
    </row>
    <row r="26" spans="1:22" ht="33.75" customHeight="1" x14ac:dyDescent="0.25">
      <c r="A26" s="56"/>
      <c r="B26" s="107" t="s">
        <v>103</v>
      </c>
      <c r="C26" s="107"/>
      <c r="D26" s="56"/>
      <c r="E26" s="103">
        <v>3655450.02</v>
      </c>
      <c r="F26" s="103"/>
      <c r="G26" s="103">
        <v>3655450.02</v>
      </c>
      <c r="H26" s="104"/>
      <c r="I26" s="105">
        <f t="shared" si="0"/>
        <v>0</v>
      </c>
      <c r="J26" s="106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5"/>
    </row>
    <row r="27" spans="1:22" x14ac:dyDescent="0.25">
      <c r="A27" s="56"/>
      <c r="B27" s="56" t="s">
        <v>21</v>
      </c>
      <c r="C27" s="56"/>
      <c r="D27" s="56"/>
      <c r="E27" s="103"/>
      <c r="F27" s="103"/>
      <c r="G27" s="103"/>
      <c r="H27" s="104"/>
      <c r="I27" s="105">
        <f t="shared" si="0"/>
        <v>0</v>
      </c>
      <c r="J27" s="106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5">
        <f t="shared" si="1"/>
        <v>0</v>
      </c>
    </row>
    <row r="28" spans="1:22" x14ac:dyDescent="0.25">
      <c r="A28" s="56"/>
      <c r="B28" s="56" t="s">
        <v>22</v>
      </c>
      <c r="C28" s="56"/>
      <c r="D28" s="56"/>
      <c r="E28" s="103"/>
      <c r="F28" s="103"/>
      <c r="G28" s="103"/>
      <c r="H28" s="104"/>
      <c r="I28" s="105">
        <f t="shared" si="0"/>
        <v>0</v>
      </c>
      <c r="J28" s="106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5">
        <f t="shared" si="1"/>
        <v>0</v>
      </c>
    </row>
    <row r="29" spans="1:22" x14ac:dyDescent="0.25">
      <c r="A29" s="56"/>
      <c r="B29" s="56" t="s">
        <v>23</v>
      </c>
      <c r="C29" s="56"/>
      <c r="D29" s="56"/>
      <c r="E29" s="103"/>
      <c r="F29" s="103"/>
      <c r="G29" s="103"/>
      <c r="H29" s="104"/>
      <c r="I29" s="105">
        <f t="shared" si="0"/>
        <v>0</v>
      </c>
      <c r="J29" s="106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5">
        <f t="shared" si="1"/>
        <v>0</v>
      </c>
    </row>
    <row r="30" spans="1:22" x14ac:dyDescent="0.25">
      <c r="A30" s="56"/>
      <c r="B30" s="56" t="s">
        <v>24</v>
      </c>
      <c r="C30" s="56"/>
      <c r="D30" s="56"/>
      <c r="E30" s="108">
        <v>2605016</v>
      </c>
      <c r="F30" s="103"/>
      <c r="G30" s="108">
        <v>2605016</v>
      </c>
      <c r="H30" s="104"/>
      <c r="I30" s="105">
        <f t="shared" si="0"/>
        <v>0</v>
      </c>
      <c r="J30" s="106"/>
      <c r="K30" s="109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5">
        <f t="shared" si="1"/>
        <v>0</v>
      </c>
    </row>
    <row r="31" spans="1:22" ht="16.5" thickBot="1" x14ac:dyDescent="0.3">
      <c r="A31" s="110" t="s">
        <v>56</v>
      </c>
      <c r="E31" s="111">
        <f>SUM(E12:E30)</f>
        <v>251750477.57000002</v>
      </c>
      <c r="F31" s="105"/>
      <c r="G31" s="111">
        <f>SUM(G12:G30)</f>
        <v>242743169.57000002</v>
      </c>
      <c r="H31" s="105"/>
      <c r="I31" s="111">
        <f>SUM(I12:I30)</f>
        <v>-9007308</v>
      </c>
      <c r="J31" s="112"/>
      <c r="K31" s="111">
        <f>SUM(K12:K30)</f>
        <v>0</v>
      </c>
      <c r="L31" s="105"/>
      <c r="M31" s="111">
        <f>SUM(M12:M30)</f>
        <v>0</v>
      </c>
      <c r="N31" s="105"/>
      <c r="O31" s="111">
        <f>SUM(O12:O30)</f>
        <v>0</v>
      </c>
      <c r="P31" s="105"/>
      <c r="Q31" s="111">
        <f>SUM(Q12:Q30)</f>
        <v>0</v>
      </c>
      <c r="R31" s="105"/>
      <c r="S31" s="111">
        <f>SUM(S12:S30)</f>
        <v>-8178000</v>
      </c>
      <c r="T31" s="111">
        <f>SUM(T12:T30)</f>
        <v>829308</v>
      </c>
      <c r="U31" s="105"/>
      <c r="V31" s="111">
        <f>SUM(V12:V30)</f>
        <v>-7348692</v>
      </c>
    </row>
    <row r="32" spans="1:22" ht="16.5" thickTop="1" x14ac:dyDescent="0.25">
      <c r="A32" s="56"/>
      <c r="B32" s="56"/>
      <c r="C32" s="56"/>
      <c r="D32" s="56"/>
      <c r="E32" s="94"/>
      <c r="F32" s="94"/>
      <c r="G32" s="94"/>
      <c r="H32" s="94"/>
      <c r="I32" s="94"/>
      <c r="J32" s="94"/>
      <c r="K32" s="94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</row>
    <row r="33" spans="1:22" x14ac:dyDescent="0.25">
      <c r="A33" s="56"/>
      <c r="B33" s="56"/>
      <c r="C33" s="56"/>
      <c r="D33" s="56"/>
      <c r="E33" s="94"/>
      <c r="F33" s="94"/>
      <c r="G33" s="94"/>
      <c r="H33" s="94"/>
      <c r="I33" s="94"/>
      <c r="J33" s="94"/>
      <c r="K33" s="94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</row>
    <row r="34" spans="1:22" x14ac:dyDescent="0.25">
      <c r="A34" s="56" t="s">
        <v>57</v>
      </c>
      <c r="B34" s="56"/>
      <c r="C34" s="56"/>
      <c r="D34" s="56"/>
      <c r="E34" s="94"/>
      <c r="F34" s="94"/>
      <c r="G34" s="94"/>
      <c r="H34" s="94"/>
      <c r="I34" s="94"/>
      <c r="J34" s="94"/>
      <c r="K34" s="94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</row>
    <row r="35" spans="1:22" x14ac:dyDescent="0.25">
      <c r="A35" s="56" t="s">
        <v>58</v>
      </c>
      <c r="B35" s="56"/>
      <c r="C35" s="56" t="s">
        <v>59</v>
      </c>
      <c r="D35" s="56"/>
      <c r="E35" s="94"/>
      <c r="F35" s="94"/>
      <c r="G35" s="94"/>
      <c r="H35" s="94"/>
      <c r="I35" s="94"/>
      <c r="J35" s="94"/>
      <c r="K35" s="94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</row>
    <row r="36" spans="1:22" x14ac:dyDescent="0.25">
      <c r="A36" s="56" t="s">
        <v>60</v>
      </c>
      <c r="B36" s="56"/>
      <c r="C36" s="56" t="s">
        <v>61</v>
      </c>
      <c r="D36" s="56"/>
      <c r="E36" s="94"/>
      <c r="F36" s="94"/>
      <c r="G36" s="94"/>
      <c r="H36" s="94"/>
      <c r="I36" s="94"/>
      <c r="J36" s="94"/>
      <c r="K36" s="94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</row>
    <row r="37" spans="1:22" x14ac:dyDescent="0.25">
      <c r="A37" s="56" t="s">
        <v>62</v>
      </c>
      <c r="B37" s="56"/>
      <c r="C37" s="56" t="s">
        <v>63</v>
      </c>
      <c r="D37" s="56"/>
      <c r="E37" s="94"/>
      <c r="F37" s="94"/>
      <c r="G37" s="94"/>
      <c r="H37" s="94"/>
      <c r="I37" s="94"/>
      <c r="J37" s="94"/>
      <c r="K37" s="94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</row>
    <row r="38" spans="1:22" x14ac:dyDescent="0.25">
      <c r="A38" s="56"/>
      <c r="B38" s="56"/>
      <c r="C38" s="56" t="s">
        <v>64</v>
      </c>
      <c r="D38" s="56"/>
      <c r="E38" s="94"/>
      <c r="F38" s="94"/>
      <c r="G38" s="94"/>
      <c r="H38" s="94"/>
      <c r="I38" s="94"/>
      <c r="J38" s="94"/>
      <c r="K38" s="94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</row>
    <row r="39" spans="1:22" x14ac:dyDescent="0.25">
      <c r="A39" s="56" t="s">
        <v>121</v>
      </c>
      <c r="B39" s="56"/>
      <c r="C39" s="56" t="s">
        <v>65</v>
      </c>
      <c r="D39" s="56"/>
      <c r="E39" s="94"/>
      <c r="F39" s="94"/>
      <c r="G39" s="94"/>
      <c r="H39" s="94"/>
      <c r="I39" s="94"/>
      <c r="J39" s="94"/>
      <c r="K39" s="94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</row>
    <row r="40" spans="1:22" x14ac:dyDescent="0.25">
      <c r="A40" s="56" t="s">
        <v>66</v>
      </c>
      <c r="B40" s="56"/>
      <c r="C40" s="56" t="s">
        <v>67</v>
      </c>
      <c r="D40" s="56"/>
      <c r="E40" s="94"/>
      <c r="F40" s="94"/>
      <c r="G40" s="94"/>
      <c r="H40" s="94"/>
      <c r="I40" s="94"/>
      <c r="J40" s="94"/>
      <c r="K40" s="94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</row>
    <row r="41" spans="1:22" x14ac:dyDescent="0.25">
      <c r="A41" s="56"/>
      <c r="B41" s="56"/>
      <c r="C41" s="56"/>
      <c r="D41" s="56"/>
      <c r="E41" s="94"/>
      <c r="F41" s="94"/>
      <c r="G41" s="94"/>
      <c r="H41" s="94"/>
      <c r="I41" s="94"/>
      <c r="J41" s="94"/>
      <c r="K41" s="94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</row>
  </sheetData>
  <mergeCells count="1">
    <mergeCell ref="B26:C26"/>
  </mergeCells>
  <pageMargins left="0.7" right="0.7" top="0.75" bottom="0.75" header="0.3" footer="0.3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opLeftCell="B1" zoomScale="76" zoomScaleNormal="76" workbookViewId="0">
      <selection activeCell="H32" sqref="H32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78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33272</v>
      </c>
      <c r="E21" s="8"/>
      <c r="F21" s="8"/>
      <c r="G21" s="8"/>
      <c r="H21" s="8">
        <v>500</v>
      </c>
      <c r="I21" s="8"/>
      <c r="J21" s="2">
        <f>D21+F21-H21</f>
        <v>32772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717</v>
      </c>
      <c r="E23" s="32"/>
      <c r="F23" s="32">
        <v>557</v>
      </c>
      <c r="G23" s="32"/>
      <c r="H23" s="32">
        <f>101+538</f>
        <v>639</v>
      </c>
      <c r="I23" s="32"/>
      <c r="J23" s="2">
        <f t="shared" si="0"/>
        <v>635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33989</v>
      </c>
      <c r="E28" s="23"/>
      <c r="F28" s="22">
        <f>SUM(F9:F27)</f>
        <v>557</v>
      </c>
      <c r="G28" s="23"/>
      <c r="H28" s="22">
        <f>SUM(H9:H27)</f>
        <v>1139</v>
      </c>
      <c r="I28" s="23"/>
      <c r="J28" s="22">
        <f>SUM(J9:J27)</f>
        <v>33407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V45"/>
  <sheetViews>
    <sheetView topLeftCell="C15" zoomScale="90" zoomScaleNormal="90" workbookViewId="0">
      <selection activeCell="I38" sqref="I38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78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101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33418</v>
      </c>
      <c r="F24" s="24"/>
      <c r="G24" s="24">
        <v>33272</v>
      </c>
      <c r="H24" s="24"/>
      <c r="I24" s="5">
        <f t="shared" si="2"/>
        <v>-146</v>
      </c>
      <c r="J24" s="25"/>
      <c r="K24" s="24"/>
      <c r="L24" s="24"/>
      <c r="M24" s="24"/>
      <c r="N24" s="24"/>
      <c r="O24" s="24"/>
      <c r="P24" s="24"/>
      <c r="Q24" s="24"/>
      <c r="R24" s="24"/>
      <c r="S24" s="24">
        <v>146</v>
      </c>
      <c r="T24" s="24"/>
      <c r="U24" s="24"/>
      <c r="V24" s="5">
        <f t="shared" si="3"/>
        <v>146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717</v>
      </c>
      <c r="F26" s="34"/>
      <c r="G26" s="34">
        <v>717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34135</v>
      </c>
      <c r="F31" s="5"/>
      <c r="G31" s="4">
        <f>SUM(G12:G30)</f>
        <v>33989</v>
      </c>
      <c r="H31" s="5"/>
      <c r="I31" s="4">
        <f>SUM(I12:I30)</f>
        <v>-146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146</v>
      </c>
      <c r="T31" s="4">
        <f>SUM(T12:T30)</f>
        <v>0</v>
      </c>
      <c r="U31" s="5"/>
      <c r="V31" s="4">
        <f>SUM(V12:V30)</f>
        <v>146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topLeftCell="B1" zoomScale="90" zoomScaleNormal="90" workbookViewId="0">
      <selection activeCell="H23" sqref="H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74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9284225</v>
      </c>
      <c r="E21" s="8"/>
      <c r="F21" s="8"/>
      <c r="G21" s="8"/>
      <c r="H21" s="8"/>
      <c r="I21" s="8"/>
      <c r="J21" s="2">
        <f>D21+F21-H21</f>
        <v>9284225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332868</v>
      </c>
      <c r="E23" s="32"/>
      <c r="F23" s="32">
        <v>897953</v>
      </c>
      <c r="G23" s="32"/>
      <c r="H23" s="32">
        <f>111102+108286</f>
        <v>219388</v>
      </c>
      <c r="I23" s="32"/>
      <c r="J23" s="2">
        <f t="shared" si="0"/>
        <v>1011433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9617093</v>
      </c>
      <c r="E28" s="23"/>
      <c r="F28" s="22">
        <f>SUM(F9:F27)</f>
        <v>897953</v>
      </c>
      <c r="G28" s="23"/>
      <c r="H28" s="22">
        <f>SUM(H9:H27)</f>
        <v>219388</v>
      </c>
      <c r="I28" s="23"/>
      <c r="J28" s="22">
        <f>SUM(J9:J27)</f>
        <v>10295658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V45"/>
  <sheetViews>
    <sheetView topLeftCell="C14" zoomScale="90" zoomScaleNormal="90" workbookViewId="0">
      <selection activeCell="E26" sqref="E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74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3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ref="I23" si="4">G23-E23</f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9284225</v>
      </c>
      <c r="F24" s="24"/>
      <c r="G24" s="24">
        <v>9284225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ref="I25:I26" si="5">G25-E25</f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ref="V25:V26" si="6">SUM(K25:T25)</f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332868</v>
      </c>
      <c r="F26" s="34"/>
      <c r="G26" s="34">
        <v>332868</v>
      </c>
      <c r="H26" s="34"/>
      <c r="I26" s="35">
        <f t="shared" si="5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6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9617093</v>
      </c>
      <c r="F31" s="5"/>
      <c r="G31" s="4">
        <f>SUM(G12:G30)</f>
        <v>9617093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zoomScale="75" zoomScaleNormal="75" workbookViewId="0">
      <selection activeCell="H36" sqref="H36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75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4099348</v>
      </c>
      <c r="E21" s="8"/>
      <c r="F21" s="8"/>
      <c r="G21" s="8"/>
      <c r="H21" s="8"/>
      <c r="I21" s="8"/>
      <c r="J21" s="2">
        <f t="shared" si="0"/>
        <v>4099348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>
        <v>436045</v>
      </c>
      <c r="E23" s="32"/>
      <c r="F23" s="32">
        <v>1089435</v>
      </c>
      <c r="G23" s="32"/>
      <c r="H23" s="32">
        <f>145540+141850</f>
        <v>287390</v>
      </c>
      <c r="I23" s="32"/>
      <c r="J23" s="2">
        <f t="shared" si="0"/>
        <v>1238090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4535393</v>
      </c>
      <c r="E28" s="23"/>
      <c r="F28" s="22">
        <f>SUM(F9:F27)</f>
        <v>1089435</v>
      </c>
      <c r="G28" s="23"/>
      <c r="H28" s="22">
        <f>SUM(H9:H27)</f>
        <v>287390</v>
      </c>
      <c r="I28" s="23"/>
      <c r="J28" s="22">
        <f>SUM(J9:J27)</f>
        <v>5337438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V45"/>
  <sheetViews>
    <sheetView topLeftCell="A12" workbookViewId="0">
      <selection activeCell="H36" sqref="H3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75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4099348</v>
      </c>
      <c r="F24" s="24"/>
      <c r="G24" s="24">
        <v>4099348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436045</v>
      </c>
      <c r="F26" s="34"/>
      <c r="G26" s="34">
        <v>436045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4535393</v>
      </c>
      <c r="F31" s="5"/>
      <c r="G31" s="4">
        <f>SUM(G12:G30)</f>
        <v>4535393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topLeftCell="A9" zoomScale="84" zoomScaleNormal="84" workbookViewId="0">
      <selection activeCell="D21" sqref="D21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77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409243</v>
      </c>
      <c r="E21" s="8"/>
      <c r="F21" s="8"/>
      <c r="G21" s="8"/>
      <c r="H21" s="8"/>
      <c r="I21" s="8"/>
      <c r="J21" s="2">
        <f t="shared" si="0"/>
        <v>409243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/>
      <c r="E23" s="32"/>
      <c r="F23" s="32"/>
      <c r="G23" s="32"/>
      <c r="H23" s="32"/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409243</v>
      </c>
      <c r="E28" s="23"/>
      <c r="F28" s="22">
        <f>SUM(F9:F27)</f>
        <v>0</v>
      </c>
      <c r="G28" s="23"/>
      <c r="H28" s="22">
        <f>SUM(H9:H27)</f>
        <v>0</v>
      </c>
      <c r="I28" s="23"/>
      <c r="J28" s="22">
        <f>SUM(J9:J27)</f>
        <v>409243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V45"/>
  <sheetViews>
    <sheetView topLeftCell="A11" zoomScale="67" zoomScaleNormal="67" workbookViewId="0">
      <selection activeCell="Z26" sqref="Z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77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409243</v>
      </c>
      <c r="F24" s="24"/>
      <c r="G24" s="24">
        <v>409243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/>
      <c r="F26" s="34"/>
      <c r="G26" s="34"/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409243</v>
      </c>
      <c r="F31" s="5"/>
      <c r="G31" s="4">
        <f>SUM(G12:G30)</f>
        <v>409243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1B22-16B0-4EB8-9997-3F0A0E04072A}">
  <dimension ref="A1:K36"/>
  <sheetViews>
    <sheetView topLeftCell="B9" zoomScale="75" zoomScaleNormal="75" workbookViewId="0">
      <selection activeCell="B21" sqref="B21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102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41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/>
      <c r="E21" s="8"/>
      <c r="F21" s="8"/>
      <c r="G21" s="8"/>
      <c r="H21" s="8"/>
      <c r="I21" s="8"/>
      <c r="J21" s="2">
        <f t="shared" si="0"/>
        <v>0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0" x14ac:dyDescent="0.25">
      <c r="A23" s="31"/>
      <c r="B23" s="31" t="s">
        <v>103</v>
      </c>
      <c r="C23" s="31"/>
      <c r="D23" s="32">
        <v>211</v>
      </c>
      <c r="E23" s="32"/>
      <c r="F23" s="32">
        <v>517</v>
      </c>
      <c r="G23" s="32"/>
      <c r="H23" s="32">
        <f>71+69</f>
        <v>140</v>
      </c>
      <c r="I23" s="32"/>
      <c r="J23" s="2">
        <f t="shared" si="0"/>
        <v>588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211</v>
      </c>
      <c r="E28" s="23"/>
      <c r="F28" s="22">
        <f>SUM(F9:F27)</f>
        <v>517</v>
      </c>
      <c r="G28" s="23"/>
      <c r="H28" s="22">
        <f>SUM(H9:H27)</f>
        <v>140</v>
      </c>
      <c r="I28" s="23"/>
      <c r="J28" s="22">
        <f>SUM(J9:J27)</f>
        <v>588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/>
      <c r="B34" s="7"/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/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26CB-79C2-4730-A3C1-092FA39AC130}">
  <sheetPr>
    <tabColor rgb="FF92D050"/>
  </sheetPr>
  <dimension ref="A1:U45"/>
  <sheetViews>
    <sheetView topLeftCell="C24" workbookViewId="0">
      <selection activeCell="B21" sqref="B21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19" width="15.7109375" customWidth="1"/>
    <col min="20" max="20" width="1.7109375" customWidth="1"/>
    <col min="21" max="21" width="15.7109375" customWidth="1"/>
  </cols>
  <sheetData>
    <row r="1" spans="1:21" x14ac:dyDescent="0.25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x14ac:dyDescent="0.25">
      <c r="A6" s="7"/>
      <c r="B6" s="7"/>
      <c r="C6" s="7"/>
      <c r="D6" s="7"/>
      <c r="E6" s="8"/>
      <c r="F6" s="8"/>
      <c r="G6" s="8"/>
      <c r="H6" s="8"/>
      <c r="I6" s="8"/>
      <c r="J6" s="42"/>
      <c r="K6" s="8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7"/>
      <c r="U7" s="7"/>
    </row>
    <row r="8" spans="1:21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1"/>
      <c r="U8" s="10" t="s">
        <v>41</v>
      </c>
    </row>
    <row r="9" spans="1:21" ht="108.75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104</v>
      </c>
      <c r="T9" s="7"/>
      <c r="U9" s="14" t="s">
        <v>51</v>
      </c>
    </row>
    <row r="10" spans="1:21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5">
        <f t="shared" ref="U12:U17" si="1">SUM(K12:S12)</f>
        <v>0</v>
      </c>
    </row>
    <row r="13" spans="1:21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5">
        <f t="shared" si="1"/>
        <v>0</v>
      </c>
    </row>
    <row r="14" spans="1:21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5">
        <f t="shared" si="1"/>
        <v>0</v>
      </c>
    </row>
    <row r="15" spans="1:21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5">
        <f t="shared" si="1"/>
        <v>0</v>
      </c>
    </row>
    <row r="16" spans="1:21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5">
        <f t="shared" si="1"/>
        <v>0</v>
      </c>
    </row>
    <row r="17" spans="1:21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5">
        <f t="shared" si="1"/>
        <v>0</v>
      </c>
    </row>
    <row r="18" spans="1:21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"/>
    </row>
    <row r="19" spans="1:21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5">
        <f t="shared" ref="U19:U30" si="3">SUM(K19:S19)</f>
        <v>0</v>
      </c>
    </row>
    <row r="20" spans="1:21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5">
        <f t="shared" si="3"/>
        <v>0</v>
      </c>
    </row>
    <row r="21" spans="1:21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5">
        <f t="shared" si="3"/>
        <v>0</v>
      </c>
    </row>
    <row r="22" spans="1:21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5">
        <f t="shared" si="3"/>
        <v>0</v>
      </c>
    </row>
    <row r="23" spans="1:21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5">
        <f t="shared" si="3"/>
        <v>0</v>
      </c>
    </row>
    <row r="24" spans="1:21" x14ac:dyDescent="0.25">
      <c r="A24" s="7"/>
      <c r="B24" s="7" t="s">
        <v>18</v>
      </c>
      <c r="C24" s="7"/>
      <c r="D24" s="7"/>
      <c r="E24" s="24"/>
      <c r="F24" s="24"/>
      <c r="G24" s="24"/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5">
        <f t="shared" si="3"/>
        <v>0</v>
      </c>
    </row>
    <row r="25" spans="1:21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5">
        <f t="shared" si="3"/>
        <v>0</v>
      </c>
    </row>
    <row r="26" spans="1:21" s="33" customFormat="1" ht="31.5" customHeight="1" x14ac:dyDescent="0.25">
      <c r="A26" s="31"/>
      <c r="B26" s="1" t="s">
        <v>103</v>
      </c>
      <c r="C26" s="1"/>
      <c r="D26" s="31"/>
      <c r="E26" s="34">
        <v>211</v>
      </c>
      <c r="F26" s="34"/>
      <c r="G26" s="34">
        <v>211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>
        <f t="shared" si="3"/>
        <v>0</v>
      </c>
    </row>
    <row r="27" spans="1:21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5">
        <f t="shared" si="3"/>
        <v>0</v>
      </c>
    </row>
    <row r="28" spans="1:21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5">
        <f t="shared" si="3"/>
        <v>0</v>
      </c>
    </row>
    <row r="29" spans="1:21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5">
        <f t="shared" si="3"/>
        <v>0</v>
      </c>
    </row>
    <row r="30" spans="1:21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5">
        <f t="shared" si="3"/>
        <v>0</v>
      </c>
    </row>
    <row r="31" spans="1:21" ht="15.75" thickBot="1" x14ac:dyDescent="0.3">
      <c r="A31" s="27" t="s">
        <v>56</v>
      </c>
      <c r="E31" s="4">
        <f>SUM(E12:E30)</f>
        <v>211</v>
      </c>
      <c r="F31" s="5"/>
      <c r="G31" s="4">
        <f>SUM(G12:G30)</f>
        <v>211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5"/>
      <c r="U31" s="4">
        <f>SUM(U12:U30)</f>
        <v>0</v>
      </c>
    </row>
    <row r="32" spans="1:21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 t="s">
        <v>105</v>
      </c>
      <c r="B39" s="7"/>
      <c r="C39" s="7" t="s">
        <v>106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 t="s">
        <v>107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30" t="s">
        <v>68</v>
      </c>
    </row>
    <row r="43" spans="1:21" x14ac:dyDescent="0.25">
      <c r="A43" s="30"/>
    </row>
    <row r="44" spans="1:21" ht="17.25" x14ac:dyDescent="0.25">
      <c r="A44" s="30" t="s">
        <v>69</v>
      </c>
    </row>
    <row r="45" spans="1:21" x14ac:dyDescent="0.25">
      <c r="A45" s="30"/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"/>
  <sheetViews>
    <sheetView zoomScale="68" zoomScaleNormal="68" workbookViewId="0">
      <selection activeCell="B17" sqref="B17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79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69364</v>
      </c>
      <c r="E21" s="8"/>
      <c r="F21" s="8"/>
      <c r="G21" s="8"/>
      <c r="H21" s="8"/>
      <c r="I21" s="8"/>
      <c r="J21" s="2">
        <f t="shared" si="0"/>
        <v>69364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/>
      <c r="E23" s="32"/>
      <c r="F23" s="32"/>
      <c r="G23" s="32"/>
      <c r="H23" s="32"/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69364</v>
      </c>
      <c r="E28" s="23"/>
      <c r="F28" s="22">
        <f>SUM(F9:F27)</f>
        <v>0</v>
      </c>
      <c r="G28" s="23"/>
      <c r="H28" s="22">
        <f>SUM(H9:H27)</f>
        <v>0</v>
      </c>
      <c r="I28" s="23"/>
      <c r="J28" s="22">
        <f>SUM(J9:J27)</f>
        <v>69364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V45"/>
  <sheetViews>
    <sheetView topLeftCell="A9" zoomScale="63" zoomScaleNormal="63" workbookViewId="0">
      <selection activeCell="Y31" sqref="Y31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79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69364</v>
      </c>
      <c r="F24" s="24"/>
      <c r="G24" s="24">
        <v>69364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/>
      <c r="F26" s="34"/>
      <c r="G26" s="34"/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69364</v>
      </c>
      <c r="F31" s="5"/>
      <c r="G31" s="4">
        <f>SUM(G12:G30)</f>
        <v>69364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topLeftCell="B1" zoomScale="91" zoomScaleNormal="91" workbookViewId="0">
      <selection activeCell="K38" sqref="K38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80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4852660</v>
      </c>
      <c r="E21" s="8"/>
      <c r="F21" s="8">
        <v>360214</v>
      </c>
      <c r="G21" s="8"/>
      <c r="H21" s="8">
        <v>215273</v>
      </c>
      <c r="I21" s="8"/>
      <c r="J21" s="2">
        <f t="shared" si="0"/>
        <v>4997601</v>
      </c>
    </row>
    <row r="22" spans="1:10" x14ac:dyDescent="0.25">
      <c r="A22" s="7"/>
      <c r="B22" s="7" t="s">
        <v>19</v>
      </c>
      <c r="C22" s="7"/>
      <c r="D22" s="8">
        <v>56597</v>
      </c>
      <c r="E22" s="8"/>
      <c r="F22" s="8"/>
      <c r="G22" s="8"/>
      <c r="H22" s="8"/>
      <c r="I22" s="8"/>
      <c r="J22" s="2">
        <f t="shared" si="0"/>
        <v>56597</v>
      </c>
    </row>
    <row r="23" spans="1:10" s="33" customFormat="1" ht="32.25" x14ac:dyDescent="0.25">
      <c r="A23" s="31"/>
      <c r="B23" s="31" t="s">
        <v>20</v>
      </c>
      <c r="C23" s="31"/>
      <c r="D23" s="32">
        <v>287750</v>
      </c>
      <c r="E23" s="32"/>
      <c r="F23" s="32">
        <v>72854</v>
      </c>
      <c r="G23" s="32"/>
      <c r="H23" s="32">
        <f>13494+271940</f>
        <v>285434</v>
      </c>
      <c r="I23" s="32"/>
      <c r="J23" s="2">
        <f t="shared" si="0"/>
        <v>75170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5197007</v>
      </c>
      <c r="E28" s="23"/>
      <c r="F28" s="22">
        <f>SUM(F9:F27)</f>
        <v>433068</v>
      </c>
      <c r="G28" s="23"/>
      <c r="H28" s="22">
        <f>SUM(H9:H27)</f>
        <v>500707</v>
      </c>
      <c r="I28" s="23"/>
      <c r="J28" s="22">
        <f>SUM(J9:J27)</f>
        <v>5129368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V45"/>
  <sheetViews>
    <sheetView topLeftCell="A9" zoomScale="64" zoomScaleNormal="64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100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4890682</v>
      </c>
      <c r="F24" s="24"/>
      <c r="G24" s="24">
        <v>4852660</v>
      </c>
      <c r="H24" s="24"/>
      <c r="I24" s="5">
        <f t="shared" si="2"/>
        <v>-38022</v>
      </c>
      <c r="J24" s="25"/>
      <c r="K24" s="24"/>
      <c r="L24" s="24"/>
      <c r="M24" s="5"/>
      <c r="N24" s="24"/>
      <c r="O24" s="24"/>
      <c r="P24" s="24"/>
      <c r="R24" s="24"/>
      <c r="S24" s="24">
        <v>38022</v>
      </c>
      <c r="T24" s="24"/>
      <c r="U24" s="24"/>
      <c r="V24" s="5">
        <f>SUM(K24:T24)</f>
        <v>38022</v>
      </c>
    </row>
    <row r="25" spans="1:22" x14ac:dyDescent="0.25">
      <c r="A25" s="7"/>
      <c r="B25" s="7" t="s">
        <v>19</v>
      </c>
      <c r="C25" s="7"/>
      <c r="D25" s="7"/>
      <c r="E25" s="24">
        <v>56597</v>
      </c>
      <c r="F25" s="24"/>
      <c r="G25" s="24">
        <v>56597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287750</v>
      </c>
      <c r="F26" s="34"/>
      <c r="G26" s="34">
        <v>287750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5235029</v>
      </c>
      <c r="F31" s="5"/>
      <c r="G31" s="4">
        <f>SUM(G12:G30)</f>
        <v>5197007</v>
      </c>
      <c r="H31" s="5"/>
      <c r="I31" s="4">
        <f>SUM(I12:I30)</f>
        <v>-38022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38022</v>
      </c>
      <c r="T31" s="4">
        <f>SUM(T12:T30)</f>
        <v>0</v>
      </c>
      <c r="U31" s="5"/>
      <c r="V31" s="4">
        <f>SUM(V12:V30)</f>
        <v>38022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6"/>
  <sheetViews>
    <sheetView zoomScale="70" zoomScaleNormal="70" workbookViewId="0">
      <selection activeCell="O14" sqref="O14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81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2654036</v>
      </c>
      <c r="E21" s="8"/>
      <c r="F21" s="8">
        <v>150603</v>
      </c>
      <c r="G21" s="8"/>
      <c r="H21" s="8"/>
      <c r="I21" s="8"/>
      <c r="J21" s="2">
        <f t="shared" si="0"/>
        <v>2804639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>
        <v>14455</v>
      </c>
      <c r="E23" s="32"/>
      <c r="F23" s="32">
        <v>26207</v>
      </c>
      <c r="G23" s="32"/>
      <c r="H23" s="32">
        <f>7522+3385</f>
        <v>10907</v>
      </c>
      <c r="I23" s="32"/>
      <c r="J23" s="2">
        <f t="shared" si="0"/>
        <v>29755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2668491</v>
      </c>
      <c r="E28" s="23"/>
      <c r="F28" s="22">
        <f>SUM(F9:F27)</f>
        <v>176810</v>
      </c>
      <c r="G28" s="23"/>
      <c r="H28" s="22">
        <f>SUM(H9:H27)</f>
        <v>10907</v>
      </c>
      <c r="I28" s="23"/>
      <c r="J28" s="22">
        <f>SUM(J9:J27)</f>
        <v>2834394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V45"/>
  <sheetViews>
    <sheetView topLeftCell="B12" zoomScale="69" zoomScaleNormal="69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2654036</v>
      </c>
      <c r="F24" s="24"/>
      <c r="G24" s="24">
        <v>2654036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37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14455</v>
      </c>
      <c r="F26" s="34"/>
      <c r="G26" s="34">
        <v>14455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2668491</v>
      </c>
      <c r="F31" s="5"/>
      <c r="G31" s="4">
        <f>SUM(G12:G30)</f>
        <v>2668491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6"/>
  <sheetViews>
    <sheetView zoomScale="70" zoomScaleNormal="70" workbookViewId="0">
      <selection activeCell="M31" sqref="M31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82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687570</v>
      </c>
      <c r="E21" s="8"/>
      <c r="F21" s="8"/>
      <c r="G21" s="8"/>
      <c r="H21" s="8">
        <v>50129</v>
      </c>
      <c r="I21" s="8"/>
      <c r="J21" s="2">
        <f t="shared" si="0"/>
        <v>637441</v>
      </c>
    </row>
    <row r="22" spans="1:10" x14ac:dyDescent="0.25">
      <c r="A22" s="7"/>
      <c r="B22" s="7" t="s">
        <v>19</v>
      </c>
      <c r="C22" s="7"/>
      <c r="D22" s="8">
        <v>93098</v>
      </c>
      <c r="E22" s="8"/>
      <c r="F22" s="8"/>
      <c r="G22" s="8"/>
      <c r="H22" s="8"/>
      <c r="I22" s="8"/>
      <c r="J22" s="2">
        <f t="shared" si="0"/>
        <v>93098</v>
      </c>
    </row>
    <row r="23" spans="1:10" s="33" customFormat="1" ht="32.25" x14ac:dyDescent="0.25">
      <c r="A23" s="31"/>
      <c r="B23" s="31" t="s">
        <v>20</v>
      </c>
      <c r="C23" s="31"/>
      <c r="D23" s="32">
        <v>184476</v>
      </c>
      <c r="E23" s="32"/>
      <c r="F23" s="32">
        <v>385309</v>
      </c>
      <c r="G23" s="32"/>
      <c r="H23" s="32">
        <f>61915+59846</f>
        <v>121761</v>
      </c>
      <c r="I23" s="32"/>
      <c r="J23" s="2">
        <f t="shared" si="0"/>
        <v>448024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965144</v>
      </c>
      <c r="E28" s="23"/>
      <c r="F28" s="22">
        <f>SUM(F9:F27)</f>
        <v>385309</v>
      </c>
      <c r="G28" s="23"/>
      <c r="H28" s="22">
        <f>SUM(H9:H27)</f>
        <v>171890</v>
      </c>
      <c r="I28" s="23"/>
      <c r="J28" s="22">
        <f>SUM(J9:J27)</f>
        <v>1178563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V45"/>
  <sheetViews>
    <sheetView topLeftCell="A17" zoomScale="78" zoomScaleNormal="78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687570</v>
      </c>
      <c r="F24" s="24"/>
      <c r="G24" s="24">
        <v>687570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37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>
        <v>93098</v>
      </c>
      <c r="F25" s="24"/>
      <c r="G25" s="24">
        <v>93098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184476</v>
      </c>
      <c r="F26" s="34"/>
      <c r="G26" s="34">
        <v>184476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965144</v>
      </c>
      <c r="F31" s="5"/>
      <c r="G31" s="4">
        <f>SUM(G12:G30)</f>
        <v>965144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6"/>
  <sheetViews>
    <sheetView zoomScale="76" zoomScaleNormal="76" workbookViewId="0">
      <selection activeCell="D21" sqref="D21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83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27746</v>
      </c>
      <c r="E21" s="8"/>
      <c r="F21" s="8"/>
      <c r="G21" s="8"/>
      <c r="H21" s="8"/>
      <c r="I21" s="8"/>
      <c r="J21" s="2">
        <f t="shared" si="0"/>
        <v>27746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/>
      <c r="E23" s="32"/>
      <c r="F23" s="32"/>
      <c r="G23" s="32"/>
      <c r="H23" s="32"/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27746</v>
      </c>
      <c r="E28" s="23"/>
      <c r="F28" s="22">
        <f>SUM(F9:F27)</f>
        <v>0</v>
      </c>
      <c r="G28" s="23"/>
      <c r="H28" s="22">
        <f>SUM(H9:H27)</f>
        <v>0</v>
      </c>
      <c r="I28" s="23"/>
      <c r="J28" s="22">
        <f>SUM(J9:J27)</f>
        <v>27746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V45"/>
  <sheetViews>
    <sheetView topLeftCell="C9" zoomScale="78" zoomScaleNormal="78" workbookViewId="0">
      <selection activeCell="S24" sqref="S24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/>
      <c r="F24" s="24"/>
      <c r="G24" s="24"/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37"/>
      <c r="R24" s="24"/>
      <c r="S24" s="24"/>
      <c r="T24" s="24"/>
      <c r="U24" s="24"/>
      <c r="V24" s="5">
        <f>SUM(K24:T24)</f>
        <v>0</v>
      </c>
    </row>
    <row r="25" spans="1:22" x14ac:dyDescent="0.25">
      <c r="A25" s="7"/>
      <c r="B25" s="7" t="s">
        <v>19</v>
      </c>
      <c r="C25" s="7"/>
      <c r="D25" s="7"/>
      <c r="E25" s="24">
        <v>27746</v>
      </c>
      <c r="F25" s="24"/>
      <c r="G25" s="24">
        <v>27746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/>
      <c r="F26" s="34"/>
      <c r="G26" s="34"/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27746</v>
      </c>
      <c r="F31" s="5"/>
      <c r="G31" s="4">
        <f>SUM(G12:G30)</f>
        <v>27746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6"/>
  <sheetViews>
    <sheetView zoomScale="80" zoomScaleNormal="80" workbookViewId="0">
      <selection activeCell="P23" sqref="P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84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4543472</v>
      </c>
      <c r="E21" s="8"/>
      <c r="F21" s="8">
        <v>5626</v>
      </c>
      <c r="G21" s="8"/>
      <c r="H21" s="8">
        <v>175215</v>
      </c>
      <c r="I21" s="8"/>
      <c r="J21" s="2">
        <f t="shared" si="0"/>
        <v>4373883</v>
      </c>
    </row>
    <row r="22" spans="1:10" x14ac:dyDescent="0.25">
      <c r="A22" s="7"/>
      <c r="B22" s="7" t="s">
        <v>19</v>
      </c>
      <c r="C22" s="7"/>
      <c r="D22" s="8">
        <v>65210</v>
      </c>
      <c r="E22" s="8"/>
      <c r="F22" s="8"/>
      <c r="G22" s="8"/>
      <c r="H22" s="8"/>
      <c r="I22" s="8"/>
      <c r="J22" s="2">
        <f t="shared" si="0"/>
        <v>65210</v>
      </c>
    </row>
    <row r="23" spans="1:10" s="33" customFormat="1" ht="32.25" x14ac:dyDescent="0.25">
      <c r="A23" s="31"/>
      <c r="B23" s="31" t="s">
        <v>20</v>
      </c>
      <c r="C23" s="31"/>
      <c r="D23" s="32">
        <v>145210</v>
      </c>
      <c r="E23" s="32"/>
      <c r="F23" s="32">
        <v>0</v>
      </c>
      <c r="G23" s="32"/>
      <c r="H23" s="32">
        <f>11985+133225</f>
        <v>145210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4753892</v>
      </c>
      <c r="E28" s="23"/>
      <c r="F28" s="22">
        <f>SUM(F9:F27)</f>
        <v>5626</v>
      </c>
      <c r="G28" s="23"/>
      <c r="H28" s="22">
        <f>SUM(H9:H27)</f>
        <v>320425</v>
      </c>
      <c r="I28" s="23"/>
      <c r="J28" s="22">
        <f>SUM(J9:J27)</f>
        <v>4439093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V45"/>
  <sheetViews>
    <sheetView topLeftCell="A10" zoomScale="80" zoomScaleNormal="80" workbookViewId="0">
      <selection activeCell="V43" sqref="V43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100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4584022</v>
      </c>
      <c r="F24" s="24"/>
      <c r="G24" s="24">
        <v>4543472</v>
      </c>
      <c r="H24" s="24"/>
      <c r="I24" s="5">
        <f t="shared" si="2"/>
        <v>-40550</v>
      </c>
      <c r="J24" s="25"/>
      <c r="K24" s="24"/>
      <c r="L24" s="24"/>
      <c r="M24" s="24"/>
      <c r="N24" s="24"/>
      <c r="O24" s="24"/>
      <c r="P24" s="24"/>
      <c r="Q24" s="37"/>
      <c r="R24" s="24"/>
      <c r="S24" s="24">
        <v>40550</v>
      </c>
      <c r="T24" s="24"/>
      <c r="U24" s="24"/>
      <c r="V24" s="5">
        <f>SUM(K24:T24)</f>
        <v>40550</v>
      </c>
    </row>
    <row r="25" spans="1:22" x14ac:dyDescent="0.25">
      <c r="A25" s="7"/>
      <c r="B25" s="7" t="s">
        <v>19</v>
      </c>
      <c r="C25" s="7"/>
      <c r="D25" s="7"/>
      <c r="E25" s="24">
        <v>65210</v>
      </c>
      <c r="F25" s="24"/>
      <c r="G25" s="24">
        <v>65210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145210</v>
      </c>
      <c r="F26" s="34"/>
      <c r="G26" s="34">
        <v>145210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4794442</v>
      </c>
      <c r="F31" s="5"/>
      <c r="G31" s="4">
        <f>SUM(G12:G30)</f>
        <v>4753892</v>
      </c>
      <c r="H31" s="5"/>
      <c r="I31" s="4">
        <f>SUM(I12:I30)</f>
        <v>-40550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40550</v>
      </c>
      <c r="T31" s="4">
        <f>SUM(T12:T30)</f>
        <v>0</v>
      </c>
      <c r="U31" s="5"/>
      <c r="V31" s="4">
        <f>SUM(V12:V30)</f>
        <v>40550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6"/>
  <sheetViews>
    <sheetView zoomScale="68" zoomScaleNormal="68" workbookViewId="0">
      <selection activeCell="F33" sqref="F3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89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223874</v>
      </c>
      <c r="E21" s="8"/>
      <c r="F21" s="8">
        <v>679206</v>
      </c>
      <c r="G21" s="8"/>
      <c r="H21" s="8">
        <v>2651</v>
      </c>
      <c r="I21" s="8"/>
      <c r="J21" s="2">
        <f>D21+F21-H21</f>
        <v>900429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18449</v>
      </c>
      <c r="E23" s="32"/>
      <c r="F23" s="32">
        <v>64264</v>
      </c>
      <c r="G23" s="32"/>
      <c r="H23" s="32">
        <f>5584+7346</f>
        <v>12930</v>
      </c>
      <c r="I23" s="32"/>
      <c r="J23" s="2">
        <f t="shared" si="0"/>
        <v>69783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242323</v>
      </c>
      <c r="E28" s="23"/>
      <c r="F28" s="22">
        <f>SUM(F9:F27)</f>
        <v>743470</v>
      </c>
      <c r="G28" s="23"/>
      <c r="H28" s="22">
        <f>SUM(H9:H27)</f>
        <v>15581</v>
      </c>
      <c r="I28" s="23"/>
      <c r="J28" s="22">
        <f>SUM(J9:J27)</f>
        <v>970212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V45"/>
  <sheetViews>
    <sheetView topLeftCell="A11" zoomScale="80" zoomScaleNormal="80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223874</v>
      </c>
      <c r="F24" s="24"/>
      <c r="G24" s="24">
        <v>223874.20700437378</v>
      </c>
      <c r="H24" s="24"/>
      <c r="I24" s="5">
        <f t="shared" si="2"/>
        <v>0.20700437377672642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18449</v>
      </c>
      <c r="F26" s="34"/>
      <c r="G26" s="34">
        <v>18449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242323</v>
      </c>
      <c r="F31" s="5"/>
      <c r="G31" s="4">
        <f>SUM(G12:G30)</f>
        <v>242323.20700437378</v>
      </c>
      <c r="H31" s="5"/>
      <c r="I31" s="4">
        <f>SUM(I12:I30)</f>
        <v>0.20700437377672642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6"/>
  <sheetViews>
    <sheetView topLeftCell="A6" zoomScale="90" zoomScaleNormal="90" workbookViewId="0">
      <selection activeCell="N26" sqref="N26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90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12062144</v>
      </c>
      <c r="E21" s="8"/>
      <c r="F21" s="8">
        <v>664425</v>
      </c>
      <c r="G21" s="8"/>
      <c r="H21" s="8"/>
      <c r="I21" s="8"/>
      <c r="J21" s="2">
        <f>D21+F21-H21</f>
        <v>12726569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17865</v>
      </c>
      <c r="E23" s="32"/>
      <c r="F23" s="32">
        <v>0</v>
      </c>
      <c r="G23" s="32"/>
      <c r="H23" s="32">
        <v>17865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12080009</v>
      </c>
      <c r="E28" s="23"/>
      <c r="F28" s="22">
        <f>SUM(F9:F27)</f>
        <v>664425</v>
      </c>
      <c r="G28" s="23"/>
      <c r="H28" s="22">
        <f>SUM(H9:H27)</f>
        <v>17865</v>
      </c>
      <c r="I28" s="23"/>
      <c r="J28" s="22">
        <f>SUM(J9:J27)</f>
        <v>12726569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V45"/>
  <sheetViews>
    <sheetView topLeftCell="C1" zoomScale="80" zoomScaleNormal="80" workbookViewId="0">
      <selection activeCell="O24" sqref="O24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100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12075331</v>
      </c>
      <c r="F24" s="24"/>
      <c r="G24" s="24">
        <v>12062144</v>
      </c>
      <c r="H24" s="24"/>
      <c r="I24" s="5">
        <f t="shared" si="2"/>
        <v>-13187</v>
      </c>
      <c r="J24" s="25"/>
      <c r="K24" s="24"/>
      <c r="L24" s="24"/>
      <c r="M24" s="24"/>
      <c r="N24" s="24"/>
      <c r="O24" s="24"/>
      <c r="P24" s="24"/>
      <c r="Q24" s="24"/>
      <c r="R24" s="24"/>
      <c r="S24" s="24">
        <v>13187</v>
      </c>
      <c r="T24" s="24"/>
      <c r="U24" s="24"/>
      <c r="V24" s="5">
        <f t="shared" si="3"/>
        <v>13187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17865</v>
      </c>
      <c r="F26" s="34"/>
      <c r="G26" s="34">
        <v>17865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12093196</v>
      </c>
      <c r="F31" s="5"/>
      <c r="G31" s="4">
        <f>SUM(G12:G30)</f>
        <v>12080009</v>
      </c>
      <c r="H31" s="5"/>
      <c r="I31" s="4">
        <f>SUM(I12:I30)</f>
        <v>-13187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13187</v>
      </c>
      <c r="T31" s="4">
        <f>SUM(T12:T30)</f>
        <v>0</v>
      </c>
      <c r="U31" s="5"/>
      <c r="V31" s="4">
        <f>SUM(V12:V30)</f>
        <v>13187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6"/>
  <sheetViews>
    <sheetView zoomScale="78" zoomScaleNormal="78" workbookViewId="0">
      <selection activeCell="N28" sqref="N28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91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1437205</v>
      </c>
      <c r="E21" s="8"/>
      <c r="F21" s="8"/>
      <c r="G21" s="8"/>
      <c r="H21" s="8">
        <v>39836</v>
      </c>
      <c r="I21" s="8"/>
      <c r="J21" s="2">
        <f>D21+F21-H21</f>
        <v>1397369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30776</v>
      </c>
      <c r="E23" s="32"/>
      <c r="F23" s="32">
        <v>0</v>
      </c>
      <c r="G23" s="32"/>
      <c r="H23" s="32">
        <v>30776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1467981</v>
      </c>
      <c r="E28" s="23"/>
      <c r="F28" s="22">
        <f>SUM(F9:F27)</f>
        <v>0</v>
      </c>
      <c r="G28" s="23"/>
      <c r="H28" s="22">
        <f>SUM(H9:H27)</f>
        <v>70612</v>
      </c>
      <c r="I28" s="23"/>
      <c r="J28" s="22">
        <f>SUM(J9:J27)</f>
        <v>1397369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V45"/>
  <sheetViews>
    <sheetView topLeftCell="A9" zoomScale="80" zoomScaleNormal="80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100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1451723</v>
      </c>
      <c r="F24" s="24"/>
      <c r="G24" s="24">
        <v>1437205</v>
      </c>
      <c r="H24" s="24"/>
      <c r="I24" s="5">
        <f t="shared" si="2"/>
        <v>-14518</v>
      </c>
      <c r="J24" s="25"/>
      <c r="K24" s="24"/>
      <c r="L24" s="24"/>
      <c r="M24" s="24"/>
      <c r="N24" s="24"/>
      <c r="O24" s="24"/>
      <c r="P24" s="24"/>
      <c r="Q24" s="24"/>
      <c r="R24" s="24"/>
      <c r="S24" s="24">
        <v>14518</v>
      </c>
      <c r="T24" s="24"/>
      <c r="U24" s="24"/>
      <c r="V24" s="5">
        <f t="shared" si="3"/>
        <v>14518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30776</v>
      </c>
      <c r="F26" s="34"/>
      <c r="G26" s="34">
        <v>30776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1482499</v>
      </c>
      <c r="F31" s="5"/>
      <c r="G31" s="4">
        <f>SUM(G12:G30)</f>
        <v>1467981</v>
      </c>
      <c r="H31" s="5"/>
      <c r="I31" s="4">
        <f>SUM(I12:I30)</f>
        <v>-14518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14518</v>
      </c>
      <c r="T31" s="4">
        <f>SUM(T12:T30)</f>
        <v>0</v>
      </c>
      <c r="U31" s="5"/>
      <c r="V31" s="4">
        <f>SUM(V12:V30)</f>
        <v>14518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6"/>
  <sheetViews>
    <sheetView zoomScale="70" zoomScaleNormal="70" workbookViewId="0">
      <selection activeCell="L34" sqref="L34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92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1010026</v>
      </c>
      <c r="E21" s="8"/>
      <c r="F21" s="8">
        <v>3661178</v>
      </c>
      <c r="G21" s="8"/>
      <c r="H21" s="8"/>
      <c r="I21" s="8"/>
      <c r="J21" s="2">
        <f>D21+F21-H21</f>
        <v>4671204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/>
      <c r="E23" s="32"/>
      <c r="F23" s="32"/>
      <c r="G23" s="32"/>
      <c r="H23" s="32"/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1010026</v>
      </c>
      <c r="E28" s="23"/>
      <c r="F28" s="22">
        <f>SUM(F9:F27)</f>
        <v>3661178</v>
      </c>
      <c r="G28" s="23"/>
      <c r="H28" s="22">
        <f>SUM(H9:H27)</f>
        <v>0</v>
      </c>
      <c r="I28" s="23"/>
      <c r="J28" s="22">
        <f>SUM(J9:J27)</f>
        <v>4671204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V45"/>
  <sheetViews>
    <sheetView zoomScale="80" zoomScaleNormal="80" workbookViewId="0">
      <selection activeCell="C20" sqref="C20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1010026</v>
      </c>
      <c r="F24" s="24"/>
      <c r="G24" s="24">
        <v>1010026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f t="shared" si="3"/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/>
      <c r="F26" s="34"/>
      <c r="G26" s="34"/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1010026</v>
      </c>
      <c r="F31" s="5"/>
      <c r="G31" s="4">
        <f>SUM(G12:G30)</f>
        <v>1010026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6"/>
  <sheetViews>
    <sheetView topLeftCell="B9" zoomScale="90" zoomScaleNormal="90" workbookViewId="0">
      <selection activeCell="D23" sqref="D23:H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93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325481</v>
      </c>
      <c r="E21" s="8"/>
      <c r="F21" s="8"/>
      <c r="G21" s="8"/>
      <c r="H21" s="8"/>
      <c r="I21" s="8"/>
      <c r="J21" s="2">
        <f>D21+F21-H21</f>
        <v>325481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>
        <v>1671</v>
      </c>
      <c r="E23" s="32"/>
      <c r="F23" s="32">
        <v>0</v>
      </c>
      <c r="G23" s="32"/>
      <c r="H23" s="32">
        <v>1671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327152</v>
      </c>
      <c r="E28" s="23"/>
      <c r="F28" s="22">
        <f>SUM(F9:F27)</f>
        <v>0</v>
      </c>
      <c r="G28" s="23"/>
      <c r="H28" s="22">
        <f>SUM(H9:H27)</f>
        <v>1671</v>
      </c>
      <c r="I28" s="23"/>
      <c r="J28" s="22">
        <f>SUM(J9:J27)</f>
        <v>325481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V45"/>
  <sheetViews>
    <sheetView topLeftCell="B1" zoomScale="86" zoomScaleNormal="86" workbookViewId="0">
      <selection activeCell="E17" sqref="E17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325481</v>
      </c>
      <c r="F24" s="24"/>
      <c r="G24" s="24">
        <v>325481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1671</v>
      </c>
      <c r="F26" s="34"/>
      <c r="G26" s="34">
        <v>1671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327152</v>
      </c>
      <c r="F31" s="5"/>
      <c r="G31" s="4">
        <f>SUM(G12:G30)</f>
        <v>327152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6"/>
  <sheetViews>
    <sheetView zoomScale="102" zoomScaleNormal="102" workbookViewId="0">
      <selection activeCell="D23" sqref="D23:H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94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17491705</v>
      </c>
      <c r="E21" s="8"/>
      <c r="F21" s="8">
        <v>47917952</v>
      </c>
      <c r="G21" s="8"/>
      <c r="H21" s="8">
        <v>25308</v>
      </c>
      <c r="I21" s="8"/>
      <c r="J21" s="2">
        <f>D21+F21-H21</f>
        <v>65384349</v>
      </c>
    </row>
    <row r="22" spans="1:10" x14ac:dyDescent="0.25">
      <c r="A22" s="7"/>
      <c r="B22" s="7" t="s">
        <v>19</v>
      </c>
      <c r="C22" s="7"/>
      <c r="D22" s="8">
        <v>302775</v>
      </c>
      <c r="E22" s="8"/>
      <c r="F22" s="8"/>
      <c r="G22" s="8"/>
      <c r="H22" s="8"/>
      <c r="I22" s="8"/>
      <c r="J22" s="2">
        <f>D22+F22-H22</f>
        <v>302775</v>
      </c>
    </row>
    <row r="23" spans="1:10" s="33" customFormat="1" ht="32.25" x14ac:dyDescent="0.25">
      <c r="A23" s="31"/>
      <c r="B23" s="31" t="s">
        <v>20</v>
      </c>
      <c r="C23" s="31"/>
      <c r="D23" s="32">
        <v>54222</v>
      </c>
      <c r="E23" s="32"/>
      <c r="F23" s="32">
        <v>1300314</v>
      </c>
      <c r="G23" s="32"/>
      <c r="H23" s="32">
        <v>54222</v>
      </c>
      <c r="I23" s="32"/>
      <c r="J23" s="2">
        <f t="shared" si="0"/>
        <v>1300314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17848702</v>
      </c>
      <c r="E28" s="23"/>
      <c r="F28" s="22">
        <f>SUM(F9:F27)</f>
        <v>49218266</v>
      </c>
      <c r="G28" s="23"/>
      <c r="H28" s="22">
        <f>SUM(H9:H27)</f>
        <v>79530</v>
      </c>
      <c r="I28" s="23"/>
      <c r="J28" s="22">
        <f>SUM(J9:J27)</f>
        <v>66987438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AB45"/>
  <sheetViews>
    <sheetView topLeftCell="C2" zoomScale="92" zoomScaleNormal="92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  <col min="27" max="27" width="16.28515625" customWidth="1"/>
    <col min="28" max="28" width="14.140625" style="38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8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8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8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8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8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8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8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8" x14ac:dyDescent="0.25">
      <c r="A24" s="7"/>
      <c r="B24" s="7" t="s">
        <v>18</v>
      </c>
      <c r="C24" s="7"/>
      <c r="D24" s="7"/>
      <c r="E24" s="24">
        <v>17491705</v>
      </c>
      <c r="F24" s="24"/>
      <c r="G24" s="24">
        <v>17491705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v>0</v>
      </c>
    </row>
    <row r="25" spans="1:28" x14ac:dyDescent="0.25">
      <c r="A25" s="7"/>
      <c r="B25" s="7" t="s">
        <v>19</v>
      </c>
      <c r="C25" s="7"/>
      <c r="D25" s="7"/>
      <c r="E25" s="24">
        <v>302775</v>
      </c>
      <c r="F25" s="24"/>
      <c r="G25" s="24">
        <v>302775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v>0</v>
      </c>
    </row>
    <row r="26" spans="1:28" s="33" customFormat="1" ht="31.5" customHeight="1" x14ac:dyDescent="0.25">
      <c r="A26" s="31"/>
      <c r="B26" s="1" t="s">
        <v>55</v>
      </c>
      <c r="C26" s="1"/>
      <c r="D26" s="31"/>
      <c r="E26" s="34">
        <v>54222</v>
      </c>
      <c r="F26" s="34"/>
      <c r="G26" s="34">
        <v>54222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  <c r="AB26" s="39"/>
    </row>
    <row r="27" spans="1:28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8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8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8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8" ht="15.75" thickBot="1" x14ac:dyDescent="0.3">
      <c r="A31" s="27" t="s">
        <v>56</v>
      </c>
      <c r="E31" s="4">
        <f>SUM(E12:E30)</f>
        <v>17848702</v>
      </c>
      <c r="F31" s="5"/>
      <c r="G31" s="4">
        <f>SUM(G12:G30)</f>
        <v>17848702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8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AB32" s="40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36"/>
  <sheetViews>
    <sheetView topLeftCell="B3" zoomScale="103" zoomScaleNormal="103" workbookViewId="0">
      <selection activeCell="J6" sqref="J6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95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969960</v>
      </c>
      <c r="E21" s="8"/>
      <c r="F21" s="8"/>
      <c r="G21" s="8"/>
      <c r="H21" s="8"/>
      <c r="I21" s="8"/>
      <c r="J21" s="2">
        <f>D21+F21-H21</f>
        <v>969960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>D22+F22-H22</f>
        <v>0</v>
      </c>
    </row>
    <row r="23" spans="1:10" s="33" customFormat="1" ht="32.25" x14ac:dyDescent="0.25">
      <c r="A23" s="31"/>
      <c r="B23" s="31" t="s">
        <v>20</v>
      </c>
      <c r="C23" s="31"/>
      <c r="D23" s="32"/>
      <c r="E23" s="32"/>
      <c r="F23" s="32"/>
      <c r="G23" s="32"/>
      <c r="H23" s="32"/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969960</v>
      </c>
      <c r="E28" s="23"/>
      <c r="F28" s="22">
        <f>SUM(F9:F27)</f>
        <v>0</v>
      </c>
      <c r="G28" s="23"/>
      <c r="H28" s="22">
        <f>SUM(H9:H27)</f>
        <v>0</v>
      </c>
      <c r="I28" s="23"/>
      <c r="J28" s="22">
        <f>SUM(J9:J27)</f>
        <v>969960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V45"/>
  <sheetViews>
    <sheetView topLeftCell="C9" zoomScale="136" zoomScaleNormal="136" workbookViewId="0">
      <selection activeCell="AB26" sqref="AB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95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969960</v>
      </c>
      <c r="F24" s="24"/>
      <c r="G24" s="24">
        <v>969960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/>
      <c r="F26" s="34"/>
      <c r="G26" s="34"/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969960</v>
      </c>
      <c r="F31" s="5"/>
      <c r="G31" s="4">
        <f>SUM(G12:G30)</f>
        <v>969960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212E-20C0-4A05-AB48-434ECFA2F2AF}">
  <dimension ref="A1:K36"/>
  <sheetViews>
    <sheetView topLeftCell="B1" zoomScale="99" zoomScaleNormal="99" workbookViewId="0">
      <selection activeCell="L23" sqref="L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108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41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/>
      <c r="E21" s="8"/>
      <c r="F21" s="8"/>
      <c r="G21" s="8"/>
      <c r="H21" s="8"/>
      <c r="I21" s="8"/>
      <c r="J21" s="2">
        <f t="shared" si="0"/>
        <v>0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0" x14ac:dyDescent="0.25">
      <c r="A23" s="31"/>
      <c r="B23" s="31" t="s">
        <v>103</v>
      </c>
      <c r="C23" s="31"/>
      <c r="D23" s="32">
        <v>6156</v>
      </c>
      <c r="E23" s="32"/>
      <c r="F23" s="32">
        <v>15430</v>
      </c>
      <c r="G23" s="32"/>
      <c r="H23" s="32">
        <f>2055+2002</f>
        <v>4057</v>
      </c>
      <c r="I23" s="32"/>
      <c r="J23" s="2">
        <f t="shared" si="0"/>
        <v>17529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6156</v>
      </c>
      <c r="E28" s="23"/>
      <c r="F28" s="22">
        <f>SUM(F9:F27)</f>
        <v>15430</v>
      </c>
      <c r="G28" s="23"/>
      <c r="H28" s="22">
        <f>SUM(H9:H27)</f>
        <v>4057</v>
      </c>
      <c r="I28" s="23"/>
      <c r="J28" s="22">
        <f>SUM(J9:J27)</f>
        <v>17529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/>
      <c r="B34" s="7"/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/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D01C-434D-4E40-B418-34AE0DE76931}">
  <sheetPr>
    <tabColor rgb="FF92D050"/>
  </sheetPr>
  <dimension ref="A1:U45"/>
  <sheetViews>
    <sheetView topLeftCell="A5" zoomScale="74" zoomScaleNormal="74" workbookViewId="0">
      <selection activeCell="C9" sqref="C9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19" width="15.7109375" customWidth="1"/>
    <col min="20" max="20" width="1.7109375" customWidth="1"/>
    <col min="21" max="21" width="15.7109375" customWidth="1"/>
  </cols>
  <sheetData>
    <row r="1" spans="1:21" x14ac:dyDescent="0.25">
      <c r="A1" s="28" t="s">
        <v>108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x14ac:dyDescent="0.25">
      <c r="A6" s="7"/>
      <c r="B6" s="7"/>
      <c r="C6" s="7"/>
      <c r="D6" s="7"/>
      <c r="E6" s="8"/>
      <c r="F6" s="8"/>
      <c r="G6" s="8"/>
      <c r="H6" s="8"/>
      <c r="I6" s="8"/>
      <c r="J6" s="42"/>
      <c r="K6" s="8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7"/>
      <c r="U7" s="7"/>
    </row>
    <row r="8" spans="1:21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1"/>
      <c r="U8" s="10" t="s">
        <v>41</v>
      </c>
    </row>
    <row r="9" spans="1:21" ht="108.75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104</v>
      </c>
      <c r="T9" s="7"/>
      <c r="U9" s="14" t="s">
        <v>51</v>
      </c>
    </row>
    <row r="10" spans="1:21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5">
        <f t="shared" ref="U12:U17" si="1">SUM(K12:S12)</f>
        <v>0</v>
      </c>
    </row>
    <row r="13" spans="1:21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5">
        <f t="shared" si="1"/>
        <v>0</v>
      </c>
    </row>
    <row r="14" spans="1:21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5">
        <f t="shared" si="1"/>
        <v>0</v>
      </c>
    </row>
    <row r="15" spans="1:21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5">
        <f t="shared" si="1"/>
        <v>0</v>
      </c>
    </row>
    <row r="16" spans="1:21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5">
        <f t="shared" si="1"/>
        <v>0</v>
      </c>
    </row>
    <row r="17" spans="1:21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5">
        <f t="shared" si="1"/>
        <v>0</v>
      </c>
    </row>
    <row r="18" spans="1:21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"/>
    </row>
    <row r="19" spans="1:21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5">
        <f t="shared" ref="U19:U30" si="3">SUM(K19:S19)</f>
        <v>0</v>
      </c>
    </row>
    <row r="20" spans="1:21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5">
        <f t="shared" si="3"/>
        <v>0</v>
      </c>
    </row>
    <row r="21" spans="1:21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5">
        <f t="shared" si="3"/>
        <v>0</v>
      </c>
    </row>
    <row r="22" spans="1:21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5">
        <f t="shared" si="3"/>
        <v>0</v>
      </c>
    </row>
    <row r="23" spans="1:21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5">
        <f t="shared" si="3"/>
        <v>0</v>
      </c>
    </row>
    <row r="24" spans="1:21" x14ac:dyDescent="0.25">
      <c r="A24" s="7"/>
      <c r="B24" s="7" t="s">
        <v>18</v>
      </c>
      <c r="C24" s="7"/>
      <c r="D24" s="7"/>
      <c r="E24" s="24"/>
      <c r="F24" s="24"/>
      <c r="G24" s="24"/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5">
        <f t="shared" si="3"/>
        <v>0</v>
      </c>
    </row>
    <row r="25" spans="1:21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5">
        <f t="shared" si="3"/>
        <v>0</v>
      </c>
    </row>
    <row r="26" spans="1:21" s="33" customFormat="1" ht="31.5" customHeight="1" x14ac:dyDescent="0.25">
      <c r="A26" s="31"/>
      <c r="B26" s="1" t="s">
        <v>103</v>
      </c>
      <c r="C26" s="1"/>
      <c r="D26" s="31"/>
      <c r="E26" s="34">
        <v>6156</v>
      </c>
      <c r="F26" s="34"/>
      <c r="G26" s="34">
        <v>6156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>
        <f t="shared" si="3"/>
        <v>0</v>
      </c>
    </row>
    <row r="27" spans="1:21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5">
        <f t="shared" si="3"/>
        <v>0</v>
      </c>
    </row>
    <row r="28" spans="1:21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5">
        <f t="shared" si="3"/>
        <v>0</v>
      </c>
    </row>
    <row r="29" spans="1:21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5">
        <f t="shared" si="3"/>
        <v>0</v>
      </c>
    </row>
    <row r="30" spans="1:21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5">
        <f t="shared" si="3"/>
        <v>0</v>
      </c>
    </row>
    <row r="31" spans="1:21" ht="15.75" thickBot="1" x14ac:dyDescent="0.3">
      <c r="A31" s="27" t="s">
        <v>56</v>
      </c>
      <c r="E31" s="4">
        <f>SUM(E12:E30)</f>
        <v>6156</v>
      </c>
      <c r="F31" s="5"/>
      <c r="G31" s="4">
        <f>SUM(G12:G30)</f>
        <v>6156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5"/>
      <c r="U31" s="4">
        <f>SUM(U12:U30)</f>
        <v>0</v>
      </c>
    </row>
    <row r="32" spans="1:21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 t="s">
        <v>105</v>
      </c>
      <c r="B39" s="7"/>
      <c r="C39" s="7" t="s">
        <v>106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 t="s">
        <v>107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30" t="s">
        <v>68</v>
      </c>
    </row>
    <row r="43" spans="1:21" x14ac:dyDescent="0.25">
      <c r="A43" s="30"/>
    </row>
    <row r="44" spans="1:21" ht="17.25" x14ac:dyDescent="0.25">
      <c r="A44" s="30" t="s">
        <v>69</v>
      </c>
    </row>
    <row r="45" spans="1:21" x14ac:dyDescent="0.25">
      <c r="A45" s="30"/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B0F6-364F-412B-853A-B41BC7AD9F31}">
  <dimension ref="A1:K36"/>
  <sheetViews>
    <sheetView topLeftCell="B1" zoomScale="88" zoomScaleNormal="88" workbookViewId="0">
      <selection activeCell="D23" sqref="D23:H2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109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41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/>
      <c r="E21" s="8"/>
      <c r="F21" s="8"/>
      <c r="G21" s="8"/>
      <c r="H21" s="8"/>
      <c r="I21" s="8"/>
      <c r="J21" s="2">
        <f t="shared" si="0"/>
        <v>0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0" x14ac:dyDescent="0.25">
      <c r="A23" s="31"/>
      <c r="B23" s="31" t="s">
        <v>103</v>
      </c>
      <c r="C23" s="31"/>
      <c r="D23" s="32">
        <v>395</v>
      </c>
      <c r="E23" s="32"/>
      <c r="F23" s="32">
        <v>0</v>
      </c>
      <c r="G23" s="32"/>
      <c r="H23" s="32">
        <v>395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395</v>
      </c>
      <c r="E28" s="23"/>
      <c r="F28" s="22">
        <f>SUM(F9:F27)</f>
        <v>0</v>
      </c>
      <c r="G28" s="23"/>
      <c r="H28" s="22">
        <f>SUM(H9:H27)</f>
        <v>395</v>
      </c>
      <c r="I28" s="23"/>
      <c r="J28" s="22">
        <f>SUM(J9:J27)</f>
        <v>0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/>
      <c r="B34" s="7"/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/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9828-FE75-420A-A926-B0BC0E5901F1}">
  <sheetPr>
    <tabColor rgb="FF92D050"/>
  </sheetPr>
  <dimension ref="A1:U45"/>
  <sheetViews>
    <sheetView topLeftCell="C1" workbookViewId="0">
      <selection activeCell="C11" sqref="C11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19" width="15.7109375" customWidth="1"/>
    <col min="20" max="20" width="1.7109375" customWidth="1"/>
    <col min="21" max="21" width="15.7109375" customWidth="1"/>
  </cols>
  <sheetData>
    <row r="1" spans="1:21" x14ac:dyDescent="0.25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x14ac:dyDescent="0.25">
      <c r="A6" s="7"/>
      <c r="B6" s="7"/>
      <c r="C6" s="7"/>
      <c r="D6" s="7"/>
      <c r="E6" s="8"/>
      <c r="F6" s="8"/>
      <c r="G6" s="8"/>
      <c r="H6" s="8"/>
      <c r="I6" s="8"/>
      <c r="J6" s="42"/>
      <c r="K6" s="8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7"/>
      <c r="U7" s="7"/>
    </row>
    <row r="8" spans="1:21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1"/>
      <c r="U8" s="10" t="s">
        <v>41</v>
      </c>
    </row>
    <row r="9" spans="1:21" ht="108.75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104</v>
      </c>
      <c r="T9" s="7"/>
      <c r="U9" s="14" t="s">
        <v>51</v>
      </c>
    </row>
    <row r="10" spans="1:21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5">
        <f t="shared" ref="U12:U17" si="1">SUM(K12:S12)</f>
        <v>0</v>
      </c>
    </row>
    <row r="13" spans="1:21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5">
        <f t="shared" si="1"/>
        <v>0</v>
      </c>
    </row>
    <row r="14" spans="1:21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5">
        <f t="shared" si="1"/>
        <v>0</v>
      </c>
    </row>
    <row r="15" spans="1:21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5">
        <f t="shared" si="1"/>
        <v>0</v>
      </c>
    </row>
    <row r="16" spans="1:21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5">
        <f t="shared" si="1"/>
        <v>0</v>
      </c>
    </row>
    <row r="17" spans="1:21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5">
        <f t="shared" si="1"/>
        <v>0</v>
      </c>
    </row>
    <row r="18" spans="1:21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"/>
    </row>
    <row r="19" spans="1:21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5">
        <f t="shared" ref="U19:U30" si="3">SUM(K19:S19)</f>
        <v>0</v>
      </c>
    </row>
    <row r="20" spans="1:21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5">
        <f t="shared" si="3"/>
        <v>0</v>
      </c>
    </row>
    <row r="21" spans="1:21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5">
        <f t="shared" si="3"/>
        <v>0</v>
      </c>
    </row>
    <row r="22" spans="1:21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5">
        <f t="shared" si="3"/>
        <v>0</v>
      </c>
    </row>
    <row r="23" spans="1:21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5">
        <f t="shared" si="3"/>
        <v>0</v>
      </c>
    </row>
    <row r="24" spans="1:21" x14ac:dyDescent="0.25">
      <c r="A24" s="7"/>
      <c r="B24" s="7" t="s">
        <v>18</v>
      </c>
      <c r="C24" s="7"/>
      <c r="D24" s="7"/>
      <c r="E24" s="24"/>
      <c r="F24" s="24"/>
      <c r="G24" s="24"/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5">
        <f t="shared" si="3"/>
        <v>0</v>
      </c>
    </row>
    <row r="25" spans="1:21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5">
        <f t="shared" si="3"/>
        <v>0</v>
      </c>
    </row>
    <row r="26" spans="1:21" s="33" customFormat="1" ht="31.5" customHeight="1" x14ac:dyDescent="0.25">
      <c r="A26" s="31"/>
      <c r="B26" s="1" t="s">
        <v>103</v>
      </c>
      <c r="C26" s="1"/>
      <c r="D26" s="31"/>
      <c r="E26" s="34">
        <v>395</v>
      </c>
      <c r="F26" s="34"/>
      <c r="G26" s="34">
        <v>395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>
        <f t="shared" si="3"/>
        <v>0</v>
      </c>
    </row>
    <row r="27" spans="1:21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5">
        <f t="shared" si="3"/>
        <v>0</v>
      </c>
    </row>
    <row r="28" spans="1:21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5">
        <f t="shared" si="3"/>
        <v>0</v>
      </c>
    </row>
    <row r="29" spans="1:21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5">
        <f t="shared" si="3"/>
        <v>0</v>
      </c>
    </row>
    <row r="30" spans="1:21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5">
        <f t="shared" si="3"/>
        <v>0</v>
      </c>
    </row>
    <row r="31" spans="1:21" ht="15.75" thickBot="1" x14ac:dyDescent="0.3">
      <c r="A31" s="27" t="s">
        <v>56</v>
      </c>
      <c r="E31" s="4">
        <f>SUM(E12:E30)</f>
        <v>395</v>
      </c>
      <c r="F31" s="5"/>
      <c r="G31" s="4">
        <f>SUM(G12:G30)</f>
        <v>395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5"/>
      <c r="U31" s="4">
        <f>SUM(U12:U30)</f>
        <v>0</v>
      </c>
    </row>
    <row r="32" spans="1:21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 t="s">
        <v>105</v>
      </c>
      <c r="B39" s="7"/>
      <c r="C39" s="7" t="s">
        <v>106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5">
      <c r="A40" s="7" t="s">
        <v>107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30" t="s">
        <v>68</v>
      </c>
    </row>
    <row r="43" spans="1:21" x14ac:dyDescent="0.25">
      <c r="A43" s="30"/>
    </row>
    <row r="44" spans="1:21" ht="17.25" x14ac:dyDescent="0.25">
      <c r="A44" s="30" t="s">
        <v>69</v>
      </c>
    </row>
    <row r="45" spans="1:21" x14ac:dyDescent="0.25">
      <c r="A45" s="30"/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36"/>
  <sheetViews>
    <sheetView zoomScale="105" zoomScaleNormal="105" workbookViewId="0">
      <selection activeCell="K24" sqref="K24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88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50835</v>
      </c>
      <c r="E21" s="8"/>
      <c r="F21" s="8"/>
      <c r="G21" s="8"/>
      <c r="H21" s="8">
        <v>50835</v>
      </c>
      <c r="I21" s="8"/>
      <c r="J21" s="2">
        <f t="shared" si="0"/>
        <v>0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>
        <v>616020</v>
      </c>
      <c r="E23" s="32"/>
      <c r="F23" s="32">
        <v>0</v>
      </c>
      <c r="G23" s="32"/>
      <c r="H23" s="32">
        <v>616020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666855</v>
      </c>
      <c r="E28" s="23"/>
      <c r="F28" s="22">
        <f>SUM(F9:F27)</f>
        <v>0</v>
      </c>
      <c r="G28" s="23"/>
      <c r="H28" s="22">
        <f>SUM(H9:H27)</f>
        <v>666855</v>
      </c>
      <c r="I28" s="23"/>
      <c r="J28" s="22">
        <f>SUM(J9:J27)</f>
        <v>0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V45"/>
  <sheetViews>
    <sheetView topLeftCell="C1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98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50835</v>
      </c>
      <c r="F24" s="24"/>
      <c r="G24" s="24">
        <v>50835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37"/>
      <c r="R24" s="24"/>
      <c r="S24" s="24"/>
      <c r="T24" s="24"/>
      <c r="U24" s="24"/>
      <c r="V24" s="5">
        <f>SUM(K24:T24)</f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616020</v>
      </c>
      <c r="F26" s="34"/>
      <c r="G26" s="34">
        <v>616020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666855</v>
      </c>
      <c r="F31" s="5"/>
      <c r="G31" s="4">
        <f>SUM(G12:G30)</f>
        <v>666855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36"/>
  <sheetViews>
    <sheetView zoomScale="80" zoomScaleNormal="80" workbookViewId="0">
      <selection activeCell="M24" sqref="M24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87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14329417</v>
      </c>
      <c r="E21" s="8"/>
      <c r="F21" s="8"/>
      <c r="G21" s="8"/>
      <c r="H21" s="8">
        <v>113314</v>
      </c>
      <c r="I21" s="8"/>
      <c r="J21" s="2">
        <f t="shared" si="0"/>
        <v>14216103</v>
      </c>
    </row>
    <row r="22" spans="1:10" x14ac:dyDescent="0.25">
      <c r="A22" s="7"/>
      <c r="B22" s="7" t="s">
        <v>19</v>
      </c>
      <c r="C22" s="7"/>
      <c r="D22" s="8">
        <v>41218</v>
      </c>
      <c r="E22" s="8"/>
      <c r="F22" s="8"/>
      <c r="G22" s="8"/>
      <c r="H22" s="8"/>
      <c r="I22" s="8"/>
      <c r="J22" s="2">
        <f t="shared" si="0"/>
        <v>41218</v>
      </c>
    </row>
    <row r="23" spans="1:10" s="33" customFormat="1" ht="32.25" x14ac:dyDescent="0.25">
      <c r="A23" s="31"/>
      <c r="B23" s="31" t="s">
        <v>20</v>
      </c>
      <c r="C23" s="31"/>
      <c r="D23" s="32">
        <v>525859</v>
      </c>
      <c r="E23" s="32"/>
      <c r="F23" s="32">
        <v>0</v>
      </c>
      <c r="G23" s="32"/>
      <c r="H23" s="32">
        <f>423898+101961</f>
        <v>525859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14896494</v>
      </c>
      <c r="E28" s="23"/>
      <c r="F28" s="22">
        <f>SUM(F9:F27)</f>
        <v>0</v>
      </c>
      <c r="G28" s="23"/>
      <c r="H28" s="22">
        <f>SUM(H9:H27)</f>
        <v>639173</v>
      </c>
      <c r="I28" s="23"/>
      <c r="J28" s="22">
        <f>SUM(J9:J27)</f>
        <v>14257321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V45"/>
  <sheetViews>
    <sheetView topLeftCell="E1" zoomScale="70" zoomScaleNormal="70" workbookViewId="0">
      <selection activeCell="E26" sqref="E26:G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100</v>
      </c>
      <c r="T9" s="14" t="s">
        <v>99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14361404</v>
      </c>
      <c r="F24" s="24"/>
      <c r="G24" s="24">
        <v>14329417</v>
      </c>
      <c r="H24" s="24"/>
      <c r="I24" s="5">
        <f t="shared" si="2"/>
        <v>-31987</v>
      </c>
      <c r="J24" s="25"/>
      <c r="K24" s="24"/>
      <c r="L24" s="24"/>
      <c r="M24" s="24"/>
      <c r="N24" s="24"/>
      <c r="O24" s="24"/>
      <c r="P24" s="24"/>
      <c r="Q24" s="37"/>
      <c r="R24" s="24"/>
      <c r="S24" s="24">
        <v>31987</v>
      </c>
      <c r="T24" s="24"/>
      <c r="U24" s="24"/>
      <c r="V24" s="5">
        <f>SUM(K24:T24)</f>
        <v>31987</v>
      </c>
    </row>
    <row r="25" spans="1:22" x14ac:dyDescent="0.25">
      <c r="A25" s="7"/>
      <c r="B25" s="7" t="s">
        <v>19</v>
      </c>
      <c r="C25" s="7"/>
      <c r="D25" s="7"/>
      <c r="E25" s="24">
        <v>41218</v>
      </c>
      <c r="F25" s="24"/>
      <c r="G25" s="24">
        <v>41218</v>
      </c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525859</v>
      </c>
      <c r="F26" s="34"/>
      <c r="G26" s="34">
        <v>525859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14928481</v>
      </c>
      <c r="F31" s="5"/>
      <c r="G31" s="4">
        <f>SUM(G12:G30)</f>
        <v>14896494</v>
      </c>
      <c r="H31" s="5"/>
      <c r="I31" s="4">
        <f>SUM(I12:I30)</f>
        <v>-31987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31987</v>
      </c>
      <c r="T31" s="4">
        <f>SUM(T12:T30)</f>
        <v>0</v>
      </c>
      <c r="U31" s="5"/>
      <c r="V31" s="4">
        <f>SUM(V12:V30)</f>
        <v>31987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6"/>
  <sheetViews>
    <sheetView zoomScale="80" zoomScaleNormal="80" workbookViewId="0">
      <selection activeCell="R30" sqref="R30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2" customWidth="1"/>
    <col min="5" max="5" width="2.7109375" style="2" customWidth="1"/>
    <col min="6" max="6" width="15.7109375" style="2" customWidth="1"/>
    <col min="7" max="7" width="2.7109375" style="2" customWidth="1"/>
    <col min="8" max="8" width="15.7109375" style="2" customWidth="1"/>
    <col min="9" max="9" width="2.7109375" style="2" customWidth="1"/>
    <col min="10" max="10" width="15.7109375" style="2" customWidth="1"/>
  </cols>
  <sheetData>
    <row r="1" spans="1:1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x14ac:dyDescent="0.25">
      <c r="A3" s="28" t="s">
        <v>86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x14ac:dyDescent="0.25">
      <c r="A4" s="28" t="s">
        <v>96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7"/>
      <c r="B5" s="7"/>
      <c r="C5" s="7"/>
      <c r="D5" s="8"/>
      <c r="E5" s="8"/>
      <c r="F5" s="8"/>
      <c r="G5" s="8"/>
      <c r="H5" s="8"/>
      <c r="I5" s="8"/>
      <c r="J5" s="8"/>
    </row>
    <row r="6" spans="1:11" ht="32.25" x14ac:dyDescent="0.25">
      <c r="A6" s="13" t="s">
        <v>1</v>
      </c>
      <c r="B6" s="7"/>
      <c r="C6" s="7"/>
      <c r="D6" s="16" t="s">
        <v>2</v>
      </c>
      <c r="E6" s="17"/>
      <c r="F6" s="18" t="s">
        <v>3</v>
      </c>
      <c r="G6" s="17"/>
      <c r="H6" s="18" t="s">
        <v>4</v>
      </c>
      <c r="I6" s="17"/>
      <c r="J6" s="16" t="s">
        <v>97</v>
      </c>
      <c r="K6" s="3"/>
    </row>
    <row r="7" spans="1:11" x14ac:dyDescent="0.25">
      <c r="A7" s="7"/>
      <c r="B7" s="7"/>
      <c r="C7" s="7"/>
      <c r="D7" s="8"/>
      <c r="E7" s="8"/>
      <c r="F7" s="8"/>
      <c r="G7" s="8"/>
      <c r="H7" s="8"/>
      <c r="I7" s="8"/>
      <c r="J7" s="8"/>
    </row>
    <row r="8" spans="1:11" x14ac:dyDescent="0.25">
      <c r="A8" s="13" t="s">
        <v>5</v>
      </c>
      <c r="B8" s="7"/>
      <c r="C8" s="7"/>
      <c r="D8" s="8"/>
      <c r="E8" s="8"/>
      <c r="F8" s="8"/>
      <c r="G8" s="8"/>
      <c r="H8" s="8"/>
      <c r="I8" s="8"/>
      <c r="J8" s="8"/>
    </row>
    <row r="9" spans="1:11" x14ac:dyDescent="0.25">
      <c r="A9" s="7"/>
      <c r="B9" s="7" t="s">
        <v>6</v>
      </c>
      <c r="C9" s="7"/>
      <c r="D9" s="19"/>
      <c r="E9" s="19"/>
      <c r="F9" s="19"/>
      <c r="G9" s="19"/>
      <c r="H9" s="19"/>
      <c r="I9" s="19"/>
      <c r="J9" s="23">
        <f>D9+F9-H9</f>
        <v>0</v>
      </c>
    </row>
    <row r="10" spans="1:11" x14ac:dyDescent="0.25">
      <c r="A10" s="7"/>
      <c r="B10" s="7" t="s">
        <v>7</v>
      </c>
      <c r="C10" s="7"/>
      <c r="D10" s="8"/>
      <c r="E10" s="8"/>
      <c r="F10" s="8"/>
      <c r="G10" s="8"/>
      <c r="H10" s="8"/>
      <c r="I10" s="8"/>
      <c r="J10" s="2">
        <f t="shared" ref="J10:J27" si="0">D10+F10-H10</f>
        <v>0</v>
      </c>
    </row>
    <row r="11" spans="1:11" x14ac:dyDescent="0.25">
      <c r="A11" s="7"/>
      <c r="B11" s="7" t="s">
        <v>8</v>
      </c>
      <c r="C11" s="7"/>
      <c r="D11" s="8"/>
      <c r="E11" s="8"/>
      <c r="F11" s="8"/>
      <c r="G11" s="8"/>
      <c r="H11" s="8"/>
      <c r="I11" s="8"/>
      <c r="J11" s="2">
        <f t="shared" si="0"/>
        <v>0</v>
      </c>
    </row>
    <row r="12" spans="1:11" x14ac:dyDescent="0.25">
      <c r="A12" s="7"/>
      <c r="B12" s="7" t="s">
        <v>9</v>
      </c>
      <c r="C12" s="7"/>
      <c r="D12" s="8"/>
      <c r="E12" s="8"/>
      <c r="F12" s="8"/>
      <c r="G12" s="8"/>
      <c r="H12" s="8"/>
      <c r="I12" s="8"/>
      <c r="J12" s="2">
        <f t="shared" si="0"/>
        <v>0</v>
      </c>
    </row>
    <row r="13" spans="1:11" x14ac:dyDescent="0.25">
      <c r="A13" s="7"/>
      <c r="B13" s="7" t="s">
        <v>10</v>
      </c>
      <c r="C13" s="7"/>
      <c r="D13" s="8"/>
      <c r="E13" s="8"/>
      <c r="F13" s="8"/>
      <c r="G13" s="8"/>
      <c r="H13" s="8"/>
      <c r="I13" s="8"/>
      <c r="J13" s="2">
        <f t="shared" si="0"/>
        <v>0</v>
      </c>
    </row>
    <row r="14" spans="1:11" x14ac:dyDescent="0.25">
      <c r="A14" s="7"/>
      <c r="B14" s="7" t="s">
        <v>11</v>
      </c>
      <c r="C14" s="7"/>
      <c r="D14" s="8"/>
      <c r="E14" s="8"/>
      <c r="F14" s="8"/>
      <c r="G14" s="8"/>
      <c r="H14" s="8"/>
      <c r="I14" s="8"/>
      <c r="J14" s="2">
        <f t="shared" si="0"/>
        <v>0</v>
      </c>
    </row>
    <row r="15" spans="1:11" x14ac:dyDescent="0.25">
      <c r="A15" s="13" t="s">
        <v>12</v>
      </c>
      <c r="B15" s="7"/>
      <c r="C15" s="7"/>
      <c r="D15" s="8"/>
      <c r="E15" s="8"/>
      <c r="F15" s="8"/>
      <c r="G15" s="8"/>
      <c r="H15" s="8"/>
      <c r="I15" s="8"/>
    </row>
    <row r="16" spans="1:11" x14ac:dyDescent="0.25">
      <c r="A16" s="7"/>
      <c r="B16" s="7" t="s">
        <v>13</v>
      </c>
      <c r="C16" s="7"/>
      <c r="D16" s="8"/>
      <c r="E16" s="8"/>
      <c r="F16" s="8"/>
      <c r="G16" s="8"/>
      <c r="H16" s="8"/>
      <c r="I16" s="8"/>
      <c r="J16" s="2">
        <f t="shared" si="0"/>
        <v>0</v>
      </c>
    </row>
    <row r="17" spans="1:10" x14ac:dyDescent="0.25">
      <c r="A17" s="7"/>
      <c r="B17" s="7" t="s">
        <v>14</v>
      </c>
      <c r="C17" s="7"/>
      <c r="D17" s="8"/>
      <c r="E17" s="8"/>
      <c r="F17" s="8"/>
      <c r="G17" s="8"/>
      <c r="H17" s="8"/>
      <c r="I17" s="8"/>
      <c r="J17" s="2">
        <f t="shared" si="0"/>
        <v>0</v>
      </c>
    </row>
    <row r="18" spans="1:10" x14ac:dyDescent="0.25">
      <c r="A18" s="7"/>
      <c r="B18" s="7" t="s">
        <v>15</v>
      </c>
      <c r="C18" s="7"/>
      <c r="D18" s="8"/>
      <c r="E18" s="8"/>
      <c r="F18" s="8"/>
      <c r="G18" s="8"/>
      <c r="H18" s="8"/>
      <c r="I18" s="8"/>
      <c r="J18" s="2">
        <f t="shared" si="0"/>
        <v>0</v>
      </c>
    </row>
    <row r="19" spans="1:10" x14ac:dyDescent="0.25">
      <c r="A19" s="7"/>
      <c r="B19" s="7" t="s">
        <v>16</v>
      </c>
      <c r="C19" s="7"/>
      <c r="D19" s="8"/>
      <c r="E19" s="8"/>
      <c r="F19" s="8"/>
      <c r="G19" s="8"/>
      <c r="H19" s="8"/>
      <c r="I19" s="8"/>
      <c r="J19" s="2">
        <f t="shared" si="0"/>
        <v>0</v>
      </c>
    </row>
    <row r="20" spans="1:10" x14ac:dyDescent="0.25">
      <c r="A20" s="7"/>
      <c r="B20" s="7" t="s">
        <v>17</v>
      </c>
      <c r="C20" s="7"/>
      <c r="D20" s="8"/>
      <c r="E20" s="8"/>
      <c r="F20" s="8"/>
      <c r="G20" s="8"/>
      <c r="H20" s="8"/>
      <c r="I20" s="8"/>
      <c r="J20" s="2">
        <f t="shared" si="0"/>
        <v>0</v>
      </c>
    </row>
    <row r="21" spans="1:10" x14ac:dyDescent="0.25">
      <c r="A21" s="7"/>
      <c r="B21" s="7" t="s">
        <v>18</v>
      </c>
      <c r="C21" s="7"/>
      <c r="D21" s="8">
        <v>50095</v>
      </c>
      <c r="E21" s="8"/>
      <c r="F21" s="8"/>
      <c r="G21" s="8"/>
      <c r="H21" s="8"/>
      <c r="I21" s="8"/>
      <c r="J21" s="2">
        <f t="shared" si="0"/>
        <v>50095</v>
      </c>
    </row>
    <row r="22" spans="1:10" x14ac:dyDescent="0.25">
      <c r="A22" s="7"/>
      <c r="B22" s="7" t="s">
        <v>19</v>
      </c>
      <c r="C22" s="7"/>
      <c r="D22" s="8"/>
      <c r="E22" s="8"/>
      <c r="F22" s="8"/>
      <c r="G22" s="8"/>
      <c r="H22" s="8"/>
      <c r="I22" s="8"/>
      <c r="J22" s="2">
        <f t="shared" si="0"/>
        <v>0</v>
      </c>
    </row>
    <row r="23" spans="1:10" s="33" customFormat="1" ht="32.25" x14ac:dyDescent="0.25">
      <c r="A23" s="31"/>
      <c r="B23" s="31" t="s">
        <v>20</v>
      </c>
      <c r="C23" s="31"/>
      <c r="D23" s="32">
        <v>14973</v>
      </c>
      <c r="E23" s="32"/>
      <c r="F23" s="32">
        <v>0</v>
      </c>
      <c r="G23" s="32"/>
      <c r="H23" s="32">
        <v>14973</v>
      </c>
      <c r="I23" s="32"/>
      <c r="J23" s="2">
        <f t="shared" si="0"/>
        <v>0</v>
      </c>
    </row>
    <row r="24" spans="1:10" x14ac:dyDescent="0.25">
      <c r="A24" s="7"/>
      <c r="B24" s="7" t="s">
        <v>21</v>
      </c>
      <c r="C24" s="7"/>
      <c r="D24" s="8"/>
      <c r="E24" s="8"/>
      <c r="F24" s="8"/>
      <c r="G24" s="8"/>
      <c r="H24" s="8"/>
      <c r="I24" s="8"/>
      <c r="J24" s="2">
        <f t="shared" si="0"/>
        <v>0</v>
      </c>
    </row>
    <row r="25" spans="1:10" x14ac:dyDescent="0.25">
      <c r="A25" s="7"/>
      <c r="B25" s="7" t="s">
        <v>22</v>
      </c>
      <c r="C25" s="7"/>
      <c r="D25" s="8"/>
      <c r="E25" s="8"/>
      <c r="F25" s="8"/>
      <c r="G25" s="8"/>
      <c r="H25" s="8"/>
      <c r="I25" s="8"/>
      <c r="J25" s="2">
        <f t="shared" si="0"/>
        <v>0</v>
      </c>
    </row>
    <row r="26" spans="1:10" x14ac:dyDescent="0.25">
      <c r="A26" s="7"/>
      <c r="B26" s="7" t="s">
        <v>23</v>
      </c>
      <c r="C26" s="7"/>
      <c r="D26" s="8"/>
      <c r="E26" s="8"/>
      <c r="F26" s="8"/>
      <c r="G26" s="8"/>
      <c r="H26" s="8"/>
      <c r="I26" s="8"/>
      <c r="J26" s="2">
        <f t="shared" si="0"/>
        <v>0</v>
      </c>
    </row>
    <row r="27" spans="1:10" x14ac:dyDescent="0.25">
      <c r="A27" s="7"/>
      <c r="B27" s="7" t="s">
        <v>24</v>
      </c>
      <c r="C27" s="7"/>
      <c r="D27" s="20"/>
      <c r="E27" s="8"/>
      <c r="F27" s="20"/>
      <c r="G27" s="8"/>
      <c r="H27" s="20"/>
      <c r="I27" s="8"/>
      <c r="J27" s="2">
        <f t="shared" si="0"/>
        <v>0</v>
      </c>
    </row>
    <row r="28" spans="1:10" ht="15.75" thickBot="1" x14ac:dyDescent="0.3">
      <c r="A28" s="13" t="s">
        <v>25</v>
      </c>
      <c r="B28" s="7"/>
      <c r="C28" s="7"/>
      <c r="D28" s="22">
        <f>SUM(D9:D27)</f>
        <v>65068</v>
      </c>
      <c r="E28" s="23"/>
      <c r="F28" s="22">
        <f>SUM(F9:F27)</f>
        <v>0</v>
      </c>
      <c r="G28" s="23"/>
      <c r="H28" s="22">
        <f>SUM(H9:H27)</f>
        <v>14973</v>
      </c>
      <c r="I28" s="23"/>
      <c r="J28" s="22">
        <f>SUM(J9:J27)</f>
        <v>50095</v>
      </c>
    </row>
    <row r="29" spans="1:10" ht="15.75" thickTop="1" x14ac:dyDescent="0.25">
      <c r="A29" s="7"/>
      <c r="B29" s="7"/>
      <c r="C29" s="7"/>
      <c r="D29" s="8"/>
      <c r="E29" s="8"/>
      <c r="F29" s="8"/>
      <c r="G29" s="8"/>
      <c r="H29" s="8"/>
      <c r="I29" s="8"/>
      <c r="J29" s="8"/>
    </row>
    <row r="30" spans="1:10" x14ac:dyDescent="0.25">
      <c r="A30" s="7"/>
      <c r="B30" s="7"/>
      <c r="C30" s="7"/>
      <c r="D30" s="8"/>
      <c r="E30" s="8"/>
      <c r="F30" s="8"/>
      <c r="G30" s="8"/>
      <c r="H30" s="8"/>
      <c r="I30" s="8"/>
      <c r="J30" s="8"/>
    </row>
    <row r="31" spans="1:10" ht="17.25" x14ac:dyDescent="0.25">
      <c r="A31" s="21">
        <v>1</v>
      </c>
      <c r="B31" s="7" t="s">
        <v>26</v>
      </c>
      <c r="C31" s="7"/>
      <c r="D31" s="8"/>
      <c r="E31" s="8"/>
      <c r="F31" s="8"/>
      <c r="G31" s="8"/>
      <c r="H31" s="8"/>
      <c r="I31" s="8"/>
      <c r="J31" s="8"/>
    </row>
    <row r="32" spans="1:10" x14ac:dyDescent="0.25">
      <c r="A32" s="7"/>
      <c r="B32" s="7" t="s">
        <v>27</v>
      </c>
      <c r="C32" s="7"/>
      <c r="D32" s="8"/>
      <c r="E32" s="8"/>
      <c r="F32" s="8"/>
      <c r="G32" s="8"/>
      <c r="H32" s="8"/>
      <c r="I32" s="8"/>
      <c r="J32" s="8"/>
    </row>
    <row r="33" spans="1:10" ht="17.25" x14ac:dyDescent="0.25">
      <c r="A33" s="21">
        <v>2</v>
      </c>
      <c r="B33" s="7" t="s">
        <v>28</v>
      </c>
      <c r="C33" s="7"/>
      <c r="D33" s="8"/>
      <c r="E33" s="8"/>
      <c r="F33" s="8"/>
      <c r="G33" s="8"/>
      <c r="H33" s="8"/>
      <c r="I33" s="8"/>
      <c r="J33" s="8"/>
    </row>
    <row r="34" spans="1:10" ht="17.25" x14ac:dyDescent="0.25">
      <c r="A34" s="21">
        <v>3</v>
      </c>
      <c r="B34" s="7" t="s">
        <v>29</v>
      </c>
      <c r="C34" s="7"/>
      <c r="D34" s="8"/>
      <c r="E34" s="8"/>
      <c r="F34" s="8"/>
      <c r="G34" s="8"/>
      <c r="H34" s="8"/>
      <c r="I34" s="8"/>
      <c r="J34" s="8"/>
    </row>
    <row r="35" spans="1:10" x14ac:dyDescent="0.25">
      <c r="A35" s="7"/>
      <c r="B35" s="7" t="s">
        <v>71</v>
      </c>
      <c r="C35" s="7"/>
      <c r="D35" s="8"/>
      <c r="E35" s="8"/>
      <c r="F35" s="8"/>
      <c r="G35" s="8"/>
      <c r="H35" s="8"/>
      <c r="I35" s="8"/>
      <c r="J35" s="8"/>
    </row>
    <row r="36" spans="1:10" x14ac:dyDescent="0.25">
      <c r="A36" s="7"/>
      <c r="B36" t="s">
        <v>30</v>
      </c>
      <c r="C36" s="7"/>
      <c r="D36" s="8"/>
      <c r="E36" s="8"/>
      <c r="F36" s="8"/>
      <c r="G36" s="8"/>
      <c r="H36" s="8"/>
      <c r="I36" s="8"/>
      <c r="J36" s="8"/>
    </row>
  </sheetData>
  <printOptions horizontalCentered="1"/>
  <pageMargins left="0" right="0" top="0.75" bottom="0.75" header="0.3" footer="0.3"/>
  <pageSetup scale="86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V45"/>
  <sheetViews>
    <sheetView zoomScale="90" zoomScaleNormal="90" workbookViewId="0">
      <selection activeCell="I14" sqref="I14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2" customWidth="1"/>
    <col min="6" max="6" width="1.7109375" style="2" customWidth="1"/>
    <col min="7" max="7" width="15.7109375" style="2" customWidth="1"/>
    <col min="8" max="8" width="1.7109375" style="2" customWidth="1"/>
    <col min="9" max="9" width="15.7109375" style="2" customWidth="1"/>
    <col min="10" max="10" width="1.7109375" style="2" customWidth="1"/>
    <col min="11" max="11" width="15.7109375" style="2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5">
      <c r="A3" s="28" t="s">
        <v>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5">
      <c r="A4" s="28" t="s">
        <v>86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5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thickBot="1" x14ac:dyDescent="0.3">
      <c r="A7" s="7"/>
      <c r="B7" s="7"/>
      <c r="C7" s="7"/>
      <c r="D7" s="7"/>
      <c r="E7" s="8"/>
      <c r="F7" s="8"/>
      <c r="G7" s="8"/>
      <c r="H7" s="8"/>
      <c r="I7" s="8"/>
      <c r="J7" s="9"/>
      <c r="K7" s="29" t="s">
        <v>32</v>
      </c>
      <c r="L7" s="29"/>
      <c r="M7" s="29"/>
      <c r="N7" s="29"/>
      <c r="O7" s="29"/>
      <c r="P7" s="29"/>
      <c r="Q7" s="29"/>
      <c r="R7" s="29"/>
      <c r="S7" s="29"/>
      <c r="T7" s="29"/>
      <c r="U7" s="7"/>
      <c r="V7" s="7"/>
    </row>
    <row r="8" spans="1:22" x14ac:dyDescent="0.25">
      <c r="A8" s="7"/>
      <c r="B8" s="7"/>
      <c r="C8" s="7"/>
      <c r="D8" s="7"/>
      <c r="E8" s="10" t="s">
        <v>33</v>
      </c>
      <c r="F8" s="11"/>
      <c r="G8" s="10" t="s">
        <v>34</v>
      </c>
      <c r="H8" s="11"/>
      <c r="I8" s="10" t="s">
        <v>35</v>
      </c>
      <c r="J8" s="12"/>
      <c r="K8" s="10" t="s">
        <v>36</v>
      </c>
      <c r="L8" s="7"/>
      <c r="M8" s="10" t="s">
        <v>37</v>
      </c>
      <c r="N8" s="11"/>
      <c r="O8" s="10" t="s">
        <v>38</v>
      </c>
      <c r="P8" s="11"/>
      <c r="Q8" s="10" t="s">
        <v>39</v>
      </c>
      <c r="R8" s="11"/>
      <c r="S8" s="10" t="s">
        <v>40</v>
      </c>
      <c r="T8" s="10" t="s">
        <v>41</v>
      </c>
      <c r="U8" s="11"/>
      <c r="V8" s="10" t="s">
        <v>42</v>
      </c>
    </row>
    <row r="9" spans="1:22" ht="120" x14ac:dyDescent="0.25">
      <c r="A9" s="13"/>
      <c r="B9" s="7"/>
      <c r="C9" s="7"/>
      <c r="D9" s="7"/>
      <c r="E9" s="14" t="s">
        <v>43</v>
      </c>
      <c r="F9" s="11"/>
      <c r="G9" s="14" t="s">
        <v>44</v>
      </c>
      <c r="H9" s="11"/>
      <c r="I9" s="15" t="s">
        <v>45</v>
      </c>
      <c r="J9" s="12"/>
      <c r="K9" s="14" t="s">
        <v>46</v>
      </c>
      <c r="L9" s="11"/>
      <c r="M9" s="14" t="s">
        <v>47</v>
      </c>
      <c r="N9" s="7"/>
      <c r="O9" s="14" t="s">
        <v>48</v>
      </c>
      <c r="P9" s="7"/>
      <c r="Q9" s="14" t="s">
        <v>49</v>
      </c>
      <c r="R9" s="7"/>
      <c r="S9" s="14" t="s">
        <v>76</v>
      </c>
      <c r="T9" s="14" t="s">
        <v>50</v>
      </c>
      <c r="U9" s="7"/>
      <c r="V9" s="14" t="s">
        <v>51</v>
      </c>
    </row>
    <row r="10" spans="1:22" x14ac:dyDescent="0.25">
      <c r="A10" s="7"/>
      <c r="B10" s="7"/>
      <c r="C10" s="7"/>
      <c r="D10" s="7"/>
      <c r="E10" s="8"/>
      <c r="F10" s="8"/>
      <c r="G10" s="8"/>
      <c r="H10" s="8"/>
      <c r="I10" s="8"/>
      <c r="J10" s="9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3" t="s">
        <v>5</v>
      </c>
      <c r="B11" s="7"/>
      <c r="C11" s="7"/>
      <c r="D11" s="7"/>
      <c r="E11" s="8"/>
      <c r="F11" s="8"/>
      <c r="G11" s="8"/>
      <c r="H11" s="8"/>
      <c r="I11" s="8"/>
      <c r="J11" s="9"/>
      <c r="K11" s="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7.25" x14ac:dyDescent="0.25">
      <c r="A12" s="7"/>
      <c r="B12" s="7" t="s">
        <v>52</v>
      </c>
      <c r="C12" s="7"/>
      <c r="D12" s="7"/>
      <c r="E12" s="24"/>
      <c r="F12" s="24"/>
      <c r="G12" s="24"/>
      <c r="H12" s="24"/>
      <c r="I12" s="5">
        <f t="shared" ref="I12:I17" si="0">G12-E12</f>
        <v>0</v>
      </c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">
        <f t="shared" ref="V12:V17" si="1">SUM(K12:T12)</f>
        <v>0</v>
      </c>
    </row>
    <row r="13" spans="1:22" ht="17.25" x14ac:dyDescent="0.25">
      <c r="A13" s="7"/>
      <c r="B13" s="7" t="s">
        <v>53</v>
      </c>
      <c r="C13" s="7"/>
      <c r="D13" s="7"/>
      <c r="E13" s="24"/>
      <c r="F13" s="24"/>
      <c r="G13" s="24"/>
      <c r="H13" s="24"/>
      <c r="I13" s="5">
        <f t="shared" si="0"/>
        <v>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5">
        <f t="shared" si="1"/>
        <v>0</v>
      </c>
    </row>
    <row r="14" spans="1:22" x14ac:dyDescent="0.25">
      <c r="A14" s="7"/>
      <c r="B14" s="7" t="s">
        <v>8</v>
      </c>
      <c r="C14" s="7"/>
      <c r="D14" s="7"/>
      <c r="E14" s="24"/>
      <c r="F14" s="24"/>
      <c r="G14" s="24"/>
      <c r="H14" s="24"/>
      <c r="I14" s="5">
        <f t="shared" si="0"/>
        <v>0</v>
      </c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">
        <f t="shared" si="1"/>
        <v>0</v>
      </c>
    </row>
    <row r="15" spans="1:22" ht="17.25" x14ac:dyDescent="0.25">
      <c r="A15" s="7"/>
      <c r="B15" s="7" t="s">
        <v>54</v>
      </c>
      <c r="C15" s="7"/>
      <c r="D15" s="7"/>
      <c r="E15" s="24"/>
      <c r="F15" s="24"/>
      <c r="G15" s="24"/>
      <c r="H15" s="24"/>
      <c r="I15" s="5">
        <f t="shared" si="0"/>
        <v>0</v>
      </c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5">
        <f t="shared" si="1"/>
        <v>0</v>
      </c>
    </row>
    <row r="16" spans="1:22" x14ac:dyDescent="0.25">
      <c r="A16" s="7"/>
      <c r="B16" s="7" t="s">
        <v>10</v>
      </c>
      <c r="C16" s="7"/>
      <c r="D16" s="7"/>
      <c r="E16" s="24"/>
      <c r="F16" s="24"/>
      <c r="G16" s="24"/>
      <c r="H16" s="24"/>
      <c r="I16" s="5">
        <f>G16-E16</f>
        <v>0</v>
      </c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5">
        <f t="shared" si="1"/>
        <v>0</v>
      </c>
    </row>
    <row r="17" spans="1:22" x14ac:dyDescent="0.25">
      <c r="A17" s="7"/>
      <c r="B17" s="7" t="s">
        <v>11</v>
      </c>
      <c r="C17" s="7"/>
      <c r="D17" s="7"/>
      <c r="E17" s="24"/>
      <c r="F17" s="24"/>
      <c r="G17" s="24"/>
      <c r="H17" s="24"/>
      <c r="I17" s="5">
        <f t="shared" si="0"/>
        <v>0</v>
      </c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5">
        <f t="shared" si="1"/>
        <v>0</v>
      </c>
    </row>
    <row r="18" spans="1:22" x14ac:dyDescent="0.25">
      <c r="A18" s="13" t="s">
        <v>12</v>
      </c>
      <c r="B18" s="7"/>
      <c r="C18" s="7"/>
      <c r="D18" s="7"/>
      <c r="E18" s="24"/>
      <c r="F18" s="24"/>
      <c r="G18" s="24"/>
      <c r="H18" s="24"/>
      <c r="I18" s="5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5"/>
    </row>
    <row r="19" spans="1:22" x14ac:dyDescent="0.25">
      <c r="A19" s="7"/>
      <c r="B19" s="7" t="s">
        <v>13</v>
      </c>
      <c r="C19" s="7"/>
      <c r="D19" s="7"/>
      <c r="E19" s="24"/>
      <c r="F19" s="24"/>
      <c r="G19" s="24"/>
      <c r="H19" s="24"/>
      <c r="I19" s="5">
        <f t="shared" ref="I19:I30" si="2">G19-E19</f>
        <v>0</v>
      </c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5">
        <f t="shared" ref="V19:V26" si="3">SUM(K19:T19)</f>
        <v>0</v>
      </c>
    </row>
    <row r="20" spans="1:22" x14ac:dyDescent="0.25">
      <c r="A20" s="7"/>
      <c r="B20" s="7" t="s">
        <v>14</v>
      </c>
      <c r="C20" s="7"/>
      <c r="D20" s="7"/>
      <c r="E20" s="24"/>
      <c r="F20" s="24"/>
      <c r="G20" s="24"/>
      <c r="H20" s="24"/>
      <c r="I20" s="5">
        <f t="shared" si="2"/>
        <v>0</v>
      </c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5">
        <f t="shared" si="3"/>
        <v>0</v>
      </c>
    </row>
    <row r="21" spans="1:22" x14ac:dyDescent="0.25">
      <c r="A21" s="7"/>
      <c r="B21" s="7" t="s">
        <v>15</v>
      </c>
      <c r="C21" s="7"/>
      <c r="D21" s="7"/>
      <c r="E21" s="24"/>
      <c r="F21" s="24"/>
      <c r="G21" s="24"/>
      <c r="H21" s="24"/>
      <c r="I21" s="5">
        <f t="shared" si="2"/>
        <v>0</v>
      </c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5">
        <f t="shared" si="3"/>
        <v>0</v>
      </c>
    </row>
    <row r="22" spans="1:22" x14ac:dyDescent="0.25">
      <c r="A22" s="7"/>
      <c r="B22" s="7" t="s">
        <v>16</v>
      </c>
      <c r="C22" s="7"/>
      <c r="D22" s="7"/>
      <c r="E22" s="24"/>
      <c r="F22" s="24"/>
      <c r="G22" s="24"/>
      <c r="H22" s="24"/>
      <c r="I22" s="5">
        <f t="shared" si="2"/>
        <v>0</v>
      </c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>
        <f t="shared" si="3"/>
        <v>0</v>
      </c>
    </row>
    <row r="23" spans="1:22" x14ac:dyDescent="0.25">
      <c r="A23" s="7"/>
      <c r="B23" s="7" t="s">
        <v>17</v>
      </c>
      <c r="C23" s="7"/>
      <c r="D23" s="7"/>
      <c r="E23" s="24"/>
      <c r="F23" s="24"/>
      <c r="G23" s="24"/>
      <c r="H23" s="24"/>
      <c r="I23" s="5">
        <f t="shared" si="2"/>
        <v>0</v>
      </c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>
        <f t="shared" si="3"/>
        <v>0</v>
      </c>
    </row>
    <row r="24" spans="1:22" x14ac:dyDescent="0.25">
      <c r="A24" s="7"/>
      <c r="B24" s="7" t="s">
        <v>18</v>
      </c>
      <c r="C24" s="7"/>
      <c r="D24" s="7"/>
      <c r="E24" s="24">
        <v>50095</v>
      </c>
      <c r="F24" s="24"/>
      <c r="G24" s="24">
        <v>50095</v>
      </c>
      <c r="H24" s="24"/>
      <c r="I24" s="5">
        <f t="shared" si="2"/>
        <v>0</v>
      </c>
      <c r="J24" s="25"/>
      <c r="K24" s="24"/>
      <c r="L24" s="24"/>
      <c r="M24" s="24"/>
      <c r="N24" s="24"/>
      <c r="O24" s="24"/>
      <c r="P24" s="24"/>
      <c r="Q24" s="37"/>
      <c r="R24" s="24"/>
      <c r="S24" s="24"/>
      <c r="T24" s="24"/>
      <c r="U24" s="24"/>
      <c r="V24" s="5">
        <v>0</v>
      </c>
    </row>
    <row r="25" spans="1:22" x14ac:dyDescent="0.25">
      <c r="A25" s="7"/>
      <c r="B25" s="7" t="s">
        <v>19</v>
      </c>
      <c r="C25" s="7"/>
      <c r="D25" s="7"/>
      <c r="E25" s="24"/>
      <c r="F25" s="24"/>
      <c r="G25" s="24"/>
      <c r="H25" s="24"/>
      <c r="I25" s="5">
        <f t="shared" si="2"/>
        <v>0</v>
      </c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>
        <f t="shared" si="3"/>
        <v>0</v>
      </c>
    </row>
    <row r="26" spans="1:22" s="33" customFormat="1" ht="31.5" customHeight="1" x14ac:dyDescent="0.25">
      <c r="A26" s="31"/>
      <c r="B26" s="1" t="s">
        <v>55</v>
      </c>
      <c r="C26" s="1"/>
      <c r="D26" s="31"/>
      <c r="E26" s="34">
        <v>14973</v>
      </c>
      <c r="F26" s="34"/>
      <c r="G26" s="34">
        <v>14973</v>
      </c>
      <c r="H26" s="34"/>
      <c r="I26" s="35">
        <f t="shared" si="2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3"/>
        <v>0</v>
      </c>
    </row>
    <row r="27" spans="1:22" x14ac:dyDescent="0.25">
      <c r="A27" s="7"/>
      <c r="B27" s="7" t="s">
        <v>21</v>
      </c>
      <c r="C27" s="7"/>
      <c r="D27" s="7"/>
      <c r="E27" s="24"/>
      <c r="F27" s="24"/>
      <c r="G27" s="24"/>
      <c r="H27" s="24"/>
      <c r="I27" s="5">
        <f t="shared" si="2"/>
        <v>0</v>
      </c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5">
        <f>SUM(K27:T27)</f>
        <v>0</v>
      </c>
    </row>
    <row r="28" spans="1:22" x14ac:dyDescent="0.25">
      <c r="A28" s="7"/>
      <c r="B28" s="7" t="s">
        <v>22</v>
      </c>
      <c r="C28" s="7"/>
      <c r="D28" s="7"/>
      <c r="E28" s="24"/>
      <c r="F28" s="24"/>
      <c r="G28" s="24"/>
      <c r="H28" s="24"/>
      <c r="I28" s="5">
        <f t="shared" si="2"/>
        <v>0</v>
      </c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5">
        <f>SUM(K28:T28)</f>
        <v>0</v>
      </c>
    </row>
    <row r="29" spans="1:22" x14ac:dyDescent="0.25">
      <c r="A29" s="7"/>
      <c r="B29" s="7" t="s">
        <v>23</v>
      </c>
      <c r="C29" s="7"/>
      <c r="D29" s="7"/>
      <c r="E29" s="24"/>
      <c r="F29" s="24"/>
      <c r="G29" s="24"/>
      <c r="H29" s="24"/>
      <c r="I29" s="5">
        <f t="shared" si="2"/>
        <v>0</v>
      </c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5">
        <f>SUM(K29:T29)</f>
        <v>0</v>
      </c>
    </row>
    <row r="30" spans="1:22" x14ac:dyDescent="0.25">
      <c r="A30" s="7"/>
      <c r="B30" s="7" t="s">
        <v>24</v>
      </c>
      <c r="C30" s="7"/>
      <c r="D30" s="7"/>
      <c r="E30" s="26"/>
      <c r="F30" s="24"/>
      <c r="G30" s="26"/>
      <c r="H30" s="24"/>
      <c r="I30" s="5">
        <f t="shared" si="2"/>
        <v>0</v>
      </c>
      <c r="J30" s="25"/>
      <c r="K30" s="2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5">
        <f>SUM(K30:T30)</f>
        <v>0</v>
      </c>
    </row>
    <row r="31" spans="1:22" ht="15.75" thickBot="1" x14ac:dyDescent="0.3">
      <c r="A31" s="27" t="s">
        <v>56</v>
      </c>
      <c r="E31" s="4">
        <f>SUM(E12:E30)</f>
        <v>65068</v>
      </c>
      <c r="F31" s="5"/>
      <c r="G31" s="4">
        <f>SUM(G12:G30)</f>
        <v>65068</v>
      </c>
      <c r="H31" s="5"/>
      <c r="I31" s="4">
        <f>SUM(I12:I30)</f>
        <v>0</v>
      </c>
      <c r="J31" s="6"/>
      <c r="K31" s="4">
        <f>SUM(K12:K30)</f>
        <v>0</v>
      </c>
      <c r="L31" s="5"/>
      <c r="M31" s="4">
        <f>SUM(M12:M30)</f>
        <v>0</v>
      </c>
      <c r="N31" s="5"/>
      <c r="O31" s="4">
        <f>SUM(O12:O30)</f>
        <v>0</v>
      </c>
      <c r="P31" s="5"/>
      <c r="Q31" s="4">
        <f>SUM(Q12:Q30)</f>
        <v>0</v>
      </c>
      <c r="R31" s="5"/>
      <c r="S31" s="4">
        <f>SUM(S12:S30)</f>
        <v>0</v>
      </c>
      <c r="T31" s="4">
        <f>SUM(T12:T30)</f>
        <v>0</v>
      </c>
      <c r="U31" s="5"/>
      <c r="V31" s="4">
        <f>SUM(V12:V30)</f>
        <v>0</v>
      </c>
    </row>
    <row r="32" spans="1:22" ht="15.75" thickTop="1" x14ac:dyDescent="0.25">
      <c r="A32" s="7"/>
      <c r="B32" s="7"/>
      <c r="C32" s="7"/>
      <c r="D32" s="7"/>
      <c r="E32" s="8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7" t="s">
        <v>57</v>
      </c>
      <c r="B34" s="7"/>
      <c r="C34" s="7"/>
      <c r="D34" s="7"/>
      <c r="E34" s="8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7" t="s">
        <v>58</v>
      </c>
      <c r="B35" s="7"/>
      <c r="C35" s="7" t="s">
        <v>59</v>
      </c>
      <c r="D35" s="7"/>
      <c r="E35" s="8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7" t="s">
        <v>60</v>
      </c>
      <c r="B36" s="7"/>
      <c r="C36" s="7" t="s">
        <v>61</v>
      </c>
      <c r="D36" s="7"/>
      <c r="E36" s="8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7" t="s">
        <v>62</v>
      </c>
      <c r="B37" s="7"/>
      <c r="C37" s="7" t="s">
        <v>63</v>
      </c>
      <c r="D37" s="7"/>
      <c r="E37" s="8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7"/>
      <c r="B38" s="7"/>
      <c r="C38" s="7" t="s">
        <v>64</v>
      </c>
      <c r="D38" s="7"/>
      <c r="E38" s="8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7" t="s">
        <v>72</v>
      </c>
      <c r="B39" s="7"/>
      <c r="C39" s="7" t="s">
        <v>65</v>
      </c>
      <c r="D39" s="7"/>
      <c r="E39" s="8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7" t="s">
        <v>66</v>
      </c>
      <c r="B40" s="7"/>
      <c r="C40" s="7" t="s">
        <v>67</v>
      </c>
      <c r="D40" s="7"/>
      <c r="E40" s="8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30" t="s">
        <v>68</v>
      </c>
    </row>
    <row r="43" spans="1:22" x14ac:dyDescent="0.25">
      <c r="A43" s="30"/>
    </row>
    <row r="44" spans="1:22" ht="17.25" x14ac:dyDescent="0.25">
      <c r="A44" s="30" t="s">
        <v>69</v>
      </c>
    </row>
    <row r="45" spans="1:22" ht="17.25" x14ac:dyDescent="0.25">
      <c r="A45" s="30" t="s">
        <v>70</v>
      </c>
    </row>
  </sheetData>
  <mergeCells count="1">
    <mergeCell ref="B26:C26"/>
  </mergeCells>
  <printOptions horizontalCentered="1"/>
  <pageMargins left="0" right="0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24</vt:i4>
      </vt:variant>
    </vt:vector>
  </HeadingPairs>
  <TitlesOfParts>
    <vt:vector size="72" baseType="lpstr">
      <vt:lpstr>F0001</vt:lpstr>
      <vt:lpstr>F0001 Diff</vt:lpstr>
      <vt:lpstr>0012</vt:lpstr>
      <vt:lpstr>0012 Differential</vt:lpstr>
      <vt:lpstr>0017</vt:lpstr>
      <vt:lpstr>0017 Differential</vt:lpstr>
      <vt:lpstr>0044</vt:lpstr>
      <vt:lpstr>0044 Differential</vt:lpstr>
      <vt:lpstr>0142</vt:lpstr>
      <vt:lpstr>0142 Differential</vt:lpstr>
      <vt:lpstr>0158</vt:lpstr>
      <vt:lpstr>0158 Differential</vt:lpstr>
      <vt:lpstr>0256</vt:lpstr>
      <vt:lpstr>0256 Differential</vt:lpstr>
      <vt:lpstr>0367</vt:lpstr>
      <vt:lpstr>0367 Differential</vt:lpstr>
      <vt:lpstr>0378</vt:lpstr>
      <vt:lpstr>0378 Differential</vt:lpstr>
      <vt:lpstr>0460</vt:lpstr>
      <vt:lpstr>0460 Differential</vt:lpstr>
      <vt:lpstr>0566</vt:lpstr>
      <vt:lpstr>0566 Differential</vt:lpstr>
      <vt:lpstr>0567</vt:lpstr>
      <vt:lpstr>0567 Differential</vt:lpstr>
      <vt:lpstr>0569</vt:lpstr>
      <vt:lpstr>0569 Differential</vt:lpstr>
      <vt:lpstr>0890</vt:lpstr>
      <vt:lpstr>0890 Differential</vt:lpstr>
      <vt:lpstr>1008</vt:lpstr>
      <vt:lpstr>1008 Differential</vt:lpstr>
      <vt:lpstr>3016</vt:lpstr>
      <vt:lpstr>3016 Differential</vt:lpstr>
      <vt:lpstr>3053</vt:lpstr>
      <vt:lpstr>3053 Differential</vt:lpstr>
      <vt:lpstr>3086</vt:lpstr>
      <vt:lpstr>3086 Differential</vt:lpstr>
      <vt:lpstr>3087</vt:lpstr>
      <vt:lpstr>3087 Differential</vt:lpstr>
      <vt:lpstr>3088</vt:lpstr>
      <vt:lpstr>3088 Differential</vt:lpstr>
      <vt:lpstr>3297</vt:lpstr>
      <vt:lpstr>3297 Report 18 Differential</vt:lpstr>
      <vt:lpstr>3320</vt:lpstr>
      <vt:lpstr>3320 Differential</vt:lpstr>
      <vt:lpstr>9731</vt:lpstr>
      <vt:lpstr>9731 Differential</vt:lpstr>
      <vt:lpstr>9740</vt:lpstr>
      <vt:lpstr>9740 Differential</vt:lpstr>
      <vt:lpstr>'0012'!Print_Area</vt:lpstr>
      <vt:lpstr>'0017'!Print_Area</vt:lpstr>
      <vt:lpstr>'0044'!Print_Area</vt:lpstr>
      <vt:lpstr>'0142'!Print_Area</vt:lpstr>
      <vt:lpstr>'0158'!Print_Area</vt:lpstr>
      <vt:lpstr>'0256'!Print_Area</vt:lpstr>
      <vt:lpstr>'0367'!Print_Area</vt:lpstr>
      <vt:lpstr>'0378'!Print_Area</vt:lpstr>
      <vt:lpstr>'0460'!Print_Area</vt:lpstr>
      <vt:lpstr>'0566'!Print_Area</vt:lpstr>
      <vt:lpstr>'0567'!Print_Area</vt:lpstr>
      <vt:lpstr>'0569'!Print_Area</vt:lpstr>
      <vt:lpstr>'0890'!Print_Area</vt:lpstr>
      <vt:lpstr>'1008'!Print_Area</vt:lpstr>
      <vt:lpstr>'3016'!Print_Area</vt:lpstr>
      <vt:lpstr>'3053'!Print_Area</vt:lpstr>
      <vt:lpstr>'3086'!Print_Area</vt:lpstr>
      <vt:lpstr>'3087'!Print_Area</vt:lpstr>
      <vt:lpstr>'3088'!Print_Area</vt:lpstr>
      <vt:lpstr>'3297'!Print_Area</vt:lpstr>
      <vt:lpstr>'3320'!Print_Area</vt:lpstr>
      <vt:lpstr>'9731'!Print_Area</vt:lpstr>
      <vt:lpstr>'9740'!Print_Area</vt:lpstr>
      <vt:lpstr>'F0001'!Print_Area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2025-02-12T21:09:35Z</dcterms:created>
  <dcterms:modified xsi:type="dcterms:W3CDTF">2025-02-13T01:12:10Z</dcterms:modified>
  <cp:category/>
</cp:coreProperties>
</file>