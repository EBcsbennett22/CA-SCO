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defaultThemeVersion="124226"/>
  <xr:revisionPtr revIDLastSave="0" documentId="13_ncr:1_{AFB65F2B-6C1A-48F8-82BE-968DF169546B}" xr6:coauthVersionLast="47" xr6:coauthVersionMax="47" xr10:uidLastSave="{00000000-0000-0000-0000-000000000000}"/>
  <bookViews>
    <workbookView xWindow="-24120" yWindow="-120" windowWidth="24240" windowHeight="13140" tabRatio="683" xr2:uid="{00000000-000D-0000-FFFF-FFFF00000000}"/>
  </bookViews>
  <sheets>
    <sheet name="F0001" sheetId="1" r:id="rId1"/>
    <sheet name="F0001 DIFF" sheetId="6" r:id="rId2"/>
    <sheet name="F0318" sheetId="9" r:id="rId3"/>
    <sheet name="F0318 DIFF" sheetId="10" r:id="rId4"/>
    <sheet name="F3228" sheetId="7" r:id="rId5"/>
    <sheet name="F3228 DIFF" sheetId="8" r:id="rId6"/>
    <sheet name="F6088" sheetId="11" r:id="rId7"/>
    <sheet name="F6088 DIFF" sheetId="12" r:id="rId8"/>
  </sheets>
  <definedNames>
    <definedName name="page\x2dtotal\x2dmaster0_1_1" localSheetId="2">#REF!</definedName>
    <definedName name="page\x2dtotal\x2dmaster0_1_1" localSheetId="3">#REF!</definedName>
    <definedName name="page\x2dtotal\x2dmaster0_1_1" localSheetId="4">#REF!</definedName>
    <definedName name="page\x2dtotal\x2dmaster0_1_1" localSheetId="5">#REF!</definedName>
    <definedName name="page\x2dtotal\x2dmaster0_1_1" localSheetId="6">'F6088'!$A$22</definedName>
    <definedName name="page\x2dtotal\x2dmaster0_1_1" localSheetId="7">'F6088'!$A$22</definedName>
    <definedName name="page\x2dtotal\x2dmaster0_1_1">'F0001'!$A$26</definedName>
    <definedName name="page\x2dtotal\x2dmaster0_2_1" localSheetId="2">'F0318'!$A$26</definedName>
    <definedName name="page\x2dtotal\x2dmaster0_2_1" localSheetId="3">'F0318'!$A$26</definedName>
    <definedName name="page\x2dtotal\x2dmaster0_2_1" localSheetId="4">#REF!</definedName>
    <definedName name="page\x2dtotal\x2dmaster0_2_1" localSheetId="5">#REF!</definedName>
    <definedName name="page\x2dtotal\x2dmaster0_2_1">#REF!</definedName>
    <definedName name="page\x2dtotal\x2dmaster0_3_1" localSheetId="2">#REF!</definedName>
    <definedName name="page\x2dtotal\x2dmaster0_3_1" localSheetId="3">#REF!</definedName>
    <definedName name="page\x2dtotal\x2dmaster0_3_1" localSheetId="4">#REF!</definedName>
    <definedName name="page\x2dtotal\x2dmaster0_3_1" localSheetId="5">#REF!</definedName>
    <definedName name="page\x2dtotal\x2dmaster0_3_1">#REF!</definedName>
    <definedName name="page\x2dtotal\x2dmaster0_4_1" localSheetId="2">#REF!</definedName>
    <definedName name="page\x2dtotal\x2dmaster0_4_1" localSheetId="3">#REF!</definedName>
    <definedName name="page\x2dtotal\x2dmaster0_4_1" localSheetId="4">'F3228'!$A$25</definedName>
    <definedName name="page\x2dtotal\x2dmaster0_4_1" localSheetId="5">'F3228'!$A$25</definedName>
    <definedName name="page\x2dtotal\x2dmaster0_4_1">#REF!</definedName>
    <definedName name="page\x2dtotal\x2dmaster0_5_1" localSheetId="2">#REF!</definedName>
    <definedName name="page\x2dtotal\x2dmaster0_5_1" localSheetId="3">#REF!</definedName>
    <definedName name="page\x2dtotal\x2dmaster0_5_1" localSheetId="4">#REF!</definedName>
    <definedName name="page\x2dtotal\x2dmaster0_5_1" localSheetId="5">#REF!</definedName>
    <definedName name="page\x2dtotal\x2dmaster0_5_1">#REF!</definedName>
    <definedName name="page\x2dtotal_1_1" localSheetId="2">#REF!</definedName>
    <definedName name="page\x2dtotal_1_1" localSheetId="3">#REF!</definedName>
    <definedName name="page\x2dtotal_1_1" localSheetId="4">#REF!</definedName>
    <definedName name="page\x2dtotal_1_1" localSheetId="5">#REF!</definedName>
    <definedName name="page\x2dtotal_1_1" localSheetId="6">'F6088'!$A$22</definedName>
    <definedName name="page\x2dtotal_1_1" localSheetId="7">'F6088'!$A$22</definedName>
    <definedName name="page\x2dtotal_1_1">'F0001'!$A$26</definedName>
    <definedName name="page\x2dtotal_2_1" localSheetId="2">'F0318'!$A$26</definedName>
    <definedName name="page\x2dtotal_2_1" localSheetId="3">'F0318'!$A$26</definedName>
    <definedName name="page\x2dtotal_2_1" localSheetId="4">#REF!</definedName>
    <definedName name="page\x2dtotal_2_1" localSheetId="5">#REF!</definedName>
    <definedName name="page\x2dtotal_2_1">#REF!</definedName>
    <definedName name="page\x2dtotal_3_1" localSheetId="2">#REF!</definedName>
    <definedName name="page\x2dtotal_3_1" localSheetId="3">#REF!</definedName>
    <definedName name="page\x2dtotal_3_1" localSheetId="4">#REF!</definedName>
    <definedName name="page\x2dtotal_3_1" localSheetId="5">#REF!</definedName>
    <definedName name="page\x2dtotal_3_1">#REF!</definedName>
    <definedName name="page\x2dtotal_4_1" localSheetId="2">#REF!</definedName>
    <definedName name="page\x2dtotal_4_1" localSheetId="3">#REF!</definedName>
    <definedName name="page\x2dtotal_4_1" localSheetId="4">'F3228'!$A$25</definedName>
    <definedName name="page\x2dtotal_4_1" localSheetId="5">'F3228'!$A$25</definedName>
    <definedName name="page\x2dtotal_4_1">#REF!</definedName>
    <definedName name="page\x2dtotal_5_1" localSheetId="2">#REF!</definedName>
    <definedName name="page\x2dtotal_5_1" localSheetId="3">#REF!</definedName>
    <definedName name="page\x2dtotal_5_1" localSheetId="4">#REF!</definedName>
    <definedName name="page\x2dtotal_5_1" localSheetId="5">#REF!</definedName>
    <definedName name="page\x2dtotal_5_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2" l="1"/>
  <c r="V12" i="12"/>
  <c r="I13" i="12"/>
  <c r="V13" i="12"/>
  <c r="I14" i="12"/>
  <c r="V14" i="12"/>
  <c r="I15" i="12"/>
  <c r="V15" i="12"/>
  <c r="V31" i="12" s="1"/>
  <c r="I16" i="12"/>
  <c r="V16" i="12"/>
  <c r="I17" i="12"/>
  <c r="V17" i="12"/>
  <c r="I19" i="12"/>
  <c r="V19" i="12"/>
  <c r="I20" i="12"/>
  <c r="I31" i="12" s="1"/>
  <c r="V20" i="12"/>
  <c r="I21" i="12"/>
  <c r="V21" i="12"/>
  <c r="I22" i="12"/>
  <c r="V22" i="12"/>
  <c r="I23" i="12"/>
  <c r="V23" i="12"/>
  <c r="I24" i="12"/>
  <c r="V24" i="12"/>
  <c r="I25" i="12"/>
  <c r="V25" i="12"/>
  <c r="I26" i="12"/>
  <c r="V26" i="12"/>
  <c r="I27" i="12"/>
  <c r="V27" i="12"/>
  <c r="I28" i="12"/>
  <c r="V28" i="12"/>
  <c r="I29" i="12"/>
  <c r="V29" i="12"/>
  <c r="I30" i="12"/>
  <c r="V30" i="12"/>
  <c r="E31" i="12"/>
  <c r="G31" i="12"/>
  <c r="K31" i="12"/>
  <c r="M31" i="12"/>
  <c r="O31" i="12"/>
  <c r="Q31" i="12"/>
  <c r="S31" i="12"/>
  <c r="T31" i="12"/>
  <c r="H12" i="10" l="1"/>
  <c r="U12" i="10"/>
  <c r="H13" i="10"/>
  <c r="U13" i="10"/>
  <c r="H14" i="10"/>
  <c r="U14" i="10"/>
  <c r="H15" i="10"/>
  <c r="H31" i="10" s="1"/>
  <c r="U15" i="10"/>
  <c r="H16" i="10"/>
  <c r="U16" i="10"/>
  <c r="H17" i="10"/>
  <c r="U17" i="10"/>
  <c r="H18" i="10"/>
  <c r="U18" i="10"/>
  <c r="H19" i="10"/>
  <c r="U19" i="10"/>
  <c r="H20" i="10"/>
  <c r="U20" i="10"/>
  <c r="H21" i="10"/>
  <c r="U21" i="10"/>
  <c r="H22" i="10"/>
  <c r="U22" i="10"/>
  <c r="H23" i="10"/>
  <c r="U23" i="10"/>
  <c r="H24" i="10"/>
  <c r="U24" i="10"/>
  <c r="H25" i="10"/>
  <c r="U25" i="10"/>
  <c r="H26" i="10"/>
  <c r="U26" i="10"/>
  <c r="H27" i="10"/>
  <c r="U27" i="10"/>
  <c r="H28" i="10"/>
  <c r="U28" i="10"/>
  <c r="H29" i="10"/>
  <c r="U29" i="10"/>
  <c r="H30" i="10"/>
  <c r="U30" i="10"/>
  <c r="D31" i="10"/>
  <c r="F31" i="10"/>
  <c r="J31" i="10"/>
  <c r="L31" i="10"/>
  <c r="N31" i="10"/>
  <c r="P31" i="10"/>
  <c r="R31" i="10"/>
  <c r="S31" i="10"/>
  <c r="T31" i="10"/>
  <c r="U31" i="10"/>
  <c r="H12" i="8" l="1"/>
  <c r="H13" i="8"/>
  <c r="U13" i="8"/>
  <c r="H14" i="8"/>
  <c r="U14" i="8"/>
  <c r="H15" i="8"/>
  <c r="U15" i="8"/>
  <c r="H16" i="8"/>
  <c r="U16" i="8"/>
  <c r="H17" i="8"/>
  <c r="U17" i="8"/>
  <c r="H18" i="8"/>
  <c r="U18" i="8"/>
  <c r="H19" i="8"/>
  <c r="U19" i="8"/>
  <c r="H20" i="8"/>
  <c r="U20" i="8"/>
  <c r="H21" i="8"/>
  <c r="U21" i="8"/>
  <c r="H22" i="8"/>
  <c r="U22" i="8"/>
  <c r="H23" i="8"/>
  <c r="U23" i="8"/>
  <c r="H24" i="8"/>
  <c r="U24" i="8"/>
  <c r="H25" i="8"/>
  <c r="U25" i="8"/>
  <c r="H26" i="8"/>
  <c r="U26" i="8"/>
  <c r="H27" i="8"/>
  <c r="U27" i="8"/>
  <c r="H28" i="8"/>
  <c r="U28" i="8"/>
  <c r="H29" i="8"/>
  <c r="U29" i="8"/>
  <c r="H30" i="8"/>
  <c r="U30" i="8"/>
  <c r="D31" i="8"/>
  <c r="F31" i="8"/>
  <c r="H31" i="8"/>
  <c r="J31" i="8"/>
  <c r="U31" i="8" s="1"/>
  <c r="L31" i="8"/>
  <c r="N31" i="8"/>
  <c r="P31" i="8"/>
  <c r="R31" i="8"/>
  <c r="S31" i="8"/>
  <c r="T31" i="8"/>
  <c r="R31" i="6"/>
  <c r="H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S31" i="6"/>
  <c r="T31" i="6"/>
  <c r="P31" i="6"/>
  <c r="N31" i="6"/>
  <c r="L31" i="6"/>
  <c r="J31" i="6"/>
  <c r="F31" i="6"/>
  <c r="D31" i="6"/>
  <c r="U31" i="6" l="1"/>
  <c r="H31" i="6"/>
</calcChain>
</file>

<file path=xl/sharedStrings.xml><?xml version="1.0" encoding="utf-8"?>
<sst xmlns="http://schemas.openxmlformats.org/spreadsheetml/2006/main" count="367" uniqueCount="127">
  <si>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</si>
  <si>
    <t>REPORT 18 – STATEMENT OF CHANGES IN CAPITAL ASSETS</t>
  </si>
  <si>
    <t>CA Conservation Corps - 3340</t>
  </si>
  <si>
    <t>Fund 0001</t>
  </si>
  <si>
    <t>Fiscal Year 2023-24</t>
  </si>
  <si>
    <t>As of 06/30/2024</t>
  </si>
  <si>
    <t>Business Unit:</t>
  </si>
  <si>
    <t>3340 - CA Conservation Corps</t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</si>
  <si>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</si>
  <si>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</si>
  <si>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</si>
  <si>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08/22/2024</t>
    </r>
  </si>
  <si>
    <t>Subfund:</t>
  </si>
  <si>
    <t>000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</si>
  <si>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08:49:58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</si>
  <si>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</si>
  <si>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</si>
  <si>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</si>
  <si>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</si>
  <si>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</si>
  <si>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</si>
  <si>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</si>
  <si>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  <family val="2"/>
      </rPr>
      <t>2341</t>
    </r>
    <r>
      <rPr>
        <sz val="10"/>
        <color theme="1"/>
        <rFont val="Arial"/>
        <family val="2"/>
      </rPr>
      <t xml:space="preserve"> - Equipment</t>
    </r>
  </si>
  <si>
    <t>Intangible Assets</t>
  </si>
  <si>
    <r>
      <rPr>
        <sz val="11"/>
        <color theme="1"/>
        <rFont val="Calibri"/>
        <family val="2"/>
      </rPr>
      <t>2416</t>
    </r>
    <r>
      <rPr>
        <sz val="10"/>
        <color theme="1"/>
        <rFont val="Arial"/>
        <family val="2"/>
      </rPr>
      <t xml:space="preserve"> - Rights Leased Buildgs-Amortiz</t>
    </r>
  </si>
  <si>
    <r>
      <t>2418</t>
    </r>
    <r>
      <rPr>
        <sz val="10"/>
        <color theme="1"/>
        <rFont val="Arial"/>
        <family val="2"/>
      </rPr>
      <t xml:space="preserve"> - Right-to-use SBITA - Amortizab</t>
    </r>
  </si>
  <si>
    <t>0001</t>
  </si>
  <si>
    <t>Sub Fund:</t>
  </si>
  <si>
    <t>Californai Conservation Corps (3340)</t>
  </si>
  <si>
    <t>Statement of Changes in Capital Assets Group of Accounts - Report 18</t>
  </si>
  <si>
    <t>Beginning Balance Differential Report</t>
  </si>
  <si>
    <t>General Fund (0001)</t>
  </si>
  <si>
    <t>As of June 30, 2024</t>
  </si>
  <si>
    <t>Breakdown of Difference: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</si>
  <si>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</si>
  <si>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</si>
  <si>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</si>
  <si>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</si>
  <si>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</si>
  <si>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</si>
  <si>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</si>
  <si>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</si>
  <si>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</si>
  <si>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</si>
  <si>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Prior Year Ending Balance</t>
  </si>
  <si>
    <t>Current Year Beginning Balance</t>
  </si>
  <si>
    <t>Difference</t>
  </si>
  <si>
    <t>Assets unreported in the prior year</t>
  </si>
  <si>
    <t>Non-capitalizable assets reported as capital assets in the prior year</t>
  </si>
  <si>
    <r>
      <t xml:space="preserve">Transfers from other departments
</t>
    </r>
    <r>
      <rPr>
        <sz val="11"/>
        <color theme="1"/>
        <rFont val="Calibri"/>
        <family val="2"/>
        <scheme val="minor"/>
      </rPr>
      <t>(at historical cost/book value)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</si>
  <si>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
</t>
    </r>
    <r>
      <rPr>
        <b/>
        <sz val="11"/>
        <color theme="1"/>
        <rFont val="Calibri"/>
        <family val="2"/>
        <scheme val="minor"/>
      </rPr>
      <t>Uknown differential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</si>
  <si>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</t>
    </r>
    <r>
      <rPr>
        <b/>
        <sz val="11"/>
        <color theme="1"/>
        <rFont val="Calibri"/>
        <family val="2"/>
        <scheme val="minor"/>
      </rPr>
      <t>Current Year balance unable to pull from Fi$Cal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 </t>
    </r>
  </si>
  <si>
    <r>
      <t xml:space="preserve">Restatement Amount 
</t>
    </r>
    <r>
      <rPr>
        <sz val="11"/>
        <color theme="1"/>
        <rFont val="Calibri"/>
        <family val="2"/>
        <scheme val="minor"/>
      </rPr>
      <t>(should agree to the difference calculated)</t>
    </r>
  </si>
  <si>
    <t>Land</t>
  </si>
  <si>
    <t>Buildings</t>
  </si>
  <si>
    <t>Improvements Other Than Buildings</t>
  </si>
  <si>
    <t>Equipment</t>
  </si>
  <si>
    <t>Construction Work in Progress</t>
  </si>
  <si>
    <t>Infrastructure - Depreciable</t>
  </si>
  <si>
    <t>Computer Software - Amortizable</t>
  </si>
  <si>
    <t>Land Use Rights - Amortizable</t>
  </si>
  <si>
    <t>Patents, Copyrights, and Trademarks - Amortizable</t>
  </si>
  <si>
    <t>Other Intangible Assets - Amortizable</t>
  </si>
  <si>
    <t>Right-to-Use Leased Land - Amortizable</t>
  </si>
  <si>
    <t>Right-to-Use Leased Buildings - Amortizable</t>
  </si>
  <si>
    <t>Right-to-Use Leased Equipment - Amortizable</t>
  </si>
  <si>
    <t>Right-to-Use Subscription-Based Information Technology Arrangements  (SBITA) - Amortizable</t>
  </si>
  <si>
    <t>Land Use Rights - Non-Amortizable</t>
  </si>
  <si>
    <t>Patents, Copyrights, and Trademarks - Non-Amortizable</t>
  </si>
  <si>
    <t>Other Intangible Assets - Non-Amortizable</t>
  </si>
  <si>
    <t>Internally Generated Intangible Assets in Progress</t>
  </si>
  <si>
    <t>Total</t>
  </si>
  <si>
    <t>Report Instructions:</t>
  </si>
  <si>
    <t>Col. 1 -</t>
  </si>
  <si>
    <t>Enter Ending Balance from Prior Year Report 18.</t>
  </si>
  <si>
    <t>Col. 2 -</t>
  </si>
  <si>
    <t>Enter Beginning Balance from Current Year Report 18.</t>
  </si>
  <si>
    <t>Col. 3 -</t>
  </si>
  <si>
    <t>Compute difference between current year beginning balance and prior year ending balance.</t>
  </si>
  <si>
    <t>Research posting and source documents to identify and explain the difference.</t>
  </si>
  <si>
    <t>Col. 4-9 -</t>
  </si>
  <si>
    <t>Breakdown and categorize the differences in columns 4 to 9.</t>
  </si>
  <si>
    <t>Col. 10 -</t>
  </si>
  <si>
    <t>Compute the sum of columns 4 to 8. The amount should agree with the computed difference in column 3.</t>
  </si>
  <si>
    <t>Footnotes:</t>
  </si>
  <si>
    <r>
      <rPr>
        <b/>
        <vertAlign val="superscript"/>
        <sz val="11"/>
        <rFont val="Calibri"/>
        <family val="2"/>
        <scheme val="minor"/>
      </rPr>
      <t>1</t>
    </r>
    <r>
      <rPr>
        <b/>
        <sz val="11"/>
        <rFont val="Calibri"/>
        <family val="2"/>
        <scheme val="minor"/>
      </rPr>
      <t>Current Year Balance cannot be pulled using the Fi$Cal Report Changes in Capital Assets (ZZ_GL_ASTRT)</t>
    </r>
  </si>
  <si>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Differential cannot be identified and may be due to a back-end reporting change by SCO or Fi$Cal. Differential could not be identified by fund shift, incoming assets or surveyed assets. Secondary report pulled for FY22-23 on 8/20/24 shows this differential was resolved. </t>
    </r>
  </si>
  <si>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Differential may have come from rightsizing of GASB 96 reporting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</si>
  <si>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>(provide description):</t>
    </r>
    <r>
      <rPr>
        <b/>
        <sz val="11"/>
        <color theme="1"/>
        <rFont val="Calibri"/>
        <family val="2"/>
        <scheme val="minor"/>
      </rPr>
      <t xml:space="preserve"> GASB 96 FY 23-24 balance adjustment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</si>
  <si>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3228</t>
  </si>
  <si>
    <t>3228 - Greenhouse Gas Reduction Fund</t>
  </si>
  <si>
    <t>Fund 3228</t>
  </si>
  <si>
    <r>
      <t>Right-to-Use Subscription-Based Information Technology Arrangements  (SBITA) - Amortizable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</si>
  <si>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Equipment</t>
    </r>
    <r>
      <rPr>
        <vertAlign val="superscript"/>
        <sz val="11"/>
        <color theme="1"/>
        <rFont val="Calibri"/>
        <family val="2"/>
        <scheme val="minor"/>
      </rPr>
      <t>1</t>
    </r>
  </si>
  <si>
    <r>
      <t>Buildings</t>
    </r>
    <r>
      <rPr>
        <vertAlign val="superscript"/>
        <sz val="11"/>
        <color theme="1"/>
        <rFont val="Calibri"/>
        <family val="2"/>
        <scheme val="minor"/>
      </rPr>
      <t>1</t>
    </r>
  </si>
  <si>
    <r>
      <t>Land</t>
    </r>
    <r>
      <rPr>
        <vertAlign val="superscript"/>
        <sz val="11"/>
        <color theme="1"/>
        <rFont val="Calibri"/>
        <family val="2"/>
        <scheme val="minor"/>
      </rPr>
      <t>1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</si>
  <si>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GASB 96 FY 23-24 balance adjustment</t>
    </r>
    <r>
      <rPr>
        <b/>
        <u/>
        <vertAlign val="superscript"/>
        <sz val="8"/>
        <color theme="1"/>
        <rFont val="Calibri"/>
        <family val="2"/>
        <scheme val="minor"/>
      </rPr>
      <t>3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</si>
  <si>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>(provide description): Unknown Differential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</si>
  <si>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 xml:space="preserve">(provide description): 
</t>
    </r>
    <r>
      <rPr>
        <b/>
        <sz val="11"/>
        <color theme="1"/>
        <rFont val="Calibri"/>
        <family val="2"/>
        <scheme val="minor"/>
      </rPr>
      <t>Current Year balance unable to pull from Fi$Cal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 </t>
    </r>
  </si>
  <si>
    <t>Greenhouse Reduction Fund (3228)</t>
  </si>
  <si>
    <t>0318</t>
  </si>
  <si>
    <r>
      <rPr>
        <sz val="11"/>
        <color theme="1"/>
        <rFont val="Calibri"/>
        <family val="2"/>
      </rPr>
      <t>2418</t>
    </r>
    <r>
      <rPr>
        <sz val="10"/>
        <color theme="1"/>
        <rFont val="Arial"/>
        <family val="2"/>
      </rPr>
      <t xml:space="preserve"> - Right-to-use SBITA - Amortizab</t>
    </r>
  </si>
  <si>
    <t>0318 - Collins-Dugan Calif Conserv Co</t>
  </si>
  <si>
    <t>Fund 0318</t>
  </si>
  <si>
    <r>
      <t xml:space="preserve">Restatement Amount 
</t>
    </r>
    <r>
      <rPr>
        <sz val="11"/>
        <color theme="1"/>
        <rFont val="Calibri"/>
        <family val="2"/>
        <scheme val="minor"/>
      </rPr>
      <t>(should agree to the difference calculated)</t>
    </r>
  </si>
  <si>
    <r>
      <t xml:space="preserve">Other amounts that make up the difference </t>
    </r>
    <r>
      <rPr>
        <sz val="11"/>
        <color theme="1"/>
        <rFont val="Calibri"/>
        <family val="2"/>
        <scheme val="minor"/>
      </rPr>
      <t>(provide description):</t>
    </r>
    <r>
      <rPr>
        <b/>
        <sz val="11"/>
        <color theme="1"/>
        <rFont val="Calibri"/>
        <family val="2"/>
        <scheme val="minor"/>
      </rPr>
      <t xml:space="preserve"> Uknown Differential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</si>
  <si>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Collins Dugan Fund (0318)</t>
  </si>
  <si>
    <t>004</t>
  </si>
  <si>
    <t>6088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</si>
  <si>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15:22:38</t>
    </r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</si>
  <si>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08/20/2024</t>
    </r>
  </si>
  <si>
    <t>6088 - CALIFORNIA CONSERVATION CORPS</t>
  </si>
  <si>
    <t>Fund 6088</t>
  </si>
  <si>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New Right-to-Use Leased assets per GASB Statement No. 87, Leases.</t>
    </r>
  </si>
  <si>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Financed Purchase contracts should be reported with its corresponding tangible capital asset account (e.g., Land, Buildings, Equipment)</t>
    </r>
  </si>
  <si>
    <t>Col. 4 - 9</t>
  </si>
  <si>
    <t>Arrangements (SBITA) - Amortizable</t>
  </si>
  <si>
    <r>
      <t>Right-to-Use Leased Equipment - Amortizable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</si>
  <si>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Right-to-Use Leased Buildings - Amortizable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</si>
  <si>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Right-to-Use Leased Land - Amortizable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</si>
  <si>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Restatement Amount 
</t>
    </r>
    <r>
      <rPr>
        <sz val="11"/>
        <color theme="1"/>
        <rFont val="Calibri"/>
        <family val="2"/>
      </rPr>
      <t>(should agree to the difference calculated)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</si>
  <si>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GASB 96 FY 2022-2023 implementation beginning balance adjustment.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</si>
  <si>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</t>
    </r>
    <r>
      <rPr>
        <b/>
        <u/>
        <sz val="8"/>
        <color theme="1"/>
        <rFont val="Calibri"/>
        <family val="2"/>
        <scheme val="minor"/>
      </rPr>
      <t>incorrect entry was made in current year balance</t>
    </r>
  </si>
  <si>
    <r>
      <t xml:space="preserve">Other amounts that make up the difference </t>
    </r>
    <r>
      <rPr>
        <sz val="11"/>
        <color theme="1"/>
        <rFont val="Calibri"/>
        <family val="2"/>
      </rPr>
      <t xml:space="preserve">(provide description): 
</t>
    </r>
    <r>
      <rPr>
        <b/>
        <u/>
        <sz val="8"/>
        <color theme="1"/>
        <rFont val="Calibri"/>
        <family val="2"/>
        <scheme val="minor"/>
      </rPr>
      <t>prior year asset classification was incorrect</t>
    </r>
  </si>
  <si>
    <r>
      <t xml:space="preserve">Transfers to other funds 3228
</t>
    </r>
    <r>
      <rPr>
        <sz val="11"/>
        <color theme="1"/>
        <rFont val="Calibri"/>
        <family val="2"/>
      </rPr>
      <t>(at historical cost/book value)</t>
    </r>
  </si>
  <si>
    <t>Prop 68 Drought Wtr Prk Clmt Cstl Otdr (6088)</t>
  </si>
  <si>
    <t>California Conservation Corps (3340)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</si>
</sst>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24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/>
      <vertAlign val="superscript"/>
      <sz val="8"/>
      <color theme="1"/>
      <name val="Calibri"/>
      <family val="2"/>
      <scheme val="minor"/>
    </font>
    <font>
      <sz val="11"/>
      <name val="Arial"/>
      <family val="2"/>
    </font>
    <font>
      <vertAlign val="superscript"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2" fillId="0" borderId="0"/>
    <xf numFmtId="0" fontId="2" fillId="0" borderId="0"/>
  </cellStyleXfs>
  <cellXfs count="123">
    <xf numFmtId="0" fontId="0" fillId="0" borderId="0" xfId="0"/>
    <xf numFmtId="0" fontId="3" fillId="0" borderId="0" xfId="1"/>
    <xf numFmtId="43" fontId="3" fillId="0" borderId="0" xfId="1" applyNumberFormat="1"/>
    <xf numFmtId="41" fontId="3" fillId="2" borderId="0" xfId="1" applyNumberFormat="1" applyFill="1"/>
    <xf numFmtId="0" fontId="3" fillId="0" borderId="0" xfId="1" applyProtection="1">
      <protection locked="0"/>
    </xf>
    <xf numFmtId="43" fontId="3" fillId="0" borderId="0" xfId="1" applyNumberFormat="1" applyProtection="1">
      <protection locked="0"/>
    </xf>
    <xf numFmtId="43" fontId="3" fillId="2" borderId="0" xfId="1" applyNumberFormat="1" applyFill="1" applyProtection="1">
      <protection locked="0"/>
    </xf>
    <xf numFmtId="0" fontId="3" fillId="0" borderId="0" xfId="1" quotePrefix="1" applyAlignment="1" applyProtection="1">
      <alignment horizontal="center"/>
      <protection locked="0"/>
    </xf>
    <xf numFmtId="0" fontId="3" fillId="0" borderId="0" xfId="1" applyAlignment="1" applyProtection="1">
      <alignment horizontal="center"/>
      <protection locked="0"/>
    </xf>
    <xf numFmtId="0" fontId="3" fillId="2" borderId="0" xfId="1" applyFill="1" applyAlignment="1" applyProtection="1">
      <alignment horizontal="center"/>
      <protection locked="0"/>
    </xf>
    <xf numFmtId="0" fontId="12" fillId="0" borderId="0" xfId="1" applyFont="1" applyProtection="1">
      <protection locked="0"/>
    </xf>
    <xf numFmtId="0" fontId="12" fillId="0" borderId="1" xfId="1" applyFont="1" applyBorder="1" applyAlignment="1" applyProtection="1">
      <alignment horizontal="center" vertical="top" wrapText="1"/>
      <protection locked="0"/>
    </xf>
    <xf numFmtId="0" fontId="12" fillId="0" borderId="1" xfId="1" applyFont="1" applyBorder="1" applyAlignment="1" applyProtection="1">
      <alignment horizontal="center" vertical="top"/>
      <protection locked="0"/>
    </xf>
    <xf numFmtId="43" fontId="3" fillId="0" borderId="1" xfId="1" applyNumberFormat="1" applyBorder="1" applyProtection="1">
      <protection locked="0"/>
    </xf>
    <xf numFmtId="41" fontId="3" fillId="2" borderId="0" xfId="1" applyNumberFormat="1" applyFill="1" applyProtection="1">
      <protection locked="0"/>
    </xf>
    <xf numFmtId="0" fontId="12" fillId="0" borderId="0" xfId="1" applyFont="1"/>
    <xf numFmtId="43" fontId="12" fillId="0" borderId="3" xfId="1" applyNumberFormat="1" applyFont="1" applyBorder="1" applyAlignment="1" applyProtection="1">
      <alignment horizontal="centerContinuous"/>
      <protection locked="0"/>
    </xf>
    <xf numFmtId="0" fontId="3" fillId="0" borderId="0" xfId="1" applyAlignment="1" applyProtection="1">
      <alignment wrapText="1"/>
      <protection locked="0"/>
    </xf>
    <xf numFmtId="43" fontId="3" fillId="0" borderId="0" xfId="1" applyNumberFormat="1" applyAlignment="1" applyProtection="1">
      <alignment wrapText="1"/>
      <protection locked="0"/>
    </xf>
    <xf numFmtId="41" fontId="3" fillId="2" borderId="0" xfId="1" applyNumberFormat="1" applyFill="1" applyAlignment="1" applyProtection="1">
      <alignment wrapText="1"/>
      <protection locked="0"/>
    </xf>
    <xf numFmtId="0" fontId="3" fillId="0" borderId="0" xfId="1" applyAlignment="1" applyProtection="1">
      <alignment horizontal="left" wrapText="1"/>
      <protection locked="0"/>
    </xf>
    <xf numFmtId="4" fontId="0" fillId="0" borderId="0" xfId="0" applyNumberFormat="1"/>
    <xf numFmtId="4" fontId="3" fillId="0" borderId="0" xfId="1" applyNumberFormat="1" applyProtection="1">
      <protection locked="0"/>
    </xf>
    <xf numFmtId="4" fontId="3" fillId="0" borderId="0" xfId="1" quotePrefix="1" applyNumberFormat="1" applyAlignment="1" applyProtection="1">
      <alignment horizontal="center"/>
      <protection locked="0"/>
    </xf>
    <xf numFmtId="4" fontId="12" fillId="0" borderId="1" xfId="1" applyNumberFormat="1" applyFont="1" applyBorder="1" applyAlignment="1" applyProtection="1">
      <alignment horizontal="center" vertical="top" wrapText="1"/>
      <protection locked="0"/>
    </xf>
    <xf numFmtId="43" fontId="12" fillId="0" borderId="2" xfId="1" applyNumberFormat="1" applyFont="1" applyBorder="1"/>
    <xf numFmtId="43" fontId="15" fillId="0" borderId="0" xfId="0" applyNumberFormat="1" applyFont="1"/>
    <xf numFmtId="0" fontId="16" fillId="0" borderId="0" xfId="2" applyFont="1"/>
    <xf numFmtId="4" fontId="12" fillId="0" borderId="0" xfId="1" applyNumberFormat="1" applyFont="1"/>
    <xf numFmtId="0" fontId="12" fillId="0" borderId="0" xfId="1" applyFont="1" applyAlignment="1">
      <alignment horizontal="left"/>
    </xf>
    <xf numFmtId="0" fontId="0" fillId="3" borderId="0" xfId="0" applyFill="1"/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39" fontId="9" fillId="3" borderId="0" xfId="0" applyNumberFormat="1" applyFont="1" applyFill="1" applyAlignment="1">
      <alignment horizontal="right" vertical="top" wrapText="1"/>
    </xf>
    <xf numFmtId="0" fontId="7" fillId="0" borderId="0" xfId="0" applyFont="1" applyAlignment="1">
      <alignment horizontal="left" vertical="center" wrapText="1"/>
    </xf>
    <xf numFmtId="39" fontId="9" fillId="4" borderId="0" xfId="0" applyNumberFormat="1" applyFont="1" applyFill="1" applyAlignment="1">
      <alignment horizontal="right" vertical="top" wrapText="1"/>
    </xf>
    <xf numFmtId="0" fontId="7" fillId="4" borderId="0" xfId="0" applyFont="1" applyFill="1" applyAlignment="1">
      <alignment horizontal="right" vertical="center" wrapText="1"/>
    </xf>
    <xf numFmtId="43" fontId="0" fillId="0" borderId="0" xfId="0" applyNumberFormat="1"/>
    <xf numFmtId="0" fontId="2" fillId="0" borderId="0" xfId="3"/>
    <xf numFmtId="43" fontId="2" fillId="0" borderId="0" xfId="3" applyNumberFormat="1"/>
    <xf numFmtId="0" fontId="12" fillId="0" borderId="0" xfId="3" applyFont="1"/>
    <xf numFmtId="4" fontId="12" fillId="0" borderId="0" xfId="3" applyNumberFormat="1" applyFont="1"/>
    <xf numFmtId="0" fontId="16" fillId="0" borderId="0" xfId="4" applyFont="1"/>
    <xf numFmtId="0" fontId="2" fillId="0" borderId="0" xfId="3" applyProtection="1">
      <protection locked="0"/>
    </xf>
    <xf numFmtId="43" fontId="2" fillId="0" borderId="0" xfId="3" applyNumberFormat="1" applyProtection="1">
      <protection locked="0"/>
    </xf>
    <xf numFmtId="4" fontId="2" fillId="0" borderId="0" xfId="3" applyNumberFormat="1" applyProtection="1">
      <protection locked="0"/>
    </xf>
    <xf numFmtId="43" fontId="12" fillId="0" borderId="2" xfId="3" applyNumberFormat="1" applyFont="1" applyBorder="1"/>
    <xf numFmtId="41" fontId="2" fillId="2" borderId="0" xfId="3" applyNumberFormat="1" applyFill="1"/>
    <xf numFmtId="43" fontId="2" fillId="0" borderId="1" xfId="3" applyNumberFormat="1" applyBorder="1" applyProtection="1">
      <protection locked="0"/>
    </xf>
    <xf numFmtId="41" fontId="2" fillId="2" borderId="0" xfId="3" applyNumberFormat="1" applyFill="1" applyProtection="1">
      <protection locked="0"/>
    </xf>
    <xf numFmtId="43" fontId="2" fillId="0" borderId="0" xfId="3" applyNumberFormat="1" applyAlignment="1" applyProtection="1">
      <alignment wrapText="1"/>
      <protection locked="0"/>
    </xf>
    <xf numFmtId="41" fontId="2" fillId="2" borderId="0" xfId="3" applyNumberFormat="1" applyFill="1" applyAlignment="1" applyProtection="1">
      <alignment wrapText="1"/>
      <protection locked="0"/>
    </xf>
    <xf numFmtId="0" fontId="2" fillId="0" borderId="0" xfId="3" applyAlignment="1" applyProtection="1">
      <alignment wrapText="1"/>
      <protection locked="0"/>
    </xf>
    <xf numFmtId="0" fontId="2" fillId="0" borderId="0" xfId="3" applyAlignment="1" applyProtection="1">
      <alignment horizontal="left" wrapText="1"/>
      <protection locked="0"/>
    </xf>
    <xf numFmtId="0" fontId="12" fillId="0" borderId="0" xfId="3" applyFont="1" applyProtection="1">
      <protection locked="0"/>
    </xf>
    <xf numFmtId="43" fontId="2" fillId="2" borderId="0" xfId="3" applyNumberFormat="1" applyFill="1" applyProtection="1">
      <protection locked="0"/>
    </xf>
    <xf numFmtId="43" fontId="12" fillId="0" borderId="1" xfId="3" applyNumberFormat="1" applyFont="1" applyBorder="1" applyAlignment="1" applyProtection="1">
      <alignment horizontal="center" vertical="top" wrapText="1"/>
      <protection locked="0"/>
    </xf>
    <xf numFmtId="43" fontId="2" fillId="0" borderId="0" xfId="3" applyNumberFormat="1" applyAlignment="1" applyProtection="1">
      <alignment horizontal="center"/>
      <protection locked="0"/>
    </xf>
    <xf numFmtId="0" fontId="2" fillId="2" borderId="0" xfId="3" applyFill="1" applyAlignment="1" applyProtection="1">
      <alignment horizontal="center"/>
      <protection locked="0"/>
    </xf>
    <xf numFmtId="0" fontId="12" fillId="0" borderId="1" xfId="3" applyFont="1" applyBorder="1" applyAlignment="1" applyProtection="1">
      <alignment horizontal="center" vertical="top"/>
      <protection locked="0"/>
    </xf>
    <xf numFmtId="0" fontId="2" fillId="0" borderId="0" xfId="3" applyAlignment="1" applyProtection="1">
      <alignment horizontal="center"/>
      <protection locked="0"/>
    </xf>
    <xf numFmtId="4" fontId="12" fillId="0" borderId="1" xfId="3" applyNumberFormat="1" applyFont="1" applyBorder="1" applyAlignment="1" applyProtection="1">
      <alignment horizontal="center" vertical="top" wrapText="1"/>
      <protection locked="0"/>
    </xf>
    <xf numFmtId="43" fontId="2" fillId="0" borderId="0" xfId="3" quotePrefix="1" applyNumberFormat="1" applyAlignment="1" applyProtection="1">
      <alignment horizontal="center"/>
      <protection locked="0"/>
    </xf>
    <xf numFmtId="0" fontId="2" fillId="0" borderId="0" xfId="3" quotePrefix="1" applyAlignment="1" applyProtection="1">
      <alignment horizontal="center"/>
      <protection locked="0"/>
    </xf>
    <xf numFmtId="4" fontId="2" fillId="0" borderId="0" xfId="3" quotePrefix="1" applyNumberFormat="1" applyAlignment="1" applyProtection="1">
      <alignment horizontal="center"/>
      <protection locked="0"/>
    </xf>
    <xf numFmtId="43" fontId="12" fillId="0" borderId="3" xfId="3" applyNumberFormat="1" applyFont="1" applyBorder="1" applyAlignment="1" applyProtection="1">
      <alignment horizontal="centerContinuous"/>
      <protection locked="0"/>
    </xf>
    <xf numFmtId="0" fontId="12" fillId="0" borderId="1" xfId="3" applyFont="1" applyBorder="1" applyAlignment="1" applyProtection="1">
      <alignment horizontal="center" vertical="top" wrapText="1"/>
      <protection locked="0"/>
    </xf>
    <xf numFmtId="0" fontId="22" fillId="0" borderId="0" xfId="4" applyFont="1"/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41" fontId="12" fillId="0" borderId="2" xfId="0" applyNumberFormat="1" applyFont="1" applyBorder="1"/>
    <xf numFmtId="41" fontId="0" fillId="0" borderId="0" xfId="0" applyNumberFormat="1"/>
    <xf numFmtId="41" fontId="0" fillId="2" borderId="0" xfId="0" applyNumberFormat="1" applyFill="1"/>
    <xf numFmtId="0" fontId="12" fillId="0" borderId="0" xfId="0" applyFont="1"/>
    <xf numFmtId="41" fontId="0" fillId="0" borderId="0" xfId="0" applyNumberFormat="1" applyProtection="1">
      <protection locked="0"/>
    </xf>
    <xf numFmtId="41" fontId="0" fillId="0" borderId="1" xfId="0" applyNumberFormat="1" applyBorder="1" applyProtection="1">
      <protection locked="0"/>
    </xf>
    <xf numFmtId="41" fontId="0" fillId="2" borderId="0" xfId="0" applyNumberFormat="1" applyFill="1" applyProtection="1">
      <protection locked="0"/>
    </xf>
    <xf numFmtId="0" fontId="12" fillId="0" borderId="0" xfId="0" applyFont="1" applyProtection="1">
      <protection locked="0"/>
    </xf>
    <xf numFmtId="43" fontId="0" fillId="2" borderId="0" xfId="0" applyNumberFormat="1" applyFill="1" applyProtection="1">
      <protection locked="0"/>
    </xf>
    <xf numFmtId="0" fontId="12" fillId="0" borderId="1" xfId="0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12" fillId="0" borderId="1" xfId="0" applyFont="1" applyBorder="1" applyAlignment="1" applyProtection="1">
      <alignment horizontal="center" vertical="top"/>
      <protection locked="0"/>
    </xf>
    <xf numFmtId="0" fontId="0" fillId="0" borderId="0" xfId="0" quotePrefix="1" applyAlignment="1" applyProtection="1">
      <alignment horizontal="center"/>
      <protection locked="0"/>
    </xf>
    <xf numFmtId="43" fontId="12" fillId="0" borderId="3" xfId="0" applyNumberFormat="1" applyFont="1" applyBorder="1" applyAlignment="1" applyProtection="1">
      <alignment horizontal="centerContinuous"/>
      <protection locked="0"/>
    </xf>
    <xf numFmtId="0" fontId="12" fillId="0" borderId="0" xfId="0" applyFont="1" applyAlignment="1" applyProtection="1">
      <alignment horizontal="centerContinuous"/>
      <protection locked="0"/>
    </xf>
    <xf numFmtId="0" fontId="0" fillId="3" borderId="0" xfId="0" applyFill="1" applyAlignment="1">
      <alignment horizontal="left" vertical="top" wrapText="1"/>
    </xf>
    <xf numFmtId="0" fontId="4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indent="1"/>
    </xf>
    <xf numFmtId="0" fontId="6" fillId="3" borderId="0" xfId="0" applyFont="1" applyFill="1" applyAlignment="1">
      <alignment horizontal="left" inden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8" fillId="3" borderId="0" xfId="0" applyFont="1" applyFill="1" applyAlignment="1">
      <alignment horizontal="left" indent="1"/>
    </xf>
    <xf numFmtId="39" fontId="9" fillId="3" borderId="0" xfId="0" applyNumberFormat="1" applyFont="1" applyFill="1" applyAlignment="1">
      <alignment horizontal="right" vertical="top" wrapText="1"/>
    </xf>
    <xf numFmtId="0" fontId="13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center" indent="1"/>
    </xf>
    <xf numFmtId="0" fontId="9" fillId="3" borderId="0" xfId="0" applyFont="1" applyFill="1" applyAlignment="1">
      <alignment horizontal="right" vertical="center" wrapText="1"/>
    </xf>
    <xf numFmtId="39" fontId="10" fillId="3" borderId="0" xfId="0" applyNumberFormat="1" applyFont="1" applyFill="1" applyAlignment="1">
      <alignment horizontal="right" vertical="center" wrapText="1"/>
    </xf>
    <xf numFmtId="0" fontId="12" fillId="0" borderId="0" xfId="2" applyFont="1" applyAlignment="1">
      <alignment horizontal="left" wrapText="1"/>
    </xf>
    <xf numFmtId="0" fontId="17" fillId="0" borderId="0" xfId="2" applyFont="1" applyAlignment="1">
      <alignment horizontal="left" wrapText="1"/>
    </xf>
    <xf numFmtId="0" fontId="17" fillId="0" borderId="0" xfId="2" applyFont="1" applyAlignment="1">
      <alignment horizontal="left"/>
    </xf>
    <xf numFmtId="0" fontId="12" fillId="0" borderId="0" xfId="1" applyFont="1" applyAlignment="1" applyProtection="1">
      <alignment horizontal="center"/>
      <protection locked="0"/>
    </xf>
    <xf numFmtId="39" fontId="10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0" fillId="4" borderId="0" xfId="0" applyFill="1" applyAlignment="1">
      <alignment horizontal="left" vertical="top" wrapText="1"/>
    </xf>
    <xf numFmtId="39" fontId="9" fillId="4" borderId="0" xfId="0" applyNumberFormat="1" applyFont="1" applyFill="1" applyAlignment="1">
      <alignment horizontal="right"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 indent="1"/>
    </xf>
    <xf numFmtId="0" fontId="8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7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right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12" fillId="0" borderId="0" xfId="3" applyFont="1" applyAlignment="1">
      <alignment horizontal="left"/>
    </xf>
    <xf numFmtId="0" fontId="12" fillId="0" borderId="0" xfId="4" applyFont="1" applyAlignment="1">
      <alignment horizontal="left" wrapText="1"/>
    </xf>
    <xf numFmtId="0" fontId="17" fillId="0" borderId="0" xfId="4" applyFont="1" applyAlignment="1">
      <alignment horizontal="left" wrapText="1"/>
    </xf>
    <xf numFmtId="0" fontId="17" fillId="0" borderId="0" xfId="4" applyFont="1" applyAlignment="1">
      <alignment horizontal="left"/>
    </xf>
    <xf numFmtId="0" fontId="12" fillId="0" borderId="0" xfId="3" applyFont="1" applyAlignment="1" applyProtection="1">
      <alignment horizontal="center"/>
      <protection locked="0"/>
    </xf>
  </cellXfs>
  <cellStyles count="5">
    <cellStyle name="Normal" xfId="0" builtinId="0"/>
    <cellStyle name="Normal 2" xfId="1" xr:uid="{00F90DD8-3377-4797-B8A2-1E2C2C84525C}"/>
    <cellStyle name="Normal 2 2" xfId="3" xr:uid="{33BB5F6F-DF17-4126-BCC4-783C6DC0F6AC}"/>
    <cellStyle name="Normal 4 2" xfId="2" xr:uid="{33082209-EBEA-4073-8196-1CA47CCD29B7}"/>
    <cellStyle name="Normal 4 2 2" xfId="4" xr:uid="{2E70C0CF-0826-477D-A686-61FD3B21278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Normal="100" workbookViewId="0">
      <selection activeCell="A27" sqref="A27:J27"/>
    </sheetView>
  </sheetViews>
  <sheetFormatPr defaultColWidth="8.85546875" defaultRowHeight="15" x14ac:dyDescent="0.25"/>
  <cols>
    <col min="1" max="1" width="12.5703125" style="30" customWidth="1"/>
    <col min="2" max="2" width="5.140625" style="30" customWidth="1"/>
    <col min="3" max="3" width="7.42578125" style="30" customWidth="1"/>
    <col min="4" max="4" width="4.5703125" style="30" customWidth="1"/>
    <col min="5" max="5" width="18.85546875" style="30" customWidth="1"/>
    <col min="6" max="6" width="20.5703125" style="30" customWidth="1"/>
    <col min="7" max="7" width="17.140625" style="30" customWidth="1"/>
    <col min="8" max="8" width="14.28515625" style="30" customWidth="1"/>
    <col min="9" max="9" width="2.85546875" style="30" customWidth="1"/>
    <col min="10" max="10" width="22.28515625" style="30" customWidth="1"/>
    <col min="11" max="16384" width="8.85546875" style="30"/>
  </cols>
  <sheetData>
    <row r="1" spans="1:10" x14ac:dyDescent="0.25">
      <c r="A1" s="86"/>
      <c r="B1" s="86"/>
      <c r="C1" s="86"/>
      <c r="D1" s="86"/>
      <c r="E1" s="86"/>
      <c r="F1" s="86"/>
      <c r="G1" s="86"/>
      <c r="H1" s="86"/>
      <c r="I1" s="86" t="s">
        <v>0</v>
      </c>
      <c r="J1" s="86"/>
    </row>
    <row r="2" spans="1:10" x14ac:dyDescent="0.25">
      <c r="A2" s="87" t="s">
        <v>1</v>
      </c>
      <c r="B2" s="87"/>
      <c r="C2" s="87"/>
      <c r="D2" s="87"/>
      <c r="E2" s="87"/>
      <c r="F2" s="87"/>
      <c r="G2" s="87"/>
      <c r="H2" s="87"/>
      <c r="I2" s="87"/>
      <c r="J2" s="87"/>
    </row>
    <row r="3" spans="1:10" x14ac:dyDescent="0.25">
      <c r="A3" s="87" t="s">
        <v>2</v>
      </c>
      <c r="B3" s="87"/>
      <c r="C3" s="87"/>
      <c r="D3" s="87"/>
      <c r="E3" s="87"/>
      <c r="F3" s="87"/>
      <c r="G3" s="87"/>
      <c r="H3" s="87"/>
      <c r="I3" s="87"/>
      <c r="J3" s="87"/>
    </row>
    <row r="4" spans="1:10" x14ac:dyDescent="0.25">
      <c r="A4" s="87" t="s">
        <v>3</v>
      </c>
      <c r="B4" s="87"/>
      <c r="C4" s="87"/>
      <c r="D4" s="87"/>
      <c r="E4" s="87"/>
      <c r="F4" s="87"/>
      <c r="G4" s="87"/>
      <c r="H4" s="87"/>
      <c r="I4" s="87"/>
      <c r="J4" s="87"/>
    </row>
    <row r="5" spans="1:10" x14ac:dyDescent="0.25">
      <c r="A5" s="87" t="s">
        <v>4</v>
      </c>
      <c r="B5" s="87"/>
      <c r="C5" s="87"/>
      <c r="D5" s="87"/>
      <c r="E5" s="87"/>
      <c r="F5" s="87"/>
      <c r="G5" s="87"/>
      <c r="H5" s="87"/>
      <c r="I5" s="87"/>
      <c r="J5" s="87"/>
    </row>
    <row r="6" spans="1:10" x14ac:dyDescent="0.25">
      <c r="A6" s="87" t="s">
        <v>5</v>
      </c>
      <c r="B6" s="87"/>
      <c r="C6" s="87"/>
      <c r="D6" s="87"/>
      <c r="E6" s="87"/>
      <c r="F6" s="87"/>
      <c r="G6" s="87"/>
      <c r="H6" s="87"/>
      <c r="I6" s="87"/>
      <c r="J6" s="87"/>
    </row>
    <row r="7" spans="1:10" x14ac:dyDescent="0.25">
      <c r="A7" s="88" t="s">
        <v>6</v>
      </c>
      <c r="B7" s="88"/>
      <c r="C7" s="89" t="s">
        <v>7</v>
      </c>
      <c r="D7" s="89"/>
      <c r="E7" s="89"/>
      <c r="F7" s="89"/>
      <c r="G7" s="89"/>
      <c r="H7" s="89"/>
      <c r="I7" s="86" t="s">
        <v>8</v>
      </c>
      <c r="J7" s="86"/>
    </row>
    <row r="8" spans="1:10" x14ac:dyDescent="0.25">
      <c r="A8" s="88" t="s">
        <v>9</v>
      </c>
      <c r="B8" s="88"/>
      <c r="C8" s="89" t="s">
        <v>10</v>
      </c>
      <c r="D8" s="89"/>
      <c r="E8" s="89"/>
      <c r="F8" s="89"/>
      <c r="G8" s="89"/>
      <c r="H8" s="89"/>
      <c r="I8" s="86" t="s">
        <v>11</v>
      </c>
      <c r="J8" s="86"/>
    </row>
    <row r="9" spans="1:10" x14ac:dyDescent="0.25">
      <c r="A9" s="88" t="s">
        <v>12</v>
      </c>
      <c r="B9" s="88"/>
      <c r="C9" s="89" t="s">
        <v>13</v>
      </c>
      <c r="D9" s="89"/>
      <c r="E9" s="89"/>
      <c r="F9" s="89"/>
      <c r="G9" s="89"/>
      <c r="H9" s="89"/>
      <c r="I9" s="86" t="s">
        <v>14</v>
      </c>
      <c r="J9" s="86"/>
    </row>
    <row r="10" spans="1:10" x14ac:dyDescent="0.25">
      <c r="A10" s="86"/>
      <c r="B10" s="86"/>
      <c r="C10" s="86"/>
      <c r="D10" s="86"/>
      <c r="E10" s="86"/>
      <c r="F10" s="86"/>
      <c r="G10" s="86"/>
      <c r="H10" s="86"/>
      <c r="I10" s="86"/>
      <c r="J10" s="86"/>
    </row>
    <row r="11" spans="1:10" x14ac:dyDescent="0.25">
      <c r="A11" s="90"/>
      <c r="B11" s="90"/>
      <c r="C11" s="90"/>
      <c r="D11" s="90"/>
      <c r="E11" s="90"/>
      <c r="F11" s="90"/>
      <c r="G11" s="90"/>
      <c r="H11" s="90"/>
      <c r="I11" s="90"/>
      <c r="J11" s="90"/>
    </row>
    <row r="12" spans="1:10" x14ac:dyDescent="0.25">
      <c r="A12" s="91" t="s">
        <v>15</v>
      </c>
      <c r="B12" s="91"/>
      <c r="C12" s="91"/>
      <c r="D12" s="91"/>
      <c r="E12" s="91"/>
      <c r="F12" s="91"/>
      <c r="G12" s="91"/>
      <c r="H12" s="91"/>
      <c r="I12" s="91"/>
      <c r="J12" s="91"/>
    </row>
    <row r="13" spans="1:10" x14ac:dyDescent="0.25">
      <c r="A13" s="90"/>
      <c r="B13" s="90"/>
      <c r="C13" s="90"/>
      <c r="D13" s="90"/>
      <c r="E13" s="90"/>
      <c r="F13" s="90"/>
      <c r="G13" s="90"/>
      <c r="H13" s="90"/>
      <c r="I13" s="90"/>
      <c r="J13" s="90"/>
    </row>
    <row r="14" spans="1:10" x14ac:dyDescent="0.25">
      <c r="A14" s="92" t="s">
        <v>16</v>
      </c>
      <c r="B14" s="92"/>
      <c r="C14" s="92"/>
      <c r="D14" s="92"/>
      <c r="E14" s="92"/>
      <c r="F14" s="32" t="s">
        <v>17</v>
      </c>
      <c r="G14" s="32" t="s">
        <v>18</v>
      </c>
      <c r="H14" s="93" t="s">
        <v>19</v>
      </c>
      <c r="I14" s="93"/>
      <c r="J14" s="32" t="s">
        <v>20</v>
      </c>
    </row>
    <row r="15" spans="1:10" x14ac:dyDescent="0.25">
      <c r="A15" s="94" t="s">
        <v>21</v>
      </c>
      <c r="B15" s="94"/>
      <c r="C15" s="94"/>
      <c r="D15" s="94"/>
      <c r="E15" s="94"/>
      <c r="F15" s="94"/>
      <c r="G15" s="94"/>
      <c r="H15" s="94"/>
      <c r="I15" s="94"/>
      <c r="J15" s="94"/>
    </row>
    <row r="16" spans="1:10" x14ac:dyDescent="0.25">
      <c r="A16" s="86" t="s">
        <v>22</v>
      </c>
      <c r="B16" s="86"/>
      <c r="C16" s="86"/>
      <c r="D16" s="86"/>
      <c r="E16" s="86"/>
      <c r="F16" s="33">
        <v>7444360.9800000004</v>
      </c>
      <c r="G16" s="33">
        <v>7635399.2699999996</v>
      </c>
      <c r="H16" s="95">
        <v>695031.79</v>
      </c>
      <c r="I16" s="95"/>
      <c r="J16" s="33">
        <v>14384728.460000001</v>
      </c>
    </row>
    <row r="17" spans="1:10" x14ac:dyDescent="0.25">
      <c r="A17" s="90"/>
      <c r="B17" s="90"/>
      <c r="C17" s="90"/>
      <c r="D17" s="90"/>
      <c r="E17" s="90"/>
      <c r="F17" s="90"/>
      <c r="G17" s="90"/>
      <c r="H17" s="90"/>
      <c r="I17" s="90"/>
      <c r="J17" s="90"/>
    </row>
    <row r="18" spans="1:10" x14ac:dyDescent="0.25">
      <c r="A18" s="94" t="s">
        <v>23</v>
      </c>
      <c r="B18" s="94"/>
      <c r="C18" s="94"/>
      <c r="D18" s="94"/>
      <c r="E18" s="94"/>
      <c r="F18" s="94"/>
      <c r="G18" s="94"/>
      <c r="H18" s="94"/>
      <c r="I18" s="94"/>
      <c r="J18" s="94"/>
    </row>
    <row r="19" spans="1:10" x14ac:dyDescent="0.25">
      <c r="A19" s="86" t="s">
        <v>24</v>
      </c>
      <c r="B19" s="86"/>
      <c r="C19" s="86"/>
      <c r="D19" s="86"/>
      <c r="E19" s="86"/>
      <c r="F19" s="33">
        <v>6865940.1399999997</v>
      </c>
      <c r="G19" s="33">
        <v>752760.6</v>
      </c>
      <c r="H19" s="95">
        <v>0</v>
      </c>
      <c r="I19" s="95"/>
      <c r="J19" s="33">
        <v>7618700.7400000002</v>
      </c>
    </row>
    <row r="20" spans="1:10" x14ac:dyDescent="0.25">
      <c r="A20" s="96" t="s">
        <v>25</v>
      </c>
      <c r="B20" s="86"/>
      <c r="C20" s="86"/>
      <c r="D20" s="86"/>
      <c r="E20" s="86"/>
      <c r="F20" s="33">
        <v>228633.81</v>
      </c>
      <c r="G20" s="33">
        <v>0</v>
      </c>
      <c r="H20" s="95">
        <v>0</v>
      </c>
      <c r="I20" s="95"/>
      <c r="J20" s="33">
        <v>228633.81</v>
      </c>
    </row>
    <row r="21" spans="1:10" x14ac:dyDescent="0.25">
      <c r="A21" s="90"/>
      <c r="B21" s="90"/>
      <c r="C21" s="90"/>
      <c r="D21" s="90"/>
      <c r="E21" s="90"/>
      <c r="F21" s="90"/>
      <c r="G21" s="90"/>
      <c r="H21" s="90"/>
      <c r="I21" s="90"/>
      <c r="J21" s="90"/>
    </row>
    <row r="22" spans="1:10" x14ac:dyDescent="0.25">
      <c r="A22" s="31" t="s">
        <v>9</v>
      </c>
      <c r="B22" s="98" t="s">
        <v>26</v>
      </c>
      <c r="C22" s="98"/>
      <c r="D22" s="98"/>
      <c r="E22" s="99">
        <v>14538934.930000002</v>
      </c>
      <c r="F22" s="99"/>
      <c r="G22" s="99">
        <v>8388159.8699999992</v>
      </c>
      <c r="H22" s="99">
        <v>695031.79</v>
      </c>
      <c r="I22" s="99"/>
      <c r="J22" s="99">
        <v>22232063.010000002</v>
      </c>
    </row>
    <row r="23" spans="1:10" x14ac:dyDescent="0.25">
      <c r="A23" s="31" t="s">
        <v>27</v>
      </c>
      <c r="B23" s="98" t="s">
        <v>13</v>
      </c>
      <c r="C23" s="98"/>
      <c r="D23" s="98"/>
      <c r="E23" s="99"/>
      <c r="F23" s="99"/>
      <c r="G23" s="99"/>
      <c r="H23" s="99"/>
      <c r="I23" s="99"/>
      <c r="J23" s="99"/>
    </row>
    <row r="24" spans="1:10" x14ac:dyDescent="0.25">
      <c r="A24" s="90"/>
      <c r="B24" s="90"/>
      <c r="C24" s="90"/>
      <c r="D24" s="90"/>
      <c r="E24" s="90"/>
      <c r="F24" s="90"/>
      <c r="G24" s="90"/>
      <c r="H24" s="90"/>
      <c r="I24" s="90"/>
      <c r="J24" s="90"/>
    </row>
    <row r="25" spans="1:10" x14ac:dyDescent="0.25">
      <c r="A25" s="90"/>
      <c r="B25" s="90"/>
      <c r="C25" s="90"/>
      <c r="D25" s="90"/>
      <c r="E25" s="90"/>
      <c r="F25" s="90"/>
      <c r="G25" s="90"/>
      <c r="H25" s="90"/>
      <c r="I25" s="90"/>
      <c r="J25" s="90"/>
    </row>
    <row r="26" spans="1:10" x14ac:dyDescent="0.25">
      <c r="A26" s="90"/>
      <c r="B26" s="90"/>
      <c r="C26" s="90"/>
      <c r="D26" s="90"/>
      <c r="E26" s="90"/>
      <c r="F26" s="90"/>
      <c r="G26" s="90"/>
      <c r="H26" s="90"/>
      <c r="I26" s="90"/>
      <c r="J26" s="90"/>
    </row>
    <row r="27" spans="1:10" x14ac:dyDescent="0.25">
      <c r="A27" s="97"/>
      <c r="B27" s="97"/>
      <c r="C27" s="97"/>
      <c r="D27" s="97"/>
      <c r="E27" s="97"/>
      <c r="F27" s="97"/>
      <c r="G27" s="97"/>
      <c r="H27" s="97"/>
      <c r="I27" s="97"/>
      <c r="J27" s="97"/>
    </row>
  </sheetData>
  <mergeCells count="45">
    <mergeCell ref="A24:J24"/>
    <mergeCell ref="A25:J25"/>
    <mergeCell ref="A26:J26"/>
    <mergeCell ref="A27:J27"/>
    <mergeCell ref="A21:J21"/>
    <mergeCell ref="B22:D22"/>
    <mergeCell ref="E22:F23"/>
    <mergeCell ref="G22:G23"/>
    <mergeCell ref="H22:I23"/>
    <mergeCell ref="J22:J23"/>
    <mergeCell ref="B23:D23"/>
    <mergeCell ref="A17:J17"/>
    <mergeCell ref="A18:J18"/>
    <mergeCell ref="A19:E19"/>
    <mergeCell ref="H19:I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  <pageSetup scale="97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CC30-6E1E-4D55-8026-5F7F72E0E3D8}">
  <sheetPr>
    <pageSetUpPr fitToPage="1"/>
  </sheetPr>
  <dimension ref="A1:U45"/>
  <sheetViews>
    <sheetView topLeftCell="A2" zoomScale="80" zoomScaleNormal="80" workbookViewId="0">
      <selection activeCell="L24" sqref="L24"/>
    </sheetView>
  </sheetViews>
  <sheetFormatPr defaultRowHeight="15" x14ac:dyDescent="0.25"/>
  <cols>
    <col min="2" max="2" width="51.42578125" bestFit="1" customWidth="1"/>
    <col min="3" max="3" width="1.42578125" customWidth="1"/>
    <col min="4" max="4" width="15.28515625" style="21" bestFit="1" customWidth="1"/>
    <col min="5" max="5" width="1.42578125" customWidth="1"/>
    <col min="6" max="6" width="15.28515625" bestFit="1" customWidth="1"/>
    <col min="7" max="7" width="1.42578125" customWidth="1"/>
    <col min="8" max="8" width="13" bestFit="1" customWidth="1"/>
    <col min="9" max="9" width="2.140625" customWidth="1"/>
    <col min="10" max="10" width="14.28515625" customWidth="1"/>
    <col min="11" max="11" width="1.42578125" customWidth="1"/>
    <col min="12" max="12" width="16.7109375" customWidth="1"/>
    <col min="13" max="13" width="1.42578125" customWidth="1"/>
    <col min="14" max="14" width="15.42578125" customWidth="1"/>
    <col min="15" max="15" width="1.42578125" customWidth="1"/>
    <col min="16" max="16" width="20" bestFit="1" customWidth="1"/>
    <col min="17" max="17" width="1.42578125" customWidth="1"/>
    <col min="18" max="18" width="21.5703125" customWidth="1"/>
    <col min="19" max="19" width="18.5703125" customWidth="1"/>
    <col min="20" max="20" width="1.42578125" customWidth="1"/>
    <col min="21" max="21" width="15.5703125" bestFit="1" customWidth="1"/>
  </cols>
  <sheetData>
    <row r="1" spans="1:21" x14ac:dyDescent="0.25">
      <c r="A1" s="103" t="s">
        <v>28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</row>
    <row r="2" spans="1:21" x14ac:dyDescent="0.25">
      <c r="A2" s="103" t="s">
        <v>29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</row>
    <row r="3" spans="1:21" x14ac:dyDescent="0.25">
      <c r="A3" s="103" t="s">
        <v>30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</row>
    <row r="4" spans="1:21" x14ac:dyDescent="0.25">
      <c r="A4" s="103" t="s">
        <v>31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</row>
    <row r="5" spans="1:21" x14ac:dyDescent="0.25">
      <c r="A5" s="103" t="s">
        <v>32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</row>
    <row r="6" spans="1:21" ht="6" customHeight="1" x14ac:dyDescent="0.25">
      <c r="A6" s="4"/>
      <c r="B6" s="4"/>
      <c r="C6" s="4"/>
      <c r="D6" s="22"/>
      <c r="E6" s="5"/>
      <c r="F6" s="5"/>
      <c r="G6" s="5"/>
      <c r="H6" s="5"/>
      <c r="I6" s="5"/>
      <c r="J6" s="5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5.75" thickBot="1" x14ac:dyDescent="0.3">
      <c r="A7" s="4"/>
      <c r="B7" s="4"/>
      <c r="C7" s="4"/>
      <c r="D7" s="22"/>
      <c r="E7" s="5"/>
      <c r="F7" s="5"/>
      <c r="G7" s="5"/>
      <c r="H7" s="5"/>
      <c r="I7" s="6"/>
      <c r="J7" s="16" t="s">
        <v>33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4"/>
      <c r="B8" s="4"/>
      <c r="C8" s="4"/>
      <c r="D8" s="23" t="s">
        <v>34</v>
      </c>
      <c r="E8" s="8"/>
      <c r="F8" s="7" t="s">
        <v>35</v>
      </c>
      <c r="G8" s="8"/>
      <c r="H8" s="7" t="s">
        <v>36</v>
      </c>
      <c r="I8" s="9"/>
      <c r="J8" s="7" t="s">
        <v>37</v>
      </c>
      <c r="K8" s="4"/>
      <c r="L8" s="7" t="s">
        <v>38</v>
      </c>
      <c r="M8" s="8"/>
      <c r="N8" s="7" t="s">
        <v>39</v>
      </c>
      <c r="O8" s="8"/>
      <c r="P8" s="7" t="s">
        <v>40</v>
      </c>
      <c r="Q8" s="8"/>
      <c r="R8" s="7" t="s">
        <v>41</v>
      </c>
      <c r="S8" s="7" t="s">
        <v>42</v>
      </c>
      <c r="T8" s="8"/>
      <c r="U8" s="7" t="s">
        <v>43</v>
      </c>
    </row>
    <row r="9" spans="1:21" ht="101.25" customHeight="1" x14ac:dyDescent="0.25">
      <c r="A9" s="10"/>
      <c r="B9" s="4"/>
      <c r="C9" s="4"/>
      <c r="D9" s="24" t="s">
        <v>44</v>
      </c>
      <c r="E9" s="8"/>
      <c r="F9" s="11" t="s">
        <v>45</v>
      </c>
      <c r="G9" s="8"/>
      <c r="H9" s="12" t="s">
        <v>46</v>
      </c>
      <c r="I9" s="9"/>
      <c r="J9" s="11" t="s">
        <v>47</v>
      </c>
      <c r="K9" s="8"/>
      <c r="L9" s="11" t="s">
        <v>48</v>
      </c>
      <c r="M9" s="4"/>
      <c r="N9" s="11" t="s">
        <v>49</v>
      </c>
      <c r="O9" s="4"/>
      <c r="P9" s="11" t="s">
        <v>50</v>
      </c>
      <c r="Q9" s="4"/>
      <c r="R9" s="11" t="s">
        <v>51</v>
      </c>
      <c r="S9" s="11" t="s">
        <v>88</v>
      </c>
      <c r="T9" s="4"/>
      <c r="U9" s="11" t="s">
        <v>52</v>
      </c>
    </row>
    <row r="10" spans="1:21" x14ac:dyDescent="0.25">
      <c r="A10" s="4"/>
      <c r="B10" s="4"/>
      <c r="C10" s="4"/>
      <c r="D10" s="22"/>
      <c r="E10" s="5"/>
      <c r="F10" s="5"/>
      <c r="G10" s="5"/>
      <c r="H10" s="5"/>
      <c r="I10" s="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25">
      <c r="A11" s="10" t="s">
        <v>21</v>
      </c>
      <c r="B11" s="4"/>
      <c r="C11" s="4"/>
      <c r="D11" s="22"/>
      <c r="E11" s="5"/>
      <c r="F11" s="5"/>
      <c r="G11" s="5"/>
      <c r="H11" s="5"/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25">
      <c r="A12" s="4"/>
      <c r="B12" s="4" t="s">
        <v>53</v>
      </c>
      <c r="C12" s="4"/>
      <c r="D12" s="26">
        <v>69631</v>
      </c>
      <c r="E12" s="5"/>
      <c r="F12" s="5"/>
      <c r="G12" s="5"/>
      <c r="H12" s="2">
        <f>F12-D12</f>
        <v>-69631</v>
      </c>
      <c r="I12" s="14"/>
      <c r="J12" s="5"/>
      <c r="K12" s="5"/>
      <c r="L12" s="5"/>
      <c r="M12" s="5"/>
      <c r="N12" s="5"/>
      <c r="O12" s="5"/>
      <c r="P12" s="5"/>
      <c r="Q12" s="5"/>
      <c r="R12" s="26">
        <v>-69631</v>
      </c>
      <c r="S12" s="5"/>
      <c r="T12" s="5"/>
      <c r="U12" s="2">
        <f>SUM(J12:S12)</f>
        <v>-69631</v>
      </c>
    </row>
    <row r="13" spans="1:21" x14ac:dyDescent="0.25">
      <c r="A13" s="4"/>
      <c r="B13" s="4" t="s">
        <v>54</v>
      </c>
      <c r="C13" s="4"/>
      <c r="D13" s="26">
        <v>115166.93</v>
      </c>
      <c r="E13" s="5"/>
      <c r="F13" s="5"/>
      <c r="G13" s="5"/>
      <c r="H13" s="2">
        <f t="shared" ref="H13:H30" si="0">F13-D13</f>
        <v>-115166.93</v>
      </c>
      <c r="I13" s="14"/>
      <c r="J13" s="5"/>
      <c r="K13" s="5"/>
      <c r="L13" s="5"/>
      <c r="M13" s="5"/>
      <c r="N13" s="5"/>
      <c r="O13" s="5"/>
      <c r="P13" s="5"/>
      <c r="Q13" s="5"/>
      <c r="R13" s="26">
        <v>-115166.93</v>
      </c>
      <c r="S13" s="5"/>
      <c r="T13" s="5"/>
      <c r="U13" s="2">
        <f t="shared" ref="U13:U30" si="1">SUM(J13:S13)</f>
        <v>-115166.93</v>
      </c>
    </row>
    <row r="14" spans="1:21" x14ac:dyDescent="0.25">
      <c r="A14" s="4"/>
      <c r="B14" s="4" t="s">
        <v>55</v>
      </c>
      <c r="C14" s="4"/>
      <c r="D14" s="5"/>
      <c r="E14" s="5"/>
      <c r="F14" s="5"/>
      <c r="G14" s="5"/>
      <c r="H14" s="2">
        <f t="shared" si="0"/>
        <v>0</v>
      </c>
      <c r="I14" s="1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2">
        <f t="shared" si="1"/>
        <v>0</v>
      </c>
    </row>
    <row r="15" spans="1:21" x14ac:dyDescent="0.25">
      <c r="A15" s="4"/>
      <c r="B15" s="4" t="s">
        <v>56</v>
      </c>
      <c r="C15" s="4"/>
      <c r="D15" s="26">
        <v>6872705.4800000004</v>
      </c>
      <c r="E15" s="5"/>
      <c r="F15" s="5">
        <v>7444360.9800000004</v>
      </c>
      <c r="G15" s="5"/>
      <c r="H15" s="2">
        <f t="shared" si="0"/>
        <v>571655.5</v>
      </c>
      <c r="I15" s="14"/>
      <c r="J15" s="5">
        <v>128441.3</v>
      </c>
      <c r="K15" s="5"/>
      <c r="L15" s="5"/>
      <c r="M15" s="5"/>
      <c r="N15" s="5"/>
      <c r="O15" s="5"/>
      <c r="P15" s="5">
        <v>443214.2</v>
      </c>
      <c r="Q15" s="5"/>
      <c r="R15" s="5"/>
      <c r="S15" s="5"/>
      <c r="T15" s="5"/>
      <c r="U15" s="2">
        <f t="shared" si="1"/>
        <v>571655.5</v>
      </c>
    </row>
    <row r="16" spans="1:21" x14ac:dyDescent="0.25">
      <c r="A16" s="4"/>
      <c r="B16" s="4" t="s">
        <v>57</v>
      </c>
      <c r="C16" s="4"/>
      <c r="D16" s="5"/>
      <c r="E16" s="5"/>
      <c r="F16" s="5"/>
      <c r="G16" s="5"/>
      <c r="H16" s="2">
        <f t="shared" si="0"/>
        <v>0</v>
      </c>
      <c r="I16" s="1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2">
        <f t="shared" si="1"/>
        <v>0</v>
      </c>
    </row>
    <row r="17" spans="1:21" x14ac:dyDescent="0.25">
      <c r="A17" s="4"/>
      <c r="B17" s="4" t="s">
        <v>58</v>
      </c>
      <c r="C17" s="4"/>
      <c r="D17" s="5"/>
      <c r="E17" s="5"/>
      <c r="F17" s="5"/>
      <c r="G17" s="5"/>
      <c r="H17" s="2">
        <f t="shared" si="0"/>
        <v>0</v>
      </c>
      <c r="I17" s="1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2">
        <f t="shared" si="1"/>
        <v>0</v>
      </c>
    </row>
    <row r="18" spans="1:21" x14ac:dyDescent="0.25">
      <c r="A18" s="10" t="s">
        <v>23</v>
      </c>
      <c r="B18" s="4"/>
      <c r="C18" s="4"/>
      <c r="D18" s="5"/>
      <c r="E18" s="5"/>
      <c r="F18" s="5"/>
      <c r="G18" s="5"/>
      <c r="H18" s="2">
        <f t="shared" si="0"/>
        <v>0</v>
      </c>
      <c r="I18" s="14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2">
        <f t="shared" si="1"/>
        <v>0</v>
      </c>
    </row>
    <row r="19" spans="1:21" x14ac:dyDescent="0.25">
      <c r="A19" s="4"/>
      <c r="B19" s="4" t="s">
        <v>59</v>
      </c>
      <c r="C19" s="4"/>
      <c r="D19" s="26">
        <v>324690.99</v>
      </c>
      <c r="E19" s="5"/>
      <c r="F19" s="5"/>
      <c r="G19" s="5"/>
      <c r="H19" s="2">
        <f t="shared" si="0"/>
        <v>-324690.99</v>
      </c>
      <c r="I19" s="14"/>
      <c r="J19" s="5"/>
      <c r="K19" s="5"/>
      <c r="L19" s="5"/>
      <c r="M19" s="5"/>
      <c r="N19" s="5"/>
      <c r="O19" s="5"/>
      <c r="P19" s="5"/>
      <c r="Q19" s="5"/>
      <c r="R19" s="26">
        <v>-324690.99</v>
      </c>
      <c r="S19" s="5"/>
      <c r="T19" s="5"/>
      <c r="U19" s="2">
        <f t="shared" si="1"/>
        <v>-324690.99</v>
      </c>
    </row>
    <row r="20" spans="1:21" x14ac:dyDescent="0.25">
      <c r="A20" s="4"/>
      <c r="B20" s="4" t="s">
        <v>60</v>
      </c>
      <c r="C20" s="4"/>
      <c r="D20" s="5"/>
      <c r="E20" s="5"/>
      <c r="F20" s="5"/>
      <c r="G20" s="5"/>
      <c r="H20" s="2">
        <f t="shared" si="0"/>
        <v>0</v>
      </c>
      <c r="I20" s="14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2">
        <f t="shared" si="1"/>
        <v>0</v>
      </c>
    </row>
    <row r="21" spans="1:21" x14ac:dyDescent="0.25">
      <c r="A21" s="4"/>
      <c r="B21" s="4" t="s">
        <v>61</v>
      </c>
      <c r="C21" s="4"/>
      <c r="D21" s="5"/>
      <c r="E21" s="5"/>
      <c r="F21" s="5"/>
      <c r="G21" s="5"/>
      <c r="H21" s="2">
        <f t="shared" si="0"/>
        <v>0</v>
      </c>
      <c r="I21" s="14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2">
        <f t="shared" si="1"/>
        <v>0</v>
      </c>
    </row>
    <row r="22" spans="1:21" x14ac:dyDescent="0.25">
      <c r="A22" s="4"/>
      <c r="B22" s="4" t="s">
        <v>62</v>
      </c>
      <c r="C22" s="4"/>
      <c r="D22" s="5"/>
      <c r="E22" s="5"/>
      <c r="F22" s="5"/>
      <c r="G22" s="5"/>
      <c r="H22" s="2">
        <f t="shared" si="0"/>
        <v>0</v>
      </c>
      <c r="I22" s="14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2">
        <f t="shared" si="1"/>
        <v>0</v>
      </c>
    </row>
    <row r="23" spans="1:21" x14ac:dyDescent="0.25">
      <c r="A23" s="4"/>
      <c r="B23" s="4" t="s">
        <v>63</v>
      </c>
      <c r="C23" s="4"/>
      <c r="D23" s="5"/>
      <c r="E23" s="5"/>
      <c r="F23" s="5"/>
      <c r="G23" s="5"/>
      <c r="H23" s="2">
        <f t="shared" si="0"/>
        <v>0</v>
      </c>
      <c r="I23" s="14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2">
        <f t="shared" si="1"/>
        <v>0</v>
      </c>
    </row>
    <row r="24" spans="1:21" x14ac:dyDescent="0.25">
      <c r="A24" s="4"/>
      <c r="B24" s="4" t="s">
        <v>64</v>
      </c>
      <c r="C24" s="4"/>
      <c r="D24" s="5">
        <v>6865939.9000000004</v>
      </c>
      <c r="E24" s="5"/>
      <c r="F24" s="5">
        <v>6865940.1399999997</v>
      </c>
      <c r="G24" s="5"/>
      <c r="H24" s="2">
        <f t="shared" si="0"/>
        <v>0.23999999929219484</v>
      </c>
      <c r="I24" s="14"/>
      <c r="J24" s="5"/>
      <c r="K24" s="5"/>
      <c r="L24" s="5"/>
      <c r="M24" s="5"/>
      <c r="N24" s="5"/>
      <c r="O24" s="5"/>
      <c r="P24" s="5"/>
      <c r="Q24" s="5"/>
      <c r="R24" s="5"/>
      <c r="S24" s="5">
        <v>0.24</v>
      </c>
      <c r="T24" s="5"/>
      <c r="U24" s="2">
        <f t="shared" si="1"/>
        <v>0.24</v>
      </c>
    </row>
    <row r="25" spans="1:21" x14ac:dyDescent="0.25">
      <c r="A25" s="4"/>
      <c r="B25" s="4" t="s">
        <v>65</v>
      </c>
      <c r="C25" s="4"/>
      <c r="D25" s="5"/>
      <c r="E25" s="5"/>
      <c r="F25" s="5"/>
      <c r="G25" s="5"/>
      <c r="H25" s="2">
        <f t="shared" si="0"/>
        <v>0</v>
      </c>
      <c r="I25" s="1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2">
        <f t="shared" si="1"/>
        <v>0</v>
      </c>
    </row>
    <row r="26" spans="1:21" ht="30" x14ac:dyDescent="0.25">
      <c r="A26" s="17"/>
      <c r="B26" s="20" t="s">
        <v>66</v>
      </c>
      <c r="C26" s="17"/>
      <c r="D26" s="18">
        <v>228633.81</v>
      </c>
      <c r="E26" s="18"/>
      <c r="F26" s="18">
        <v>228633.81</v>
      </c>
      <c r="G26" s="18"/>
      <c r="H26" s="2">
        <f t="shared" si="0"/>
        <v>0</v>
      </c>
      <c r="I26" s="19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2">
        <f t="shared" si="1"/>
        <v>0</v>
      </c>
    </row>
    <row r="27" spans="1:21" x14ac:dyDescent="0.25">
      <c r="A27" s="4"/>
      <c r="B27" s="4" t="s">
        <v>67</v>
      </c>
      <c r="C27" s="4"/>
      <c r="D27" s="5"/>
      <c r="E27" s="5"/>
      <c r="F27" s="5"/>
      <c r="G27" s="5"/>
      <c r="H27" s="2">
        <f t="shared" si="0"/>
        <v>0</v>
      </c>
      <c r="I27" s="1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2">
        <f t="shared" si="1"/>
        <v>0</v>
      </c>
    </row>
    <row r="28" spans="1:21" x14ac:dyDescent="0.25">
      <c r="A28" s="4"/>
      <c r="B28" s="4" t="s">
        <v>68</v>
      </c>
      <c r="C28" s="4"/>
      <c r="D28" s="5"/>
      <c r="E28" s="5"/>
      <c r="F28" s="5"/>
      <c r="G28" s="5"/>
      <c r="H28" s="2">
        <f t="shared" si="0"/>
        <v>0</v>
      </c>
      <c r="I28" s="1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2">
        <f t="shared" si="1"/>
        <v>0</v>
      </c>
    </row>
    <row r="29" spans="1:21" x14ac:dyDescent="0.25">
      <c r="A29" s="4"/>
      <c r="B29" s="4" t="s">
        <v>69</v>
      </c>
      <c r="C29" s="4"/>
      <c r="D29" s="5"/>
      <c r="E29" s="5"/>
      <c r="F29" s="5"/>
      <c r="G29" s="5"/>
      <c r="H29" s="2">
        <f t="shared" si="0"/>
        <v>0</v>
      </c>
      <c r="I29" s="1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2">
        <f t="shared" si="1"/>
        <v>0</v>
      </c>
    </row>
    <row r="30" spans="1:21" x14ac:dyDescent="0.25">
      <c r="A30" s="4"/>
      <c r="B30" s="4" t="s">
        <v>70</v>
      </c>
      <c r="C30" s="4"/>
      <c r="D30" s="13">
        <v>237537.5</v>
      </c>
      <c r="E30" s="5"/>
      <c r="F30" s="13"/>
      <c r="G30" s="5"/>
      <c r="H30" s="2">
        <f t="shared" si="0"/>
        <v>-237537.5</v>
      </c>
      <c r="I30" s="14"/>
      <c r="J30" s="13"/>
      <c r="K30" s="5"/>
      <c r="L30" s="5"/>
      <c r="M30" s="5"/>
      <c r="N30" s="5"/>
      <c r="O30" s="5"/>
      <c r="P30" s="5"/>
      <c r="Q30" s="5"/>
      <c r="R30" s="13">
        <v>-237537.5</v>
      </c>
      <c r="S30" s="5"/>
      <c r="T30" s="5"/>
      <c r="U30" s="2">
        <f t="shared" si="1"/>
        <v>-237537.5</v>
      </c>
    </row>
    <row r="31" spans="1:21" ht="15.75" thickBot="1" x14ac:dyDescent="0.3">
      <c r="A31" s="15" t="s">
        <v>71</v>
      </c>
      <c r="B31" s="1"/>
      <c r="C31" s="1"/>
      <c r="D31" s="25">
        <f>SUM(D12:D30)</f>
        <v>14714305.610000001</v>
      </c>
      <c r="E31" s="25"/>
      <c r="F31" s="25">
        <f>SUM(F12:F30)</f>
        <v>14538934.930000002</v>
      </c>
      <c r="G31" s="25"/>
      <c r="H31" s="25">
        <f>SUM(H12:H30)</f>
        <v>-175370.68000000069</v>
      </c>
      <c r="I31" s="3"/>
      <c r="J31" s="25">
        <f>SUM(J12:J30)</f>
        <v>128441.3</v>
      </c>
      <c r="K31" s="25"/>
      <c r="L31" s="25">
        <f>SUM(L12:L30)</f>
        <v>0</v>
      </c>
      <c r="M31" s="25"/>
      <c r="N31" s="25">
        <f>SUM(N12:N30)</f>
        <v>0</v>
      </c>
      <c r="O31" s="25"/>
      <c r="P31" s="25">
        <f>SUM(P11:P30)</f>
        <v>443214.2</v>
      </c>
      <c r="Q31" s="25"/>
      <c r="R31" s="25">
        <f>SUM(R12:R30)</f>
        <v>-747026.41999999993</v>
      </c>
      <c r="S31" s="25">
        <f t="shared" ref="S31:T31" si="2">SUM(S12:S30)</f>
        <v>0.24</v>
      </c>
      <c r="T31" s="25">
        <f t="shared" si="2"/>
        <v>0</v>
      </c>
      <c r="U31" s="25">
        <f>SUM(J31:S31)</f>
        <v>-175370.67999999993</v>
      </c>
    </row>
    <row r="32" spans="1:21" ht="15.75" thickTop="1" x14ac:dyDescent="0.25">
      <c r="A32" s="4"/>
      <c r="B32" s="4"/>
      <c r="C32" s="4"/>
      <c r="D32" s="22"/>
      <c r="E32" s="5"/>
      <c r="F32" s="5"/>
      <c r="G32" s="5"/>
      <c r="H32" s="5"/>
      <c r="I32" s="5"/>
      <c r="J32" s="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4"/>
      <c r="B33" s="4"/>
      <c r="C33" s="4"/>
      <c r="D33" s="22"/>
      <c r="E33" s="5"/>
      <c r="F33" s="5"/>
      <c r="G33" s="5"/>
      <c r="H33" s="5"/>
      <c r="I33" s="5"/>
      <c r="J33" s="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5">
      <c r="A34" s="4" t="s">
        <v>72</v>
      </c>
      <c r="B34" s="4"/>
      <c r="C34" s="4"/>
      <c r="D34" s="22"/>
      <c r="E34" s="5"/>
      <c r="F34" s="5"/>
      <c r="G34" s="5"/>
      <c r="H34" s="5"/>
      <c r="I34" s="5"/>
      <c r="J34" s="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5">
      <c r="A35" s="4" t="s">
        <v>73</v>
      </c>
      <c r="B35" s="4" t="s">
        <v>74</v>
      </c>
      <c r="C35" s="4"/>
      <c r="D35" s="22"/>
      <c r="E35" s="5"/>
      <c r="F35" s="5"/>
      <c r="G35" s="5"/>
      <c r="H35" s="5"/>
      <c r="I35" s="5"/>
      <c r="J35" s="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5">
      <c r="A36" s="4" t="s">
        <v>75</v>
      </c>
      <c r="B36" s="4" t="s">
        <v>76</v>
      </c>
      <c r="C36" s="4"/>
      <c r="D36" s="22"/>
      <c r="E36" s="5"/>
      <c r="F36" s="5"/>
      <c r="G36" s="5"/>
      <c r="H36" s="5"/>
      <c r="I36" s="5"/>
      <c r="J36" s="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5">
      <c r="A37" s="4" t="s">
        <v>77</v>
      </c>
      <c r="B37" s="4" t="s">
        <v>78</v>
      </c>
      <c r="C37" s="4"/>
      <c r="D37" s="22"/>
      <c r="E37" s="5"/>
      <c r="F37" s="5"/>
      <c r="G37" s="5"/>
      <c r="H37" s="5"/>
      <c r="I37" s="5"/>
      <c r="J37" s="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5">
      <c r="A38" s="4"/>
      <c r="B38" s="4" t="s">
        <v>79</v>
      </c>
      <c r="C38" s="4"/>
      <c r="D38" s="22"/>
      <c r="E38" s="5"/>
      <c r="F38" s="5"/>
      <c r="G38" s="5"/>
      <c r="H38" s="5"/>
      <c r="I38" s="5"/>
      <c r="J38" s="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5">
      <c r="A39" s="4" t="s">
        <v>80</v>
      </c>
      <c r="B39" s="4" t="s">
        <v>81</v>
      </c>
      <c r="C39" s="4"/>
      <c r="D39" s="22"/>
      <c r="E39" s="5"/>
      <c r="F39" s="5"/>
      <c r="G39" s="5"/>
      <c r="H39" s="5"/>
      <c r="I39" s="5"/>
      <c r="J39" s="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5">
      <c r="A40" s="4" t="s">
        <v>82</v>
      </c>
      <c r="B40" s="4" t="s">
        <v>83</v>
      </c>
      <c r="C40" s="4"/>
      <c r="D40" s="22"/>
      <c r="E40" s="5"/>
      <c r="F40" s="5"/>
      <c r="G40" s="5"/>
      <c r="H40" s="5"/>
      <c r="I40" s="5"/>
      <c r="J40" s="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5">
      <c r="A41" s="4"/>
      <c r="B41" s="4"/>
      <c r="C41" s="4"/>
      <c r="D41" s="22"/>
      <c r="E41" s="5"/>
      <c r="F41" s="5"/>
      <c r="G41" s="5"/>
      <c r="H41" s="5"/>
      <c r="I41" s="5"/>
      <c r="J41" s="5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5">
      <c r="A42" s="27" t="s">
        <v>84</v>
      </c>
      <c r="B42" s="15"/>
      <c r="C42" s="15"/>
      <c r="D42" s="28"/>
      <c r="E42" s="15"/>
      <c r="F42" s="15"/>
      <c r="G42" s="15"/>
      <c r="H42" s="15"/>
      <c r="I42" s="15"/>
      <c r="J42" s="15"/>
      <c r="K42" s="15"/>
      <c r="L42" s="15"/>
      <c r="M42" s="1"/>
      <c r="N42" s="1"/>
      <c r="O42" s="1"/>
      <c r="P42" s="1"/>
      <c r="Q42" s="1"/>
      <c r="R42" s="1"/>
      <c r="S42" s="1"/>
      <c r="T42" s="1"/>
      <c r="U42" s="1"/>
    </row>
    <row r="43" spans="1:21" ht="17.25" x14ac:dyDescent="0.25">
      <c r="A43" s="102" t="s">
        <v>85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"/>
      <c r="N43" s="1"/>
      <c r="O43" s="1"/>
      <c r="P43" s="1"/>
      <c r="Q43" s="1"/>
      <c r="R43" s="1"/>
      <c r="S43" s="1"/>
      <c r="T43" s="1"/>
      <c r="U43" s="1"/>
    </row>
    <row r="44" spans="1:21" ht="30" customHeight="1" x14ac:dyDescent="0.25">
      <c r="A44" s="100" t="s">
        <v>86</v>
      </c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"/>
      <c r="N44" s="1"/>
      <c r="O44" s="1"/>
      <c r="P44" s="1"/>
      <c r="Q44" s="1"/>
      <c r="R44" s="1"/>
      <c r="S44" s="1"/>
      <c r="T44" s="1"/>
      <c r="U44" s="1"/>
    </row>
    <row r="45" spans="1:21" ht="17.25" x14ac:dyDescent="0.25">
      <c r="A45" s="29" t="s">
        <v>87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</row>
  </sheetData>
  <mergeCells count="7">
    <mergeCell ref="A44:L44"/>
    <mergeCell ref="A43:L43"/>
    <mergeCell ref="A1:U1"/>
    <mergeCell ref="A2:U2"/>
    <mergeCell ref="A3:U3"/>
    <mergeCell ref="A4:U4"/>
    <mergeCell ref="A5:U5"/>
  </mergeCells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5BD1-792A-494F-B04C-38B0CB94CC5D}">
  <dimension ref="A1:J27"/>
  <sheetViews>
    <sheetView showGridLines="0" zoomScaleNormal="100" workbookViewId="0">
      <selection activeCell="F20" sqref="F20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116"/>
      <c r="B1" s="116"/>
      <c r="C1" s="116"/>
      <c r="D1" s="116"/>
      <c r="E1" s="116"/>
      <c r="F1" s="116"/>
      <c r="G1" s="116"/>
      <c r="H1" s="116"/>
      <c r="I1" s="116" t="s">
        <v>0</v>
      </c>
      <c r="J1" s="116"/>
    </row>
    <row r="2" spans="1:10" x14ac:dyDescent="0.25">
      <c r="A2" s="117" t="s">
        <v>1</v>
      </c>
      <c r="B2" s="117"/>
      <c r="C2" s="117"/>
      <c r="D2" s="117"/>
      <c r="E2" s="117"/>
      <c r="F2" s="117"/>
      <c r="G2" s="117"/>
      <c r="H2" s="117"/>
      <c r="I2" s="117"/>
      <c r="J2" s="117"/>
    </row>
    <row r="3" spans="1:10" x14ac:dyDescent="0.25">
      <c r="A3" s="117" t="s">
        <v>2</v>
      </c>
      <c r="B3" s="117"/>
      <c r="C3" s="117"/>
      <c r="D3" s="117"/>
      <c r="E3" s="117"/>
      <c r="F3" s="117"/>
      <c r="G3" s="117"/>
      <c r="H3" s="117"/>
      <c r="I3" s="117"/>
      <c r="J3" s="117"/>
    </row>
    <row r="4" spans="1:10" x14ac:dyDescent="0.25">
      <c r="A4" s="117" t="s">
        <v>103</v>
      </c>
      <c r="B4" s="117"/>
      <c r="C4" s="117"/>
      <c r="D4" s="117"/>
      <c r="E4" s="117"/>
      <c r="F4" s="117"/>
      <c r="G4" s="117"/>
      <c r="H4" s="117"/>
      <c r="I4" s="117"/>
      <c r="J4" s="117"/>
    </row>
    <row r="5" spans="1:10" x14ac:dyDescent="0.25">
      <c r="A5" s="117" t="s">
        <v>4</v>
      </c>
      <c r="B5" s="117"/>
      <c r="C5" s="117"/>
      <c r="D5" s="117"/>
      <c r="E5" s="117"/>
      <c r="F5" s="117"/>
      <c r="G5" s="117"/>
      <c r="H5" s="117"/>
      <c r="I5" s="117"/>
      <c r="J5" s="117"/>
    </row>
    <row r="6" spans="1:10" x14ac:dyDescent="0.25">
      <c r="A6" s="117" t="s">
        <v>5</v>
      </c>
      <c r="B6" s="117"/>
      <c r="C6" s="117"/>
      <c r="D6" s="117"/>
      <c r="E6" s="117"/>
      <c r="F6" s="117"/>
      <c r="G6" s="117"/>
      <c r="H6" s="117"/>
      <c r="I6" s="117"/>
      <c r="J6" s="117"/>
    </row>
    <row r="7" spans="1:10" x14ac:dyDescent="0.25">
      <c r="A7" s="114" t="s">
        <v>6</v>
      </c>
      <c r="B7" s="114"/>
      <c r="C7" s="115" t="s">
        <v>7</v>
      </c>
      <c r="D7" s="115"/>
      <c r="E7" s="115"/>
      <c r="F7" s="115"/>
      <c r="G7" s="115"/>
      <c r="H7" s="115"/>
      <c r="I7" s="116" t="s">
        <v>8</v>
      </c>
      <c r="J7" s="116"/>
    </row>
    <row r="8" spans="1:10" x14ac:dyDescent="0.25">
      <c r="A8" s="114" t="s">
        <v>9</v>
      </c>
      <c r="B8" s="114"/>
      <c r="C8" s="115" t="s">
        <v>102</v>
      </c>
      <c r="D8" s="115"/>
      <c r="E8" s="115"/>
      <c r="F8" s="115"/>
      <c r="G8" s="115"/>
      <c r="H8" s="115"/>
      <c r="I8" s="116" t="s">
        <v>11</v>
      </c>
      <c r="J8" s="116"/>
    </row>
    <row r="9" spans="1:10" x14ac:dyDescent="0.25">
      <c r="A9" s="114" t="s">
        <v>12</v>
      </c>
      <c r="B9" s="114"/>
      <c r="C9" s="115" t="s">
        <v>13</v>
      </c>
      <c r="D9" s="115"/>
      <c r="E9" s="115"/>
      <c r="F9" s="115"/>
      <c r="G9" s="115"/>
      <c r="H9" s="115"/>
      <c r="I9" s="116" t="s">
        <v>14</v>
      </c>
      <c r="J9" s="116"/>
    </row>
    <row r="10" spans="1:10" x14ac:dyDescent="0.25">
      <c r="A10" s="116"/>
      <c r="B10" s="116"/>
      <c r="C10" s="116"/>
      <c r="D10" s="116"/>
      <c r="E10" s="116"/>
      <c r="F10" s="116"/>
      <c r="G10" s="116"/>
      <c r="H10" s="116"/>
      <c r="I10" s="116"/>
      <c r="J10" s="116"/>
    </row>
    <row r="11" spans="1:10" x14ac:dyDescent="0.25">
      <c r="A11" s="108"/>
      <c r="B11" s="108"/>
      <c r="C11" s="108"/>
      <c r="D11" s="108"/>
      <c r="E11" s="108"/>
      <c r="F11" s="108"/>
      <c r="G11" s="108"/>
      <c r="H11" s="108"/>
      <c r="I11" s="108"/>
      <c r="J11" s="108"/>
    </row>
    <row r="12" spans="1:10" x14ac:dyDescent="0.25">
      <c r="A12" s="111" t="s">
        <v>15</v>
      </c>
      <c r="B12" s="111"/>
      <c r="C12" s="111"/>
      <c r="D12" s="111"/>
      <c r="E12" s="111"/>
      <c r="F12" s="111"/>
      <c r="G12" s="111"/>
      <c r="H12" s="111"/>
      <c r="I12" s="111"/>
      <c r="J12" s="111"/>
    </row>
    <row r="13" spans="1:10" x14ac:dyDescent="0.25">
      <c r="A13" s="108"/>
      <c r="B13" s="108"/>
      <c r="C13" s="108"/>
      <c r="D13" s="108"/>
      <c r="E13" s="108"/>
      <c r="F13" s="108"/>
      <c r="G13" s="108"/>
      <c r="H13" s="108"/>
      <c r="I13" s="108"/>
      <c r="J13" s="108"/>
    </row>
    <row r="14" spans="1:10" x14ac:dyDescent="0.25">
      <c r="A14" s="112" t="s">
        <v>16</v>
      </c>
      <c r="B14" s="112"/>
      <c r="C14" s="112"/>
      <c r="D14" s="112"/>
      <c r="E14" s="112"/>
      <c r="F14" s="36" t="s">
        <v>17</v>
      </c>
      <c r="G14" s="36" t="s">
        <v>18</v>
      </c>
      <c r="H14" s="113" t="s">
        <v>19</v>
      </c>
      <c r="I14" s="113"/>
      <c r="J14" s="36" t="s">
        <v>20</v>
      </c>
    </row>
    <row r="15" spans="1:10" x14ac:dyDescent="0.25">
      <c r="A15" s="110" t="s">
        <v>21</v>
      </c>
      <c r="B15" s="110"/>
      <c r="C15" s="110"/>
      <c r="D15" s="110"/>
      <c r="E15" s="110"/>
      <c r="F15" s="110"/>
      <c r="G15" s="110"/>
      <c r="H15" s="110"/>
      <c r="I15" s="110"/>
      <c r="J15" s="110"/>
    </row>
    <row r="16" spans="1:10" x14ac:dyDescent="0.25">
      <c r="A16" s="106" t="s">
        <v>22</v>
      </c>
      <c r="B16" s="106"/>
      <c r="C16" s="106"/>
      <c r="D16" s="106"/>
      <c r="E16" s="106"/>
      <c r="F16" s="35">
        <v>4481436.72</v>
      </c>
      <c r="G16" s="35">
        <v>327564.89</v>
      </c>
      <c r="H16" s="107">
        <v>220298.74</v>
      </c>
      <c r="I16" s="107"/>
      <c r="J16" s="35">
        <v>4588702.87</v>
      </c>
    </row>
    <row r="17" spans="1:10" x14ac:dyDescent="0.25">
      <c r="A17" s="108"/>
      <c r="B17" s="108"/>
      <c r="C17" s="108"/>
      <c r="D17" s="108"/>
      <c r="E17" s="108"/>
      <c r="F17" s="108"/>
      <c r="G17" s="108"/>
      <c r="H17" s="108"/>
      <c r="I17" s="108"/>
      <c r="J17" s="108"/>
    </row>
    <row r="18" spans="1:10" x14ac:dyDescent="0.25">
      <c r="A18" s="110" t="s">
        <v>23</v>
      </c>
      <c r="B18" s="110"/>
      <c r="C18" s="110"/>
      <c r="D18" s="110"/>
      <c r="E18" s="110"/>
      <c r="F18" s="110"/>
      <c r="G18" s="110"/>
      <c r="H18" s="110"/>
      <c r="I18" s="110"/>
      <c r="J18" s="110"/>
    </row>
    <row r="19" spans="1:10" x14ac:dyDescent="0.25">
      <c r="A19" s="106" t="s">
        <v>24</v>
      </c>
      <c r="B19" s="106"/>
      <c r="C19" s="106"/>
      <c r="D19" s="106"/>
      <c r="E19" s="106"/>
      <c r="F19" s="35">
        <v>1565317.07</v>
      </c>
      <c r="G19" s="35">
        <v>527444.51</v>
      </c>
      <c r="H19" s="107">
        <v>0</v>
      </c>
      <c r="I19" s="107"/>
      <c r="J19" s="35">
        <v>2092761.58</v>
      </c>
    </row>
    <row r="20" spans="1:10" x14ac:dyDescent="0.25">
      <c r="A20" s="106" t="s">
        <v>101</v>
      </c>
      <c r="B20" s="106"/>
      <c r="C20" s="106"/>
      <c r="D20" s="106"/>
      <c r="E20" s="106"/>
      <c r="F20" s="35">
        <v>183616.1</v>
      </c>
      <c r="G20" s="35">
        <v>0</v>
      </c>
      <c r="H20" s="107">
        <v>0</v>
      </c>
      <c r="I20" s="107"/>
      <c r="J20" s="35">
        <v>183616.1</v>
      </c>
    </row>
    <row r="21" spans="1:10" x14ac:dyDescent="0.25">
      <c r="A21" s="108"/>
      <c r="B21" s="108"/>
      <c r="C21" s="108"/>
      <c r="D21" s="108"/>
      <c r="E21" s="108"/>
      <c r="F21" s="108"/>
      <c r="G21" s="108"/>
      <c r="H21" s="108"/>
      <c r="I21" s="108"/>
      <c r="J21" s="108"/>
    </row>
    <row r="22" spans="1:10" x14ac:dyDescent="0.25">
      <c r="A22" s="34" t="s">
        <v>9</v>
      </c>
      <c r="B22" s="105" t="s">
        <v>100</v>
      </c>
      <c r="C22" s="105"/>
      <c r="D22" s="105"/>
      <c r="E22" s="104">
        <v>6230369.8899999997</v>
      </c>
      <c r="F22" s="104"/>
      <c r="G22" s="104">
        <v>855009.4</v>
      </c>
      <c r="H22" s="104">
        <v>220298.74</v>
      </c>
      <c r="I22" s="104"/>
      <c r="J22" s="104">
        <v>6865080.5499999998</v>
      </c>
    </row>
    <row r="23" spans="1:10" x14ac:dyDescent="0.25">
      <c r="A23" s="34" t="s">
        <v>27</v>
      </c>
      <c r="B23" s="105" t="s">
        <v>13</v>
      </c>
      <c r="C23" s="105"/>
      <c r="D23" s="105"/>
      <c r="E23" s="104"/>
      <c r="F23" s="104"/>
      <c r="G23" s="104"/>
      <c r="H23" s="104"/>
      <c r="I23" s="104"/>
      <c r="J23" s="104"/>
    </row>
    <row r="24" spans="1:10" x14ac:dyDescent="0.25">
      <c r="A24" s="108"/>
      <c r="B24" s="108"/>
      <c r="C24" s="108"/>
      <c r="D24" s="108"/>
      <c r="E24" s="108"/>
      <c r="F24" s="108"/>
      <c r="G24" s="108"/>
      <c r="H24" s="108"/>
      <c r="I24" s="108"/>
      <c r="J24" s="108"/>
    </row>
    <row r="25" spans="1:10" x14ac:dyDescent="0.25">
      <c r="A25" s="108"/>
      <c r="B25" s="108"/>
      <c r="C25" s="108"/>
      <c r="D25" s="108"/>
      <c r="E25" s="108"/>
      <c r="F25" s="108"/>
      <c r="G25" s="108"/>
      <c r="H25" s="108"/>
      <c r="I25" s="108"/>
      <c r="J25" s="108"/>
    </row>
    <row r="26" spans="1:10" x14ac:dyDescent="0.25">
      <c r="A26" s="108"/>
      <c r="B26" s="108"/>
      <c r="C26" s="108"/>
      <c r="D26" s="108"/>
      <c r="E26" s="108"/>
      <c r="F26" s="108"/>
      <c r="G26" s="108"/>
      <c r="H26" s="108"/>
      <c r="I26" s="108"/>
      <c r="J26" s="108"/>
    </row>
    <row r="27" spans="1:10" x14ac:dyDescent="0.25">
      <c r="A27" s="109"/>
      <c r="B27" s="109"/>
      <c r="C27" s="109"/>
      <c r="D27" s="109"/>
      <c r="E27" s="109"/>
      <c r="F27" s="109"/>
      <c r="G27" s="109"/>
      <c r="H27" s="109"/>
      <c r="I27" s="109"/>
      <c r="J27" s="109"/>
    </row>
  </sheetData>
  <mergeCells count="45"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6:E16"/>
    <mergeCell ref="H16:I16"/>
    <mergeCell ref="A17:J17"/>
    <mergeCell ref="A18:J18"/>
    <mergeCell ref="A19:E19"/>
    <mergeCell ref="H19:I19"/>
    <mergeCell ref="A24:J24"/>
    <mergeCell ref="A25:J25"/>
    <mergeCell ref="A26:J26"/>
    <mergeCell ref="A27:J27"/>
    <mergeCell ref="A21:J21"/>
    <mergeCell ref="B22:D22"/>
    <mergeCell ref="E22:F23"/>
    <mergeCell ref="G22:G23"/>
    <mergeCell ref="H22:I23"/>
    <mergeCell ref="J22:J23"/>
    <mergeCell ref="B23:D23"/>
    <mergeCell ref="A20:E20"/>
    <mergeCell ref="H20:I20"/>
  </mergeCells>
  <pageMargins left="0.7" right="0.7" top="0.75" bottom="0.75" header="0.3" footer="0.3"/>
  <pageSetup scale="71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5BC8-1416-4315-B60F-34BC053F095F}">
  <sheetPr>
    <pageSetUpPr fitToPage="1"/>
  </sheetPr>
  <dimension ref="A1:U45"/>
  <sheetViews>
    <sheetView zoomScale="80" zoomScaleNormal="80" workbookViewId="0">
      <selection activeCell="F17" sqref="F17"/>
    </sheetView>
  </sheetViews>
  <sheetFormatPr defaultRowHeight="15" x14ac:dyDescent="0.25"/>
  <cols>
    <col min="2" max="2" width="51.42578125" bestFit="1" customWidth="1"/>
    <col min="3" max="3" width="1.42578125" customWidth="1"/>
    <col min="4" max="4" width="14.28515625" bestFit="1" customWidth="1"/>
    <col min="5" max="5" width="1.42578125" customWidth="1"/>
    <col min="6" max="6" width="14.5703125" customWidth="1"/>
    <col min="7" max="7" width="1.42578125" customWidth="1"/>
    <col min="8" max="8" width="15" bestFit="1" customWidth="1"/>
    <col min="9" max="9" width="2.140625" customWidth="1"/>
    <col min="10" max="10" width="14.28515625" customWidth="1"/>
    <col min="11" max="11" width="1.42578125" customWidth="1"/>
    <col min="12" max="12" width="16.7109375" customWidth="1"/>
    <col min="13" max="13" width="1.42578125" customWidth="1"/>
    <col min="14" max="14" width="15.5703125" customWidth="1"/>
    <col min="15" max="15" width="1.42578125" customWidth="1"/>
    <col min="16" max="16" width="25.140625" bestFit="1" customWidth="1"/>
    <col min="17" max="17" width="1.42578125" customWidth="1"/>
    <col min="18" max="19" width="19.85546875" customWidth="1"/>
    <col min="20" max="20" width="1.42578125" customWidth="1"/>
    <col min="21" max="21" width="17.42578125" customWidth="1"/>
  </cols>
  <sheetData>
    <row r="1" spans="1:21" x14ac:dyDescent="0.25">
      <c r="A1" s="122" t="s">
        <v>28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</row>
    <row r="2" spans="1:21" x14ac:dyDescent="0.25">
      <c r="A2" s="122" t="s">
        <v>29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</row>
    <row r="3" spans="1:21" x14ac:dyDescent="0.25">
      <c r="A3" s="122" t="s">
        <v>30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</row>
    <row r="4" spans="1:21" x14ac:dyDescent="0.25">
      <c r="A4" s="122" t="s">
        <v>106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</row>
    <row r="5" spans="1:21" x14ac:dyDescent="0.25">
      <c r="A5" s="122" t="s">
        <v>32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</row>
    <row r="6" spans="1:21" ht="6" customHeight="1" x14ac:dyDescent="0.25">
      <c r="A6" s="43"/>
      <c r="B6" s="43"/>
      <c r="C6" s="43"/>
      <c r="D6" s="44"/>
      <c r="E6" s="44"/>
      <c r="F6" s="44"/>
      <c r="G6" s="44"/>
      <c r="H6" s="44"/>
      <c r="I6" s="44"/>
      <c r="J6" s="44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 ht="15.75" thickBot="1" x14ac:dyDescent="0.3">
      <c r="A7" s="43"/>
      <c r="B7" s="43"/>
      <c r="C7" s="43"/>
      <c r="D7" s="44"/>
      <c r="E7" s="44"/>
      <c r="F7" s="44"/>
      <c r="G7" s="44"/>
      <c r="H7" s="44"/>
      <c r="I7" s="55"/>
      <c r="J7" s="65" t="s">
        <v>33</v>
      </c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</row>
    <row r="8" spans="1:21" x14ac:dyDescent="0.25">
      <c r="A8" s="43"/>
      <c r="B8" s="43"/>
      <c r="C8" s="43"/>
      <c r="D8" s="63" t="s">
        <v>34</v>
      </c>
      <c r="E8" s="60"/>
      <c r="F8" s="63" t="s">
        <v>35</v>
      </c>
      <c r="G8" s="60"/>
      <c r="H8" s="63" t="s">
        <v>36</v>
      </c>
      <c r="I8" s="58"/>
      <c r="J8" s="63" t="s">
        <v>37</v>
      </c>
      <c r="K8" s="43"/>
      <c r="L8" s="63" t="s">
        <v>38</v>
      </c>
      <c r="M8" s="60"/>
      <c r="N8" s="63" t="s">
        <v>39</v>
      </c>
      <c r="O8" s="60"/>
      <c r="P8" s="63" t="s">
        <v>40</v>
      </c>
      <c r="Q8" s="60"/>
      <c r="R8" s="63" t="s">
        <v>41</v>
      </c>
      <c r="S8" s="63" t="s">
        <v>42</v>
      </c>
      <c r="T8" s="60"/>
      <c r="U8" s="63" t="s">
        <v>43</v>
      </c>
    </row>
    <row r="9" spans="1:21" ht="89.25" customHeight="1" x14ac:dyDescent="0.25">
      <c r="A9" s="54"/>
      <c r="B9" s="43"/>
      <c r="C9" s="43"/>
      <c r="D9" s="66" t="s">
        <v>44</v>
      </c>
      <c r="E9" s="60"/>
      <c r="F9" s="66" t="s">
        <v>45</v>
      </c>
      <c r="G9" s="60"/>
      <c r="H9" s="59" t="s">
        <v>46</v>
      </c>
      <c r="I9" s="58"/>
      <c r="J9" s="66" t="s">
        <v>47</v>
      </c>
      <c r="K9" s="60"/>
      <c r="L9" s="66" t="s">
        <v>48</v>
      </c>
      <c r="M9" s="43"/>
      <c r="N9" s="66" t="s">
        <v>49</v>
      </c>
      <c r="O9" s="43"/>
      <c r="P9" s="66" t="s">
        <v>98</v>
      </c>
      <c r="Q9" s="43"/>
      <c r="R9" s="66" t="s">
        <v>105</v>
      </c>
      <c r="S9" s="66" t="s">
        <v>88</v>
      </c>
      <c r="T9" s="43"/>
      <c r="U9" s="66" t="s">
        <v>104</v>
      </c>
    </row>
    <row r="10" spans="1:21" x14ac:dyDescent="0.25">
      <c r="A10" s="43"/>
      <c r="B10" s="43"/>
      <c r="C10" s="43"/>
      <c r="D10" s="44"/>
      <c r="E10" s="44"/>
      <c r="F10" s="44"/>
      <c r="G10" s="44"/>
      <c r="H10" s="44"/>
      <c r="I10" s="55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 x14ac:dyDescent="0.25">
      <c r="A11" s="54" t="s">
        <v>21</v>
      </c>
      <c r="B11" s="43"/>
      <c r="C11" s="43"/>
      <c r="D11" s="44"/>
      <c r="E11" s="44"/>
      <c r="F11" s="44"/>
      <c r="G11" s="44"/>
      <c r="H11" s="44"/>
      <c r="I11" s="55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 ht="17.25" x14ac:dyDescent="0.25">
      <c r="A12" s="43"/>
      <c r="B12" s="43" t="s">
        <v>95</v>
      </c>
      <c r="C12" s="43"/>
      <c r="D12" s="44"/>
      <c r="E12" s="44"/>
      <c r="F12" s="44"/>
      <c r="G12" s="44"/>
      <c r="H12" s="39">
        <f t="shared" ref="H12:H30" si="0">F12-D12</f>
        <v>0</v>
      </c>
      <c r="I12" s="49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39">
        <f t="shared" ref="U12:U31" si="1">SUM(J12:S12)</f>
        <v>0</v>
      </c>
    </row>
    <row r="13" spans="1:21" ht="17.25" x14ac:dyDescent="0.25">
      <c r="A13" s="43"/>
      <c r="B13" s="43" t="s">
        <v>94</v>
      </c>
      <c r="C13" s="43"/>
      <c r="D13" s="44">
        <v>27346751.809999999</v>
      </c>
      <c r="E13" s="44"/>
      <c r="F13" s="44"/>
      <c r="G13" s="44"/>
      <c r="H13" s="39">
        <f t="shared" si="0"/>
        <v>-27346751.809999999</v>
      </c>
      <c r="I13" s="49"/>
      <c r="J13" s="44"/>
      <c r="K13" s="44"/>
      <c r="L13" s="44"/>
      <c r="M13" s="44"/>
      <c r="N13" s="44"/>
      <c r="O13" s="44"/>
      <c r="P13" s="44">
        <v>-27346751.809999999</v>
      </c>
      <c r="Q13" s="44"/>
      <c r="R13" s="44"/>
      <c r="S13" s="44"/>
      <c r="T13" s="44"/>
      <c r="U13" s="39">
        <f t="shared" si="1"/>
        <v>-27346751.809999999</v>
      </c>
    </row>
    <row r="14" spans="1:21" x14ac:dyDescent="0.25">
      <c r="A14" s="43"/>
      <c r="B14" s="43" t="s">
        <v>55</v>
      </c>
      <c r="C14" s="43"/>
      <c r="D14" s="44"/>
      <c r="E14" s="44"/>
      <c r="F14" s="44"/>
      <c r="G14" s="44"/>
      <c r="H14" s="39">
        <f t="shared" si="0"/>
        <v>0</v>
      </c>
      <c r="I14" s="49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39">
        <f t="shared" si="1"/>
        <v>0</v>
      </c>
    </row>
    <row r="15" spans="1:21" ht="17.25" x14ac:dyDescent="0.25">
      <c r="A15" s="43"/>
      <c r="B15" s="43" t="s">
        <v>93</v>
      </c>
      <c r="C15" s="43"/>
      <c r="D15" s="44">
        <v>11710214.109999999</v>
      </c>
      <c r="E15" s="44"/>
      <c r="F15" s="44">
        <v>4481436.72</v>
      </c>
      <c r="G15" s="44"/>
      <c r="H15" s="39">
        <f t="shared" si="0"/>
        <v>-7228777.3899999997</v>
      </c>
      <c r="I15" s="49"/>
      <c r="J15" s="44"/>
      <c r="K15" s="44"/>
      <c r="L15" s="44"/>
      <c r="M15" s="44"/>
      <c r="N15" s="44"/>
      <c r="O15" s="44"/>
      <c r="P15" s="44"/>
      <c r="Q15" s="44"/>
      <c r="R15" s="39">
        <v>-7228777.3899999997</v>
      </c>
      <c r="S15" s="44"/>
      <c r="T15" s="44"/>
      <c r="U15" s="39">
        <f t="shared" si="1"/>
        <v>-7228777.3899999997</v>
      </c>
    </row>
    <row r="16" spans="1:21" x14ac:dyDescent="0.25">
      <c r="A16" s="43"/>
      <c r="B16" s="43" t="s">
        <v>57</v>
      </c>
      <c r="C16" s="43"/>
      <c r="D16" s="44"/>
      <c r="E16" s="44"/>
      <c r="F16" s="44"/>
      <c r="G16" s="44"/>
      <c r="H16" s="39">
        <f t="shared" si="0"/>
        <v>0</v>
      </c>
      <c r="I16" s="49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39">
        <f t="shared" si="1"/>
        <v>0</v>
      </c>
    </row>
    <row r="17" spans="1:21" x14ac:dyDescent="0.25">
      <c r="A17" s="43"/>
      <c r="B17" s="43" t="s">
        <v>58</v>
      </c>
      <c r="C17" s="43"/>
      <c r="D17" s="44"/>
      <c r="E17" s="44"/>
      <c r="F17" s="44"/>
      <c r="G17" s="44"/>
      <c r="H17" s="39">
        <f t="shared" si="0"/>
        <v>0</v>
      </c>
      <c r="I17" s="49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39">
        <f t="shared" si="1"/>
        <v>0</v>
      </c>
    </row>
    <row r="18" spans="1:21" x14ac:dyDescent="0.25">
      <c r="A18" s="54" t="s">
        <v>23</v>
      </c>
      <c r="B18" s="43"/>
      <c r="C18" s="43"/>
      <c r="D18" s="44"/>
      <c r="E18" s="44"/>
      <c r="F18" s="44"/>
      <c r="G18" s="44"/>
      <c r="H18" s="39">
        <f t="shared" si="0"/>
        <v>0</v>
      </c>
      <c r="I18" s="49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39">
        <f t="shared" si="1"/>
        <v>0</v>
      </c>
    </row>
    <row r="19" spans="1:21" x14ac:dyDescent="0.25">
      <c r="A19" s="43"/>
      <c r="B19" s="43" t="s">
        <v>59</v>
      </c>
      <c r="C19" s="43"/>
      <c r="D19" s="44"/>
      <c r="E19" s="44"/>
      <c r="F19" s="44"/>
      <c r="G19" s="44"/>
      <c r="H19" s="39">
        <f t="shared" si="0"/>
        <v>0</v>
      </c>
      <c r="I19" s="49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39">
        <f t="shared" si="1"/>
        <v>0</v>
      </c>
    </row>
    <row r="20" spans="1:21" x14ac:dyDescent="0.25">
      <c r="A20" s="43"/>
      <c r="B20" s="43" t="s">
        <v>60</v>
      </c>
      <c r="C20" s="43"/>
      <c r="D20" s="44"/>
      <c r="E20" s="44"/>
      <c r="F20" s="44"/>
      <c r="G20" s="44"/>
      <c r="H20" s="39">
        <f t="shared" si="0"/>
        <v>0</v>
      </c>
      <c r="I20" s="49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39">
        <f t="shared" si="1"/>
        <v>0</v>
      </c>
    </row>
    <row r="21" spans="1:21" x14ac:dyDescent="0.25">
      <c r="A21" s="43"/>
      <c r="B21" s="43" t="s">
        <v>61</v>
      </c>
      <c r="C21" s="43"/>
      <c r="D21" s="44"/>
      <c r="E21" s="44"/>
      <c r="F21" s="44"/>
      <c r="G21" s="44"/>
      <c r="H21" s="39">
        <f t="shared" si="0"/>
        <v>0</v>
      </c>
      <c r="I21" s="49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39">
        <f t="shared" si="1"/>
        <v>0</v>
      </c>
    </row>
    <row r="22" spans="1:21" x14ac:dyDescent="0.25">
      <c r="A22" s="43"/>
      <c r="B22" s="43" t="s">
        <v>62</v>
      </c>
      <c r="C22" s="43"/>
      <c r="D22" s="44"/>
      <c r="E22" s="44"/>
      <c r="F22" s="44"/>
      <c r="G22" s="44"/>
      <c r="H22" s="39">
        <f t="shared" si="0"/>
        <v>0</v>
      </c>
      <c r="I22" s="49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39">
        <f t="shared" si="1"/>
        <v>0</v>
      </c>
    </row>
    <row r="23" spans="1:21" x14ac:dyDescent="0.25">
      <c r="A23" s="43"/>
      <c r="B23" s="43" t="s">
        <v>63</v>
      </c>
      <c r="C23" s="43"/>
      <c r="D23" s="44"/>
      <c r="E23" s="44"/>
      <c r="F23" s="44"/>
      <c r="G23" s="44"/>
      <c r="H23" s="39">
        <f t="shared" si="0"/>
        <v>0</v>
      </c>
      <c r="I23" s="49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39">
        <f t="shared" si="1"/>
        <v>0</v>
      </c>
    </row>
    <row r="24" spans="1:21" x14ac:dyDescent="0.25">
      <c r="A24" s="43"/>
      <c r="B24" s="43" t="s">
        <v>64</v>
      </c>
      <c r="C24" s="43"/>
      <c r="D24" s="44">
        <v>1565316.77</v>
      </c>
      <c r="E24" s="44"/>
      <c r="F24" s="44">
        <v>1565317.07</v>
      </c>
      <c r="G24" s="44"/>
      <c r="H24" s="39">
        <f t="shared" si="0"/>
        <v>0.30000000004656613</v>
      </c>
      <c r="I24" s="49"/>
      <c r="J24" s="44"/>
      <c r="K24" s="44"/>
      <c r="L24" s="44"/>
      <c r="M24" s="44"/>
      <c r="N24" s="44"/>
      <c r="O24" s="44"/>
      <c r="P24" s="44"/>
      <c r="Q24" s="44"/>
      <c r="R24" s="44"/>
      <c r="S24" s="44">
        <v>0.3</v>
      </c>
      <c r="T24" s="44"/>
      <c r="U24" s="39">
        <f t="shared" si="1"/>
        <v>0.3</v>
      </c>
    </row>
    <row r="25" spans="1:21" x14ac:dyDescent="0.25">
      <c r="A25" s="43"/>
      <c r="B25" s="43" t="s">
        <v>65</v>
      </c>
      <c r="C25" s="43"/>
      <c r="D25" s="44"/>
      <c r="E25" s="44"/>
      <c r="F25" s="44"/>
      <c r="G25" s="44"/>
      <c r="H25" s="39">
        <f t="shared" si="0"/>
        <v>0</v>
      </c>
      <c r="I25" s="49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39">
        <f t="shared" si="1"/>
        <v>0</v>
      </c>
    </row>
    <row r="26" spans="1:21" ht="32.25" x14ac:dyDescent="0.25">
      <c r="A26" s="52"/>
      <c r="B26" s="53" t="s">
        <v>92</v>
      </c>
      <c r="C26" s="52"/>
      <c r="D26" s="50">
        <v>183616.1</v>
      </c>
      <c r="E26" s="50"/>
      <c r="F26" s="50">
        <v>183616.1</v>
      </c>
      <c r="G26" s="50"/>
      <c r="H26" s="39">
        <f t="shared" si="0"/>
        <v>0</v>
      </c>
      <c r="I26" s="5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39">
        <f t="shared" si="1"/>
        <v>0</v>
      </c>
    </row>
    <row r="27" spans="1:21" x14ac:dyDescent="0.25">
      <c r="A27" s="43"/>
      <c r="B27" s="43" t="s">
        <v>67</v>
      </c>
      <c r="C27" s="43"/>
      <c r="D27" s="44"/>
      <c r="E27" s="44"/>
      <c r="F27" s="44"/>
      <c r="G27" s="44"/>
      <c r="H27" s="39">
        <f t="shared" si="0"/>
        <v>0</v>
      </c>
      <c r="I27" s="49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39">
        <f t="shared" si="1"/>
        <v>0</v>
      </c>
    </row>
    <row r="28" spans="1:21" x14ac:dyDescent="0.25">
      <c r="A28" s="43"/>
      <c r="B28" s="43" t="s">
        <v>68</v>
      </c>
      <c r="C28" s="43"/>
      <c r="D28" s="44"/>
      <c r="E28" s="44"/>
      <c r="F28" s="44"/>
      <c r="G28" s="44"/>
      <c r="H28" s="39">
        <f t="shared" si="0"/>
        <v>0</v>
      </c>
      <c r="I28" s="49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39">
        <f t="shared" si="1"/>
        <v>0</v>
      </c>
    </row>
    <row r="29" spans="1:21" x14ac:dyDescent="0.25">
      <c r="A29" s="43"/>
      <c r="B29" s="43" t="s">
        <v>69</v>
      </c>
      <c r="C29" s="43"/>
      <c r="D29" s="44"/>
      <c r="E29" s="44"/>
      <c r="F29" s="44"/>
      <c r="G29" s="44"/>
      <c r="H29" s="39">
        <f t="shared" si="0"/>
        <v>0</v>
      </c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39">
        <f t="shared" si="1"/>
        <v>0</v>
      </c>
    </row>
    <row r="30" spans="1:21" x14ac:dyDescent="0.25">
      <c r="A30" s="43"/>
      <c r="B30" s="43" t="s">
        <v>70</v>
      </c>
      <c r="C30" s="43"/>
      <c r="D30" s="48">
        <v>332595</v>
      </c>
      <c r="E30" s="44"/>
      <c r="F30" s="48"/>
      <c r="G30" s="44"/>
      <c r="H30" s="39">
        <f t="shared" si="0"/>
        <v>-332595</v>
      </c>
      <c r="I30" s="49"/>
      <c r="J30" s="48"/>
      <c r="K30" s="44"/>
      <c r="L30" s="44"/>
      <c r="M30" s="44"/>
      <c r="N30" s="44"/>
      <c r="O30" s="44"/>
      <c r="P30" s="48">
        <v>-332595</v>
      </c>
      <c r="Q30" s="44"/>
      <c r="R30" s="44"/>
      <c r="S30" s="44"/>
      <c r="T30" s="44"/>
      <c r="U30" s="39">
        <f t="shared" si="1"/>
        <v>-332595</v>
      </c>
    </row>
    <row r="31" spans="1:21" ht="15.75" thickBot="1" x14ac:dyDescent="0.3">
      <c r="A31" s="40" t="s">
        <v>71</v>
      </c>
      <c r="B31" s="38"/>
      <c r="C31" s="38"/>
      <c r="D31" s="46">
        <f>SUM(D12:D30)</f>
        <v>41138493.790000007</v>
      </c>
      <c r="E31" s="46"/>
      <c r="F31" s="46">
        <f>SUM(F12:F30)</f>
        <v>6230369.8899999997</v>
      </c>
      <c r="G31" s="46"/>
      <c r="H31" s="46">
        <f>SUM(H12:H30)</f>
        <v>-34908123.899999999</v>
      </c>
      <c r="I31" s="47"/>
      <c r="J31" s="46">
        <f>SUM(J12:J30)</f>
        <v>0</v>
      </c>
      <c r="K31" s="46"/>
      <c r="L31" s="46">
        <f>SUM(L12:L30)</f>
        <v>0</v>
      </c>
      <c r="M31" s="46"/>
      <c r="N31" s="46">
        <f>SUM(N12:N30)</f>
        <v>0</v>
      </c>
      <c r="O31" s="46"/>
      <c r="P31" s="46">
        <f>SUM(P11:P30)</f>
        <v>-27679346.809999999</v>
      </c>
      <c r="Q31" s="46"/>
      <c r="R31" s="46">
        <f>SUM(R12:R30)</f>
        <v>-7228777.3899999997</v>
      </c>
      <c r="S31" s="46">
        <f>SUM(S12:S30)</f>
        <v>0.3</v>
      </c>
      <c r="T31" s="46">
        <f>SUM(T12:T30)</f>
        <v>0</v>
      </c>
      <c r="U31" s="46">
        <f t="shared" si="1"/>
        <v>-34908123.899999999</v>
      </c>
    </row>
    <row r="32" spans="1:21" ht="15.75" thickTop="1" x14ac:dyDescent="0.25">
      <c r="A32" s="43"/>
      <c r="B32" s="43"/>
      <c r="C32" s="43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1:21" x14ac:dyDescent="0.25">
      <c r="A33" s="43"/>
      <c r="B33" s="43"/>
      <c r="C33" s="43"/>
      <c r="D33" s="44"/>
      <c r="E33" s="44"/>
      <c r="F33" s="44"/>
      <c r="G33" s="44"/>
      <c r="H33" s="44"/>
      <c r="I33" s="44"/>
      <c r="J33" s="44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4"/>
    </row>
    <row r="34" spans="1:21" x14ac:dyDescent="0.25">
      <c r="A34" s="43" t="s">
        <v>72</v>
      </c>
      <c r="B34" s="43"/>
      <c r="C34" s="43"/>
      <c r="D34" s="44"/>
      <c r="E34" s="44"/>
      <c r="F34" s="44"/>
      <c r="G34" s="44"/>
      <c r="H34" s="44"/>
      <c r="I34" s="44"/>
      <c r="J34" s="44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</row>
    <row r="35" spans="1:21" x14ac:dyDescent="0.25">
      <c r="A35" s="43" t="s">
        <v>73</v>
      </c>
      <c r="B35" s="43" t="s">
        <v>74</v>
      </c>
      <c r="C35" s="43"/>
      <c r="D35" s="44"/>
      <c r="E35" s="44"/>
      <c r="F35" s="44"/>
      <c r="G35" s="44"/>
      <c r="H35" s="44"/>
      <c r="I35" s="44"/>
      <c r="J35" s="44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</row>
    <row r="36" spans="1:21" x14ac:dyDescent="0.25">
      <c r="A36" s="43" t="s">
        <v>75</v>
      </c>
      <c r="B36" s="43" t="s">
        <v>76</v>
      </c>
      <c r="C36" s="43"/>
      <c r="D36" s="44"/>
      <c r="E36" s="44"/>
      <c r="F36" s="44"/>
      <c r="G36" s="44"/>
      <c r="H36" s="44"/>
      <c r="I36" s="44"/>
      <c r="J36" s="44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</row>
    <row r="37" spans="1:21" x14ac:dyDescent="0.25">
      <c r="A37" s="43" t="s">
        <v>77</v>
      </c>
      <c r="B37" s="43" t="s">
        <v>78</v>
      </c>
      <c r="C37" s="43"/>
      <c r="D37" s="44"/>
      <c r="E37" s="44"/>
      <c r="F37" s="44"/>
      <c r="G37" s="44"/>
      <c r="H37" s="44"/>
      <c r="I37" s="44"/>
      <c r="J37" s="44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</row>
    <row r="38" spans="1:21" x14ac:dyDescent="0.25">
      <c r="A38" s="43"/>
      <c r="B38" s="43" t="s">
        <v>79</v>
      </c>
      <c r="C38" s="43"/>
      <c r="D38" s="44"/>
      <c r="E38" s="44"/>
      <c r="F38" s="44"/>
      <c r="G38" s="44"/>
      <c r="H38" s="44"/>
      <c r="I38" s="44"/>
      <c r="J38" s="44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</row>
    <row r="39" spans="1:21" x14ac:dyDescent="0.25">
      <c r="A39" s="43" t="s">
        <v>80</v>
      </c>
      <c r="B39" s="43" t="s">
        <v>81</v>
      </c>
      <c r="C39" s="43"/>
      <c r="D39" s="44"/>
      <c r="E39" s="44"/>
      <c r="F39" s="44"/>
      <c r="G39" s="44"/>
      <c r="H39" s="44"/>
      <c r="I39" s="44"/>
      <c r="J39" s="44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</row>
    <row r="40" spans="1:21" x14ac:dyDescent="0.25">
      <c r="A40" s="43" t="s">
        <v>82</v>
      </c>
      <c r="B40" s="43" t="s">
        <v>83</v>
      </c>
      <c r="C40" s="43"/>
      <c r="D40" s="44"/>
      <c r="E40" s="44"/>
      <c r="F40" s="44"/>
      <c r="G40" s="44"/>
      <c r="H40" s="44"/>
      <c r="I40" s="44"/>
      <c r="J40" s="44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</row>
    <row r="41" spans="1:21" x14ac:dyDescent="0.25">
      <c r="A41" s="43"/>
      <c r="B41" s="43"/>
      <c r="C41" s="43"/>
      <c r="D41" s="44"/>
      <c r="E41" s="44"/>
      <c r="F41" s="44"/>
      <c r="G41" s="44"/>
      <c r="H41" s="44"/>
      <c r="I41" s="44"/>
      <c r="J41" s="44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</row>
    <row r="42" spans="1:21" x14ac:dyDescent="0.25">
      <c r="A42" s="42" t="s">
        <v>84</v>
      </c>
      <c r="B42" s="40"/>
      <c r="C42" s="40"/>
      <c r="D42" s="41"/>
      <c r="E42" s="40"/>
      <c r="F42" s="40"/>
      <c r="G42" s="40"/>
      <c r="H42" s="40"/>
      <c r="I42" s="40"/>
      <c r="J42" s="40"/>
      <c r="K42" s="40"/>
      <c r="L42" s="40"/>
      <c r="M42" s="38"/>
      <c r="N42" s="38"/>
      <c r="O42" s="38"/>
      <c r="P42" s="38"/>
      <c r="Q42" s="38"/>
      <c r="R42" s="38"/>
      <c r="S42" s="38"/>
      <c r="T42" s="38"/>
      <c r="U42" s="38"/>
    </row>
    <row r="43" spans="1:21" ht="17.25" x14ac:dyDescent="0.25">
      <c r="A43" s="121" t="s">
        <v>85</v>
      </c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38"/>
      <c r="N43" s="38"/>
      <c r="O43" s="38"/>
      <c r="P43" s="38"/>
      <c r="Q43" s="38"/>
      <c r="R43" s="38"/>
      <c r="S43" s="38"/>
      <c r="T43" s="38"/>
      <c r="U43" s="38"/>
    </row>
    <row r="44" spans="1:21" ht="31.5" customHeight="1" x14ac:dyDescent="0.25">
      <c r="A44" s="119" t="s">
        <v>86</v>
      </c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38"/>
      <c r="N44" s="38"/>
      <c r="O44" s="38"/>
      <c r="P44" s="38"/>
      <c r="Q44" s="38"/>
      <c r="R44" s="38"/>
      <c r="S44" s="38"/>
      <c r="T44" s="38"/>
      <c r="U44" s="38"/>
    </row>
    <row r="45" spans="1:21" ht="17.25" x14ac:dyDescent="0.25">
      <c r="A45" s="118" t="s">
        <v>87</v>
      </c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</row>
  </sheetData>
  <mergeCells count="8">
    <mergeCell ref="A45:L45"/>
    <mergeCell ref="A44:L44"/>
    <mergeCell ref="A43:L43"/>
    <mergeCell ref="A1:U1"/>
    <mergeCell ref="A2:U2"/>
    <mergeCell ref="A3:U3"/>
    <mergeCell ref="A4:U4"/>
    <mergeCell ref="A5:U5"/>
  </mergeCells>
  <pageMargins left="0.7" right="0.7" top="0.75" bottom="0.75" header="0.3" footer="0.3"/>
  <pageSetup scale="4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7734-4055-4B53-9971-78EF9A5288F7}">
  <dimension ref="A1:J26"/>
  <sheetViews>
    <sheetView showGridLines="0" topLeftCell="A3" zoomScaleNormal="100" zoomScaleSheetLayoutView="100" workbookViewId="0">
      <selection activeCell="H31" sqref="H3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116"/>
      <c r="B1" s="116"/>
      <c r="C1" s="116"/>
      <c r="D1" s="116"/>
      <c r="E1" s="116"/>
      <c r="F1" s="116"/>
      <c r="G1" s="116"/>
      <c r="H1" s="116"/>
      <c r="I1" s="116" t="s">
        <v>0</v>
      </c>
      <c r="J1" s="116"/>
    </row>
    <row r="2" spans="1:10" x14ac:dyDescent="0.25">
      <c r="A2" s="117" t="s">
        <v>1</v>
      </c>
      <c r="B2" s="117"/>
      <c r="C2" s="117"/>
      <c r="D2" s="117"/>
      <c r="E2" s="117"/>
      <c r="F2" s="117"/>
      <c r="G2" s="117"/>
      <c r="H2" s="117"/>
      <c r="I2" s="117"/>
      <c r="J2" s="117"/>
    </row>
    <row r="3" spans="1:10" x14ac:dyDescent="0.25">
      <c r="A3" s="117" t="s">
        <v>2</v>
      </c>
      <c r="B3" s="117"/>
      <c r="C3" s="117"/>
      <c r="D3" s="117"/>
      <c r="E3" s="117"/>
      <c r="F3" s="117"/>
      <c r="G3" s="117"/>
      <c r="H3" s="117"/>
      <c r="I3" s="117"/>
      <c r="J3" s="117"/>
    </row>
    <row r="4" spans="1:10" x14ac:dyDescent="0.25">
      <c r="A4" s="117" t="s">
        <v>91</v>
      </c>
      <c r="B4" s="117"/>
      <c r="C4" s="117"/>
      <c r="D4" s="117"/>
      <c r="E4" s="117"/>
      <c r="F4" s="117"/>
      <c r="G4" s="117"/>
      <c r="H4" s="117"/>
      <c r="I4" s="117"/>
      <c r="J4" s="117"/>
    </row>
    <row r="5" spans="1:10" x14ac:dyDescent="0.25">
      <c r="A5" s="117" t="s">
        <v>4</v>
      </c>
      <c r="B5" s="117"/>
      <c r="C5" s="117"/>
      <c r="D5" s="117"/>
      <c r="E5" s="117"/>
      <c r="F5" s="117"/>
      <c r="G5" s="117"/>
      <c r="H5" s="117"/>
      <c r="I5" s="117"/>
      <c r="J5" s="117"/>
    </row>
    <row r="6" spans="1:10" x14ac:dyDescent="0.25">
      <c r="A6" s="117" t="s">
        <v>5</v>
      </c>
      <c r="B6" s="117"/>
      <c r="C6" s="117"/>
      <c r="D6" s="117"/>
      <c r="E6" s="117"/>
      <c r="F6" s="117"/>
      <c r="G6" s="117"/>
      <c r="H6" s="117"/>
      <c r="I6" s="117"/>
      <c r="J6" s="117"/>
    </row>
    <row r="7" spans="1:10" x14ac:dyDescent="0.25">
      <c r="A7" s="114" t="s">
        <v>6</v>
      </c>
      <c r="B7" s="114"/>
      <c r="C7" s="115" t="s">
        <v>7</v>
      </c>
      <c r="D7" s="115"/>
      <c r="E7" s="115"/>
      <c r="F7" s="115"/>
      <c r="G7" s="115"/>
      <c r="H7" s="115"/>
      <c r="I7" s="116" t="s">
        <v>8</v>
      </c>
      <c r="J7" s="116"/>
    </row>
    <row r="8" spans="1:10" x14ac:dyDescent="0.25">
      <c r="A8" s="114" t="s">
        <v>9</v>
      </c>
      <c r="B8" s="114"/>
      <c r="C8" s="115" t="s">
        <v>90</v>
      </c>
      <c r="D8" s="115"/>
      <c r="E8" s="115"/>
      <c r="F8" s="115"/>
      <c r="G8" s="115"/>
      <c r="H8" s="115"/>
      <c r="I8" s="116" t="s">
        <v>11</v>
      </c>
      <c r="J8" s="116"/>
    </row>
    <row r="9" spans="1:10" x14ac:dyDescent="0.25">
      <c r="A9" s="114" t="s">
        <v>12</v>
      </c>
      <c r="B9" s="114"/>
      <c r="C9" s="115" t="s">
        <v>13</v>
      </c>
      <c r="D9" s="115"/>
      <c r="E9" s="115"/>
      <c r="F9" s="115"/>
      <c r="G9" s="115"/>
      <c r="H9" s="115"/>
      <c r="I9" s="116" t="s">
        <v>14</v>
      </c>
      <c r="J9" s="116"/>
    </row>
    <row r="10" spans="1:10" x14ac:dyDescent="0.25">
      <c r="A10" s="116"/>
      <c r="B10" s="116"/>
      <c r="C10" s="116"/>
      <c r="D10" s="116"/>
      <c r="E10" s="116"/>
      <c r="F10" s="116"/>
      <c r="G10" s="116"/>
      <c r="H10" s="116"/>
      <c r="I10" s="116"/>
      <c r="J10" s="116"/>
    </row>
    <row r="11" spans="1:10" x14ac:dyDescent="0.25">
      <c r="A11" s="108"/>
      <c r="B11" s="108"/>
      <c r="C11" s="108"/>
      <c r="D11" s="108"/>
      <c r="E11" s="108"/>
      <c r="F11" s="108"/>
      <c r="G11" s="108"/>
      <c r="H11" s="108"/>
      <c r="I11" s="108"/>
      <c r="J11" s="108"/>
    </row>
    <row r="12" spans="1:10" x14ac:dyDescent="0.25">
      <c r="A12" s="111" t="s">
        <v>15</v>
      </c>
      <c r="B12" s="111"/>
      <c r="C12" s="111"/>
      <c r="D12" s="111"/>
      <c r="E12" s="111"/>
      <c r="F12" s="111"/>
      <c r="G12" s="111"/>
      <c r="H12" s="111"/>
      <c r="I12" s="111"/>
      <c r="J12" s="111"/>
    </row>
    <row r="13" spans="1:10" x14ac:dyDescent="0.25">
      <c r="A13" s="108"/>
      <c r="B13" s="108"/>
      <c r="C13" s="108"/>
      <c r="D13" s="108"/>
      <c r="E13" s="108"/>
      <c r="F13" s="108"/>
      <c r="G13" s="108"/>
      <c r="H13" s="108"/>
      <c r="I13" s="108"/>
      <c r="J13" s="108"/>
    </row>
    <row r="14" spans="1:10" x14ac:dyDescent="0.25">
      <c r="A14" s="112" t="s">
        <v>16</v>
      </c>
      <c r="B14" s="112"/>
      <c r="C14" s="112"/>
      <c r="D14" s="112"/>
      <c r="E14" s="112"/>
      <c r="F14" s="36" t="s">
        <v>17</v>
      </c>
      <c r="G14" s="36" t="s">
        <v>18</v>
      </c>
      <c r="H14" s="113" t="s">
        <v>19</v>
      </c>
      <c r="I14" s="113"/>
      <c r="J14" s="36" t="s">
        <v>20</v>
      </c>
    </row>
    <row r="15" spans="1:10" x14ac:dyDescent="0.25">
      <c r="A15" s="110" t="s">
        <v>21</v>
      </c>
      <c r="B15" s="110"/>
      <c r="C15" s="110"/>
      <c r="D15" s="110"/>
      <c r="E15" s="110"/>
      <c r="F15" s="110"/>
      <c r="G15" s="110"/>
      <c r="H15" s="110"/>
      <c r="I15" s="110"/>
      <c r="J15" s="110"/>
    </row>
    <row r="16" spans="1:10" x14ac:dyDescent="0.25">
      <c r="A16" s="106" t="s">
        <v>22</v>
      </c>
      <c r="B16" s="106"/>
      <c r="C16" s="106"/>
      <c r="D16" s="106"/>
      <c r="E16" s="106"/>
      <c r="F16" s="35">
        <v>462080.9</v>
      </c>
      <c r="G16" s="35">
        <v>0</v>
      </c>
      <c r="H16" s="107">
        <v>43624.74</v>
      </c>
      <c r="I16" s="107"/>
      <c r="J16" s="35">
        <v>418456.16</v>
      </c>
    </row>
    <row r="17" spans="1:10" x14ac:dyDescent="0.25">
      <c r="A17" s="108"/>
      <c r="B17" s="108"/>
      <c r="C17" s="108"/>
      <c r="D17" s="108"/>
      <c r="E17" s="108"/>
      <c r="F17" s="108"/>
      <c r="G17" s="108"/>
      <c r="H17" s="108"/>
      <c r="I17" s="108"/>
      <c r="J17" s="108"/>
    </row>
    <row r="18" spans="1:10" x14ac:dyDescent="0.25">
      <c r="A18" s="110" t="s">
        <v>23</v>
      </c>
      <c r="B18" s="110"/>
      <c r="C18" s="110"/>
      <c r="D18" s="110"/>
      <c r="E18" s="110"/>
      <c r="F18" s="110"/>
      <c r="G18" s="110"/>
      <c r="H18" s="110"/>
      <c r="I18" s="110"/>
      <c r="J18" s="110"/>
    </row>
    <row r="19" spans="1:10" x14ac:dyDescent="0.25">
      <c r="A19" s="106" t="s">
        <v>24</v>
      </c>
      <c r="B19" s="106"/>
      <c r="C19" s="106"/>
      <c r="D19" s="106"/>
      <c r="E19" s="106"/>
      <c r="F19" s="35">
        <v>417349.45</v>
      </c>
      <c r="G19" s="35">
        <v>0</v>
      </c>
      <c r="H19" s="107">
        <v>0</v>
      </c>
      <c r="I19" s="107"/>
      <c r="J19" s="35">
        <v>417349.45</v>
      </c>
    </row>
    <row r="20" spans="1:10" x14ac:dyDescent="0.25">
      <c r="A20" s="108"/>
      <c r="B20" s="108"/>
      <c r="C20" s="108"/>
      <c r="D20" s="108"/>
      <c r="E20" s="108"/>
      <c r="F20" s="108"/>
      <c r="G20" s="108"/>
      <c r="H20" s="108"/>
      <c r="I20" s="108"/>
      <c r="J20" s="108"/>
    </row>
    <row r="21" spans="1:10" x14ac:dyDescent="0.25">
      <c r="A21" s="34" t="s">
        <v>9</v>
      </c>
      <c r="B21" s="105" t="s">
        <v>89</v>
      </c>
      <c r="C21" s="105"/>
      <c r="D21" s="105"/>
      <c r="E21" s="104">
        <v>879430.35000000009</v>
      </c>
      <c r="F21" s="104"/>
      <c r="G21" s="104">
        <v>0</v>
      </c>
      <c r="H21" s="104">
        <v>43624.74</v>
      </c>
      <c r="I21" s="104"/>
      <c r="J21" s="104">
        <v>835805.61</v>
      </c>
    </row>
    <row r="22" spans="1:10" x14ac:dyDescent="0.25">
      <c r="A22" s="34" t="s">
        <v>27</v>
      </c>
      <c r="B22" s="105" t="s">
        <v>13</v>
      </c>
      <c r="C22" s="105"/>
      <c r="D22" s="105"/>
      <c r="E22" s="104"/>
      <c r="F22" s="104"/>
      <c r="G22" s="104"/>
      <c r="H22" s="104"/>
      <c r="I22" s="104"/>
      <c r="J22" s="104"/>
    </row>
    <row r="23" spans="1:10" x14ac:dyDescent="0.25">
      <c r="A23" s="108"/>
      <c r="B23" s="108"/>
      <c r="C23" s="108"/>
      <c r="D23" s="108"/>
      <c r="E23" s="108"/>
      <c r="F23" s="108"/>
      <c r="G23" s="108"/>
      <c r="H23" s="108"/>
      <c r="I23" s="108"/>
      <c r="J23" s="108"/>
    </row>
    <row r="24" spans="1:10" x14ac:dyDescent="0.25">
      <c r="A24" s="108"/>
      <c r="B24" s="108"/>
      <c r="C24" s="108"/>
      <c r="D24" s="108"/>
      <c r="E24" s="108"/>
      <c r="F24" s="108"/>
      <c r="G24" s="108"/>
      <c r="H24" s="108"/>
      <c r="I24" s="108"/>
      <c r="J24" s="108"/>
    </row>
    <row r="25" spans="1:10" x14ac:dyDescent="0.25">
      <c r="A25" s="108"/>
      <c r="B25" s="108"/>
      <c r="C25" s="108"/>
      <c r="D25" s="108"/>
      <c r="E25" s="108"/>
      <c r="F25" s="108"/>
      <c r="G25" s="108"/>
      <c r="H25" s="108"/>
      <c r="I25" s="108"/>
      <c r="J25" s="108"/>
    </row>
    <row r="26" spans="1:10" x14ac:dyDescent="0.25">
      <c r="A26" s="109"/>
      <c r="B26" s="109"/>
      <c r="C26" s="109"/>
      <c r="D26" s="109"/>
      <c r="E26" s="109"/>
      <c r="F26" s="109"/>
      <c r="G26" s="109"/>
      <c r="H26" s="109"/>
      <c r="I26" s="109"/>
      <c r="J26" s="109"/>
    </row>
  </sheetData>
  <mergeCells count="43"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  <mergeCell ref="A17:J17"/>
    <mergeCell ref="A18:J18"/>
    <mergeCell ref="A19:E19"/>
    <mergeCell ref="H19:I19"/>
    <mergeCell ref="A20:J20"/>
    <mergeCell ref="H16:I16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  <pageSetup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9779-490D-4B89-B9A7-B9662FD2A919}">
  <sheetPr>
    <pageSetUpPr fitToPage="1"/>
  </sheetPr>
  <dimension ref="A1:U46"/>
  <sheetViews>
    <sheetView topLeftCell="A2" zoomScale="70" zoomScaleNormal="70" zoomScaleSheetLayoutView="80" workbookViewId="0">
      <selection activeCell="N37" sqref="N37"/>
    </sheetView>
  </sheetViews>
  <sheetFormatPr defaultRowHeight="15" x14ac:dyDescent="0.25"/>
  <cols>
    <col min="2" max="2" width="51.42578125" bestFit="1" customWidth="1"/>
    <col min="3" max="3" width="1.42578125" customWidth="1"/>
    <col min="4" max="4" width="13.28515625" style="21" customWidth="1"/>
    <col min="5" max="5" width="1.42578125" customWidth="1"/>
    <col min="6" max="6" width="14.5703125" style="21" customWidth="1"/>
    <col min="7" max="7" width="1.42578125" customWidth="1"/>
    <col min="8" max="8" width="16.42578125" bestFit="1" customWidth="1"/>
    <col min="9" max="9" width="2.140625" customWidth="1"/>
    <col min="10" max="10" width="14.28515625" customWidth="1"/>
    <col min="11" max="11" width="1.42578125" customWidth="1"/>
    <col min="12" max="12" width="16.7109375" customWidth="1"/>
    <col min="13" max="13" width="1.42578125" customWidth="1"/>
    <col min="14" max="14" width="15.42578125" customWidth="1"/>
    <col min="15" max="15" width="1.42578125" customWidth="1"/>
    <col min="16" max="16" width="27.5703125" style="37" customWidth="1"/>
    <col min="17" max="17" width="1.42578125" customWidth="1"/>
    <col min="18" max="18" width="25.42578125" customWidth="1"/>
    <col min="19" max="19" width="27.85546875" customWidth="1"/>
    <col min="20" max="20" width="1.42578125" customWidth="1"/>
    <col min="21" max="21" width="17.42578125" customWidth="1"/>
  </cols>
  <sheetData>
    <row r="1" spans="1:21" x14ac:dyDescent="0.25">
      <c r="A1" s="122" t="s">
        <v>28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</row>
    <row r="2" spans="1:21" x14ac:dyDescent="0.25">
      <c r="A2" s="122" t="s">
        <v>29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</row>
    <row r="3" spans="1:21" x14ac:dyDescent="0.25">
      <c r="A3" s="122" t="s">
        <v>30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</row>
    <row r="4" spans="1:21" x14ac:dyDescent="0.25">
      <c r="A4" s="122" t="s">
        <v>99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</row>
    <row r="5" spans="1:21" x14ac:dyDescent="0.25">
      <c r="A5" s="122" t="s">
        <v>32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</row>
    <row r="6" spans="1:21" ht="6" customHeight="1" x14ac:dyDescent="0.25">
      <c r="A6" s="43"/>
      <c r="B6" s="43"/>
      <c r="C6" s="43"/>
      <c r="D6" s="45"/>
      <c r="E6" s="44"/>
      <c r="F6" s="45"/>
      <c r="G6" s="44"/>
      <c r="H6" s="44"/>
      <c r="I6" s="44"/>
      <c r="J6" s="44"/>
      <c r="K6" s="43"/>
      <c r="L6" s="43"/>
      <c r="M6" s="43"/>
      <c r="N6" s="43"/>
      <c r="O6" s="43"/>
      <c r="P6" s="44"/>
      <c r="Q6" s="43"/>
      <c r="R6" s="43"/>
      <c r="S6" s="43"/>
      <c r="T6" s="43"/>
      <c r="U6" s="43"/>
    </row>
    <row r="7" spans="1:21" ht="15.75" thickBot="1" x14ac:dyDescent="0.3">
      <c r="A7" s="43"/>
      <c r="B7" s="43"/>
      <c r="C7" s="43"/>
      <c r="D7" s="45"/>
      <c r="E7" s="44"/>
      <c r="F7" s="45"/>
      <c r="G7" s="44"/>
      <c r="H7" s="44"/>
      <c r="I7" s="55"/>
      <c r="J7" s="65" t="s">
        <v>33</v>
      </c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</row>
    <row r="8" spans="1:21" x14ac:dyDescent="0.25">
      <c r="A8" s="43"/>
      <c r="B8" s="43"/>
      <c r="C8" s="43"/>
      <c r="D8" s="64" t="s">
        <v>34</v>
      </c>
      <c r="E8" s="60"/>
      <c r="F8" s="64" t="s">
        <v>35</v>
      </c>
      <c r="G8" s="60"/>
      <c r="H8" s="63" t="s">
        <v>36</v>
      </c>
      <c r="I8" s="58"/>
      <c r="J8" s="62" t="s">
        <v>37</v>
      </c>
      <c r="K8" s="44"/>
      <c r="L8" s="62" t="s">
        <v>38</v>
      </c>
      <c r="M8" s="57"/>
      <c r="N8" s="62" t="s">
        <v>39</v>
      </c>
      <c r="O8" s="57"/>
      <c r="P8" s="62" t="s">
        <v>40</v>
      </c>
      <c r="Q8" s="57"/>
      <c r="R8" s="62" t="s">
        <v>41</v>
      </c>
      <c r="S8" s="62" t="s">
        <v>42</v>
      </c>
      <c r="T8" s="57"/>
      <c r="U8" s="62" t="s">
        <v>43</v>
      </c>
    </row>
    <row r="9" spans="1:21" ht="98.25" customHeight="1" x14ac:dyDescent="0.25">
      <c r="A9" s="54"/>
      <c r="B9" s="43"/>
      <c r="C9" s="43"/>
      <c r="D9" s="61" t="s">
        <v>44</v>
      </c>
      <c r="E9" s="60"/>
      <c r="F9" s="61" t="s">
        <v>45</v>
      </c>
      <c r="G9" s="60"/>
      <c r="H9" s="59" t="s">
        <v>46</v>
      </c>
      <c r="I9" s="58"/>
      <c r="J9" s="56" t="s">
        <v>47</v>
      </c>
      <c r="K9" s="57"/>
      <c r="L9" s="56" t="s">
        <v>48</v>
      </c>
      <c r="M9" s="44"/>
      <c r="N9" s="56" t="s">
        <v>49</v>
      </c>
      <c r="O9" s="44"/>
      <c r="P9" s="56" t="s">
        <v>98</v>
      </c>
      <c r="Q9" s="44"/>
      <c r="R9" s="56" t="s">
        <v>97</v>
      </c>
      <c r="S9" s="56" t="s">
        <v>96</v>
      </c>
      <c r="T9" s="44"/>
      <c r="U9" s="56" t="s">
        <v>52</v>
      </c>
    </row>
    <row r="10" spans="1:21" x14ac:dyDescent="0.25">
      <c r="A10" s="43"/>
      <c r="B10" s="43"/>
      <c r="C10" s="43"/>
      <c r="D10" s="45"/>
      <c r="E10" s="44"/>
      <c r="F10" s="45"/>
      <c r="G10" s="44"/>
      <c r="H10" s="44"/>
      <c r="I10" s="55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 x14ac:dyDescent="0.25">
      <c r="A11" s="54" t="s">
        <v>21</v>
      </c>
      <c r="B11" s="43"/>
      <c r="C11" s="43"/>
      <c r="D11" s="45"/>
      <c r="E11" s="44"/>
      <c r="F11" s="45"/>
      <c r="G11" s="44"/>
      <c r="H11" s="44"/>
      <c r="I11" s="55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 ht="17.25" x14ac:dyDescent="0.25">
      <c r="A12" s="43"/>
      <c r="B12" s="43" t="s">
        <v>95</v>
      </c>
      <c r="C12" s="43"/>
      <c r="D12" s="44"/>
      <c r="E12" s="44"/>
      <c r="F12" s="44"/>
      <c r="G12" s="44"/>
      <c r="H12" s="39">
        <f t="shared" ref="H12:H30" si="0">F12-D12</f>
        <v>0</v>
      </c>
      <c r="I12" s="49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39"/>
    </row>
    <row r="13" spans="1:21" ht="17.25" x14ac:dyDescent="0.25">
      <c r="A13" s="43"/>
      <c r="B13" s="43" t="s">
        <v>94</v>
      </c>
      <c r="C13" s="43"/>
      <c r="D13" s="44">
        <v>294163</v>
      </c>
      <c r="E13" s="44"/>
      <c r="F13" s="44"/>
      <c r="G13" s="44"/>
      <c r="H13" s="39">
        <f t="shared" si="0"/>
        <v>-294163</v>
      </c>
      <c r="I13" s="49"/>
      <c r="J13" s="44"/>
      <c r="K13" s="44"/>
      <c r="L13" s="44"/>
      <c r="M13" s="44"/>
      <c r="N13" s="44"/>
      <c r="O13" s="44"/>
      <c r="P13" s="44">
        <v>-294163</v>
      </c>
      <c r="Q13" s="44"/>
      <c r="R13" s="44"/>
      <c r="S13" s="44"/>
      <c r="T13" s="44"/>
      <c r="U13" s="39">
        <f t="shared" ref="U13:U31" si="1">SUM(J13:S13)</f>
        <v>-294163</v>
      </c>
    </row>
    <row r="14" spans="1:21" x14ac:dyDescent="0.25">
      <c r="A14" s="43"/>
      <c r="B14" s="43" t="s">
        <v>55</v>
      </c>
      <c r="C14" s="43"/>
      <c r="D14" s="44"/>
      <c r="E14" s="44"/>
      <c r="F14" s="44"/>
      <c r="G14" s="44"/>
      <c r="H14" s="39">
        <f t="shared" si="0"/>
        <v>0</v>
      </c>
      <c r="I14" s="49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39">
        <f t="shared" si="1"/>
        <v>0</v>
      </c>
    </row>
    <row r="15" spans="1:21" ht="17.25" x14ac:dyDescent="0.25">
      <c r="A15" s="43"/>
      <c r="B15" s="43" t="s">
        <v>93</v>
      </c>
      <c r="C15" s="43"/>
      <c r="D15" s="44">
        <v>512154.29</v>
      </c>
      <c r="E15" s="44"/>
      <c r="F15" s="44">
        <v>462080.9</v>
      </c>
      <c r="G15" s="44"/>
      <c r="H15" s="39">
        <f t="shared" si="0"/>
        <v>-50073.389999999956</v>
      </c>
      <c r="I15" s="49"/>
      <c r="J15" s="44"/>
      <c r="K15" s="44"/>
      <c r="L15" s="44"/>
      <c r="M15" s="44"/>
      <c r="N15" s="44"/>
      <c r="O15" s="44"/>
      <c r="Q15" s="44"/>
      <c r="R15" s="44">
        <v>-50073.39</v>
      </c>
      <c r="S15" s="44"/>
      <c r="T15" s="44"/>
      <c r="U15" s="39">
        <f t="shared" si="1"/>
        <v>-50073.39</v>
      </c>
    </row>
    <row r="16" spans="1:21" x14ac:dyDescent="0.25">
      <c r="A16" s="43"/>
      <c r="B16" s="43" t="s">
        <v>57</v>
      </c>
      <c r="C16" s="43"/>
      <c r="D16" s="44"/>
      <c r="E16" s="44"/>
      <c r="F16" s="44"/>
      <c r="G16" s="44"/>
      <c r="H16" s="39">
        <f t="shared" si="0"/>
        <v>0</v>
      </c>
      <c r="I16" s="49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39">
        <f t="shared" si="1"/>
        <v>0</v>
      </c>
    </row>
    <row r="17" spans="1:21" x14ac:dyDescent="0.25">
      <c r="A17" s="43"/>
      <c r="B17" s="43" t="s">
        <v>58</v>
      </c>
      <c r="C17" s="43"/>
      <c r="D17" s="44"/>
      <c r="E17" s="44"/>
      <c r="F17" s="44"/>
      <c r="G17" s="44"/>
      <c r="H17" s="39">
        <f t="shared" si="0"/>
        <v>0</v>
      </c>
      <c r="I17" s="49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39">
        <f t="shared" si="1"/>
        <v>0</v>
      </c>
    </row>
    <row r="18" spans="1:21" x14ac:dyDescent="0.25">
      <c r="A18" s="54" t="s">
        <v>23</v>
      </c>
      <c r="B18" s="43"/>
      <c r="C18" s="43"/>
      <c r="D18" s="44"/>
      <c r="E18" s="44"/>
      <c r="F18" s="44"/>
      <c r="G18" s="44"/>
      <c r="H18" s="39">
        <f t="shared" si="0"/>
        <v>0</v>
      </c>
      <c r="I18" s="49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39">
        <f t="shared" si="1"/>
        <v>0</v>
      </c>
    </row>
    <row r="19" spans="1:21" x14ac:dyDescent="0.25">
      <c r="A19" s="43"/>
      <c r="B19" s="43" t="s">
        <v>59</v>
      </c>
      <c r="C19" s="43"/>
      <c r="D19" s="44"/>
      <c r="E19" s="44"/>
      <c r="F19" s="44"/>
      <c r="G19" s="44"/>
      <c r="H19" s="39">
        <f t="shared" si="0"/>
        <v>0</v>
      </c>
      <c r="I19" s="49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39">
        <f t="shared" si="1"/>
        <v>0</v>
      </c>
    </row>
    <row r="20" spans="1:21" x14ac:dyDescent="0.25">
      <c r="A20" s="43"/>
      <c r="B20" s="43" t="s">
        <v>60</v>
      </c>
      <c r="C20" s="43"/>
      <c r="D20" s="44"/>
      <c r="E20" s="44"/>
      <c r="F20" s="44"/>
      <c r="G20" s="44"/>
      <c r="H20" s="39">
        <f t="shared" si="0"/>
        <v>0</v>
      </c>
      <c r="I20" s="49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39">
        <f t="shared" si="1"/>
        <v>0</v>
      </c>
    </row>
    <row r="21" spans="1:21" x14ac:dyDescent="0.25">
      <c r="A21" s="43"/>
      <c r="B21" s="43" t="s">
        <v>61</v>
      </c>
      <c r="C21" s="43"/>
      <c r="D21" s="44"/>
      <c r="E21" s="44"/>
      <c r="F21" s="44"/>
      <c r="G21" s="44"/>
      <c r="H21" s="39">
        <f t="shared" si="0"/>
        <v>0</v>
      </c>
      <c r="I21" s="49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39">
        <f t="shared" si="1"/>
        <v>0</v>
      </c>
    </row>
    <row r="22" spans="1:21" x14ac:dyDescent="0.25">
      <c r="A22" s="43"/>
      <c r="B22" s="43" t="s">
        <v>62</v>
      </c>
      <c r="C22" s="43"/>
      <c r="D22" s="44"/>
      <c r="E22" s="44"/>
      <c r="F22" s="44"/>
      <c r="G22" s="44"/>
      <c r="H22" s="39">
        <f t="shared" si="0"/>
        <v>0</v>
      </c>
      <c r="I22" s="49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39">
        <f t="shared" si="1"/>
        <v>0</v>
      </c>
    </row>
    <row r="23" spans="1:21" x14ac:dyDescent="0.25">
      <c r="A23" s="43"/>
      <c r="B23" s="43" t="s">
        <v>63</v>
      </c>
      <c r="C23" s="43"/>
      <c r="D23" s="44"/>
      <c r="E23" s="44"/>
      <c r="F23" s="44"/>
      <c r="G23" s="44"/>
      <c r="H23" s="39">
        <f t="shared" si="0"/>
        <v>0</v>
      </c>
      <c r="I23" s="49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39">
        <f t="shared" si="1"/>
        <v>0</v>
      </c>
    </row>
    <row r="24" spans="1:21" x14ac:dyDescent="0.25">
      <c r="A24" s="43"/>
      <c r="B24" s="43" t="s">
        <v>64</v>
      </c>
      <c r="C24" s="43"/>
      <c r="D24" s="44">
        <v>417348.99</v>
      </c>
      <c r="E24" s="44"/>
      <c r="F24" s="44">
        <v>417349.45</v>
      </c>
      <c r="G24" s="44"/>
      <c r="H24" s="39">
        <f t="shared" si="0"/>
        <v>0.46000000002095476</v>
      </c>
      <c r="I24" s="49"/>
      <c r="J24" s="44"/>
      <c r="K24" s="44"/>
      <c r="L24" s="44"/>
      <c r="M24" s="44"/>
      <c r="N24" s="44"/>
      <c r="O24" s="44"/>
      <c r="P24" s="44"/>
      <c r="Q24" s="44"/>
      <c r="R24" s="44"/>
      <c r="S24" s="44">
        <v>0.46</v>
      </c>
      <c r="T24" s="44"/>
      <c r="U24" s="39">
        <f t="shared" si="1"/>
        <v>0.46</v>
      </c>
    </row>
    <row r="25" spans="1:21" x14ac:dyDescent="0.25">
      <c r="A25" s="43"/>
      <c r="B25" s="43" t="s">
        <v>65</v>
      </c>
      <c r="C25" s="43"/>
      <c r="D25" s="44"/>
      <c r="E25" s="44"/>
      <c r="F25" s="44"/>
      <c r="G25" s="44"/>
      <c r="H25" s="39">
        <f t="shared" si="0"/>
        <v>0</v>
      </c>
      <c r="I25" s="49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39">
        <f t="shared" si="1"/>
        <v>0</v>
      </c>
    </row>
    <row r="26" spans="1:21" ht="32.25" x14ac:dyDescent="0.25">
      <c r="A26" s="52"/>
      <c r="B26" s="53" t="s">
        <v>92</v>
      </c>
      <c r="C26" s="52"/>
      <c r="D26" s="50"/>
      <c r="E26" s="50"/>
      <c r="F26" s="50"/>
      <c r="G26" s="50"/>
      <c r="H26" s="39">
        <f t="shared" si="0"/>
        <v>0</v>
      </c>
      <c r="I26" s="5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39">
        <f t="shared" si="1"/>
        <v>0</v>
      </c>
    </row>
    <row r="27" spans="1:21" x14ac:dyDescent="0.25">
      <c r="A27" s="43"/>
      <c r="B27" s="43" t="s">
        <v>67</v>
      </c>
      <c r="C27" s="43"/>
      <c r="D27" s="44"/>
      <c r="E27" s="44"/>
      <c r="F27" s="44"/>
      <c r="G27" s="44"/>
      <c r="H27" s="39">
        <f t="shared" si="0"/>
        <v>0</v>
      </c>
      <c r="I27" s="49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39">
        <f t="shared" si="1"/>
        <v>0</v>
      </c>
    </row>
    <row r="28" spans="1:21" x14ac:dyDescent="0.25">
      <c r="A28" s="43"/>
      <c r="B28" s="43" t="s">
        <v>68</v>
      </c>
      <c r="C28" s="43"/>
      <c r="D28" s="44"/>
      <c r="E28" s="44"/>
      <c r="F28" s="44"/>
      <c r="G28" s="44"/>
      <c r="H28" s="39">
        <f t="shared" si="0"/>
        <v>0</v>
      </c>
      <c r="I28" s="49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39">
        <f t="shared" si="1"/>
        <v>0</v>
      </c>
    </row>
    <row r="29" spans="1:21" x14ac:dyDescent="0.25">
      <c r="A29" s="43"/>
      <c r="B29" s="43" t="s">
        <v>69</v>
      </c>
      <c r="C29" s="43"/>
      <c r="D29" s="44"/>
      <c r="E29" s="44"/>
      <c r="F29" s="44"/>
      <c r="G29" s="44"/>
      <c r="H29" s="39">
        <f t="shared" si="0"/>
        <v>0</v>
      </c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39">
        <f t="shared" si="1"/>
        <v>0</v>
      </c>
    </row>
    <row r="30" spans="1:21" x14ac:dyDescent="0.25">
      <c r="A30" s="43"/>
      <c r="B30" s="43" t="s">
        <v>70</v>
      </c>
      <c r="C30" s="43"/>
      <c r="D30" s="48"/>
      <c r="E30" s="44"/>
      <c r="F30" s="48"/>
      <c r="G30" s="44"/>
      <c r="H30" s="39">
        <f t="shared" si="0"/>
        <v>0</v>
      </c>
      <c r="I30" s="49"/>
      <c r="J30" s="48"/>
      <c r="K30" s="44"/>
      <c r="L30" s="44"/>
      <c r="M30" s="44"/>
      <c r="N30" s="44"/>
      <c r="O30" s="44"/>
      <c r="P30" s="48"/>
      <c r="Q30" s="44"/>
      <c r="R30" s="44"/>
      <c r="S30" s="44"/>
      <c r="T30" s="44"/>
      <c r="U30" s="39">
        <f t="shared" si="1"/>
        <v>0</v>
      </c>
    </row>
    <row r="31" spans="1:21" ht="15.75" thickBot="1" x14ac:dyDescent="0.3">
      <c r="A31" s="40" t="s">
        <v>71</v>
      </c>
      <c r="B31" s="38"/>
      <c r="C31" s="38"/>
      <c r="D31" s="46">
        <f>SUM(D12:D30)</f>
        <v>1223666.28</v>
      </c>
      <c r="E31" s="46"/>
      <c r="F31" s="46">
        <f>SUM(F12:F30)</f>
        <v>879430.35000000009</v>
      </c>
      <c r="G31" s="46"/>
      <c r="H31" s="46">
        <f>SUM(H12:H30)</f>
        <v>-344235.92999999993</v>
      </c>
      <c r="I31" s="47"/>
      <c r="J31" s="46">
        <f>SUM(J12:J30)</f>
        <v>0</v>
      </c>
      <c r="K31" s="46"/>
      <c r="L31" s="46">
        <f>SUM(L12:L30)</f>
        <v>0</v>
      </c>
      <c r="M31" s="46"/>
      <c r="N31" s="46">
        <f>SUM(N12:N30)</f>
        <v>0</v>
      </c>
      <c r="O31" s="46"/>
      <c r="P31" s="46">
        <f>SUM(P11:P30)</f>
        <v>-294163</v>
      </c>
      <c r="Q31" s="46"/>
      <c r="R31" s="46">
        <f>SUM(R12:R30)</f>
        <v>-50073.39</v>
      </c>
      <c r="S31" s="46">
        <f>SUM(S12:S30)</f>
        <v>0.46</v>
      </c>
      <c r="T31" s="46">
        <f>SUM(T12:T30)</f>
        <v>0</v>
      </c>
      <c r="U31" s="46">
        <f t="shared" si="1"/>
        <v>-344235.93</v>
      </c>
    </row>
    <row r="32" spans="1:21" ht="15.75" thickTop="1" x14ac:dyDescent="0.25">
      <c r="A32" s="43"/>
      <c r="B32" s="43"/>
      <c r="C32" s="43"/>
      <c r="D32" s="45"/>
      <c r="E32" s="44"/>
      <c r="F32" s="45"/>
      <c r="G32" s="44"/>
      <c r="H32" s="44"/>
      <c r="I32" s="44"/>
      <c r="J32" s="44"/>
      <c r="K32" s="43"/>
      <c r="L32" s="43"/>
      <c r="M32" s="43"/>
      <c r="N32" s="43"/>
      <c r="O32" s="43"/>
      <c r="P32" s="44"/>
      <c r="Q32" s="43"/>
      <c r="R32" s="43"/>
      <c r="S32" s="43"/>
      <c r="T32" s="43"/>
      <c r="U32" s="43"/>
    </row>
    <row r="33" spans="1:21" x14ac:dyDescent="0.25">
      <c r="A33" s="43"/>
      <c r="B33" s="43"/>
      <c r="C33" s="43"/>
      <c r="D33" s="45"/>
      <c r="E33" s="44"/>
      <c r="F33" s="45"/>
      <c r="G33" s="44"/>
      <c r="H33" s="44"/>
      <c r="I33" s="44"/>
      <c r="J33" s="44"/>
      <c r="K33" s="43"/>
      <c r="L33" s="43"/>
      <c r="M33" s="43"/>
      <c r="N33" s="43"/>
      <c r="O33" s="43"/>
      <c r="P33" s="44"/>
      <c r="Q33" s="43"/>
      <c r="R33" s="43"/>
      <c r="S33" s="43"/>
      <c r="T33" s="43"/>
      <c r="U33" s="43"/>
    </row>
    <row r="34" spans="1:21" x14ac:dyDescent="0.25">
      <c r="A34" s="43" t="s">
        <v>72</v>
      </c>
      <c r="B34" s="43"/>
      <c r="C34" s="43"/>
      <c r="D34" s="45"/>
      <c r="E34" s="44"/>
      <c r="F34" s="45"/>
      <c r="G34" s="44"/>
      <c r="H34" s="44"/>
      <c r="I34" s="44"/>
      <c r="J34" s="44"/>
      <c r="K34" s="43"/>
      <c r="L34" s="43"/>
      <c r="M34" s="43"/>
      <c r="N34" s="43"/>
      <c r="O34" s="43"/>
      <c r="P34" s="44"/>
      <c r="Q34" s="43"/>
      <c r="R34" s="43"/>
      <c r="S34" s="43"/>
      <c r="T34" s="43"/>
      <c r="U34" s="43"/>
    </row>
    <row r="35" spans="1:21" x14ac:dyDescent="0.25">
      <c r="A35" s="43" t="s">
        <v>73</v>
      </c>
      <c r="B35" s="43" t="s">
        <v>74</v>
      </c>
      <c r="C35" s="43"/>
      <c r="D35" s="45"/>
      <c r="E35" s="44"/>
      <c r="F35" s="45"/>
      <c r="G35" s="44"/>
      <c r="H35" s="44"/>
      <c r="I35" s="44"/>
      <c r="J35" s="44"/>
      <c r="K35" s="43"/>
      <c r="L35" s="43"/>
      <c r="M35" s="43"/>
      <c r="N35" s="43"/>
      <c r="O35" s="43"/>
      <c r="P35" s="44"/>
      <c r="Q35" s="43"/>
      <c r="R35" s="43"/>
      <c r="S35" s="43"/>
      <c r="T35" s="43"/>
      <c r="U35" s="43"/>
    </row>
    <row r="36" spans="1:21" x14ac:dyDescent="0.25">
      <c r="A36" s="43" t="s">
        <v>75</v>
      </c>
      <c r="B36" s="43" t="s">
        <v>76</v>
      </c>
      <c r="C36" s="43"/>
      <c r="D36" s="45"/>
      <c r="E36" s="44"/>
      <c r="F36" s="45"/>
      <c r="G36" s="44"/>
      <c r="H36" s="44"/>
      <c r="I36" s="44"/>
      <c r="J36" s="44"/>
      <c r="K36" s="43"/>
      <c r="L36" s="43"/>
      <c r="M36" s="43"/>
      <c r="N36" s="43"/>
      <c r="O36" s="43"/>
      <c r="P36" s="44"/>
      <c r="Q36" s="43"/>
      <c r="R36" s="43"/>
      <c r="S36" s="43"/>
      <c r="T36" s="43"/>
      <c r="U36" s="43"/>
    </row>
    <row r="37" spans="1:21" x14ac:dyDescent="0.25">
      <c r="A37" s="43" t="s">
        <v>77</v>
      </c>
      <c r="B37" s="43" t="s">
        <v>78</v>
      </c>
      <c r="C37" s="43"/>
      <c r="D37" s="45"/>
      <c r="E37" s="44"/>
      <c r="F37" s="45"/>
      <c r="G37" s="44"/>
      <c r="H37" s="44"/>
      <c r="I37" s="44"/>
      <c r="J37" s="44"/>
      <c r="K37" s="43"/>
      <c r="L37" s="43"/>
      <c r="M37" s="43"/>
      <c r="N37" s="43"/>
      <c r="O37" s="43"/>
      <c r="P37" s="44"/>
      <c r="Q37" s="43"/>
      <c r="R37" s="43"/>
      <c r="S37" s="43"/>
      <c r="T37" s="43"/>
      <c r="U37" s="43"/>
    </row>
    <row r="38" spans="1:21" x14ac:dyDescent="0.25">
      <c r="A38" s="43"/>
      <c r="B38" s="43" t="s">
        <v>79</v>
      </c>
      <c r="C38" s="43"/>
      <c r="D38" s="45"/>
      <c r="E38" s="44"/>
      <c r="F38" s="45"/>
      <c r="G38" s="44"/>
      <c r="H38" s="44"/>
      <c r="I38" s="44"/>
      <c r="J38" s="44"/>
      <c r="K38" s="43"/>
      <c r="L38" s="43"/>
      <c r="M38" s="43"/>
      <c r="N38" s="43"/>
      <c r="O38" s="43"/>
      <c r="P38" s="44"/>
      <c r="Q38" s="43"/>
      <c r="R38" s="43"/>
      <c r="S38" s="43"/>
      <c r="T38" s="43"/>
      <c r="U38" s="43"/>
    </row>
    <row r="39" spans="1:21" x14ac:dyDescent="0.25">
      <c r="A39" s="43" t="s">
        <v>80</v>
      </c>
      <c r="B39" s="43" t="s">
        <v>81</v>
      </c>
      <c r="C39" s="43"/>
      <c r="D39" s="45"/>
      <c r="E39" s="44"/>
      <c r="F39" s="45"/>
      <c r="G39" s="44"/>
      <c r="H39" s="44"/>
      <c r="I39" s="44"/>
      <c r="J39" s="44"/>
      <c r="K39" s="43"/>
      <c r="L39" s="43"/>
      <c r="M39" s="43"/>
      <c r="N39" s="43"/>
      <c r="O39" s="43"/>
      <c r="P39" s="44"/>
      <c r="Q39" s="43"/>
      <c r="R39" s="43"/>
      <c r="S39" s="43"/>
      <c r="T39" s="43"/>
      <c r="U39" s="43"/>
    </row>
    <row r="40" spans="1:21" x14ac:dyDescent="0.25">
      <c r="A40" s="43" t="s">
        <v>82</v>
      </c>
      <c r="B40" s="43" t="s">
        <v>83</v>
      </c>
      <c r="C40" s="43"/>
      <c r="D40" s="45"/>
      <c r="E40" s="44"/>
      <c r="F40" s="45"/>
      <c r="G40" s="44"/>
      <c r="H40" s="44"/>
      <c r="I40" s="44"/>
      <c r="J40" s="44"/>
      <c r="K40" s="43"/>
      <c r="L40" s="43"/>
      <c r="M40" s="43"/>
      <c r="N40" s="43"/>
      <c r="O40" s="43"/>
      <c r="P40" s="44"/>
      <c r="Q40" s="43"/>
      <c r="R40" s="43"/>
      <c r="S40" s="43"/>
      <c r="T40" s="43"/>
      <c r="U40" s="43"/>
    </row>
    <row r="41" spans="1:21" x14ac:dyDescent="0.25">
      <c r="A41" s="43"/>
      <c r="B41" s="43"/>
      <c r="C41" s="43"/>
      <c r="D41" s="45"/>
      <c r="E41" s="44"/>
      <c r="F41" s="45"/>
      <c r="G41" s="44"/>
      <c r="H41" s="44"/>
      <c r="I41" s="44"/>
      <c r="J41" s="44"/>
      <c r="K41" s="43"/>
      <c r="L41" s="43"/>
      <c r="M41" s="43"/>
      <c r="N41" s="43"/>
      <c r="O41" s="43"/>
      <c r="P41" s="44"/>
      <c r="Q41" s="43"/>
      <c r="R41" s="43"/>
      <c r="S41" s="43"/>
      <c r="T41" s="43"/>
      <c r="U41" s="43"/>
    </row>
    <row r="42" spans="1:21" x14ac:dyDescent="0.25">
      <c r="A42" s="42" t="s">
        <v>84</v>
      </c>
      <c r="B42" s="40"/>
      <c r="C42" s="40"/>
      <c r="D42" s="41"/>
      <c r="E42" s="40"/>
      <c r="F42" s="40"/>
      <c r="G42" s="40"/>
      <c r="H42" s="40"/>
      <c r="I42" s="40"/>
      <c r="J42" s="40"/>
      <c r="K42" s="40"/>
      <c r="L42" s="40"/>
      <c r="M42" s="38"/>
      <c r="N42" s="38"/>
      <c r="O42" s="38"/>
      <c r="P42" s="39"/>
      <c r="Q42" s="38"/>
      <c r="R42" s="38"/>
      <c r="S42" s="38"/>
      <c r="T42" s="38"/>
      <c r="U42" s="38"/>
    </row>
    <row r="43" spans="1:21" ht="17.25" x14ac:dyDescent="0.25">
      <c r="A43" s="121" t="s">
        <v>85</v>
      </c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38"/>
      <c r="N43" s="38"/>
      <c r="O43" s="38"/>
      <c r="P43" s="39"/>
      <c r="Q43" s="38"/>
      <c r="R43" s="38"/>
      <c r="S43" s="38"/>
      <c r="T43" s="38"/>
      <c r="U43" s="38"/>
    </row>
    <row r="44" spans="1:21" ht="30" customHeight="1" x14ac:dyDescent="0.25">
      <c r="A44" s="119" t="s">
        <v>86</v>
      </c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38"/>
      <c r="N44" s="38"/>
      <c r="O44" s="38"/>
      <c r="P44" s="39"/>
      <c r="Q44" s="38"/>
      <c r="R44" s="38"/>
      <c r="S44" s="38"/>
      <c r="T44" s="38"/>
      <c r="U44" s="38"/>
    </row>
    <row r="45" spans="1:21" ht="17.25" x14ac:dyDescent="0.25">
      <c r="A45" s="118" t="s">
        <v>87</v>
      </c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P45"/>
    </row>
    <row r="46" spans="1:21" x14ac:dyDescent="0.25">
      <c r="D46" s="37"/>
      <c r="F46"/>
      <c r="P46"/>
    </row>
  </sheetData>
  <mergeCells count="8">
    <mergeCell ref="A45:L45"/>
    <mergeCell ref="A1:U1"/>
    <mergeCell ref="A2:U2"/>
    <mergeCell ref="A3:U3"/>
    <mergeCell ref="A4:U4"/>
    <mergeCell ref="A5:U5"/>
    <mergeCell ref="A43:L43"/>
    <mergeCell ref="A44:L44"/>
  </mergeCells>
  <pageMargins left="0.7" right="0.7" top="0.75" bottom="0.75" header="0.3" footer="0.3"/>
  <pageSetup scale="4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F112-B78C-42C6-AEA5-A47D87B29CCC}">
  <sheetPr>
    <pageSetUpPr fitToPage="1"/>
  </sheetPr>
  <dimension ref="A1:J23"/>
  <sheetViews>
    <sheetView showGridLines="0" workbookViewId="0">
      <selection activeCell="L24" sqref="L24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116"/>
      <c r="B1" s="116"/>
      <c r="C1" s="116"/>
      <c r="D1" s="116"/>
      <c r="E1" s="116"/>
      <c r="F1" s="116"/>
      <c r="G1" s="116"/>
      <c r="H1" s="116"/>
      <c r="I1" s="116" t="s">
        <v>0</v>
      </c>
      <c r="J1" s="116"/>
    </row>
    <row r="2" spans="1:10" x14ac:dyDescent="0.25">
      <c r="A2" s="117" t="s">
        <v>1</v>
      </c>
      <c r="B2" s="117"/>
      <c r="C2" s="117"/>
      <c r="D2" s="117"/>
      <c r="E2" s="117"/>
      <c r="F2" s="117"/>
      <c r="G2" s="117"/>
      <c r="H2" s="117"/>
      <c r="I2" s="117"/>
      <c r="J2" s="117"/>
    </row>
    <row r="3" spans="1:10" x14ac:dyDescent="0.25">
      <c r="A3" s="117" t="s">
        <v>2</v>
      </c>
      <c r="B3" s="117"/>
      <c r="C3" s="117"/>
      <c r="D3" s="117"/>
      <c r="E3" s="117"/>
      <c r="F3" s="117"/>
      <c r="G3" s="117"/>
      <c r="H3" s="117"/>
      <c r="I3" s="117"/>
      <c r="J3" s="117"/>
    </row>
    <row r="4" spans="1:10" x14ac:dyDescent="0.25">
      <c r="A4" s="117" t="s">
        <v>112</v>
      </c>
      <c r="B4" s="117"/>
      <c r="C4" s="117"/>
      <c r="D4" s="117"/>
      <c r="E4" s="117"/>
      <c r="F4" s="117"/>
      <c r="G4" s="117"/>
      <c r="H4" s="117"/>
      <c r="I4" s="117"/>
      <c r="J4" s="117"/>
    </row>
    <row r="5" spans="1:10" x14ac:dyDescent="0.25">
      <c r="A5" s="117" t="s">
        <v>4</v>
      </c>
      <c r="B5" s="117"/>
      <c r="C5" s="117"/>
      <c r="D5" s="117"/>
      <c r="E5" s="117"/>
      <c r="F5" s="117"/>
      <c r="G5" s="117"/>
      <c r="H5" s="117"/>
      <c r="I5" s="117"/>
      <c r="J5" s="117"/>
    </row>
    <row r="6" spans="1:10" x14ac:dyDescent="0.25">
      <c r="A6" s="117" t="s">
        <v>5</v>
      </c>
      <c r="B6" s="117"/>
      <c r="C6" s="117"/>
      <c r="D6" s="117"/>
      <c r="E6" s="117"/>
      <c r="F6" s="117"/>
      <c r="G6" s="117"/>
      <c r="H6" s="117"/>
      <c r="I6" s="117"/>
      <c r="J6" s="117"/>
    </row>
    <row r="7" spans="1:10" x14ac:dyDescent="0.25">
      <c r="A7" s="114" t="s">
        <v>6</v>
      </c>
      <c r="B7" s="114"/>
      <c r="C7" s="115" t="s">
        <v>7</v>
      </c>
      <c r="D7" s="115"/>
      <c r="E7" s="115"/>
      <c r="F7" s="115"/>
      <c r="G7" s="115"/>
      <c r="H7" s="115"/>
      <c r="I7" s="116" t="s">
        <v>8</v>
      </c>
      <c r="J7" s="116"/>
    </row>
    <row r="8" spans="1:10" x14ac:dyDescent="0.25">
      <c r="A8" s="114" t="s">
        <v>9</v>
      </c>
      <c r="B8" s="114"/>
      <c r="C8" s="115" t="s">
        <v>111</v>
      </c>
      <c r="D8" s="115"/>
      <c r="E8" s="115"/>
      <c r="F8" s="115"/>
      <c r="G8" s="115"/>
      <c r="H8" s="115"/>
      <c r="I8" s="116" t="s">
        <v>110</v>
      </c>
      <c r="J8" s="116"/>
    </row>
    <row r="9" spans="1:10" x14ac:dyDescent="0.25">
      <c r="A9" s="114" t="s">
        <v>12</v>
      </c>
      <c r="B9" s="114"/>
      <c r="C9" s="115" t="s">
        <v>107</v>
      </c>
      <c r="D9" s="115"/>
      <c r="E9" s="115"/>
      <c r="F9" s="115"/>
      <c r="G9" s="115"/>
      <c r="H9" s="115"/>
      <c r="I9" s="116" t="s">
        <v>109</v>
      </c>
      <c r="J9" s="116"/>
    </row>
    <row r="10" spans="1:10" x14ac:dyDescent="0.25">
      <c r="A10" s="116"/>
      <c r="B10" s="116"/>
      <c r="C10" s="116"/>
      <c r="D10" s="116"/>
      <c r="E10" s="116"/>
      <c r="F10" s="116"/>
      <c r="G10" s="116"/>
      <c r="H10" s="116"/>
      <c r="I10" s="116"/>
      <c r="J10" s="116"/>
    </row>
    <row r="11" spans="1:10" x14ac:dyDescent="0.25">
      <c r="A11" s="108"/>
      <c r="B11" s="108"/>
      <c r="C11" s="108"/>
      <c r="D11" s="108"/>
      <c r="E11" s="108"/>
      <c r="F11" s="108"/>
      <c r="G11" s="108"/>
      <c r="H11" s="108"/>
      <c r="I11" s="108"/>
      <c r="J11" s="108"/>
    </row>
    <row r="12" spans="1:10" x14ac:dyDescent="0.25">
      <c r="A12" s="111" t="s">
        <v>15</v>
      </c>
      <c r="B12" s="111"/>
      <c r="C12" s="111"/>
      <c r="D12" s="111"/>
      <c r="E12" s="111"/>
      <c r="F12" s="111"/>
      <c r="G12" s="111"/>
      <c r="H12" s="111"/>
      <c r="I12" s="111"/>
      <c r="J12" s="111"/>
    </row>
    <row r="13" spans="1:10" x14ac:dyDescent="0.25">
      <c r="A13" s="108"/>
      <c r="B13" s="108"/>
      <c r="C13" s="108"/>
      <c r="D13" s="108"/>
      <c r="E13" s="108"/>
      <c r="F13" s="108"/>
      <c r="G13" s="108"/>
      <c r="H13" s="108"/>
      <c r="I13" s="108"/>
      <c r="J13" s="108"/>
    </row>
    <row r="14" spans="1:10" x14ac:dyDescent="0.25">
      <c r="A14" s="112" t="s">
        <v>16</v>
      </c>
      <c r="B14" s="112"/>
      <c r="C14" s="112"/>
      <c r="D14" s="112"/>
      <c r="E14" s="112"/>
      <c r="F14" s="36" t="s">
        <v>17</v>
      </c>
      <c r="G14" s="36" t="s">
        <v>18</v>
      </c>
      <c r="H14" s="113" t="s">
        <v>19</v>
      </c>
      <c r="I14" s="113"/>
      <c r="J14" s="36" t="s">
        <v>20</v>
      </c>
    </row>
    <row r="15" spans="1:10" x14ac:dyDescent="0.25">
      <c r="A15" s="110" t="s">
        <v>21</v>
      </c>
      <c r="B15" s="110"/>
      <c r="C15" s="110"/>
      <c r="D15" s="110"/>
      <c r="E15" s="110"/>
      <c r="F15" s="110"/>
      <c r="G15" s="110"/>
      <c r="H15" s="110"/>
      <c r="I15" s="110"/>
      <c r="J15" s="110"/>
    </row>
    <row r="16" spans="1:10" x14ac:dyDescent="0.25">
      <c r="A16" s="106" t="s">
        <v>22</v>
      </c>
      <c r="B16" s="106"/>
      <c r="C16" s="106"/>
      <c r="D16" s="106"/>
      <c r="E16" s="106"/>
      <c r="F16" s="35">
        <v>36351.25</v>
      </c>
      <c r="G16" s="35">
        <v>131402.54999999999</v>
      </c>
      <c r="H16" s="107">
        <v>0</v>
      </c>
      <c r="I16" s="107"/>
      <c r="J16" s="35">
        <v>167753.79999999999</v>
      </c>
    </row>
    <row r="17" spans="1:10" x14ac:dyDescent="0.25">
      <c r="A17" s="108"/>
      <c r="B17" s="108"/>
      <c r="C17" s="108"/>
      <c r="D17" s="108"/>
      <c r="E17" s="108"/>
      <c r="F17" s="108"/>
      <c r="G17" s="108"/>
      <c r="H17" s="108"/>
      <c r="I17" s="108"/>
      <c r="J17" s="108"/>
    </row>
    <row r="18" spans="1:10" x14ac:dyDescent="0.25">
      <c r="A18" s="34" t="s">
        <v>9</v>
      </c>
      <c r="B18" s="105" t="s">
        <v>108</v>
      </c>
      <c r="C18" s="105"/>
      <c r="D18" s="105"/>
      <c r="E18" s="104">
        <v>36351.25</v>
      </c>
      <c r="F18" s="104"/>
      <c r="G18" s="104">
        <v>131402.54999999999</v>
      </c>
      <c r="H18" s="104">
        <v>0</v>
      </c>
      <c r="I18" s="104"/>
      <c r="J18" s="104">
        <v>167753.79999999999</v>
      </c>
    </row>
    <row r="19" spans="1:10" x14ac:dyDescent="0.25">
      <c r="A19" s="34" t="s">
        <v>27</v>
      </c>
      <c r="B19" s="105" t="s">
        <v>107</v>
      </c>
      <c r="C19" s="105"/>
      <c r="D19" s="105"/>
      <c r="E19" s="104"/>
      <c r="F19" s="104"/>
      <c r="G19" s="104"/>
      <c r="H19" s="104"/>
      <c r="I19" s="104"/>
      <c r="J19" s="104"/>
    </row>
    <row r="20" spans="1:10" x14ac:dyDescent="0.25">
      <c r="A20" s="108"/>
      <c r="B20" s="108"/>
      <c r="C20" s="108"/>
      <c r="D20" s="108"/>
      <c r="E20" s="108"/>
      <c r="F20" s="108"/>
      <c r="G20" s="108"/>
      <c r="H20" s="108"/>
      <c r="I20" s="108"/>
      <c r="J20" s="108"/>
    </row>
    <row r="21" spans="1:10" x14ac:dyDescent="0.25">
      <c r="A21" s="108"/>
      <c r="B21" s="108"/>
      <c r="C21" s="108"/>
      <c r="D21" s="108"/>
      <c r="E21" s="108"/>
      <c r="F21" s="108"/>
      <c r="G21" s="108"/>
      <c r="H21" s="108"/>
      <c r="I21" s="108"/>
      <c r="J21" s="108"/>
    </row>
    <row r="22" spans="1:10" x14ac:dyDescent="0.25">
      <c r="A22" s="108"/>
      <c r="B22" s="108"/>
      <c r="C22" s="108"/>
      <c r="D22" s="108"/>
      <c r="E22" s="108"/>
      <c r="F22" s="108"/>
      <c r="G22" s="108"/>
      <c r="H22" s="108"/>
      <c r="I22" s="108"/>
      <c r="J22" s="108"/>
    </row>
    <row r="23" spans="1:10" x14ac:dyDescent="0.25">
      <c r="A23" s="109"/>
      <c r="B23" s="109"/>
      <c r="C23" s="109"/>
      <c r="D23" s="109"/>
      <c r="E23" s="109"/>
      <c r="F23" s="109"/>
      <c r="G23" s="109"/>
      <c r="H23" s="109"/>
      <c r="I23" s="109"/>
      <c r="J23" s="109"/>
    </row>
  </sheetData>
  <mergeCells count="39">
    <mergeCell ref="A8:B8"/>
    <mergeCell ref="C8:H8"/>
    <mergeCell ref="I8:J8"/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6:E16"/>
    <mergeCell ref="H16:I16"/>
  </mergeCells>
  <pageMargins left="0.7" right="0.7" top="0.75" bottom="0.75" header="0.3" footer="0.3"/>
  <pageSetup scale="9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C19B-9CD3-4FEB-B2A2-DB1093965ADF}">
  <sheetPr>
    <pageSetUpPr fitToPage="1"/>
  </sheetPr>
  <dimension ref="A1:V45"/>
  <sheetViews>
    <sheetView zoomScale="70" zoomScaleNormal="70" workbookViewId="0">
      <selection activeCell="K27" sqref="K27"/>
    </sheetView>
  </sheetViews>
  <sheetFormatPr defaultRowHeight="15" x14ac:dyDescent="0.25"/>
  <cols>
    <col min="1" max="1" width="1.7109375" customWidth="1"/>
    <col min="2" max="2" width="9" customWidth="1"/>
    <col min="3" max="3" width="44.28515625" customWidth="1"/>
    <col min="4" max="4" width="1.7109375" customWidth="1"/>
    <col min="5" max="5" width="15.7109375" style="37" customWidth="1"/>
    <col min="6" max="6" width="1.7109375" style="37" customWidth="1"/>
    <col min="7" max="7" width="15.7109375" style="37" customWidth="1"/>
    <col min="8" max="8" width="1.7109375" style="37" customWidth="1"/>
    <col min="9" max="9" width="15.7109375" style="37" customWidth="1"/>
    <col min="10" max="10" width="1.7109375" style="37" customWidth="1"/>
    <col min="11" max="11" width="15.7109375" style="37" customWidth="1"/>
    <col min="12" max="12" width="1.7109375" customWidth="1"/>
    <col min="13" max="13" width="15.7109375" customWidth="1"/>
    <col min="14" max="14" width="1.7109375" customWidth="1"/>
    <col min="15" max="15" width="15.7109375" customWidth="1"/>
    <col min="16" max="16" width="1.7109375" customWidth="1"/>
    <col min="17" max="17" width="15.7109375" customWidth="1"/>
    <col min="18" max="18" width="1.7109375" customWidth="1"/>
    <col min="19" max="20" width="15.7109375" customWidth="1"/>
    <col min="21" max="21" width="1.7109375" customWidth="1"/>
    <col min="22" max="22" width="15.7109375" customWidth="1"/>
  </cols>
  <sheetData>
    <row r="1" spans="1:22" x14ac:dyDescent="0.25">
      <c r="A1" s="85" t="s">
        <v>126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</row>
    <row r="2" spans="1:22" x14ac:dyDescent="0.25">
      <c r="A2" s="85" t="s">
        <v>29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</row>
    <row r="3" spans="1:22" x14ac:dyDescent="0.25">
      <c r="A3" s="85" t="s">
        <v>30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</row>
    <row r="4" spans="1:22" x14ac:dyDescent="0.25">
      <c r="A4" s="85" t="s">
        <v>125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</row>
    <row r="5" spans="1:22" x14ac:dyDescent="0.25">
      <c r="A5" s="85" t="s">
        <v>32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</row>
    <row r="6" spans="1:22" x14ac:dyDescent="0.25">
      <c r="A6" s="68"/>
      <c r="B6" s="68"/>
      <c r="C6" s="68"/>
      <c r="D6" s="68"/>
      <c r="E6" s="69"/>
      <c r="F6" s="69"/>
      <c r="G6" s="69"/>
      <c r="H6" s="69"/>
      <c r="I6" s="69"/>
      <c r="J6" s="69"/>
      <c r="K6" s="69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</row>
    <row r="7" spans="1:22" ht="15.75" thickBot="1" x14ac:dyDescent="0.3">
      <c r="A7" s="68"/>
      <c r="B7" s="68"/>
      <c r="C7" s="68"/>
      <c r="D7" s="68"/>
      <c r="E7" s="69"/>
      <c r="F7" s="69"/>
      <c r="G7" s="69"/>
      <c r="H7" s="69"/>
      <c r="I7" s="69"/>
      <c r="J7" s="78"/>
      <c r="K7" s="84" t="s">
        <v>33</v>
      </c>
      <c r="L7" s="84"/>
      <c r="M7" s="84"/>
      <c r="N7" s="84"/>
      <c r="O7" s="84"/>
      <c r="P7" s="84"/>
      <c r="Q7" s="84"/>
      <c r="R7" s="84"/>
      <c r="S7" s="84"/>
      <c r="T7" s="84"/>
      <c r="U7" s="68"/>
      <c r="V7" s="68"/>
    </row>
    <row r="8" spans="1:22" x14ac:dyDescent="0.25">
      <c r="A8" s="68"/>
      <c r="B8" s="68"/>
      <c r="C8" s="68"/>
      <c r="D8" s="68"/>
      <c r="E8" s="83" t="s">
        <v>34</v>
      </c>
      <c r="F8" s="80"/>
      <c r="G8" s="83" t="s">
        <v>35</v>
      </c>
      <c r="H8" s="80"/>
      <c r="I8" s="83" t="s">
        <v>36</v>
      </c>
      <c r="J8" s="81"/>
      <c r="K8" s="83" t="s">
        <v>37</v>
      </c>
      <c r="L8" s="68"/>
      <c r="M8" s="83" t="s">
        <v>38</v>
      </c>
      <c r="N8" s="80"/>
      <c r="O8" s="83" t="s">
        <v>39</v>
      </c>
      <c r="P8" s="80"/>
      <c r="Q8" s="83" t="s">
        <v>40</v>
      </c>
      <c r="R8" s="80"/>
      <c r="S8" s="83" t="s">
        <v>41</v>
      </c>
      <c r="T8" s="83" t="s">
        <v>42</v>
      </c>
      <c r="U8" s="80"/>
      <c r="V8" s="83" t="s">
        <v>43</v>
      </c>
    </row>
    <row r="9" spans="1:22" ht="131.25" x14ac:dyDescent="0.25">
      <c r="A9" s="77"/>
      <c r="B9" s="68"/>
      <c r="C9" s="68"/>
      <c r="D9" s="68"/>
      <c r="E9" s="79" t="s">
        <v>44</v>
      </c>
      <c r="F9" s="80"/>
      <c r="G9" s="79" t="s">
        <v>45</v>
      </c>
      <c r="H9" s="80"/>
      <c r="I9" s="82" t="s">
        <v>46</v>
      </c>
      <c r="J9" s="81"/>
      <c r="K9" s="79" t="s">
        <v>47</v>
      </c>
      <c r="L9" s="80"/>
      <c r="M9" s="79" t="s">
        <v>48</v>
      </c>
      <c r="N9" s="68"/>
      <c r="O9" s="79" t="s">
        <v>124</v>
      </c>
      <c r="P9" s="68"/>
      <c r="Q9" s="79" t="s">
        <v>123</v>
      </c>
      <c r="R9" s="68"/>
      <c r="S9" s="79" t="s">
        <v>122</v>
      </c>
      <c r="T9" s="79" t="s">
        <v>121</v>
      </c>
      <c r="U9" s="68"/>
      <c r="V9" s="79" t="s">
        <v>120</v>
      </c>
    </row>
    <row r="10" spans="1:22" x14ac:dyDescent="0.25">
      <c r="A10" s="68"/>
      <c r="B10" s="68"/>
      <c r="C10" s="68"/>
      <c r="D10" s="68"/>
      <c r="E10" s="69"/>
      <c r="F10" s="69"/>
      <c r="G10" s="69"/>
      <c r="H10" s="69"/>
      <c r="I10" s="69"/>
      <c r="J10" s="78"/>
      <c r="K10" s="69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</row>
    <row r="11" spans="1:22" x14ac:dyDescent="0.25">
      <c r="A11" s="77" t="s">
        <v>21</v>
      </c>
      <c r="B11" s="68"/>
      <c r="C11" s="68"/>
      <c r="D11" s="68"/>
      <c r="E11" s="69"/>
      <c r="F11" s="69"/>
      <c r="G11" s="69"/>
      <c r="H11" s="69"/>
      <c r="I11" s="69"/>
      <c r="J11" s="78"/>
      <c r="K11" s="69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</row>
    <row r="12" spans="1:22" ht="17.25" x14ac:dyDescent="0.25">
      <c r="A12" s="68"/>
      <c r="B12" s="68" t="s">
        <v>95</v>
      </c>
      <c r="C12" s="68"/>
      <c r="D12" s="68"/>
      <c r="E12" s="74"/>
      <c r="F12" s="74"/>
      <c r="G12" s="74"/>
      <c r="H12" s="74"/>
      <c r="I12" s="71">
        <f t="shared" ref="I12:I17" si="0">G12-E12</f>
        <v>0</v>
      </c>
      <c r="J12" s="76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1">
        <f t="shared" ref="V12:V17" si="1">SUM(K12:T12)</f>
        <v>0</v>
      </c>
    </row>
    <row r="13" spans="1:22" ht="17.25" x14ac:dyDescent="0.25">
      <c r="A13" s="68"/>
      <c r="B13" s="68" t="s">
        <v>94</v>
      </c>
      <c r="C13" s="68"/>
      <c r="D13" s="68"/>
      <c r="E13" s="74"/>
      <c r="F13" s="74"/>
      <c r="G13" s="74"/>
      <c r="H13" s="74"/>
      <c r="I13" s="71">
        <f t="shared" si="0"/>
        <v>0</v>
      </c>
      <c r="J13" s="76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1">
        <f t="shared" si="1"/>
        <v>0</v>
      </c>
    </row>
    <row r="14" spans="1:22" x14ac:dyDescent="0.25">
      <c r="A14" s="68"/>
      <c r="B14" s="68" t="s">
        <v>55</v>
      </c>
      <c r="C14" s="68"/>
      <c r="D14" s="68"/>
      <c r="E14" s="74"/>
      <c r="F14" s="74"/>
      <c r="G14" s="74"/>
      <c r="H14" s="74"/>
      <c r="I14" s="71">
        <f t="shared" si="0"/>
        <v>0</v>
      </c>
      <c r="J14" s="76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1">
        <f t="shared" si="1"/>
        <v>0</v>
      </c>
    </row>
    <row r="15" spans="1:22" ht="17.25" x14ac:dyDescent="0.25">
      <c r="A15" s="68"/>
      <c r="B15" s="68" t="s">
        <v>93</v>
      </c>
      <c r="C15" s="68"/>
      <c r="D15" s="68"/>
      <c r="E15" s="74"/>
      <c r="F15" s="74"/>
      <c r="G15" s="74">
        <v>36351.25</v>
      </c>
      <c r="H15" s="74"/>
      <c r="I15" s="71">
        <f t="shared" si="0"/>
        <v>36351.25</v>
      </c>
      <c r="J15" s="76"/>
      <c r="K15" s="74">
        <v>36351.25</v>
      </c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1">
        <f t="shared" si="1"/>
        <v>36351.25</v>
      </c>
    </row>
    <row r="16" spans="1:22" x14ac:dyDescent="0.25">
      <c r="A16" s="68"/>
      <c r="B16" s="68" t="s">
        <v>57</v>
      </c>
      <c r="C16" s="68"/>
      <c r="D16" s="68"/>
      <c r="E16" s="74"/>
      <c r="F16" s="74"/>
      <c r="G16" s="74"/>
      <c r="H16" s="74"/>
      <c r="I16" s="71">
        <f t="shared" si="0"/>
        <v>0</v>
      </c>
      <c r="J16" s="76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1">
        <f t="shared" si="1"/>
        <v>0</v>
      </c>
    </row>
    <row r="17" spans="1:22" x14ac:dyDescent="0.25">
      <c r="A17" s="68"/>
      <c r="B17" s="68" t="s">
        <v>58</v>
      </c>
      <c r="C17" s="68"/>
      <c r="D17" s="68"/>
      <c r="E17" s="74"/>
      <c r="F17" s="74"/>
      <c r="G17" s="74"/>
      <c r="H17" s="74"/>
      <c r="I17" s="71">
        <f t="shared" si="0"/>
        <v>0</v>
      </c>
      <c r="J17" s="76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1">
        <f t="shared" si="1"/>
        <v>0</v>
      </c>
    </row>
    <row r="18" spans="1:22" x14ac:dyDescent="0.25">
      <c r="A18" s="77" t="s">
        <v>23</v>
      </c>
      <c r="B18" s="68"/>
      <c r="C18" s="68"/>
      <c r="D18" s="68"/>
      <c r="E18" s="74"/>
      <c r="F18" s="74"/>
      <c r="G18" s="74"/>
      <c r="H18" s="74"/>
      <c r="I18" s="71"/>
      <c r="J18" s="76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1"/>
    </row>
    <row r="19" spans="1:22" x14ac:dyDescent="0.25">
      <c r="A19" s="68"/>
      <c r="B19" s="68" t="s">
        <v>59</v>
      </c>
      <c r="C19" s="68"/>
      <c r="D19" s="68"/>
      <c r="E19" s="74"/>
      <c r="F19" s="74"/>
      <c r="G19" s="74"/>
      <c r="H19" s="74"/>
      <c r="I19" s="71">
        <f t="shared" ref="I19:I30" si="2">G19-E19</f>
        <v>0</v>
      </c>
      <c r="J19" s="76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1">
        <f t="shared" ref="V19:V30" si="3">SUM(K19:T19)</f>
        <v>0</v>
      </c>
    </row>
    <row r="20" spans="1:22" x14ac:dyDescent="0.25">
      <c r="A20" s="68"/>
      <c r="B20" s="68" t="s">
        <v>60</v>
      </c>
      <c r="C20" s="68"/>
      <c r="D20" s="68"/>
      <c r="E20" s="74"/>
      <c r="F20" s="74"/>
      <c r="G20" s="74"/>
      <c r="H20" s="74"/>
      <c r="I20" s="71">
        <f t="shared" si="2"/>
        <v>0</v>
      </c>
      <c r="J20" s="76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1">
        <f t="shared" si="3"/>
        <v>0</v>
      </c>
    </row>
    <row r="21" spans="1:22" x14ac:dyDescent="0.25">
      <c r="A21" s="68"/>
      <c r="B21" s="68" t="s">
        <v>61</v>
      </c>
      <c r="C21" s="68"/>
      <c r="D21" s="68"/>
      <c r="E21" s="74"/>
      <c r="F21" s="74"/>
      <c r="G21" s="74"/>
      <c r="H21" s="74"/>
      <c r="I21" s="71">
        <f t="shared" si="2"/>
        <v>0</v>
      </c>
      <c r="J21" s="76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1">
        <f t="shared" si="3"/>
        <v>0</v>
      </c>
    </row>
    <row r="22" spans="1:22" x14ac:dyDescent="0.25">
      <c r="A22" s="68"/>
      <c r="B22" s="68" t="s">
        <v>62</v>
      </c>
      <c r="C22" s="68"/>
      <c r="D22" s="68"/>
      <c r="E22" s="74"/>
      <c r="F22" s="74"/>
      <c r="G22" s="74"/>
      <c r="H22" s="74"/>
      <c r="I22" s="71">
        <f t="shared" si="2"/>
        <v>0</v>
      </c>
      <c r="J22" s="76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1">
        <f t="shared" si="3"/>
        <v>0</v>
      </c>
    </row>
    <row r="23" spans="1:22" ht="17.25" x14ac:dyDescent="0.25">
      <c r="A23" s="68"/>
      <c r="B23" s="68" t="s">
        <v>119</v>
      </c>
      <c r="C23" s="68"/>
      <c r="D23" s="68"/>
      <c r="E23" s="74"/>
      <c r="F23" s="74"/>
      <c r="G23" s="74"/>
      <c r="H23" s="74"/>
      <c r="I23" s="71">
        <f t="shared" si="2"/>
        <v>0</v>
      </c>
      <c r="J23" s="76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1">
        <f t="shared" si="3"/>
        <v>0</v>
      </c>
    </row>
    <row r="24" spans="1:22" ht="17.25" x14ac:dyDescent="0.25">
      <c r="A24" s="68"/>
      <c r="B24" s="68" t="s">
        <v>118</v>
      </c>
      <c r="C24" s="68"/>
      <c r="D24" s="68"/>
      <c r="E24" s="74"/>
      <c r="F24" s="74"/>
      <c r="G24" s="74"/>
      <c r="H24" s="74"/>
      <c r="I24" s="71">
        <f t="shared" si="2"/>
        <v>0</v>
      </c>
      <c r="J24" s="76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1">
        <f t="shared" si="3"/>
        <v>0</v>
      </c>
    </row>
    <row r="25" spans="1:22" ht="17.25" x14ac:dyDescent="0.25">
      <c r="A25" s="68"/>
      <c r="B25" s="68" t="s">
        <v>117</v>
      </c>
      <c r="C25" s="68"/>
      <c r="D25" s="68"/>
      <c r="E25" s="74"/>
      <c r="F25" s="74"/>
      <c r="G25" s="74"/>
      <c r="H25" s="74"/>
      <c r="I25" s="71">
        <f t="shared" si="2"/>
        <v>0</v>
      </c>
      <c r="J25" s="76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1">
        <f t="shared" si="3"/>
        <v>0</v>
      </c>
    </row>
    <row r="26" spans="1:22" x14ac:dyDescent="0.25">
      <c r="A26" s="68"/>
      <c r="B26" s="68" t="s">
        <v>116</v>
      </c>
      <c r="C26" s="68"/>
      <c r="D26" s="68"/>
      <c r="E26" s="74"/>
      <c r="F26" s="74"/>
      <c r="G26" s="74"/>
      <c r="H26" s="74"/>
      <c r="I26" s="71">
        <f t="shared" si="2"/>
        <v>0</v>
      </c>
      <c r="J26" s="76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1">
        <f t="shared" si="3"/>
        <v>0</v>
      </c>
    </row>
    <row r="27" spans="1:22" x14ac:dyDescent="0.25">
      <c r="A27" s="68"/>
      <c r="B27" s="68" t="s">
        <v>67</v>
      </c>
      <c r="C27" s="68"/>
      <c r="D27" s="68"/>
      <c r="E27" s="74"/>
      <c r="F27" s="74"/>
      <c r="G27" s="74"/>
      <c r="H27" s="74"/>
      <c r="I27" s="71">
        <f t="shared" si="2"/>
        <v>0</v>
      </c>
      <c r="J27" s="76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1">
        <f t="shared" si="3"/>
        <v>0</v>
      </c>
    </row>
    <row r="28" spans="1:22" x14ac:dyDescent="0.25">
      <c r="A28" s="68"/>
      <c r="B28" s="68" t="s">
        <v>68</v>
      </c>
      <c r="C28" s="68"/>
      <c r="D28" s="68"/>
      <c r="E28" s="74"/>
      <c r="F28" s="74"/>
      <c r="G28" s="74"/>
      <c r="H28" s="74"/>
      <c r="I28" s="71">
        <f t="shared" si="2"/>
        <v>0</v>
      </c>
      <c r="J28" s="76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1">
        <f t="shared" si="3"/>
        <v>0</v>
      </c>
    </row>
    <row r="29" spans="1:22" x14ac:dyDescent="0.25">
      <c r="A29" s="68"/>
      <c r="B29" s="68" t="s">
        <v>69</v>
      </c>
      <c r="C29" s="68"/>
      <c r="D29" s="68"/>
      <c r="E29" s="74"/>
      <c r="F29" s="74"/>
      <c r="G29" s="74"/>
      <c r="H29" s="74"/>
      <c r="I29" s="71">
        <f t="shared" si="2"/>
        <v>0</v>
      </c>
      <c r="J29" s="76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1">
        <f t="shared" si="3"/>
        <v>0</v>
      </c>
    </row>
    <row r="30" spans="1:22" x14ac:dyDescent="0.25">
      <c r="A30" s="68"/>
      <c r="B30" s="68" t="s">
        <v>70</v>
      </c>
      <c r="C30" s="68"/>
      <c r="D30" s="68"/>
      <c r="E30" s="75"/>
      <c r="F30" s="74"/>
      <c r="G30" s="75"/>
      <c r="H30" s="74"/>
      <c r="I30" s="71">
        <f t="shared" si="2"/>
        <v>0</v>
      </c>
      <c r="J30" s="76"/>
      <c r="K30" s="75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1">
        <f t="shared" si="3"/>
        <v>0</v>
      </c>
    </row>
    <row r="31" spans="1:22" ht="15.75" thickBot="1" x14ac:dyDescent="0.3">
      <c r="A31" s="73" t="s">
        <v>71</v>
      </c>
      <c r="E31" s="70">
        <f>SUM(E12:E30)</f>
        <v>0</v>
      </c>
      <c r="F31" s="71"/>
      <c r="G31" s="70">
        <f>SUM(G12:G30)</f>
        <v>36351.25</v>
      </c>
      <c r="H31" s="71"/>
      <c r="I31" s="70">
        <f>SUM(I12:I30)</f>
        <v>36351.25</v>
      </c>
      <c r="J31" s="72"/>
      <c r="K31" s="70">
        <f>SUM(K12:K30)</f>
        <v>36351.25</v>
      </c>
      <c r="L31" s="71"/>
      <c r="M31" s="70">
        <f>SUM(M12:M30)</f>
        <v>0</v>
      </c>
      <c r="N31" s="71"/>
      <c r="O31" s="70">
        <f>SUM(O12:O30)</f>
        <v>0</v>
      </c>
      <c r="P31" s="71"/>
      <c r="Q31" s="70">
        <f>SUM(Q12:Q30)</f>
        <v>0</v>
      </c>
      <c r="R31" s="71"/>
      <c r="S31" s="70">
        <f>SUM(S12:S30)</f>
        <v>0</v>
      </c>
      <c r="T31" s="70">
        <f>SUM(T12:T30)</f>
        <v>0</v>
      </c>
      <c r="U31" s="71"/>
      <c r="V31" s="70">
        <f>SUM(V12:V30)</f>
        <v>36351.25</v>
      </c>
    </row>
    <row r="32" spans="1:22" ht="15.75" thickTop="1" x14ac:dyDescent="0.25">
      <c r="A32" s="68"/>
      <c r="B32" s="68"/>
      <c r="C32" s="68"/>
      <c r="D32" s="68"/>
      <c r="E32" s="69"/>
      <c r="F32" s="69"/>
      <c r="G32" s="69"/>
      <c r="H32" s="69"/>
      <c r="I32" s="69"/>
      <c r="J32" s="69"/>
      <c r="K32" s="69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</row>
    <row r="33" spans="1:22" x14ac:dyDescent="0.25">
      <c r="A33" s="68"/>
      <c r="B33" s="68"/>
      <c r="C33" s="68"/>
      <c r="D33" s="68"/>
      <c r="E33" s="69"/>
      <c r="F33" s="69"/>
      <c r="G33" s="69"/>
      <c r="H33" s="69"/>
      <c r="I33" s="69"/>
      <c r="J33" s="69"/>
      <c r="K33" s="69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</row>
    <row r="34" spans="1:22" x14ac:dyDescent="0.25">
      <c r="A34" s="68" t="s">
        <v>72</v>
      </c>
      <c r="B34" s="68"/>
      <c r="C34" s="68"/>
      <c r="D34" s="68"/>
      <c r="E34" s="69"/>
      <c r="F34" s="69"/>
      <c r="G34" s="69"/>
      <c r="H34" s="69"/>
      <c r="I34" s="69"/>
      <c r="J34" s="69"/>
      <c r="K34" s="69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</row>
    <row r="35" spans="1:22" x14ac:dyDescent="0.25">
      <c r="A35" s="68" t="s">
        <v>73</v>
      </c>
      <c r="B35" s="68"/>
      <c r="C35" s="68" t="s">
        <v>74</v>
      </c>
      <c r="D35" s="68"/>
      <c r="E35" s="69"/>
      <c r="F35" s="69"/>
      <c r="G35" s="69"/>
      <c r="H35" s="69"/>
      <c r="I35" s="69"/>
      <c r="J35" s="69"/>
      <c r="K35" s="69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</row>
    <row r="36" spans="1:22" x14ac:dyDescent="0.25">
      <c r="A36" s="68" t="s">
        <v>75</v>
      </c>
      <c r="B36" s="68"/>
      <c r="C36" s="68" t="s">
        <v>76</v>
      </c>
      <c r="D36" s="68"/>
      <c r="E36" s="69"/>
      <c r="F36" s="69"/>
      <c r="G36" s="69"/>
      <c r="H36" s="69"/>
      <c r="I36" s="69"/>
      <c r="J36" s="69"/>
      <c r="K36" s="69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</row>
    <row r="37" spans="1:22" x14ac:dyDescent="0.25">
      <c r="A37" s="68" t="s">
        <v>77</v>
      </c>
      <c r="B37" s="68"/>
      <c r="C37" s="68" t="s">
        <v>78</v>
      </c>
      <c r="D37" s="68"/>
      <c r="E37" s="69"/>
      <c r="F37" s="69"/>
      <c r="G37" s="69"/>
      <c r="H37" s="69"/>
      <c r="I37" s="69"/>
      <c r="J37" s="69"/>
      <c r="K37" s="69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</row>
    <row r="38" spans="1:22" x14ac:dyDescent="0.25">
      <c r="A38" s="68"/>
      <c r="B38" s="68"/>
      <c r="C38" s="68" t="s">
        <v>79</v>
      </c>
      <c r="D38" s="68"/>
      <c r="E38" s="69"/>
      <c r="F38" s="69"/>
      <c r="G38" s="69"/>
      <c r="H38" s="69"/>
      <c r="I38" s="69"/>
      <c r="J38" s="69"/>
      <c r="K38" s="69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</row>
    <row r="39" spans="1:22" x14ac:dyDescent="0.25">
      <c r="A39" s="68" t="s">
        <v>115</v>
      </c>
      <c r="B39" s="68"/>
      <c r="C39" s="68" t="s">
        <v>81</v>
      </c>
      <c r="D39" s="68"/>
      <c r="E39" s="69"/>
      <c r="F39" s="69"/>
      <c r="G39" s="69"/>
      <c r="H39" s="69"/>
      <c r="I39" s="69"/>
      <c r="J39" s="69"/>
      <c r="K39" s="69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</row>
    <row r="40" spans="1:22" x14ac:dyDescent="0.25">
      <c r="A40" s="68" t="s">
        <v>82</v>
      </c>
      <c r="B40" s="68"/>
      <c r="C40" s="68" t="s">
        <v>83</v>
      </c>
      <c r="D40" s="68"/>
      <c r="E40" s="69"/>
      <c r="F40" s="69"/>
      <c r="G40" s="69"/>
      <c r="H40" s="69"/>
      <c r="I40" s="69"/>
      <c r="J40" s="69"/>
      <c r="K40" s="69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</row>
    <row r="41" spans="1:22" x14ac:dyDescent="0.25">
      <c r="A41" s="68"/>
      <c r="B41" s="68"/>
      <c r="C41" s="68"/>
      <c r="D41" s="68"/>
      <c r="E41" s="69"/>
      <c r="F41" s="69"/>
      <c r="G41" s="69"/>
      <c r="H41" s="69"/>
      <c r="I41" s="69"/>
      <c r="J41" s="69"/>
      <c r="K41" s="69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</row>
    <row r="42" spans="1:22" x14ac:dyDescent="0.25">
      <c r="A42" s="67" t="s">
        <v>84</v>
      </c>
    </row>
    <row r="43" spans="1:22" x14ac:dyDescent="0.25">
      <c r="A43" s="67"/>
    </row>
    <row r="44" spans="1:22" ht="17.25" x14ac:dyDescent="0.25">
      <c r="A44" s="67" t="s">
        <v>114</v>
      </c>
    </row>
    <row r="45" spans="1:22" ht="17.25" x14ac:dyDescent="0.25">
      <c r="A45" s="67" t="s">
        <v>113</v>
      </c>
    </row>
  </sheetData>
  <pageMargins left="0.7" right="0.7" top="0.75" bottom="0.75" header="0.3" footer="0.3"/>
  <pageSetup scale="5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dded xmlns="32c4b544-ad60-41ff-8826-e838d1ffb301">2024-08-28T18:13:00+00:00</DateAdded>
    <DateandTime xmlns="32c4b544-ad60-41ff-8826-e838d1ffb301" xsi:nil="true"/>
    <Status xmlns="32c4b544-ad60-41ff-8826-e838d1ffb301" xsi:nil="true"/>
    <lcf76f155ced4ddcb4097134ff3c332f xmlns="32c4b544-ad60-41ff-8826-e838d1ffb301">
      <Terms xmlns="http://schemas.microsoft.com/office/infopath/2007/PartnerControls"/>
    </lcf76f155ced4ddcb4097134ff3c332f>
    <Review xmlns="32c4b544-ad60-41ff-8826-e838d1ffb301">false</Review>
    <TaxCatchAll xmlns="a5ab6939-fb56-4182-970e-29ef3dad47e7" xsi:nil="true"/>
    <PropertyDatabaseUpdated xmlns="32c4b544-ad60-41ff-8826-e838d1ffb301">false</PropertyDatabaseUpdated>
    <Order_x0020_Completed xmlns="32c4b544-ad60-41ff-8826-e838d1ffb301" xsi:nil="true"/>
    <Fleet_x0020_Attributes xmlns="32c4b544-ad60-41ff-8826-e838d1ffb301">
      <Value>Title</Value>
    </Fleet_x0020_Attribute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683EB90F0EA14FAB349645B97EB44C" ma:contentTypeVersion="28" ma:contentTypeDescription="Create a new document." ma:contentTypeScope="" ma:versionID="f3e2c151ea0592b34d4fe5e16991f947">
  <xsd:schema xmlns:xsd="http://www.w3.org/2001/XMLSchema" xmlns:xs="http://www.w3.org/2001/XMLSchema" xmlns:p="http://schemas.microsoft.com/office/2006/metadata/properties" xmlns:ns2="32c4b544-ad60-41ff-8826-e838d1ffb301" xmlns:ns3="a5ab6939-fb56-4182-970e-29ef3dad47e7" targetNamespace="http://schemas.microsoft.com/office/2006/metadata/properties" ma:root="true" ma:fieldsID="00d872e4ee3c8308116bac0182cab7e3" ns2:_="" ns3:_="">
    <xsd:import namespace="32c4b544-ad60-41ff-8826-e838d1ffb301"/>
    <xsd:import namespace="a5ab6939-fb56-4182-970e-29ef3dad47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Status" minOccurs="0"/>
                <xsd:element ref="ns2:Order_x0020_Completed" minOccurs="0"/>
                <xsd:element ref="ns2:MediaServiceAutoKeyPoints" minOccurs="0"/>
                <xsd:element ref="ns2:MediaServiceKeyPoints" minOccurs="0"/>
                <xsd:element ref="ns2:Fleet_x0020_Attribut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ateandTime" minOccurs="0"/>
                <xsd:element ref="ns2:DateAdded" minOccurs="0"/>
                <xsd:element ref="ns2:PropertyDatabaseUpdated" minOccurs="0"/>
                <xsd:element ref="ns2:Review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4b544-ad60-41ff-8826-e838d1ffb3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Status" ma:index="19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Order_x0020_Completed" ma:index="20" nillable="true" ma:displayName="Order Completed" ma:format="DateOnly" ma:internalName="Order_x0020_Completed">
      <xsd:simpleType>
        <xsd:restriction base="dms:DateTime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leet_x0020_Attributes" ma:index="23" nillable="true" ma:displayName="Fleet Attributes" ma:default="Title" ma:internalName="Fleet_x0020_Attribut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Title"/>
                    <xsd:enumeration value="Registration"/>
                    <xsd:enumeration value="Mileage"/>
                    <xsd:enumeration value="Purchase"/>
                    <xsd:enumeration value="Equipment Inspection"/>
                    <xsd:enumeration value="Transfers"/>
                    <xsd:enumeration value="Surveys"/>
                    <xsd:enumeration value="Maintenance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e35d2aaa-cbd9-4495-9c66-923e56c68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andTime" ma:index="28" nillable="true" ma:displayName="Date and Time" ma:format="DateOnly" ma:internalName="DateandTime">
      <xsd:simpleType>
        <xsd:restriction base="dms:DateTime"/>
      </xsd:simpleType>
    </xsd:element>
    <xsd:element name="DateAdded" ma:index="29" nillable="true" ma:displayName="Date Added" ma:default="[today]" ma:format="DateOnly" ma:internalName="DateAdded">
      <xsd:simpleType>
        <xsd:restriction base="dms:DateTime"/>
      </xsd:simpleType>
    </xsd:element>
    <xsd:element name="PropertyDatabaseUpdated" ma:index="30" nillable="true" ma:displayName="Property Database Updated" ma:default="0" ma:format="Dropdown" ma:internalName="PropertyDatabaseUpdated">
      <xsd:simpleType>
        <xsd:restriction base="dms:Boolean"/>
      </xsd:simpleType>
    </xsd:element>
    <xsd:element name="Review" ma:index="31" nillable="true" ma:displayName="Review" ma:default="0" ma:format="Dropdown" ma:internalName="Review">
      <xsd:simpleType>
        <xsd:restriction base="dms:Boolean"/>
      </xsd:simple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b6939-fb56-4182-970e-29ef3dad47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27d39ea6-454d-46f5-9dc4-eb1312972182}" ma:internalName="TaxCatchAll" ma:showField="CatchAllData" ma:web="a5ab6939-fb56-4182-970e-29ef3dad47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12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D41B9-449E-4C40-B058-D0AF446B386C}">
  <ds:schemaRefs>
    <ds:schemaRef ds:uri="http://schemas.microsoft.com/office/2006/metadata/properties"/>
    <ds:schemaRef ds:uri="http://schemas.microsoft.com/office/infopath/2007/PartnerControls"/>
    <ds:schemaRef ds:uri="32c4b544-ad60-41ff-8826-e838d1ffb301"/>
    <ds:schemaRef ds:uri="a5ab6939-fb56-4182-970e-29ef3dad47e7"/>
  </ds:schemaRefs>
</ds:datastoreItem>
</file>

<file path=customXml/itemProps2.xml><?xml version="1.0" encoding="utf-8"?>
<ds:datastoreItem xmlns:ds="http://schemas.openxmlformats.org/officeDocument/2006/customXml" ds:itemID="{63003B6B-0E2B-4155-BAE8-23C40D9E10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c4b544-ad60-41ff-8826-e838d1ffb301"/>
    <ds:schemaRef ds:uri="a5ab6939-fb56-4182-970e-29ef3dad47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8F82D8-A94F-402C-A736-7E9FA82D61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F0001</vt:lpstr>
      <vt:lpstr>F0001 DIFF</vt:lpstr>
      <vt:lpstr>F0318</vt:lpstr>
      <vt:lpstr>F0318 DIFF</vt:lpstr>
      <vt:lpstr>F3228</vt:lpstr>
      <vt:lpstr>F3228 DIFF</vt:lpstr>
      <vt:lpstr>F6088</vt:lpstr>
      <vt:lpstr>F6088 DIFF</vt:lpstr>
      <vt:lpstr>'F6088'!page\x2dtotal\x2dmaster0_1_1</vt:lpstr>
      <vt:lpstr>'F6088 DIFF'!page\x2dtotal\x2dmaster0_1_1</vt:lpstr>
      <vt:lpstr>page\x2dtotal\x2dmaster0_1_1</vt:lpstr>
      <vt:lpstr>'F0318'!page\x2dtotal\x2dmaster0_2_1</vt:lpstr>
      <vt:lpstr>'F0318 DIFF'!page\x2dtotal\x2dmaster0_2_1</vt:lpstr>
      <vt:lpstr>'F3228'!page\x2dtotal\x2dmaster0_4_1</vt:lpstr>
      <vt:lpstr>'F3228 DIFF'!page\x2dtotal\x2dmaster0_4_1</vt:lpstr>
      <vt:lpstr>'F6088'!page\x2dtotal_1_1</vt:lpstr>
      <vt:lpstr>'F6088 DIFF'!page\x2dtotal_1_1</vt:lpstr>
      <vt:lpstr>page\x2dtotal_1_1</vt:lpstr>
      <vt:lpstr>'F0318'!page\x2dtotal_2_1</vt:lpstr>
      <vt:lpstr>'F0318 DIFF'!page\x2dtotal_2_1</vt:lpstr>
      <vt:lpstr>'F3228'!page\x2dtotal_4_1</vt:lpstr>
      <vt:lpstr>'F3228 DIFF'!page\x2dtotal_4_1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2024-08-22T15:49:59Z</dcterms:created>
  <dcterms:modified xsi:type="dcterms:W3CDTF">2024-11-08T23:16:27Z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0x0101008C683EB90F0EA14FAB349645B97EB44C</vt:lpwstr>
  </property>
  <property fmtid="{D5CDD505-2E9C-101B-9397-08002B2CF9AE}" pid="3" name="MediaServiceImageTags">
    <vt:lpwstr/>
  </property>
</Properties>
</file>