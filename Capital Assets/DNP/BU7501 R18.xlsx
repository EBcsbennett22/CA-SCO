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N:\Groups\Accounting\YEAR END\Year-End FY 23-24\7501\Fund 0001\"/>
    </mc:Choice>
  </mc:AlternateContent>
  <xr:revisionPtr revIDLastSave="0" documentId="13_ncr:1_{0569057F-85C4-4410-9062-FE8ED27B06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 18" sheetId="1" r:id="rId1"/>
    <sheet name="Report 18 Differen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2" l="1"/>
  <c r="V23" i="2" l="1"/>
  <c r="I23" i="2"/>
  <c r="V24" i="2"/>
  <c r="I24" i="2"/>
  <c r="V25" i="2"/>
  <c r="I25" i="2"/>
  <c r="D27" i="1"/>
  <c r="J22" i="1"/>
  <c r="J21" i="1"/>
  <c r="J20" i="1"/>
  <c r="I21" i="2" l="1"/>
  <c r="I16" i="2"/>
  <c r="V13" i="2" l="1"/>
  <c r="V14" i="2"/>
  <c r="V15" i="2"/>
  <c r="V16" i="2"/>
  <c r="V17" i="2"/>
  <c r="V19" i="2"/>
  <c r="V20" i="2"/>
  <c r="V21" i="2"/>
  <c r="V22" i="2"/>
  <c r="V26" i="2"/>
  <c r="V27" i="2"/>
  <c r="V28" i="2"/>
  <c r="V29" i="2"/>
  <c r="V12" i="2"/>
  <c r="J10" i="1"/>
  <c r="J11" i="1"/>
  <c r="J12" i="1"/>
  <c r="J13" i="1"/>
  <c r="J14" i="1"/>
  <c r="J15" i="1"/>
  <c r="J16" i="1"/>
  <c r="J17" i="1"/>
  <c r="J18" i="1"/>
  <c r="J19" i="1"/>
  <c r="J23" i="1"/>
  <c r="J24" i="1"/>
  <c r="J25" i="1"/>
  <c r="J26" i="1"/>
  <c r="J9" i="1"/>
  <c r="V30" i="2" l="1"/>
  <c r="T30" i="2"/>
  <c r="Q30" i="2"/>
  <c r="O30" i="2"/>
  <c r="M30" i="2"/>
  <c r="I29" i="2"/>
  <c r="I28" i="2"/>
  <c r="I27" i="2"/>
  <c r="I26" i="2"/>
  <c r="I22" i="2"/>
  <c r="I20" i="2"/>
  <c r="I19" i="2"/>
  <c r="I17" i="2"/>
  <c r="I15" i="2"/>
  <c r="I14" i="2"/>
  <c r="I13" i="2"/>
  <c r="I12" i="2"/>
  <c r="K30" i="2"/>
  <c r="G30" i="2"/>
  <c r="E30" i="2"/>
  <c r="J27" i="1"/>
  <c r="H27" i="1"/>
  <c r="F27" i="1"/>
  <c r="I30" i="2" l="1"/>
</calcChain>
</file>

<file path=xl/sharedStrings.xml><?xml version="1.0" encoding="utf-8"?>
<sst xmlns="http://schemas.openxmlformats.org/spreadsheetml/2006/main" count="90" uniqueCount="67">
  <si>
    <t>CAPITAL ASSETS</t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</si>
  <si>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</si>
  <si>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</si>
  <si>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</si>
  <si>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</si>
  <si>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</si>
  <si>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</si>
  <si>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</si>
  <si>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</si>
  <si>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</si>
  <si>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</si>
  <si>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</si>
  <si>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</si>
  <si>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</si>
  <si>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</si>
  <si>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</si>
  <si>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</si>
  <si>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</si>
  <si>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Additions</t>
  </si>
  <si>
    <t>Deductions</t>
  </si>
  <si>
    <t>Asset beginning balances must agree with prior year ending balances. Any differences must be documented and explained in Report 18-</t>
  </si>
  <si>
    <t>The ending balances should equal the debit balances on Report 19 for each asset type.</t>
  </si>
  <si>
    <t>Beginning Balance Differential Report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</si>
  <si>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</si>
  <si>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</si>
  <si>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</si>
  <si>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</si>
  <si>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</si>
  <si>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</si>
  <si>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</si>
  <si>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</si>
  <si>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</si>
  <si>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</si>
  <si>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</si>
  <si>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</si>
  <si>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</si>
  <si>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</si>
  <si>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t>Breakdown of Difference:</t>
  </si>
  <si>
    <t>Total</t>
  </si>
  <si>
    <t>Report Instructions:</t>
  </si>
  <si>
    <t>Col. 1 -</t>
  </si>
  <si>
    <t>Col. 2 -</t>
  </si>
  <si>
    <t>Col. 3 -</t>
  </si>
  <si>
    <t>Compute the sum of columns 4 to 8. The amount should agree with the computed difference in column 3.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</si>
  <si>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</si>
  <si>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Statement of Changes in Capital Assets Beginning Balance Differential Report. See illustration next page.</t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</si>
  <si>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</si>
  <si>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</si>
  <si>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t>Statement of Changes in Capital Assets Group of Accounts - Report 18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</si>
  <si>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</si>
  <si>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</si>
  <si>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t>Enter Ending Balance from Prior Year Report 18.</t>
  </si>
  <si>
    <t>Enter Beginning Balance from Current Year Report 18.</t>
  </si>
  <si>
    <t>Compute difference between current year beginning balance and prior year ending balance.</t>
  </si>
  <si>
    <t>Research posting and source documents to identify and explain the difference.</t>
  </si>
  <si>
    <t>Right-to-Use Leased Land - Amortizable</t>
  </si>
  <si>
    <t>Right-to-Use Leased Buildings - Amortizable</t>
  </si>
  <si>
    <t>Right-to-Use Leased Equipment - Amortizable</t>
  </si>
  <si>
    <t>(10)</t>
  </si>
  <si>
    <t>Col. 4 - 9</t>
  </si>
  <si>
    <t>Breakdown and categorize the differences in columns 4 to 9.</t>
  </si>
  <si>
    <t>Col. 10 -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</si>
  <si>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87 FY 2021-2022 implementation beginning balance adjustment.</t>
    </r>
  </si>
  <si>
    <t>Department of Human Resources (7501)</t>
  </si>
  <si>
    <t>General Fund (0001)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</si>
  <si>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2023</t>
    </r>
  </si>
  <si>
    <t>As of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</si>
</sst>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41" fontId="1" fillId="0" borderId="2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2" borderId="0" xfId="0" applyNumberFormat="1" applyFill="1" applyProtection="1"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44" fontId="0" fillId="0" borderId="0" xfId="0" applyNumberFormat="1" applyProtection="1">
      <protection locked="0"/>
    </xf>
    <xf numFmtId="43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44" fontId="1" fillId="0" borderId="2" xfId="0" applyNumberFormat="1" applyFont="1" applyBorder="1"/>
    <xf numFmtId="44" fontId="0" fillId="0" borderId="0" xfId="0" applyNumberFormat="1"/>
    <xf numFmtId="41" fontId="0" fillId="0" borderId="0" xfId="0" applyNumberFormat="1" applyProtection="1">
      <protection locked="0"/>
    </xf>
    <xf numFmtId="41" fontId="0" fillId="2" borderId="0" xfId="0" applyNumberFormat="1" applyFill="1" applyProtection="1">
      <protection locked="0"/>
    </xf>
    <xf numFmtId="41" fontId="0" fillId="0" borderId="1" xfId="0" applyNumberFormat="1" applyBorder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centerContinuous"/>
      <protection locked="0"/>
    </xf>
    <xf numFmtId="43" fontId="1" fillId="0" borderId="3" xfId="0" applyNumberFormat="1" applyFont="1" applyBorder="1" applyAlignment="1" applyProtection="1">
      <alignment horizontal="centerContinuous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17" workbookViewId="0">
      <selection activeCell="A5" sqref="A5"/>
    </sheetView>
  </sheetViews>
  <sheetFormatPr defaultRowHeight="14.5" x14ac:dyDescent="0.35"/>
  <cols>
    <col min="1" max="1" width="2.7265625" customWidth="1"/>
    <col min="2" max="2" width="50.81640625" customWidth="1"/>
    <col min="3" max="3" width="2.7265625" customWidth="1"/>
    <col min="4" max="4" width="15.7265625" style="1" customWidth="1"/>
    <col min="5" max="5" width="2.7265625" style="1" customWidth="1"/>
    <col min="6" max="6" width="15.7265625" style="1" customWidth="1"/>
    <col min="7" max="7" width="2.7265625" style="1" customWidth="1"/>
    <col min="8" max="8" width="15.7265625" style="1" customWidth="1"/>
    <col min="9" max="9" width="2.7265625" style="1" customWidth="1"/>
    <col min="10" max="10" width="15.7265625" style="1" customWidth="1"/>
  </cols>
  <sheetData>
    <row r="1" spans="1:11" x14ac:dyDescent="0.35">
      <c r="A1" s="27" t="s">
        <v>63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3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35">
      <c r="A3" s="27" t="s">
        <v>64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35">
      <c r="A4" s="27" t="s">
        <v>66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3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1" x14ac:dyDescent="0.35">
      <c r="A6" s="12" t="s">
        <v>0</v>
      </c>
      <c r="B6" s="6"/>
      <c r="C6" s="6"/>
      <c r="D6" s="15" t="s">
        <v>44</v>
      </c>
      <c r="E6" s="16"/>
      <c r="F6" s="17" t="s">
        <v>18</v>
      </c>
      <c r="G6" s="16"/>
      <c r="H6" s="17" t="s">
        <v>19</v>
      </c>
      <c r="I6" s="16"/>
      <c r="J6" s="15" t="s">
        <v>65</v>
      </c>
      <c r="K6" s="2"/>
    </row>
    <row r="7" spans="1:11" x14ac:dyDescent="0.3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35">
      <c r="A8" s="12" t="s">
        <v>1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35">
      <c r="A9" s="6"/>
      <c r="B9" s="6" t="s">
        <v>2</v>
      </c>
      <c r="C9" s="6"/>
      <c r="D9" s="18">
        <v>0</v>
      </c>
      <c r="E9" s="18"/>
      <c r="F9" s="18"/>
      <c r="G9" s="18"/>
      <c r="H9" s="18"/>
      <c r="I9" s="18"/>
      <c r="J9" s="22">
        <f>D9+F9-H9</f>
        <v>0</v>
      </c>
    </row>
    <row r="10" spans="1:11" x14ac:dyDescent="0.35">
      <c r="A10" s="6"/>
      <c r="B10" s="6" t="s">
        <v>3</v>
      </c>
      <c r="C10" s="6"/>
      <c r="D10" s="7">
        <v>0</v>
      </c>
      <c r="E10" s="7"/>
      <c r="F10" s="7">
        <v>0</v>
      </c>
      <c r="G10" s="7"/>
      <c r="H10" s="7"/>
      <c r="I10" s="7"/>
      <c r="J10" s="1">
        <f t="shared" ref="J10:J26" si="0">D10+F10-H10</f>
        <v>0</v>
      </c>
    </row>
    <row r="11" spans="1:11" x14ac:dyDescent="0.35">
      <c r="A11" s="6"/>
      <c r="B11" s="6" t="s">
        <v>4</v>
      </c>
      <c r="C11" s="6"/>
      <c r="D11" s="7">
        <v>0</v>
      </c>
      <c r="E11" s="7"/>
      <c r="F11" s="7"/>
      <c r="G11" s="7"/>
      <c r="H11" s="7"/>
      <c r="I11" s="7"/>
      <c r="J11" s="1">
        <f t="shared" si="0"/>
        <v>0</v>
      </c>
    </row>
    <row r="12" spans="1:11" x14ac:dyDescent="0.35">
      <c r="A12" s="6"/>
      <c r="B12" s="6" t="s">
        <v>5</v>
      </c>
      <c r="C12" s="6"/>
      <c r="D12" s="7">
        <v>1141043.8899999999</v>
      </c>
      <c r="E12" s="7"/>
      <c r="F12" s="7">
        <v>0</v>
      </c>
      <c r="G12" s="7"/>
      <c r="H12" s="7"/>
      <c r="I12" s="7"/>
      <c r="J12" s="1">
        <f t="shared" si="0"/>
        <v>1141043.8899999999</v>
      </c>
    </row>
    <row r="13" spans="1:11" x14ac:dyDescent="0.35">
      <c r="A13" s="6"/>
      <c r="B13" s="6" t="s">
        <v>6</v>
      </c>
      <c r="C13" s="6"/>
      <c r="D13" s="7">
        <v>0</v>
      </c>
      <c r="E13" s="7"/>
      <c r="F13" s="7"/>
      <c r="G13" s="7"/>
      <c r="H13" s="7">
        <v>0</v>
      </c>
      <c r="I13" s="7"/>
      <c r="J13" s="1">
        <f t="shared" si="0"/>
        <v>0</v>
      </c>
    </row>
    <row r="14" spans="1:11" x14ac:dyDescent="0.35">
      <c r="A14" s="6"/>
      <c r="B14" s="6" t="s">
        <v>7</v>
      </c>
      <c r="C14" s="6"/>
      <c r="D14" s="7"/>
      <c r="E14" s="7"/>
      <c r="F14" s="7"/>
      <c r="G14" s="7"/>
      <c r="H14" s="7">
        <v>0</v>
      </c>
      <c r="I14" s="7"/>
      <c r="J14" s="1">
        <f t="shared" si="0"/>
        <v>0</v>
      </c>
    </row>
    <row r="15" spans="1:11" x14ac:dyDescent="0.35">
      <c r="A15" s="12" t="s">
        <v>8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35">
      <c r="A16" s="6"/>
      <c r="B16" s="6" t="s">
        <v>9</v>
      </c>
      <c r="C16" s="6"/>
      <c r="D16" s="7">
        <v>551165.67000000004</v>
      </c>
      <c r="E16" s="7"/>
      <c r="F16" s="7"/>
      <c r="G16" s="7"/>
      <c r="H16" s="7"/>
      <c r="I16" s="7"/>
      <c r="J16" s="1">
        <f t="shared" si="0"/>
        <v>551165.67000000004</v>
      </c>
    </row>
    <row r="17" spans="1:10" x14ac:dyDescent="0.35">
      <c r="A17" s="6"/>
      <c r="B17" s="6" t="s">
        <v>10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35">
      <c r="A18" s="6"/>
      <c r="B18" s="6" t="s">
        <v>11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35">
      <c r="A19" s="6"/>
      <c r="B19" s="6" t="s">
        <v>12</v>
      </c>
      <c r="C19" s="6"/>
      <c r="D19" s="7">
        <v>1596000</v>
      </c>
      <c r="E19" s="7"/>
      <c r="F19" s="7"/>
      <c r="G19" s="7"/>
      <c r="H19" s="7"/>
      <c r="I19" s="7"/>
      <c r="J19" s="1">
        <f t="shared" si="0"/>
        <v>1596000</v>
      </c>
    </row>
    <row r="20" spans="1:10" x14ac:dyDescent="0.35">
      <c r="A20" s="6"/>
      <c r="B20" s="6" t="s">
        <v>55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35">
      <c r="A21" s="6"/>
      <c r="B21" s="6" t="s">
        <v>56</v>
      </c>
      <c r="C21" s="6"/>
      <c r="D21" s="7">
        <v>20661538</v>
      </c>
      <c r="E21" s="7"/>
      <c r="F21" s="7"/>
      <c r="G21" s="7"/>
      <c r="H21" s="7"/>
      <c r="I21" s="7"/>
      <c r="J21" s="1">
        <f t="shared" si="0"/>
        <v>20661538</v>
      </c>
    </row>
    <row r="22" spans="1:10" x14ac:dyDescent="0.35">
      <c r="A22" s="6"/>
      <c r="B22" s="6" t="s">
        <v>57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35">
      <c r="A23" s="6"/>
      <c r="B23" s="6" t="s">
        <v>13</v>
      </c>
      <c r="C23" s="6"/>
      <c r="D23" s="7"/>
      <c r="E23" s="7"/>
      <c r="F23" s="7"/>
      <c r="G23" s="7"/>
      <c r="H23" s="7"/>
      <c r="I23" s="7"/>
      <c r="J23" s="1">
        <f t="shared" si="0"/>
        <v>0</v>
      </c>
    </row>
    <row r="24" spans="1:10" x14ac:dyDescent="0.35">
      <c r="A24" s="6"/>
      <c r="B24" s="6" t="s">
        <v>14</v>
      </c>
      <c r="C24" s="6"/>
      <c r="D24" s="7"/>
      <c r="E24" s="7"/>
      <c r="F24" s="7"/>
      <c r="G24" s="7"/>
      <c r="H24" s="7"/>
      <c r="I24" s="7"/>
      <c r="J24" s="1">
        <f t="shared" si="0"/>
        <v>0</v>
      </c>
    </row>
    <row r="25" spans="1:10" x14ac:dyDescent="0.35">
      <c r="A25" s="6"/>
      <c r="B25" s="6" t="s">
        <v>15</v>
      </c>
      <c r="C25" s="6"/>
      <c r="D25" s="7"/>
      <c r="E25" s="7"/>
      <c r="F25" s="7"/>
      <c r="G25" s="7"/>
      <c r="H25" s="7"/>
      <c r="I25" s="7"/>
      <c r="J25" s="1">
        <f t="shared" si="0"/>
        <v>0</v>
      </c>
    </row>
    <row r="26" spans="1:10" x14ac:dyDescent="0.35">
      <c r="A26" s="6"/>
      <c r="B26" s="6" t="s">
        <v>16</v>
      </c>
      <c r="C26" s="6"/>
      <c r="D26" s="19"/>
      <c r="E26" s="7"/>
      <c r="F26" s="19"/>
      <c r="G26" s="7"/>
      <c r="H26" s="19"/>
      <c r="I26" s="7"/>
      <c r="J26" s="1">
        <f t="shared" si="0"/>
        <v>0</v>
      </c>
    </row>
    <row r="27" spans="1:10" ht="15" thickBot="1" x14ac:dyDescent="0.4">
      <c r="A27" s="12" t="s">
        <v>17</v>
      </c>
      <c r="B27" s="6"/>
      <c r="C27" s="6"/>
      <c r="D27" s="21">
        <f>SUM(D9:D26)</f>
        <v>23949747.559999999</v>
      </c>
      <c r="E27" s="22"/>
      <c r="F27" s="21">
        <f>SUM(F9:F26)</f>
        <v>0</v>
      </c>
      <c r="G27" s="22"/>
      <c r="H27" s="21">
        <f>SUM(H9:H26)</f>
        <v>0</v>
      </c>
      <c r="I27" s="22"/>
      <c r="J27" s="21">
        <f>SUM(J9:J26)</f>
        <v>23949747.559999999</v>
      </c>
    </row>
    <row r="28" spans="1:10" ht="15" thickTop="1" x14ac:dyDescent="0.35">
      <c r="A28" s="6"/>
      <c r="B28" s="6"/>
      <c r="C28" s="6"/>
      <c r="D28" s="7"/>
      <c r="E28" s="7"/>
      <c r="F28" s="7"/>
      <c r="G28" s="7"/>
      <c r="H28" s="7"/>
      <c r="I28" s="7"/>
      <c r="J28" s="7"/>
    </row>
    <row r="29" spans="1:10" x14ac:dyDescent="0.35">
      <c r="A29" s="6"/>
      <c r="B29" s="6"/>
      <c r="C29" s="6"/>
      <c r="D29" s="7"/>
      <c r="E29" s="7"/>
      <c r="F29" s="7"/>
      <c r="G29" s="7"/>
      <c r="H29" s="7"/>
      <c r="I29" s="7"/>
      <c r="J29" s="7"/>
    </row>
    <row r="30" spans="1:10" ht="16.5" x14ac:dyDescent="0.35">
      <c r="A30" s="20">
        <v>1</v>
      </c>
      <c r="B30" s="6" t="s">
        <v>20</v>
      </c>
      <c r="C30" s="6"/>
      <c r="D30" s="7"/>
      <c r="E30" s="7"/>
      <c r="F30" s="7"/>
      <c r="G30" s="7"/>
      <c r="H30" s="7"/>
      <c r="I30" s="7"/>
      <c r="J30" s="7"/>
    </row>
    <row r="31" spans="1:10" x14ac:dyDescent="0.35">
      <c r="A31" s="6"/>
      <c r="B31" s="6" t="s">
        <v>45</v>
      </c>
      <c r="C31" s="6"/>
      <c r="D31" s="7"/>
      <c r="E31" s="7"/>
      <c r="F31" s="7"/>
      <c r="G31" s="7"/>
      <c r="H31" s="7"/>
      <c r="I31" s="7"/>
      <c r="J31" s="7"/>
    </row>
    <row r="32" spans="1:10" ht="16.5" x14ac:dyDescent="0.35">
      <c r="A32" s="20">
        <v>2</v>
      </c>
      <c r="B32" s="6" t="s">
        <v>21</v>
      </c>
      <c r="C32" s="6"/>
      <c r="D32" s="7"/>
      <c r="E32" s="7"/>
      <c r="F32" s="7"/>
      <c r="G32" s="7"/>
      <c r="H32" s="7"/>
      <c r="I32" s="7"/>
      <c r="J32" s="7"/>
    </row>
    <row r="33" spans="1:10" ht="16.5" x14ac:dyDescent="0.35">
      <c r="A33" s="20"/>
      <c r="B33" s="6"/>
      <c r="C33" s="6"/>
      <c r="D33" s="7"/>
      <c r="E33" s="7"/>
      <c r="F33" s="7"/>
      <c r="G33" s="7"/>
      <c r="H33" s="7"/>
      <c r="I33" s="7"/>
      <c r="J33" s="7"/>
    </row>
    <row r="34" spans="1:10" x14ac:dyDescent="0.35">
      <c r="A34" s="6"/>
      <c r="B34" s="6"/>
      <c r="C34" s="6"/>
      <c r="D34" s="7"/>
      <c r="E34" s="7"/>
      <c r="F34" s="7"/>
      <c r="G34" s="7"/>
      <c r="H34" s="7"/>
      <c r="I34" s="7"/>
      <c r="J34" s="7"/>
    </row>
    <row r="35" spans="1:10" x14ac:dyDescent="0.35">
      <c r="A35" s="6"/>
      <c r="B35" s="6"/>
      <c r="C35" s="6"/>
      <c r="D35" s="7"/>
      <c r="E35" s="7"/>
      <c r="F35" s="7"/>
      <c r="G35" s="7"/>
      <c r="H35" s="7"/>
      <c r="I35" s="7"/>
      <c r="J35" s="7"/>
    </row>
  </sheetData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"/>
  <sheetViews>
    <sheetView topLeftCell="A4" zoomScale="80" zoomScaleNormal="80" workbookViewId="0">
      <pane ySplit="6" topLeftCell="A22" activePane="bottomLeft" state="frozen"/>
      <selection activeCell="A4" sqref="A4"/>
      <selection pane="bottomLeft" activeCell="K25" sqref="K25"/>
    </sheetView>
  </sheetViews>
  <sheetFormatPr defaultRowHeight="14.5" x14ac:dyDescent="0.35"/>
  <cols>
    <col min="1" max="1" width="1.7265625" customWidth="1"/>
    <col min="2" max="2" width="9" customWidth="1"/>
    <col min="3" max="3" width="44.26953125" customWidth="1"/>
    <col min="4" max="4" width="1.7265625" customWidth="1"/>
    <col min="5" max="5" width="15.7265625" style="1" customWidth="1"/>
    <col min="6" max="6" width="1.7265625" style="1" customWidth="1"/>
    <col min="7" max="7" width="15.7265625" style="1" customWidth="1"/>
    <col min="8" max="8" width="1.7265625" style="1" customWidth="1"/>
    <col min="9" max="9" width="15.7265625" style="1" customWidth="1"/>
    <col min="10" max="10" width="1.7265625" style="1" customWidth="1"/>
    <col min="11" max="11" width="15.7265625" style="1" customWidth="1"/>
    <col min="12" max="12" width="1.7265625" customWidth="1"/>
    <col min="13" max="13" width="15.7265625" customWidth="1"/>
    <col min="14" max="14" width="1.7265625" customWidth="1"/>
    <col min="15" max="15" width="15.7265625" customWidth="1"/>
    <col min="16" max="16" width="1.7265625" customWidth="1"/>
    <col min="17" max="17" width="15.7265625" customWidth="1"/>
    <col min="18" max="18" width="1.7265625" customWidth="1"/>
    <col min="19" max="20" width="15.7265625" customWidth="1"/>
    <col min="21" max="21" width="1.7265625" customWidth="1"/>
    <col min="22" max="22" width="15.7265625" customWidth="1"/>
  </cols>
  <sheetData>
    <row r="1" spans="1:22" x14ac:dyDescent="0.35">
      <c r="A1" s="27" t="s">
        <v>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x14ac:dyDescent="0.3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35">
      <c r="A3" s="27" t="s">
        <v>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x14ac:dyDescent="0.35">
      <c r="A4" s="27" t="s">
        <v>64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x14ac:dyDescent="0.35">
      <c r="A5" s="27" t="s">
        <v>66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1:22" x14ac:dyDescent="0.35">
      <c r="A6" s="6"/>
      <c r="B6" s="6"/>
      <c r="C6" s="6"/>
      <c r="D6" s="6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" thickBot="1" x14ac:dyDescent="0.4">
      <c r="A7" s="6"/>
      <c r="B7" s="6"/>
      <c r="C7" s="6"/>
      <c r="D7" s="6"/>
      <c r="E7" s="7"/>
      <c r="F7" s="7"/>
      <c r="G7" s="7"/>
      <c r="H7" s="7"/>
      <c r="I7" s="7"/>
      <c r="J7" s="8"/>
      <c r="K7" s="28" t="s">
        <v>37</v>
      </c>
      <c r="L7" s="28"/>
      <c r="M7" s="28"/>
      <c r="N7" s="28"/>
      <c r="O7" s="28"/>
      <c r="P7" s="28"/>
      <c r="Q7" s="28"/>
      <c r="R7" s="28"/>
      <c r="S7" s="28"/>
      <c r="T7" s="28"/>
      <c r="U7" s="6"/>
      <c r="V7" s="6"/>
    </row>
    <row r="8" spans="1:22" x14ac:dyDescent="0.35">
      <c r="A8" s="6"/>
      <c r="B8" s="6"/>
      <c r="C8" s="6"/>
      <c r="D8" s="6"/>
      <c r="E8" s="9" t="s">
        <v>23</v>
      </c>
      <c r="F8" s="10"/>
      <c r="G8" s="9" t="s">
        <v>24</v>
      </c>
      <c r="H8" s="10"/>
      <c r="I8" s="9" t="s">
        <v>25</v>
      </c>
      <c r="J8" s="11"/>
      <c r="K8" s="9" t="s">
        <v>26</v>
      </c>
      <c r="L8" s="6"/>
      <c r="M8" s="9" t="s">
        <v>27</v>
      </c>
      <c r="N8" s="10"/>
      <c r="O8" s="9" t="s">
        <v>28</v>
      </c>
      <c r="P8" s="10"/>
      <c r="Q8" s="9" t="s">
        <v>29</v>
      </c>
      <c r="R8" s="10"/>
      <c r="S8" s="9" t="s">
        <v>30</v>
      </c>
      <c r="T8" s="9" t="s">
        <v>31</v>
      </c>
      <c r="U8" s="10"/>
      <c r="V8" s="9" t="s">
        <v>58</v>
      </c>
    </row>
    <row r="9" spans="1:22" ht="114.5" x14ac:dyDescent="0.35">
      <c r="A9" s="12"/>
      <c r="B9" s="6"/>
      <c r="C9" s="6"/>
      <c r="D9" s="6"/>
      <c r="E9" s="13" t="s">
        <v>32</v>
      </c>
      <c r="F9" s="10"/>
      <c r="G9" s="13" t="s">
        <v>33</v>
      </c>
      <c r="H9" s="10"/>
      <c r="I9" s="14" t="s">
        <v>34</v>
      </c>
      <c r="J9" s="11"/>
      <c r="K9" s="13" t="s">
        <v>35</v>
      </c>
      <c r="L9" s="10"/>
      <c r="M9" s="13" t="s">
        <v>36</v>
      </c>
      <c r="N9" s="6"/>
      <c r="O9" s="13" t="s">
        <v>47</v>
      </c>
      <c r="P9" s="6"/>
      <c r="Q9" s="13" t="s">
        <v>49</v>
      </c>
      <c r="R9" s="6"/>
      <c r="S9" s="13" t="s">
        <v>50</v>
      </c>
      <c r="T9" s="13" t="s">
        <v>62</v>
      </c>
      <c r="U9" s="6"/>
      <c r="V9" s="13" t="s">
        <v>46</v>
      </c>
    </row>
    <row r="10" spans="1:22" x14ac:dyDescent="0.35">
      <c r="A10" s="6"/>
      <c r="B10" s="6"/>
      <c r="C10" s="6"/>
      <c r="D10" s="6"/>
      <c r="E10" s="7"/>
      <c r="F10" s="7"/>
      <c r="G10" s="7"/>
      <c r="H10" s="7"/>
      <c r="I10" s="7"/>
      <c r="J10" s="8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35">
      <c r="A11" s="12" t="s">
        <v>1</v>
      </c>
      <c r="B11" s="6"/>
      <c r="C11" s="6"/>
      <c r="D11" s="6"/>
      <c r="E11" s="7"/>
      <c r="F11" s="7"/>
      <c r="G11" s="7"/>
      <c r="H11" s="7"/>
      <c r="I11" s="7"/>
      <c r="J11" s="8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35">
      <c r="A12" s="6"/>
      <c r="B12" s="6" t="s">
        <v>2</v>
      </c>
      <c r="C12" s="6"/>
      <c r="D12" s="6"/>
      <c r="E12" s="23"/>
      <c r="F12" s="23"/>
      <c r="G12" s="23"/>
      <c r="H12" s="23"/>
      <c r="I12" s="4">
        <f t="shared" ref="I12:I17" si="0">G12-E12</f>
        <v>0</v>
      </c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4">
        <f>SUM(K12:T12)</f>
        <v>0</v>
      </c>
    </row>
    <row r="13" spans="1:22" x14ac:dyDescent="0.35">
      <c r="A13" s="6"/>
      <c r="B13" s="6" t="s">
        <v>3</v>
      </c>
      <c r="C13" s="6"/>
      <c r="D13" s="6"/>
      <c r="E13" s="23"/>
      <c r="F13" s="23"/>
      <c r="G13" s="23"/>
      <c r="H13" s="23"/>
      <c r="I13" s="4">
        <f t="shared" si="0"/>
        <v>0</v>
      </c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4">
        <f t="shared" ref="V13:V29" si="1">SUM(K13:T13)</f>
        <v>0</v>
      </c>
    </row>
    <row r="14" spans="1:22" x14ac:dyDescent="0.35">
      <c r="A14" s="6"/>
      <c r="B14" s="6" t="s">
        <v>4</v>
      </c>
      <c r="C14" s="6"/>
      <c r="D14" s="6"/>
      <c r="E14" s="23"/>
      <c r="F14" s="23"/>
      <c r="G14" s="23"/>
      <c r="H14" s="23"/>
      <c r="I14" s="4">
        <f t="shared" si="0"/>
        <v>0</v>
      </c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4">
        <f t="shared" si="1"/>
        <v>0</v>
      </c>
    </row>
    <row r="15" spans="1:22" x14ac:dyDescent="0.35">
      <c r="A15" s="6"/>
      <c r="B15" s="6" t="s">
        <v>5</v>
      </c>
      <c r="C15" s="6"/>
      <c r="D15" s="6"/>
      <c r="E15" s="7">
        <v>1141043.8899999999</v>
      </c>
      <c r="F15" s="23"/>
      <c r="G15" s="7">
        <v>1141043.8899999999</v>
      </c>
      <c r="H15" s="23"/>
      <c r="I15" s="4">
        <f t="shared" si="0"/>
        <v>0</v>
      </c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">
        <f t="shared" si="1"/>
        <v>0</v>
      </c>
    </row>
    <row r="16" spans="1:22" x14ac:dyDescent="0.35">
      <c r="A16" s="6"/>
      <c r="B16" s="6" t="s">
        <v>6</v>
      </c>
      <c r="C16" s="6"/>
      <c r="D16" s="6"/>
      <c r="E16" s="23"/>
      <c r="F16" s="23"/>
      <c r="G16" s="23"/>
      <c r="H16" s="23"/>
      <c r="I16" s="4">
        <f>G16-E16</f>
        <v>0</v>
      </c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4">
        <f t="shared" si="1"/>
        <v>0</v>
      </c>
    </row>
    <row r="17" spans="1:22" x14ac:dyDescent="0.35">
      <c r="A17" s="6"/>
      <c r="B17" s="6" t="s">
        <v>7</v>
      </c>
      <c r="C17" s="6"/>
      <c r="D17" s="6"/>
      <c r="E17" s="23"/>
      <c r="F17" s="23"/>
      <c r="G17" s="23"/>
      <c r="H17" s="23"/>
      <c r="I17" s="4">
        <f t="shared" si="0"/>
        <v>0</v>
      </c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4">
        <f t="shared" si="1"/>
        <v>0</v>
      </c>
    </row>
    <row r="18" spans="1:22" x14ac:dyDescent="0.35">
      <c r="A18" s="12" t="s">
        <v>8</v>
      </c>
      <c r="B18" s="6"/>
      <c r="C18" s="6"/>
      <c r="D18" s="6"/>
      <c r="E18" s="23"/>
      <c r="F18" s="23"/>
      <c r="G18" s="23"/>
      <c r="H18" s="23"/>
      <c r="I18" s="4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4"/>
    </row>
    <row r="19" spans="1:22" x14ac:dyDescent="0.35">
      <c r="A19" s="6"/>
      <c r="B19" s="6" t="s">
        <v>9</v>
      </c>
      <c r="C19" s="6"/>
      <c r="D19" s="6"/>
      <c r="E19" s="7">
        <v>551165.67000000004</v>
      </c>
      <c r="F19" s="23"/>
      <c r="G19" s="7">
        <v>551165.67000000004</v>
      </c>
      <c r="H19" s="23"/>
      <c r="I19" s="4">
        <f t="shared" ref="I19:I29" si="2">G19-E19</f>
        <v>0</v>
      </c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4">
        <f t="shared" si="1"/>
        <v>0</v>
      </c>
    </row>
    <row r="20" spans="1:22" x14ac:dyDescent="0.35">
      <c r="A20" s="6"/>
      <c r="B20" s="6" t="s">
        <v>10</v>
      </c>
      <c r="C20" s="6"/>
      <c r="D20" s="6"/>
      <c r="E20" s="23"/>
      <c r="F20" s="23"/>
      <c r="G20" s="23"/>
      <c r="H20" s="23"/>
      <c r="I20" s="4">
        <f t="shared" si="2"/>
        <v>0</v>
      </c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4">
        <f t="shared" si="1"/>
        <v>0</v>
      </c>
    </row>
    <row r="21" spans="1:22" x14ac:dyDescent="0.35">
      <c r="A21" s="6"/>
      <c r="B21" s="6" t="s">
        <v>11</v>
      </c>
      <c r="C21" s="6"/>
      <c r="D21" s="6"/>
      <c r="E21" s="23"/>
      <c r="F21" s="23"/>
      <c r="G21" s="23"/>
      <c r="H21" s="23"/>
      <c r="I21" s="4">
        <f t="shared" si="2"/>
        <v>0</v>
      </c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">
        <f t="shared" si="1"/>
        <v>0</v>
      </c>
    </row>
    <row r="22" spans="1:22" x14ac:dyDescent="0.35">
      <c r="A22" s="6"/>
      <c r="B22" s="6" t="s">
        <v>12</v>
      </c>
      <c r="C22" s="6"/>
      <c r="D22" s="6"/>
      <c r="E22" s="7">
        <v>1596000</v>
      </c>
      <c r="F22" s="23"/>
      <c r="G22" s="7">
        <v>1596000</v>
      </c>
      <c r="H22" s="23"/>
      <c r="I22" s="4">
        <f t="shared" si="2"/>
        <v>0</v>
      </c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">
        <f t="shared" si="1"/>
        <v>0</v>
      </c>
    </row>
    <row r="23" spans="1:22" x14ac:dyDescent="0.35">
      <c r="A23" s="6"/>
      <c r="B23" s="6" t="s">
        <v>55</v>
      </c>
      <c r="C23" s="6"/>
      <c r="D23" s="6"/>
      <c r="E23" s="23"/>
      <c r="F23" s="23"/>
      <c r="G23" s="23"/>
      <c r="H23" s="23"/>
      <c r="I23" s="4">
        <f t="shared" ref="I23" si="3">G23-E23</f>
        <v>0</v>
      </c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">
        <f t="shared" ref="V23" si="4">SUM(K23:T23)</f>
        <v>0</v>
      </c>
    </row>
    <row r="24" spans="1:22" x14ac:dyDescent="0.35">
      <c r="A24" s="6"/>
      <c r="B24" s="6" t="s">
        <v>56</v>
      </c>
      <c r="C24" s="6"/>
      <c r="D24" s="6"/>
      <c r="E24" s="23">
        <v>20661538</v>
      </c>
      <c r="F24" s="23"/>
      <c r="G24" s="7">
        <v>20661538</v>
      </c>
      <c r="H24" s="23"/>
      <c r="I24" s="4">
        <f t="shared" si="2"/>
        <v>0</v>
      </c>
      <c r="J24" s="24"/>
      <c r="K24" s="7"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4">
        <f t="shared" si="1"/>
        <v>0</v>
      </c>
    </row>
    <row r="25" spans="1:22" x14ac:dyDescent="0.35">
      <c r="A25" s="6"/>
      <c r="B25" s="6" t="s">
        <v>57</v>
      </c>
      <c r="C25" s="6"/>
      <c r="D25" s="6"/>
      <c r="E25" s="23"/>
      <c r="F25" s="23"/>
      <c r="G25" s="23"/>
      <c r="H25" s="23"/>
      <c r="I25" s="4">
        <f t="shared" ref="I25" si="5">G25-E25</f>
        <v>0</v>
      </c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4">
        <f t="shared" ref="V25" si="6">SUM(K25:T25)</f>
        <v>0</v>
      </c>
    </row>
    <row r="26" spans="1:22" x14ac:dyDescent="0.35">
      <c r="A26" s="6"/>
      <c r="B26" s="6" t="s">
        <v>13</v>
      </c>
      <c r="C26" s="6"/>
      <c r="D26" s="6"/>
      <c r="E26" s="23"/>
      <c r="F26" s="23"/>
      <c r="G26" s="23"/>
      <c r="H26" s="23"/>
      <c r="I26" s="4">
        <f t="shared" si="2"/>
        <v>0</v>
      </c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4">
        <f t="shared" si="1"/>
        <v>0</v>
      </c>
    </row>
    <row r="27" spans="1:22" x14ac:dyDescent="0.35">
      <c r="A27" s="6"/>
      <c r="B27" s="6" t="s">
        <v>14</v>
      </c>
      <c r="C27" s="6"/>
      <c r="D27" s="6"/>
      <c r="E27" s="23"/>
      <c r="F27" s="23"/>
      <c r="G27" s="23"/>
      <c r="H27" s="23"/>
      <c r="I27" s="4">
        <f t="shared" si="2"/>
        <v>0</v>
      </c>
      <c r="J27" s="24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4">
        <f t="shared" si="1"/>
        <v>0</v>
      </c>
    </row>
    <row r="28" spans="1:22" x14ac:dyDescent="0.35">
      <c r="A28" s="6"/>
      <c r="B28" s="6" t="s">
        <v>15</v>
      </c>
      <c r="C28" s="6"/>
      <c r="D28" s="6"/>
      <c r="E28" s="23"/>
      <c r="F28" s="23"/>
      <c r="G28" s="23"/>
      <c r="H28" s="23"/>
      <c r="I28" s="4">
        <f t="shared" si="2"/>
        <v>0</v>
      </c>
      <c r="J28" s="24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4">
        <f t="shared" si="1"/>
        <v>0</v>
      </c>
    </row>
    <row r="29" spans="1:22" x14ac:dyDescent="0.35">
      <c r="A29" s="6"/>
      <c r="B29" s="6" t="s">
        <v>16</v>
      </c>
      <c r="C29" s="6"/>
      <c r="D29" s="6"/>
      <c r="E29" s="25"/>
      <c r="F29" s="23"/>
      <c r="G29" s="25"/>
      <c r="H29" s="23"/>
      <c r="I29" s="4">
        <f t="shared" si="2"/>
        <v>0</v>
      </c>
      <c r="J29" s="24"/>
      <c r="K29" s="25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4">
        <f t="shared" si="1"/>
        <v>0</v>
      </c>
    </row>
    <row r="30" spans="1:22" ht="15" thickBot="1" x14ac:dyDescent="0.4">
      <c r="A30" s="26" t="s">
        <v>38</v>
      </c>
      <c r="E30" s="3">
        <f>SUM(E12:E29)</f>
        <v>23949747.559999999</v>
      </c>
      <c r="F30" s="4"/>
      <c r="G30" s="3">
        <f>SUM(G12:G29)</f>
        <v>23949747.559999999</v>
      </c>
      <c r="H30" s="4"/>
      <c r="I30" s="3">
        <f>SUM(I12:I29)</f>
        <v>0</v>
      </c>
      <c r="J30" s="5"/>
      <c r="K30" s="3">
        <f>SUM(K12:K29)</f>
        <v>0</v>
      </c>
      <c r="L30" s="4"/>
      <c r="M30" s="3">
        <f>SUM(M12:M29)</f>
        <v>0</v>
      </c>
      <c r="N30" s="4"/>
      <c r="O30" s="3">
        <f>SUM(O12:O29)</f>
        <v>0</v>
      </c>
      <c r="P30" s="4"/>
      <c r="Q30" s="3">
        <f>SUM(Q12:Q29)</f>
        <v>0</v>
      </c>
      <c r="R30" s="4"/>
      <c r="S30" s="3">
        <f>SUM(S12:S29)</f>
        <v>0</v>
      </c>
      <c r="T30" s="3">
        <f>SUM(T12:T29)</f>
        <v>0</v>
      </c>
      <c r="U30" s="4"/>
      <c r="V30" s="3">
        <f>SUM(V12:V29)</f>
        <v>0</v>
      </c>
    </row>
    <row r="31" spans="1:22" ht="15" thickTop="1" x14ac:dyDescent="0.35">
      <c r="A31" s="6"/>
      <c r="B31" s="6"/>
      <c r="C31" s="6"/>
      <c r="D31" s="6"/>
      <c r="E31" s="7"/>
      <c r="F31" s="7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35">
      <c r="A32" s="6"/>
      <c r="B32" s="6"/>
      <c r="C32" s="6"/>
      <c r="D32" s="6"/>
      <c r="E32" s="7"/>
      <c r="F32" s="7"/>
      <c r="G32" s="7"/>
      <c r="H32" s="7"/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35">
      <c r="A33" s="6" t="s">
        <v>39</v>
      </c>
      <c r="B33" s="6"/>
      <c r="C33" s="6"/>
      <c r="D33" s="6"/>
      <c r="E33" s="7"/>
      <c r="F33" s="7"/>
      <c r="G33" s="7"/>
      <c r="H33" s="7"/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35">
      <c r="A34" s="6" t="s">
        <v>40</v>
      </c>
      <c r="B34" s="6"/>
      <c r="C34" s="6" t="s">
        <v>51</v>
      </c>
      <c r="D34" s="6"/>
      <c r="E34" s="7"/>
      <c r="F34" s="7"/>
      <c r="G34" s="7"/>
      <c r="H34" s="7"/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35">
      <c r="A35" s="6" t="s">
        <v>41</v>
      </c>
      <c r="B35" s="6"/>
      <c r="C35" s="6" t="s">
        <v>52</v>
      </c>
      <c r="D35" s="6"/>
      <c r="E35" s="7"/>
      <c r="F35" s="7"/>
      <c r="G35" s="7"/>
      <c r="H35" s="7"/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35">
      <c r="A36" s="6" t="s">
        <v>42</v>
      </c>
      <c r="B36" s="6"/>
      <c r="C36" s="6" t="s">
        <v>53</v>
      </c>
      <c r="D36" s="6"/>
      <c r="E36" s="7"/>
      <c r="F36" s="7"/>
      <c r="G36" s="7"/>
      <c r="H36" s="7"/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35">
      <c r="A37" s="6"/>
      <c r="B37" s="6"/>
      <c r="C37" s="6" t="s">
        <v>54</v>
      </c>
      <c r="D37" s="6"/>
      <c r="E37" s="7"/>
      <c r="F37" s="7"/>
      <c r="G37" s="7"/>
      <c r="H37" s="7"/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35">
      <c r="A38" s="6" t="s">
        <v>59</v>
      </c>
      <c r="B38" s="6"/>
      <c r="C38" s="6" t="s">
        <v>60</v>
      </c>
      <c r="D38" s="6"/>
      <c r="E38" s="7"/>
      <c r="F38" s="7"/>
      <c r="G38" s="7"/>
      <c r="H38" s="7"/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35">
      <c r="A39" s="6" t="s">
        <v>61</v>
      </c>
      <c r="B39" s="6"/>
      <c r="C39" s="6" t="s">
        <v>43</v>
      </c>
      <c r="D39" s="6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35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18</vt:lpstr>
      <vt:lpstr>Report 18 Differential</vt:lpstr>
    </vt:vector>
  </TitlesOfParts>
  <Company>State Controller's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18 - Statement of Changes in Capital Assets Group of Accounts</dc:title>
  <dc:creator>Tam, Janti</dc:creator>
  <cp:lastModifiedBy>Feister, Daphne@CalHR</cp:lastModifiedBy>
  <cp:lastPrinted>2017-07-21T18:30:57Z</cp:lastPrinted>
  <dcterms:created xsi:type="dcterms:W3CDTF">2017-07-21T16:59:59Z</dcterms:created>
  <dcterms:modified xsi:type="dcterms:W3CDTF">2024-09-17T23:46:09Z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5c9a8-e7a7-476f-a99b-71e4681b659a_Enabled">
    <vt:lpwstr>true</vt:lpwstr>
  </property>
  <property fmtid="{D5CDD505-2E9C-101B-9397-08002B2CF9AE}" pid="3" name="MSIP_Label_6925c9a8-e7a7-476f-a99b-71e4681b659a_SetDate">
    <vt:lpwstr>2024-08-01T21:40:40Z</vt:lpwstr>
  </property>
  <property fmtid="{D5CDD505-2E9C-101B-9397-08002B2CF9AE}" pid="4" name="MSIP_Label_6925c9a8-e7a7-476f-a99b-71e4681b659a_Method">
    <vt:lpwstr>Standard</vt:lpwstr>
  </property>
  <property fmtid="{D5CDD505-2E9C-101B-9397-08002B2CF9AE}" pid="5" name="MSIP_Label_6925c9a8-e7a7-476f-a99b-71e4681b659a_Name">
    <vt:lpwstr>Public</vt:lpwstr>
  </property>
  <property fmtid="{D5CDD505-2E9C-101B-9397-08002B2CF9AE}" pid="6" name="MSIP_Label_6925c9a8-e7a7-476f-a99b-71e4681b659a_SiteId">
    <vt:lpwstr>bb877949-684d-4682-88c4-c07448a5cb92</vt:lpwstr>
  </property>
  <property fmtid="{D5CDD505-2E9C-101B-9397-08002B2CF9AE}" pid="7" name="MSIP_Label_6925c9a8-e7a7-476f-a99b-71e4681b659a_ActionId">
    <vt:lpwstr>54932a47-3244-4be3-86d2-a0ea480a86d5</vt:lpwstr>
  </property>
  <property fmtid="{D5CDD505-2E9C-101B-9397-08002B2CF9AE}" pid="8" name="MSIP_Label_6925c9a8-e7a7-476f-a99b-71e4681b659a_ContentBits">
    <vt:lpwstr>0</vt:lpwstr>
  </property>
</Properties>
</file>