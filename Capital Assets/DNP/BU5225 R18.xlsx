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3a. Report 18 &amp; 19\BU 5225\"/>
    </mc:Choice>
  </mc:AlternateContent>
  <xr:revisionPtr revIDLastSave="0" documentId="13_ncr:1_{8BDF2B6C-D4AE-4637-85C8-EB14AFEC7929}" xr6:coauthVersionLast="47" xr6:coauthVersionMax="47" xr10:uidLastSave="{00000000-0000-0000-0000-000000000000}"/>
  <bookViews>
    <workbookView xWindow="-24120" yWindow="-120" windowWidth="24240" windowHeight="13140" tabRatio="807" activeTab="8" xr2:uid="{3BD7ADCA-0AAF-444E-9E6D-E6F7F97210C0}"/>
  </bookViews>
  <sheets>
    <sheet name="0001" sheetId="1" r:id="rId1"/>
    <sheet name="F0001 Diff" sheetId="2" r:id="rId2"/>
    <sheet name="F0036" sheetId="3" r:id="rId3"/>
    <sheet name="F0036 Diff" sheetId="4" r:id="rId4"/>
    <sheet name="F0660" sheetId="5" r:id="rId5"/>
    <sheet name="F0668" sheetId="6" r:id="rId6"/>
    <sheet name="F0723" sheetId="7" r:id="rId7"/>
    <sheet name="F0724" sheetId="8" r:id="rId8"/>
    <sheet name="F0747" sheetId="11" r:id="rId9"/>
    <sheet name="F0751" sheetId="9" r:id="rId10"/>
    <sheet name="F0942" sheetId="10" r:id="rId11"/>
  </sheets>
  <externalReferences>
    <externalReference r:id="rId12"/>
    <externalReference r:id="rId13"/>
    <externalReference r:id="rId14"/>
    <externalReference r:id="rId15"/>
  </externalReferences>
  <definedNames>
    <definedName name="Format" localSheetId="6">#REF!</definedName>
    <definedName name="Format" localSheetId="7">#REF!</definedName>
    <definedName name="Format" localSheetId="8">#REF!</definedName>
    <definedName name="Format" localSheetId="9">#REF!</definedName>
    <definedName name="Format" localSheetId="10">#REF!</definedName>
    <definedName name="Format">#REF!</definedName>
    <definedName name="Header" localSheetId="6">#REF!</definedName>
    <definedName name="Header" localSheetId="7">#REF!</definedName>
    <definedName name="Header" localSheetId="8">#REF!</definedName>
    <definedName name="Header" localSheetId="9">#REF!</definedName>
    <definedName name="Header" localSheetId="10">#REF!</definedName>
    <definedName name="Header">#REF!</definedName>
    <definedName name="n" localSheetId="8">#REF!</definedName>
    <definedName name="n" localSheetId="9">#REF!</definedName>
    <definedName name="n" localSheetId="10">#REF!</definedName>
    <definedName name="n">#REF!</definedName>
    <definedName name="Raw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1" l="1"/>
  <c r="J9" i="11"/>
  <c r="J28" i="11" s="1"/>
  <c r="J10" i="11"/>
  <c r="D28" i="11"/>
  <c r="F28" i="11"/>
  <c r="H28" i="11"/>
  <c r="A4" i="10"/>
  <c r="J12" i="10"/>
  <c r="J16" i="10"/>
  <c r="J28" i="10" s="1"/>
  <c r="D28" i="10"/>
  <c r="F28" i="10"/>
  <c r="H28" i="10"/>
  <c r="A4" i="9"/>
  <c r="J9" i="9"/>
  <c r="J10" i="9"/>
  <c r="J13" i="9"/>
  <c r="D28" i="9"/>
  <c r="F28" i="9"/>
  <c r="H28" i="9"/>
  <c r="J28" i="9"/>
  <c r="J28" i="8"/>
  <c r="H28" i="8"/>
  <c r="F28" i="8"/>
  <c r="D28" i="8"/>
  <c r="J10" i="8"/>
  <c r="J9" i="8"/>
  <c r="A4" i="8"/>
  <c r="J28" i="7"/>
  <c r="H28" i="7"/>
  <c r="F28" i="7"/>
  <c r="D28" i="7"/>
  <c r="J10" i="7"/>
  <c r="J9" i="7"/>
  <c r="A4" i="7"/>
  <c r="H28" i="6"/>
  <c r="F28" i="6"/>
  <c r="D28" i="6"/>
  <c r="J16" i="6"/>
  <c r="J28" i="6" s="1"/>
  <c r="J13" i="6"/>
  <c r="J12" i="6"/>
  <c r="J10" i="6"/>
  <c r="A4" i="6"/>
  <c r="J28" i="5"/>
  <c r="H28" i="5"/>
  <c r="F28" i="5"/>
  <c r="D28" i="5"/>
  <c r="J13" i="5"/>
  <c r="J12" i="5"/>
  <c r="J10" i="5"/>
  <c r="J9" i="5"/>
  <c r="A4" i="5"/>
  <c r="S29" i="4"/>
  <c r="Q29" i="4"/>
  <c r="O29" i="4"/>
  <c r="M29" i="4"/>
  <c r="K29" i="4"/>
  <c r="G29" i="4"/>
  <c r="E29" i="4"/>
  <c r="V28" i="4"/>
  <c r="I28" i="4"/>
  <c r="V27" i="4"/>
  <c r="I27" i="4"/>
  <c r="V26" i="4"/>
  <c r="I26" i="4"/>
  <c r="V25" i="4"/>
  <c r="I25" i="4"/>
  <c r="V24" i="4"/>
  <c r="I24" i="4"/>
  <c r="V23" i="4"/>
  <c r="I23" i="4"/>
  <c r="V22" i="4"/>
  <c r="I22" i="4"/>
  <c r="V21" i="4"/>
  <c r="I21" i="4"/>
  <c r="V20" i="4"/>
  <c r="I20" i="4"/>
  <c r="V19" i="4"/>
  <c r="I19" i="4"/>
  <c r="V18" i="4"/>
  <c r="I18" i="4"/>
  <c r="V17" i="4"/>
  <c r="I17" i="4"/>
  <c r="V15" i="4"/>
  <c r="V29" i="4" s="1"/>
  <c r="I15" i="4"/>
  <c r="V14" i="4"/>
  <c r="I14" i="4"/>
  <c r="V13" i="4"/>
  <c r="I13" i="4"/>
  <c r="V12" i="4"/>
  <c r="I12" i="4"/>
  <c r="I29" i="4" s="1"/>
  <c r="J28" i="3"/>
  <c r="H28" i="3"/>
  <c r="F28" i="3"/>
  <c r="D28" i="3"/>
  <c r="A4" i="3"/>
  <c r="S29" i="2"/>
  <c r="Q29" i="2"/>
  <c r="O29" i="2"/>
  <c r="M29" i="2"/>
  <c r="K29" i="2"/>
  <c r="G29" i="2"/>
  <c r="E29" i="2"/>
  <c r="V28" i="2"/>
  <c r="I28" i="2"/>
  <c r="V27" i="2"/>
  <c r="I27" i="2"/>
  <c r="V26" i="2"/>
  <c r="I26" i="2"/>
  <c r="V25" i="2"/>
  <c r="I25" i="2"/>
  <c r="V24" i="2"/>
  <c r="I24" i="2"/>
  <c r="V23" i="2"/>
  <c r="I23" i="2"/>
  <c r="V22" i="2"/>
  <c r="I22" i="2"/>
  <c r="V21" i="2"/>
  <c r="I21" i="2"/>
  <c r="V20" i="2"/>
  <c r="I20" i="2"/>
  <c r="V19" i="2"/>
  <c r="I19" i="2"/>
  <c r="V18" i="2"/>
  <c r="I18" i="2"/>
  <c r="V17" i="2"/>
  <c r="I17" i="2"/>
  <c r="V15" i="2"/>
  <c r="I15" i="2"/>
  <c r="V14" i="2"/>
  <c r="V29" i="2" s="1"/>
  <c r="I14" i="2"/>
  <c r="V13" i="2"/>
  <c r="I13" i="2"/>
  <c r="V12" i="2"/>
  <c r="I12" i="2"/>
  <c r="I29" i="2" s="1"/>
  <c r="H28" i="1"/>
  <c r="F28" i="1"/>
  <c r="D28" i="1"/>
  <c r="J27" i="1"/>
  <c r="J23" i="1"/>
  <c r="J22" i="1"/>
  <c r="J21" i="1"/>
  <c r="J16" i="1"/>
  <c r="J13" i="1"/>
  <c r="J12" i="1"/>
  <c r="J28" i="1" s="1"/>
  <c r="J10" i="1"/>
  <c r="J9" i="1"/>
</calcChain>
</file>

<file path=xl/sharedStrings.xml><?xml version="1.0" encoding="utf-8"?>
<sst xmlns="http://schemas.openxmlformats.org/spreadsheetml/2006/main" count="369" uniqueCount="75">
  <si>
    <t>California Department of Corrections and Rehabilitation (5225)</t>
  </si>
  <si>
    <t>Statement of Changes in Capital Assets Group of Accounts - Report 18</t>
  </si>
  <si>
    <t>General Fund (0001)</t>
  </si>
  <si>
    <t>As of June 30, 2024</t>
  </si>
  <si>
    <t>CAPITAL ASSETS</t>
  </si>
  <si>
    <r>
      <t>Beginning 
Balance</t>
    </r>
    <r>
      <rPr>
        <b/>
        <vertAlign val="superscript"/>
        <sz val="11"/>
        <color theme="1"/>
        <rFont val="Aptos Narrow"/>
        <family val="2"/>
        <scheme val="minor"/>
      </rPr>
      <t xml:space="preserve">  </t>
    </r>
  </si>
  <si>
    <t>Additions</t>
  </si>
  <si>
    <t>Deductions</t>
  </si>
  <si>
    <r>
      <t>Balance</t>
    </r>
    <r>
      <rPr>
        <b/>
        <vertAlign val="superscript"/>
        <sz val="11"/>
        <color theme="1"/>
        <rFont val="Aptos Narrow"/>
        <family val="2"/>
        <scheme val="minor"/>
      </rPr>
      <t xml:space="preserve">1 </t>
    </r>
    <r>
      <rPr>
        <b/>
        <sz val="11"/>
        <color theme="1"/>
        <rFont val="Aptos Narrow"/>
        <family val="2"/>
        <scheme val="minor"/>
      </rPr>
      <t>June 30, 2024</t>
    </r>
  </si>
  <si>
    <t>Tangible Assets</t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</si>
  <si>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</si>
  <si>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</si>
  <si>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</si>
  <si>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</si>
  <si>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</si>
  <si>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</si>
  <si>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Intangible Assets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</si>
  <si>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</si>
  <si>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</si>
  <si>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</si>
  <si>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</si>
  <si>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</si>
  <si>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</si>
  <si>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</si>
  <si>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Right-to-Use Subscription-Based Information Technology Arrangements (SBITA)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</si>
  <si>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</si>
  <si>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</si>
  <si>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</si>
  <si>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</si>
  <si>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 CAPITAL ASSETS</t>
  </si>
  <si>
    <t>Ending balances equal the debit balances on Report 19 for each asset type.</t>
  </si>
  <si>
    <t>Fund 0036 abolished in FY23, assets reported under 0001 per SAM 8633 - $11,465,733.98</t>
  </si>
  <si>
    <t>Adjustment to previously capitalized Buildings ($3,561,674.04)</t>
  </si>
  <si>
    <t>Adjustment to previously capitalized Buildings transferred to Equipment ($116,798.75)</t>
  </si>
  <si>
    <t>Adjustment to GASB 87 beginning balance - ($2,763,634.53)</t>
  </si>
  <si>
    <t>Adjustments to previously capitalized assets - $222,974.95</t>
  </si>
  <si>
    <t>624 Surveyed equipment assets - $14,531,832.53</t>
  </si>
  <si>
    <t>Completed projects transferred to Buildings.</t>
  </si>
  <si>
    <t>Completed projects transferred to Intangible Assets.</t>
  </si>
  <si>
    <t>California Department of Corrections and Rehabilitiation (5225)</t>
  </si>
  <si>
    <t>Beginning Balance Differential Report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</si>
  <si>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</si>
  <si>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</si>
  <si>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</si>
  <si>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</si>
  <si>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</si>
  <si>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</si>
  <si>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</si>
  <si>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</si>
  <si>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</si>
  <si>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</si>
  <si>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</si>
  <si>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</si>
  <si>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</si>
  <si>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</si>
  <si>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>Other amounts that make up the difference</t>
    </r>
    <r>
      <rPr>
        <sz val="10"/>
        <rFont val="Arial"/>
        <family val="2"/>
      </rPr>
      <t xml:space="preserve">: </t>
    </r>
    <r>
      <rPr>
        <b/>
        <u/>
        <sz val="8"/>
        <color theme="1"/>
        <rFont val="Aptos Narrow"/>
        <family val="2"/>
        <scheme val="minor"/>
      </rPr>
      <t>GASB 87 beginning balance adjustment.</t>
    </r>
  </si>
  <si>
    <r>
      <t xml:space="preserve">Prior year assets classified under different fund 
</t>
    </r>
    <r>
      <rPr>
        <b/>
        <sz val="8"/>
        <color theme="1"/>
        <rFont val="Aptos Narrow"/>
        <family val="2"/>
        <scheme val="minor"/>
      </rPr>
      <t>Fund 0036 abolished</t>
    </r>
  </si>
  <si>
    <r>
      <t xml:space="preserve">Other amounts that make up the difference </t>
    </r>
    <r>
      <rPr>
        <sz val="11"/>
        <color theme="1"/>
        <rFont val="Aptos Narrow"/>
        <family val="2"/>
        <scheme val="minor"/>
      </rPr>
      <t xml:space="preserve"> 
</t>
    </r>
    <r>
      <rPr>
        <b/>
        <sz val="8"/>
        <color theme="1"/>
        <rFont val="Aptos Narrow"/>
        <family val="2"/>
        <scheme val="minor"/>
      </rPr>
      <t>prior year asset classification was incorrect</t>
    </r>
  </si>
  <si>
    <r>
      <t xml:space="preserve">Restatement Amount 
</t>
    </r>
    <r>
      <rPr>
        <sz val="11"/>
        <color theme="1"/>
        <rFont val="Aptos Narrow"/>
        <family val="2"/>
        <scheme val="minor"/>
      </rPr>
      <t>(should agree to the difference calculated)</t>
    </r>
  </si>
  <si>
    <t>Right-to-Use Subscription-Based Information      Technology Arrangements (SBITA) - Amoritizable</t>
  </si>
  <si>
    <t>Total</t>
  </si>
  <si>
    <t>Special Account for Capital Outlay (0036)</t>
  </si>
  <si>
    <r>
      <t>Balance</t>
    </r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June 30, 2024</t>
    </r>
  </si>
  <si>
    <t>Fund 0036a abolished assets reported under 0001-$11,465,733.98</t>
  </si>
  <si>
    <r>
      <t xml:space="preserve">Transfers from other departments
</t>
    </r>
    <r>
      <rPr>
        <sz val="11"/>
        <color theme="1"/>
        <rFont val="Aptos Narrow"/>
        <family val="2"/>
        <scheme val="minor"/>
      </rPr>
      <t>(at historical cost/book value)</t>
    </r>
  </si>
  <si>
    <t>Public Building Construction Fund (0660)</t>
  </si>
  <si>
    <t>8 Surveyed Equipment Assets - $101,080.94</t>
  </si>
  <si>
    <t>Completed projects transferred to Buildings</t>
  </si>
  <si>
    <t>Public Building Construction Sub Acct (0668)</t>
  </si>
  <si>
    <t>1 Surveyed Equipment Asset - $5,848.20</t>
  </si>
  <si>
    <t>New Prison Construction Fund (0723)</t>
  </si>
  <si>
    <t>Prison Construction 1984 (0724)</t>
  </si>
  <si>
    <t>Prison Construction 1990 (0751)</t>
  </si>
  <si>
    <t>Special Deposit Fund (0942)</t>
  </si>
  <si>
    <t>Prison Construction 1988 (0747)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</si>
</sst>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_);_(* \(#,##0.00\);_(* &quot;-&quot;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43" fontId="2" fillId="0" borderId="1" xfId="0" applyNumberFormat="1" applyFont="1" applyBorder="1" applyAlignment="1" applyProtection="1">
      <alignment horizontal="center"/>
      <protection locked="0"/>
    </xf>
    <xf numFmtId="43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44" fontId="0" fillId="0" borderId="0" xfId="0" applyNumberFormat="1" applyProtection="1">
      <protection locked="0"/>
    </xf>
    <xf numFmtId="44" fontId="0" fillId="0" borderId="0" xfId="2" applyFont="1" applyProtection="1">
      <protection locked="0"/>
    </xf>
    <xf numFmtId="44" fontId="0" fillId="0" borderId="0" xfId="0" applyNumberFormat="1"/>
    <xf numFmtId="43" fontId="0" fillId="0" borderId="0" xfId="1" applyFont="1" applyProtection="1">
      <protection locked="0"/>
    </xf>
    <xf numFmtId="43" fontId="0" fillId="0" borderId="0" xfId="1" applyFont="1" applyProtection="1"/>
    <xf numFmtId="43" fontId="0" fillId="0" borderId="0" xfId="0" applyNumberFormat="1"/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43" fontId="0" fillId="0" borderId="0" xfId="0" applyNumberForma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43" fontId="0" fillId="0" borderId="0" xfId="1" applyFont="1" applyAlignment="1" applyProtection="1">
      <alignment horizontal="left" vertical="center"/>
    </xf>
    <xf numFmtId="0" fontId="0" fillId="0" borderId="0" xfId="0" applyAlignment="1">
      <alignment horizontal="left" vertical="center"/>
    </xf>
    <xf numFmtId="43" fontId="0" fillId="0" borderId="1" xfId="0" applyNumberFormat="1" applyBorder="1" applyProtection="1">
      <protection locked="0"/>
    </xf>
    <xf numFmtId="44" fontId="2" fillId="0" borderId="2" xfId="2" applyFont="1" applyBorder="1" applyProtection="1"/>
    <xf numFmtId="44" fontId="2" fillId="0" borderId="2" xfId="0" applyNumberFormat="1" applyFont="1" applyBorder="1"/>
    <xf numFmtId="0" fontId="4" fillId="0" borderId="0" xfId="0" applyFont="1" applyProtection="1">
      <protection locked="0"/>
    </xf>
    <xf numFmtId="0" fontId="2" fillId="0" borderId="0" xfId="0" applyFont="1" applyAlignment="1" applyProtection="1">
      <alignment horizontal="centerContinuous"/>
      <protection locked="0"/>
    </xf>
    <xf numFmtId="43" fontId="0" fillId="2" borderId="0" xfId="0" applyNumberFormat="1" applyFill="1" applyProtection="1">
      <protection locked="0"/>
    </xf>
    <xf numFmtId="43" fontId="2" fillId="0" borderId="3" xfId="0" applyNumberFormat="1" applyFont="1" applyBorder="1" applyAlignment="1" applyProtection="1">
      <alignment horizontal="centerContinuous"/>
      <protection locked="0"/>
    </xf>
    <xf numFmtId="0" fontId="0" fillId="0" borderId="0" xfId="0" quotePrefix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2" fillId="0" borderId="1" xfId="3" applyFont="1" applyBorder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/>
    <xf numFmtId="41" fontId="0" fillId="2" borderId="0" xfId="0" applyNumberFormat="1" applyFill="1" applyProtection="1"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>
      <alignment vertical="center"/>
    </xf>
    <xf numFmtId="41" fontId="0" fillId="2" borderId="0" xfId="0" applyNumberForma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64" fontId="0" fillId="0" borderId="1" xfId="0" applyNumberFormat="1" applyBorder="1" applyProtection="1">
      <protection locked="0"/>
    </xf>
    <xf numFmtId="0" fontId="2" fillId="0" borderId="0" xfId="0" applyFont="1"/>
    <xf numFmtId="164" fontId="2" fillId="0" borderId="2" xfId="0" applyNumberFormat="1" applyFont="1" applyBorder="1"/>
    <xf numFmtId="41" fontId="0" fillId="2" borderId="0" xfId="0" applyNumberFormat="1" applyFill="1"/>
    <xf numFmtId="44" fontId="0" fillId="0" borderId="0" xfId="2" applyFont="1" applyFill="1"/>
    <xf numFmtId="0" fontId="0" fillId="0" borderId="0" xfId="0" quotePrefix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44" fontId="0" fillId="0" borderId="0" xfId="2" applyFont="1"/>
    <xf numFmtId="43" fontId="0" fillId="0" borderId="0" xfId="2" applyNumberFormat="1" applyFont="1" applyProtection="1">
      <protection locked="0"/>
    </xf>
  </cellXfs>
  <cellStyles count="4">
    <cellStyle name="Comma" xfId="1" builtinId="3"/>
    <cellStyle name="Currency" xfId="2" builtinId="4"/>
    <cellStyle name="Normal" xfId="0" builtinId="0"/>
    <cellStyle name="Normal 2" xfId="3" xr:uid="{013E2448-84A7-41FE-9A4C-D0E3B6559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dcrgoefile1\AccountingShare\AcctServices2\SAO%20GL%20Unit\Fixed%20Assets\2023%20Report%2018,19\YE%20Statements\FY23%20Report%2018_19%20%20-%20to%20SCO.xlsx" TargetMode="External"/><Relationship Id="rId1" Type="http://schemas.openxmlformats.org/officeDocument/2006/relationships/externalLinkPath" Target="file:///\\cdcrgoefile1\AccountingShare\AcctServices2\SAO%20GL%20Unit\Fixed%20Assets\2023%20Report%2018,19\YE%20Statements\FY23%20Report%2018_19%20%20-%20to%20SC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5225\5225_0751%20Report%2018%20FY23-24.xlsx" TargetMode="External"/><Relationship Id="rId1" Type="http://schemas.openxmlformats.org/officeDocument/2006/relationships/externalLinkPath" Target="5225_0751%20Report%2018%20FY23-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5225\0942%20Report%2018%20FY23-24.xlsx" TargetMode="External"/><Relationship Id="rId1" Type="http://schemas.openxmlformats.org/officeDocument/2006/relationships/externalLinkPath" Target="0942%20Report%2018%20FY23-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ate_Gov_Reporting\2023-24\GAAP\CAPITAL%20ASSETS%20&amp;%20LEASES\3a.%20Report%2018%20&amp;%2019\BU%205225\5225_0747%20Report%2018%20FY23-24.xlsx" TargetMode="External"/><Relationship Id="rId1" Type="http://schemas.openxmlformats.org/officeDocument/2006/relationships/externalLinkPath" Target="5225_0747%20Report%2018%20FY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01"/>
      <sheetName val="Report 18 Differential 0001"/>
      <sheetName val="0036"/>
      <sheetName val="0678 - no data"/>
      <sheetName val="Report 18 Differential 0036"/>
      <sheetName val="0660"/>
      <sheetName val="0668"/>
      <sheetName val="0723"/>
      <sheetName val="0724"/>
      <sheetName val="0747"/>
      <sheetName val="0751"/>
      <sheetName val="0942"/>
      <sheetName val="Report 18 summary DNS"/>
      <sheetName val="Report 19"/>
      <sheetName val="Report 19 to SCO"/>
      <sheetName val="Report 18 Differential"/>
    </sheetNames>
    <sheetDataSet>
      <sheetData sheetId="0">
        <row r="4">
          <cell r="A4" t="str">
            <v>As of June 30, 2024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AC75-95A4-4194-B96A-E7FF5520ACC0}">
  <sheetPr>
    <pageSetUpPr fitToPage="1"/>
  </sheetPr>
  <dimension ref="A1:K38"/>
  <sheetViews>
    <sheetView topLeftCell="A8" zoomScaleNormal="100" workbookViewId="0">
      <selection activeCell="F13" sqref="F1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8" style="14" bestFit="1" customWidth="1"/>
    <col min="5" max="5" width="1.7109375" style="14" bestFit="1" customWidth="1"/>
    <col min="6" max="6" width="16.28515625" style="14" bestFit="1" customWidth="1"/>
    <col min="7" max="7" width="2.7109375" style="14" customWidth="1"/>
    <col min="8" max="8" width="16.28515625" style="14" bestFit="1" customWidth="1"/>
    <col min="9" max="9" width="2.7109375" style="14" customWidth="1"/>
    <col min="10" max="10" width="18" style="14" bestFit="1" customWidth="1"/>
    <col min="12" max="12" width="18" bestFit="1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">
        <v>3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5"/>
      <c r="F6" s="6" t="s">
        <v>6</v>
      </c>
      <c r="G6" s="7"/>
      <c r="H6" s="6" t="s">
        <v>7</v>
      </c>
      <c r="I6" s="7"/>
      <c r="J6" s="4" t="s">
        <v>8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ht="15" customHeight="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>
        <v>22635551.510000002</v>
      </c>
      <c r="E9" s="5"/>
      <c r="F9" s="10"/>
      <c r="G9" s="5"/>
      <c r="H9" s="9"/>
      <c r="I9" s="5"/>
      <c r="J9" s="11">
        <f>D9+F9-H9</f>
        <v>22635551.510000002</v>
      </c>
    </row>
    <row r="10" spans="1:11" ht="15" customHeight="1" x14ac:dyDescent="0.25">
      <c r="A10" s="1"/>
      <c r="B10" s="1" t="s">
        <v>11</v>
      </c>
      <c r="C10" s="1"/>
      <c r="D10" s="2">
        <v>1427304941.3499999</v>
      </c>
      <c r="E10" s="5">
        <v>2</v>
      </c>
      <c r="F10" s="12">
        <v>2967387.42</v>
      </c>
      <c r="G10" s="5"/>
      <c r="H10" s="2"/>
      <c r="I10" s="5"/>
      <c r="J10" s="13">
        <f>D10+F10-H10</f>
        <v>1430272328.77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5"/>
      <c r="H11" s="2"/>
      <c r="I11" s="5"/>
      <c r="J11" s="13"/>
    </row>
    <row r="12" spans="1:11" ht="15" customHeight="1" x14ac:dyDescent="0.25">
      <c r="A12" s="1"/>
      <c r="B12" s="1" t="s">
        <v>13</v>
      </c>
      <c r="C12" s="1"/>
      <c r="D12" s="2">
        <v>667711531.55999994</v>
      </c>
      <c r="E12" s="5">
        <v>3</v>
      </c>
      <c r="F12" s="2">
        <v>65364521.899999999</v>
      </c>
      <c r="G12" s="5"/>
      <c r="H12" s="2">
        <v>14531832.529999999</v>
      </c>
      <c r="I12" s="5">
        <v>4</v>
      </c>
      <c r="J12" s="13">
        <f>D12+F12-H12</f>
        <v>718544220.92999995</v>
      </c>
    </row>
    <row r="13" spans="1:11" ht="15" customHeight="1" x14ac:dyDescent="0.25">
      <c r="A13" s="1"/>
      <c r="B13" s="1" t="s">
        <v>14</v>
      </c>
      <c r="C13" s="1"/>
      <c r="D13" s="2">
        <v>545479916.80999994</v>
      </c>
      <c r="E13" s="5"/>
      <c r="F13" s="2">
        <v>75777628.420000002</v>
      </c>
      <c r="G13" s="5"/>
      <c r="H13" s="2">
        <v>2967387.42</v>
      </c>
      <c r="I13" s="5">
        <v>5</v>
      </c>
      <c r="J13" s="13">
        <f>D13+F13-H13</f>
        <v>618290157.80999994</v>
      </c>
    </row>
    <row r="14" spans="1:11" ht="15" customHeight="1" x14ac:dyDescent="0.25">
      <c r="A14" s="1"/>
      <c r="B14" s="1" t="s">
        <v>15</v>
      </c>
      <c r="C14" s="1"/>
      <c r="D14" s="2"/>
      <c r="E14" s="5"/>
      <c r="F14" s="2"/>
      <c r="G14" s="5"/>
      <c r="H14" s="2"/>
      <c r="I14" s="5"/>
      <c r="J14" s="13"/>
    </row>
    <row r="15" spans="1:11" ht="15" customHeight="1" x14ac:dyDescent="0.25">
      <c r="A15" s="3" t="s">
        <v>16</v>
      </c>
      <c r="B15" s="1"/>
      <c r="C15" s="1"/>
      <c r="D15" s="2"/>
      <c r="E15" s="5"/>
      <c r="F15" s="2"/>
      <c r="G15" s="5"/>
      <c r="H15" s="2"/>
      <c r="I15" s="5"/>
      <c r="J15" s="13"/>
    </row>
    <row r="16" spans="1:11" ht="15" customHeight="1" x14ac:dyDescent="0.25">
      <c r="A16" s="1"/>
      <c r="B16" s="1" t="s">
        <v>17</v>
      </c>
      <c r="C16" s="1"/>
      <c r="D16" s="2">
        <v>588822535.49000001</v>
      </c>
      <c r="E16" s="5"/>
      <c r="F16" s="2">
        <v>7379859.21</v>
      </c>
      <c r="G16" s="5"/>
      <c r="H16" s="2">
        <v>26063.25</v>
      </c>
      <c r="I16" s="5"/>
      <c r="J16" s="13">
        <f>D16+F16-H16</f>
        <v>596176331.45000005</v>
      </c>
    </row>
    <row r="17" spans="1:10" ht="15" customHeight="1" x14ac:dyDescent="0.25">
      <c r="A17" s="1"/>
      <c r="B17" s="1" t="s">
        <v>18</v>
      </c>
      <c r="C17" s="1"/>
      <c r="D17" s="2"/>
      <c r="E17" s="5"/>
      <c r="F17" s="2"/>
      <c r="G17" s="5"/>
      <c r="H17" s="2"/>
      <c r="I17" s="5"/>
      <c r="J17" s="13"/>
    </row>
    <row r="18" spans="1:10" ht="15" customHeight="1" x14ac:dyDescent="0.25">
      <c r="A18" s="1"/>
      <c r="B18" s="1" t="s">
        <v>19</v>
      </c>
      <c r="C18" s="1"/>
      <c r="D18" s="2"/>
      <c r="E18" s="5"/>
      <c r="F18" s="2"/>
      <c r="G18" s="5"/>
      <c r="H18" s="2"/>
      <c r="I18" s="5"/>
      <c r="J18" s="13"/>
    </row>
    <row r="19" spans="1:10" ht="15" customHeight="1" x14ac:dyDescent="0.25">
      <c r="A19" s="1"/>
      <c r="B19" s="1" t="s">
        <v>20</v>
      </c>
      <c r="C19" s="1"/>
      <c r="D19" s="2"/>
      <c r="E19" s="5"/>
      <c r="F19" s="2"/>
      <c r="G19" s="5"/>
      <c r="H19" s="2"/>
      <c r="I19" s="5"/>
      <c r="J19" s="13"/>
    </row>
    <row r="20" spans="1:10" x14ac:dyDescent="0.25">
      <c r="A20" s="1"/>
      <c r="B20" s="1" t="s">
        <v>21</v>
      </c>
      <c r="C20" s="1"/>
      <c r="D20" s="2"/>
      <c r="E20" s="2"/>
      <c r="F20" s="2"/>
      <c r="G20" s="2"/>
      <c r="H20" s="2"/>
      <c r="I20" s="2"/>
    </row>
    <row r="21" spans="1:10" ht="16.5" x14ac:dyDescent="0.25">
      <c r="A21" s="1"/>
      <c r="B21" s="1" t="s">
        <v>22</v>
      </c>
      <c r="C21" s="1"/>
      <c r="D21" s="2">
        <v>462342823.93000001</v>
      </c>
      <c r="E21" s="5"/>
      <c r="F21" s="2"/>
      <c r="G21" s="2"/>
      <c r="H21" s="2"/>
      <c r="I21" s="2"/>
      <c r="J21" s="14">
        <f t="shared" ref="J21:J22" si="0">D21+F21-H21</f>
        <v>462342823.93000001</v>
      </c>
    </row>
    <row r="22" spans="1:10" ht="16.5" x14ac:dyDescent="0.25">
      <c r="A22" s="1"/>
      <c r="B22" s="1" t="s">
        <v>23</v>
      </c>
      <c r="C22" s="1"/>
      <c r="D22" s="2"/>
      <c r="E22" s="5"/>
      <c r="F22" s="2"/>
      <c r="G22" s="2"/>
      <c r="H22" s="2"/>
      <c r="I22" s="2"/>
      <c r="J22" s="14">
        <f t="shared" si="0"/>
        <v>0</v>
      </c>
    </row>
    <row r="23" spans="1:10" s="20" customFormat="1" ht="29.25" customHeight="1" x14ac:dyDescent="0.25">
      <c r="A23" s="15"/>
      <c r="B23" s="16" t="s">
        <v>24</v>
      </c>
      <c r="C23" s="15"/>
      <c r="D23" s="17">
        <v>49905589.909999996</v>
      </c>
      <c r="E23" s="18"/>
      <c r="F23" s="17"/>
      <c r="G23" s="18"/>
      <c r="H23" s="17"/>
      <c r="I23" s="18"/>
      <c r="J23" s="19">
        <f>D23+F23-H23</f>
        <v>49905589.909999996</v>
      </c>
    </row>
    <row r="24" spans="1:10" ht="15" customHeight="1" x14ac:dyDescent="0.25">
      <c r="A24" s="1"/>
      <c r="B24" s="1" t="s">
        <v>25</v>
      </c>
      <c r="C24" s="1"/>
      <c r="D24" s="2"/>
      <c r="E24" s="5"/>
      <c r="F24" s="2"/>
      <c r="G24" s="5"/>
      <c r="H24" s="2"/>
      <c r="I24" s="5"/>
      <c r="J24" s="13"/>
    </row>
    <row r="25" spans="1:10" ht="15" customHeight="1" x14ac:dyDescent="0.25">
      <c r="A25" s="1"/>
      <c r="B25" s="1" t="s">
        <v>26</v>
      </c>
      <c r="C25" s="1"/>
      <c r="D25" s="2"/>
      <c r="E25" s="5"/>
      <c r="F25" s="2"/>
      <c r="G25" s="5"/>
      <c r="H25" s="2"/>
      <c r="I25" s="5"/>
      <c r="J25" s="13"/>
    </row>
    <row r="26" spans="1:10" ht="15" customHeight="1" x14ac:dyDescent="0.25">
      <c r="A26" s="1"/>
      <c r="B26" s="1" t="s">
        <v>27</v>
      </c>
      <c r="C26" s="1"/>
      <c r="D26" s="2"/>
      <c r="E26" s="5"/>
      <c r="F26" s="2"/>
      <c r="G26" s="5"/>
      <c r="H26" s="2"/>
      <c r="I26" s="5"/>
      <c r="J26" s="13"/>
    </row>
    <row r="27" spans="1:10" ht="15" customHeight="1" x14ac:dyDescent="0.25">
      <c r="A27" s="1"/>
      <c r="B27" s="1" t="s">
        <v>28</v>
      </c>
      <c r="C27" s="1"/>
      <c r="D27" s="21">
        <v>87084812.239999995</v>
      </c>
      <c r="E27" s="5"/>
      <c r="F27" s="21">
        <v>19886113.149999999</v>
      </c>
      <c r="G27" s="5"/>
      <c r="H27" s="21">
        <v>7168156.6500000004</v>
      </c>
      <c r="I27" s="5">
        <v>6</v>
      </c>
      <c r="J27" s="13">
        <f>D27+F27-H27</f>
        <v>99802768.73999998</v>
      </c>
    </row>
    <row r="28" spans="1:10" ht="15.75" thickBot="1" x14ac:dyDescent="0.3">
      <c r="A28" s="3" t="s">
        <v>29</v>
      </c>
      <c r="B28" s="1"/>
      <c r="C28" s="1"/>
      <c r="D28" s="22">
        <f>SUM(D9:D27)</f>
        <v>3851287702.7999988</v>
      </c>
      <c r="E28" s="11"/>
      <c r="F28" s="23">
        <f>SUM(F9:F27)</f>
        <v>171375510.10000002</v>
      </c>
      <c r="G28" s="11"/>
      <c r="H28" s="23">
        <f>SUM(H9:H27)</f>
        <v>24693439.850000001</v>
      </c>
      <c r="I28" s="11"/>
      <c r="J28" s="22">
        <f>SUM(J9:J27)</f>
        <v>3997969773.0499997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ht="15" customHeight="1" x14ac:dyDescent="0.25">
      <c r="A30" s="24">
        <v>1</v>
      </c>
      <c r="B30" s="1" t="s">
        <v>30</v>
      </c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2</v>
      </c>
      <c r="B31" s="1" t="s">
        <v>31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/>
      <c r="B32" s="1" t="s">
        <v>32</v>
      </c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1" t="s">
        <v>33</v>
      </c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1" t="s">
        <v>34</v>
      </c>
      <c r="C34" s="1"/>
      <c r="D34" s="2"/>
      <c r="E34" s="2"/>
      <c r="F34" s="2"/>
      <c r="G34" s="2"/>
      <c r="H34" s="2"/>
      <c r="I34" s="2"/>
      <c r="J34" s="2"/>
    </row>
    <row r="35" spans="1:10" ht="15" customHeight="1" x14ac:dyDescent="0.25">
      <c r="A35" s="24">
        <v>3</v>
      </c>
      <c r="B35" s="1" t="s">
        <v>35</v>
      </c>
      <c r="C35" s="1"/>
      <c r="D35" s="1"/>
      <c r="E35" s="1"/>
      <c r="F35" s="1"/>
      <c r="G35" s="1"/>
      <c r="H35" s="1"/>
      <c r="I35" s="2"/>
      <c r="J35" s="2"/>
    </row>
    <row r="36" spans="1:10" ht="15" customHeight="1" x14ac:dyDescent="0.25">
      <c r="A36" s="24">
        <v>4</v>
      </c>
      <c r="B36" s="1" t="s">
        <v>36</v>
      </c>
      <c r="C36" s="1"/>
      <c r="D36" s="1"/>
      <c r="E36" s="1"/>
      <c r="F36" s="1"/>
      <c r="G36" s="1"/>
      <c r="H36" s="1"/>
      <c r="I36" s="2"/>
      <c r="J36" s="2"/>
    </row>
    <row r="37" spans="1:10" ht="15" customHeight="1" x14ac:dyDescent="0.25">
      <c r="A37" s="24">
        <v>5</v>
      </c>
      <c r="B37" s="1" t="s">
        <v>37</v>
      </c>
      <c r="C37" s="1"/>
      <c r="D37" s="1"/>
      <c r="E37" s="1"/>
      <c r="F37" s="1"/>
      <c r="G37" s="1"/>
      <c r="H37" s="1"/>
      <c r="I37" s="2"/>
      <c r="J37" s="2"/>
    </row>
    <row r="38" spans="1:10" ht="16.5" x14ac:dyDescent="0.25">
      <c r="A38" s="24">
        <v>6</v>
      </c>
      <c r="B38" s="1" t="s">
        <v>38</v>
      </c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63F0-4B0B-40EC-B010-D08372FDAD57}">
  <sheetPr>
    <pageSetUpPr fitToPage="1"/>
  </sheetPr>
  <dimension ref="A1:V39"/>
  <sheetViews>
    <sheetView topLeftCell="C3" zoomScale="90" zoomScaleNormal="90" workbookViewId="0">
      <selection activeCell="F13" sqref="F13"/>
    </sheetView>
  </sheetViews>
  <sheetFormatPr defaultRowHeight="15" x14ac:dyDescent="0.25"/>
  <cols>
    <col min="1" max="1" width="1.7109375" customWidth="1"/>
    <col min="2" max="2" width="9" customWidth="1"/>
    <col min="3" max="3" width="34.85546875" customWidth="1"/>
    <col min="4" max="4" width="1.7109375" customWidth="1"/>
    <col min="5" max="5" width="17.7109375" style="14" bestFit="1" customWidth="1"/>
    <col min="6" max="6" width="1.7109375" style="14" customWidth="1"/>
    <col min="7" max="7" width="17.7109375" style="14" bestFit="1" customWidth="1"/>
    <col min="8" max="8" width="1.7109375" style="14" customWidth="1"/>
    <col min="9" max="9" width="15.7109375" style="14" customWidth="1"/>
    <col min="10" max="10" width="1.140625" style="14" customWidth="1"/>
    <col min="11" max="11" width="15.7109375" style="14" customWidth="1"/>
    <col min="12" max="12" width="1.28515625" customWidth="1"/>
    <col min="13" max="13" width="15.7109375" customWidth="1"/>
    <col min="14" max="14" width="1.28515625" customWidth="1"/>
    <col min="15" max="15" width="15.140625" customWidth="1"/>
    <col min="16" max="16" width="1.28515625" customWidth="1"/>
    <col min="17" max="17" width="16.140625" bestFit="1" customWidth="1"/>
    <col min="18" max="18" width="1.28515625" customWidth="1"/>
    <col min="19" max="19" width="15.7109375" customWidth="1"/>
    <col min="20" max="20" width="1.28515625" customWidth="1"/>
    <col min="21" max="21" width="1.7109375" customWidth="1"/>
    <col min="22" max="22" width="15.7109375" customWidth="1"/>
  </cols>
  <sheetData>
    <row r="1" spans="1:22" x14ac:dyDescent="0.25">
      <c r="A1" s="25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x14ac:dyDescent="0.25">
      <c r="A3" s="25" t="s">
        <v>40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x14ac:dyDescent="0.2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22" x14ac:dyDescent="0.25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thickBot="1" x14ac:dyDescent="0.3">
      <c r="A7" s="1"/>
      <c r="B7" s="1"/>
      <c r="C7" s="1"/>
      <c r="D7" s="1"/>
      <c r="E7" s="2"/>
      <c r="F7" s="2"/>
      <c r="G7" s="2"/>
      <c r="H7" s="2"/>
      <c r="I7" s="2"/>
      <c r="J7" s="26"/>
      <c r="K7" s="27" t="s">
        <v>41</v>
      </c>
      <c r="L7" s="27"/>
      <c r="M7" s="27"/>
      <c r="N7" s="27"/>
      <c r="O7" s="27"/>
      <c r="P7" s="27"/>
      <c r="Q7" s="27"/>
      <c r="R7" s="27"/>
      <c r="S7" s="27"/>
      <c r="T7" s="27"/>
      <c r="U7" s="1"/>
      <c r="V7" s="1"/>
    </row>
    <row r="8" spans="1:22" x14ac:dyDescent="0.25">
      <c r="A8" s="1"/>
      <c r="B8" s="1"/>
      <c r="C8" s="1"/>
      <c r="D8" s="1"/>
      <c r="E8" s="28" t="s">
        <v>42</v>
      </c>
      <c r="F8" s="29"/>
      <c r="G8" s="28" t="s">
        <v>43</v>
      </c>
      <c r="H8" s="29"/>
      <c r="I8" s="28" t="s">
        <v>44</v>
      </c>
      <c r="J8" s="30"/>
      <c r="K8" s="28" t="s">
        <v>45</v>
      </c>
      <c r="L8" s="29"/>
      <c r="M8" s="28" t="s">
        <v>46</v>
      </c>
      <c r="N8" s="29"/>
      <c r="O8" s="28" t="s">
        <v>47</v>
      </c>
      <c r="P8" s="29"/>
      <c r="Q8" s="28" t="s">
        <v>48</v>
      </c>
      <c r="R8" s="29"/>
      <c r="S8" s="28" t="s">
        <v>49</v>
      </c>
      <c r="T8" s="29"/>
      <c r="U8" s="29"/>
      <c r="V8" s="28" t="s">
        <v>49</v>
      </c>
    </row>
    <row r="9" spans="1:22" ht="93.75" x14ac:dyDescent="0.25">
      <c r="A9" s="3"/>
      <c r="B9" s="1"/>
      <c r="C9" s="1"/>
      <c r="D9" s="1"/>
      <c r="E9" s="31" t="s">
        <v>50</v>
      </c>
      <c r="F9" s="29"/>
      <c r="G9" s="31" t="s">
        <v>51</v>
      </c>
      <c r="H9" s="29"/>
      <c r="I9" s="32" t="s">
        <v>52</v>
      </c>
      <c r="J9" s="30"/>
      <c r="K9" s="31" t="s">
        <v>53</v>
      </c>
      <c r="L9" s="1"/>
      <c r="M9" s="31" t="s">
        <v>54</v>
      </c>
      <c r="N9" s="1"/>
      <c r="O9" s="31" t="s">
        <v>55</v>
      </c>
      <c r="P9" s="1"/>
      <c r="Q9" s="33" t="s">
        <v>56</v>
      </c>
      <c r="R9" s="1"/>
      <c r="S9" s="33" t="s">
        <v>57</v>
      </c>
      <c r="T9" s="1"/>
      <c r="U9" s="1"/>
      <c r="V9" s="31" t="s">
        <v>58</v>
      </c>
    </row>
    <row r="10" spans="1:22" x14ac:dyDescent="0.25">
      <c r="A10" s="1"/>
      <c r="B10" s="1"/>
      <c r="C10" s="1"/>
      <c r="D10" s="1"/>
      <c r="E10" s="2"/>
      <c r="F10" s="2"/>
      <c r="G10" s="2"/>
      <c r="H10" s="2"/>
      <c r="I10" s="2"/>
      <c r="J10" s="26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" t="s">
        <v>9</v>
      </c>
      <c r="B11" s="1"/>
      <c r="C11" s="1"/>
      <c r="D11" s="1"/>
      <c r="E11" s="2"/>
      <c r="F11" s="2"/>
      <c r="G11" s="2"/>
      <c r="H11" s="2"/>
      <c r="I11" s="2"/>
      <c r="J11" s="26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 t="s">
        <v>10</v>
      </c>
      <c r="C12" s="1"/>
      <c r="D12" s="1"/>
      <c r="E12" s="34">
        <v>22635551.510000002</v>
      </c>
      <c r="F12" s="34"/>
      <c r="G12" s="34">
        <v>22635551.510000002</v>
      </c>
      <c r="H12" s="34"/>
      <c r="I12" s="35">
        <f t="shared" ref="I12:I14" si="0">G12-E12</f>
        <v>0</v>
      </c>
      <c r="J12" s="36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5">
        <f>SUM(K12:T12)</f>
        <v>0</v>
      </c>
    </row>
    <row r="13" spans="1:22" x14ac:dyDescent="0.25">
      <c r="A13" s="1"/>
      <c r="B13" s="1" t="s">
        <v>11</v>
      </c>
      <c r="C13" s="1"/>
      <c r="D13" s="1"/>
      <c r="E13" s="34">
        <v>1422281314.6900001</v>
      </c>
      <c r="F13" s="34"/>
      <c r="G13" s="34">
        <v>1427304941.3499999</v>
      </c>
      <c r="H13" s="34"/>
      <c r="I13" s="35">
        <f t="shared" si="0"/>
        <v>5023626.6599998474</v>
      </c>
      <c r="J13" s="36"/>
      <c r="K13" s="34"/>
      <c r="L13" s="34"/>
      <c r="M13" s="34">
        <v>-3561674.04</v>
      </c>
      <c r="N13" s="34"/>
      <c r="O13" s="34">
        <v>-2763634.53</v>
      </c>
      <c r="P13" s="34"/>
      <c r="Q13" s="34">
        <v>11465733.98</v>
      </c>
      <c r="R13" s="34"/>
      <c r="S13" s="34">
        <v>-116798.75</v>
      </c>
      <c r="T13" s="34"/>
      <c r="U13" s="34"/>
      <c r="V13" s="35">
        <f>SUM(K13:T13)</f>
        <v>5023626.66</v>
      </c>
    </row>
    <row r="14" spans="1:22" x14ac:dyDescent="0.25">
      <c r="A14" s="1"/>
      <c r="B14" s="1" t="s">
        <v>13</v>
      </c>
      <c r="C14" s="1"/>
      <c r="D14" s="1"/>
      <c r="E14" s="34">
        <v>667488556.61000013</v>
      </c>
      <c r="F14" s="34"/>
      <c r="G14" s="34">
        <v>667711531.55999994</v>
      </c>
      <c r="H14" s="34"/>
      <c r="I14" s="35">
        <f t="shared" si="0"/>
        <v>222974.94999980927</v>
      </c>
      <c r="J14" s="36"/>
      <c r="K14" s="34">
        <v>222974.95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>
        <f>SUM(K14:T14)</f>
        <v>222974.95</v>
      </c>
    </row>
    <row r="15" spans="1:22" x14ac:dyDescent="0.25">
      <c r="A15" s="1"/>
      <c r="B15" s="1" t="s">
        <v>14</v>
      </c>
      <c r="C15" s="1"/>
      <c r="D15" s="1"/>
      <c r="E15" s="34">
        <v>545479916.81000006</v>
      </c>
      <c r="F15" s="34"/>
      <c r="G15" s="34">
        <v>545479916.80999994</v>
      </c>
      <c r="H15" s="34"/>
      <c r="I15" s="35">
        <f>G15-E15</f>
        <v>0</v>
      </c>
      <c r="J15" s="36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>
        <f>SUM(K15:T15)</f>
        <v>0</v>
      </c>
    </row>
    <row r="16" spans="1:22" x14ac:dyDescent="0.25">
      <c r="A16" s="3" t="s">
        <v>16</v>
      </c>
      <c r="B16" s="1"/>
      <c r="C16" s="1"/>
      <c r="D16" s="1"/>
      <c r="E16" s="34"/>
      <c r="F16" s="34"/>
      <c r="G16" s="34"/>
      <c r="H16" s="34"/>
      <c r="I16" s="35"/>
      <c r="J16" s="36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/>
    </row>
    <row r="17" spans="1:22" x14ac:dyDescent="0.25">
      <c r="A17" s="1"/>
      <c r="B17" s="1" t="s">
        <v>17</v>
      </c>
      <c r="C17" s="1"/>
      <c r="D17" s="1"/>
      <c r="E17" s="34">
        <v>588822535.49000001</v>
      </c>
      <c r="F17" s="34"/>
      <c r="G17" s="34">
        <v>588822535.49000001</v>
      </c>
      <c r="H17" s="34"/>
      <c r="I17" s="35">
        <f t="shared" ref="I17:I28" si="1">G17-E17</f>
        <v>0</v>
      </c>
      <c r="J17" s="36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>
        <f t="shared" ref="V17:V28" si="2">SUM(K17:T17)</f>
        <v>0</v>
      </c>
    </row>
    <row r="18" spans="1:22" x14ac:dyDescent="0.25">
      <c r="A18" s="1"/>
      <c r="B18" s="1" t="s">
        <v>18</v>
      </c>
      <c r="C18" s="1"/>
      <c r="D18" s="1"/>
      <c r="E18" s="34"/>
      <c r="F18" s="34"/>
      <c r="G18" s="34"/>
      <c r="H18" s="34"/>
      <c r="I18" s="35">
        <f t="shared" si="1"/>
        <v>0</v>
      </c>
      <c r="J18" s="36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5">
        <f t="shared" si="2"/>
        <v>0</v>
      </c>
    </row>
    <row r="19" spans="1:22" x14ac:dyDescent="0.25">
      <c r="A19" s="1"/>
      <c r="B19" s="1" t="s">
        <v>19</v>
      </c>
      <c r="C19" s="1"/>
      <c r="D19" s="1"/>
      <c r="E19" s="34"/>
      <c r="F19" s="34"/>
      <c r="G19" s="34"/>
      <c r="H19" s="34"/>
      <c r="I19" s="35">
        <f t="shared" si="1"/>
        <v>0</v>
      </c>
      <c r="J19" s="36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5">
        <f t="shared" si="2"/>
        <v>0</v>
      </c>
    </row>
    <row r="20" spans="1:22" x14ac:dyDescent="0.25">
      <c r="A20" s="1"/>
      <c r="B20" s="1" t="s">
        <v>20</v>
      </c>
      <c r="C20" s="1"/>
      <c r="D20" s="1"/>
      <c r="E20" s="34"/>
      <c r="F20" s="34"/>
      <c r="G20" s="34"/>
      <c r="H20" s="34"/>
      <c r="I20" s="35">
        <f t="shared" si="1"/>
        <v>0</v>
      </c>
      <c r="J20" s="36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5">
        <f t="shared" si="2"/>
        <v>0</v>
      </c>
    </row>
    <row r="21" spans="1:22" x14ac:dyDescent="0.25">
      <c r="A21" s="1"/>
      <c r="B21" s="1" t="s">
        <v>21</v>
      </c>
      <c r="C21" s="1"/>
      <c r="D21" s="1"/>
      <c r="E21" s="34"/>
      <c r="F21" s="34"/>
      <c r="G21" s="34"/>
      <c r="H21" s="34"/>
      <c r="I21" s="35">
        <f t="shared" si="1"/>
        <v>0</v>
      </c>
      <c r="J21" s="36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5">
        <f t="shared" si="2"/>
        <v>0</v>
      </c>
    </row>
    <row r="22" spans="1:22" x14ac:dyDescent="0.25">
      <c r="A22" s="1"/>
      <c r="B22" s="1" t="s">
        <v>22</v>
      </c>
      <c r="C22" s="1"/>
      <c r="D22" s="1"/>
      <c r="E22" s="34">
        <v>462342823.93000001</v>
      </c>
      <c r="F22" s="34"/>
      <c r="G22" s="34">
        <v>462342823.93000001</v>
      </c>
      <c r="H22" s="34"/>
      <c r="I22" s="35">
        <f t="shared" si="1"/>
        <v>0</v>
      </c>
      <c r="J22" s="36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5">
        <f t="shared" si="2"/>
        <v>0</v>
      </c>
    </row>
    <row r="23" spans="1:22" x14ac:dyDescent="0.25">
      <c r="A23" s="1"/>
      <c r="B23" s="1" t="s">
        <v>23</v>
      </c>
      <c r="C23" s="1"/>
      <c r="D23" s="1"/>
      <c r="E23" s="34"/>
      <c r="F23" s="34"/>
      <c r="G23" s="34"/>
      <c r="H23" s="34"/>
      <c r="I23" s="35">
        <f t="shared" si="1"/>
        <v>0</v>
      </c>
      <c r="J23" s="36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>
        <f t="shared" si="2"/>
        <v>0</v>
      </c>
    </row>
    <row r="24" spans="1:22" s="41" customFormat="1" ht="31.5" customHeight="1" x14ac:dyDescent="0.25">
      <c r="A24" s="37"/>
      <c r="B24" s="49" t="s">
        <v>59</v>
      </c>
      <c r="C24" s="49"/>
      <c r="D24" s="37"/>
      <c r="E24" s="34">
        <v>49905589.909999996</v>
      </c>
      <c r="F24" s="34"/>
      <c r="G24" s="34">
        <v>49905589.909999996</v>
      </c>
      <c r="H24" s="38"/>
      <c r="I24" s="39">
        <f>G24-E24</f>
        <v>0</v>
      </c>
      <c r="J24" s="40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5">
        <f t="shared" si="2"/>
        <v>0</v>
      </c>
    </row>
    <row r="25" spans="1:22" x14ac:dyDescent="0.25">
      <c r="A25" s="1"/>
      <c r="B25" s="1" t="s">
        <v>25</v>
      </c>
      <c r="C25" s="1"/>
      <c r="D25" s="1"/>
      <c r="E25" s="34"/>
      <c r="F25" s="34"/>
      <c r="G25" s="34"/>
      <c r="H25" s="34"/>
      <c r="I25" s="35">
        <f t="shared" si="1"/>
        <v>0</v>
      </c>
      <c r="J25" s="36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5">
        <f t="shared" si="2"/>
        <v>0</v>
      </c>
    </row>
    <row r="26" spans="1:22" x14ac:dyDescent="0.25">
      <c r="A26" s="1"/>
      <c r="B26" s="1" t="s">
        <v>26</v>
      </c>
      <c r="C26" s="1"/>
      <c r="D26" s="1"/>
      <c r="E26" s="34"/>
      <c r="F26" s="34"/>
      <c r="G26" s="34"/>
      <c r="H26" s="34"/>
      <c r="I26" s="35">
        <f t="shared" si="1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2"/>
        <v>0</v>
      </c>
    </row>
    <row r="27" spans="1:22" x14ac:dyDescent="0.25">
      <c r="A27" s="1"/>
      <c r="B27" s="1" t="s">
        <v>27</v>
      </c>
      <c r="C27" s="1"/>
      <c r="D27" s="1"/>
      <c r="E27" s="34"/>
      <c r="F27" s="34"/>
      <c r="G27" s="34"/>
      <c r="H27" s="34"/>
      <c r="I27" s="35">
        <f t="shared" si="1"/>
        <v>0</v>
      </c>
      <c r="J27" s="36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>
        <f t="shared" si="2"/>
        <v>0</v>
      </c>
    </row>
    <row r="28" spans="1:22" x14ac:dyDescent="0.25">
      <c r="A28" s="1"/>
      <c r="B28" s="1" t="s">
        <v>28</v>
      </c>
      <c r="C28" s="1"/>
      <c r="D28" s="1"/>
      <c r="E28" s="42">
        <v>87084812.24000001</v>
      </c>
      <c r="F28" s="34"/>
      <c r="G28" s="42">
        <v>87084812.239999995</v>
      </c>
      <c r="H28" s="34"/>
      <c r="I28" s="35">
        <f t="shared" si="1"/>
        <v>0</v>
      </c>
      <c r="J28" s="36"/>
      <c r="K28" s="42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5">
        <f t="shared" si="2"/>
        <v>0</v>
      </c>
    </row>
    <row r="29" spans="1:22" ht="15.75" thickBot="1" x14ac:dyDescent="0.3">
      <c r="A29" s="43" t="s">
        <v>60</v>
      </c>
      <c r="E29" s="44">
        <f>SUM(E12:E28)</f>
        <v>3846041101.1900005</v>
      </c>
      <c r="F29" s="35"/>
      <c r="G29" s="44">
        <f>SUM(G12:G28)</f>
        <v>3851287702.7999988</v>
      </c>
      <c r="H29" s="35"/>
      <c r="I29" s="44">
        <f>SUM(I12:I28)</f>
        <v>5246601.6099996567</v>
      </c>
      <c r="J29" s="45"/>
      <c r="K29" s="44">
        <f>SUM(K12:K28)</f>
        <v>222974.95</v>
      </c>
      <c r="L29" s="35"/>
      <c r="M29" s="44">
        <f>SUM(M12:M28)</f>
        <v>-3561674.04</v>
      </c>
      <c r="N29" s="35"/>
      <c r="O29" s="44">
        <f>SUM(O12:O28)</f>
        <v>-2763634.53</v>
      </c>
      <c r="P29" s="35"/>
      <c r="Q29" s="44">
        <f>SUM(Q12:Q28)</f>
        <v>11465733.98</v>
      </c>
      <c r="R29" s="35"/>
      <c r="S29" s="44">
        <f>SUM(S12:S28)</f>
        <v>-116798.75</v>
      </c>
      <c r="T29" s="35"/>
      <c r="U29" s="35"/>
      <c r="V29" s="44">
        <f>SUM(V12:V28)</f>
        <v>5246601.6100000003</v>
      </c>
    </row>
    <row r="30" spans="1:22" ht="15.75" thickTop="1" x14ac:dyDescent="0.25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</sheetData>
  <mergeCells count="1">
    <mergeCell ref="B24:C24"/>
  </mergeCells>
  <printOptions horizontalCentered="1"/>
  <pageMargins left="0" right="0" top="0.75" bottom="0.75" header="0.3" footer="0.3"/>
  <pageSetup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B74F-6CD4-4F0F-8288-2E63400E4C2D}">
  <sheetPr>
    <pageSetUpPr fitToPage="1"/>
  </sheetPr>
  <dimension ref="A1:K38"/>
  <sheetViews>
    <sheetView topLeftCell="A4" zoomScaleNormal="100" workbookViewId="0">
      <selection activeCell="F13" sqref="F1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4" customWidth="1"/>
    <col min="5" max="5" width="2.7109375" style="14" customWidth="1"/>
    <col min="6" max="6" width="15.7109375" style="14" customWidth="1"/>
    <col min="7" max="7" width="2.7109375" style="14" customWidth="1"/>
    <col min="8" max="8" width="15.7109375" style="14" customWidth="1"/>
    <col min="9" max="9" width="2.7109375" style="14" customWidth="1"/>
    <col min="10" max="10" width="15.7109375" style="14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61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62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/>
      <c r="E9" s="5"/>
      <c r="F9" s="9"/>
      <c r="G9" s="9"/>
      <c r="H9" s="9"/>
      <c r="I9" s="9"/>
      <c r="J9" s="11"/>
    </row>
    <row r="10" spans="1:11" ht="15" customHeight="1" x14ac:dyDescent="0.25">
      <c r="A10" s="1"/>
      <c r="B10" s="1" t="s">
        <v>11</v>
      </c>
      <c r="C10" s="1"/>
      <c r="D10" s="10"/>
      <c r="E10" s="5">
        <v>2</v>
      </c>
      <c r="F10" s="2"/>
      <c r="G10" s="2"/>
      <c r="H10" s="2"/>
      <c r="I10" s="2"/>
      <c r="J10" s="46"/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2"/>
      <c r="E12" s="5"/>
      <c r="F12" s="2"/>
      <c r="G12" s="2"/>
      <c r="H12" s="2"/>
      <c r="I12" s="2"/>
    </row>
    <row r="13" spans="1:11" ht="16.5" x14ac:dyDescent="0.25">
      <c r="A13" s="1"/>
      <c r="B13" s="1" t="s">
        <v>14</v>
      </c>
      <c r="C13" s="1"/>
      <c r="D13" s="2"/>
      <c r="E13" s="5"/>
      <c r="F13" s="2"/>
      <c r="G13" s="2"/>
      <c r="H13" s="2"/>
      <c r="I13" s="2"/>
    </row>
    <row r="14" spans="1:11" x14ac:dyDescent="0.25">
      <c r="A14" s="1"/>
      <c r="B14" s="1" t="s">
        <v>15</v>
      </c>
      <c r="C14" s="1"/>
      <c r="D14" s="2"/>
      <c r="E14" s="2"/>
      <c r="F14" s="2"/>
      <c r="G14" s="2"/>
      <c r="H14" s="2"/>
      <c r="I14" s="2"/>
    </row>
    <row r="15" spans="1:11" x14ac:dyDescent="0.25">
      <c r="A15" s="3" t="s">
        <v>16</v>
      </c>
      <c r="B15" s="1"/>
      <c r="C15" s="1"/>
      <c r="D15" s="2"/>
      <c r="E15" s="2"/>
      <c r="F15" s="2"/>
      <c r="G15" s="2"/>
      <c r="H15" s="2"/>
      <c r="I15" s="2"/>
    </row>
    <row r="16" spans="1:11" x14ac:dyDescent="0.25">
      <c r="A16" s="1"/>
      <c r="B16" s="1" t="s">
        <v>17</v>
      </c>
      <c r="C16" s="1"/>
      <c r="D16" s="2"/>
      <c r="E16" s="2"/>
      <c r="F16" s="2"/>
      <c r="G16" s="2"/>
      <c r="H16" s="2"/>
      <c r="I16" s="2"/>
    </row>
    <row r="17" spans="1:10" x14ac:dyDescent="0.25">
      <c r="A17" s="1"/>
      <c r="B17" s="1" t="s">
        <v>18</v>
      </c>
      <c r="C17" s="1"/>
      <c r="D17" s="2"/>
      <c r="E17" s="2"/>
      <c r="F17" s="2"/>
      <c r="G17" s="2"/>
      <c r="H17" s="2"/>
      <c r="I17" s="2"/>
    </row>
    <row r="18" spans="1:10" x14ac:dyDescent="0.25">
      <c r="A18" s="1"/>
      <c r="B18" s="1" t="s">
        <v>19</v>
      </c>
      <c r="C18" s="1"/>
      <c r="D18" s="2"/>
      <c r="E18" s="2"/>
      <c r="F18" s="2"/>
      <c r="G18" s="2"/>
      <c r="H18" s="2"/>
      <c r="I18" s="2"/>
    </row>
    <row r="19" spans="1:10" x14ac:dyDescent="0.25">
      <c r="A19" s="1"/>
      <c r="B19" s="1" t="s">
        <v>20</v>
      </c>
      <c r="C19" s="1"/>
      <c r="D19" s="2"/>
      <c r="E19" s="2"/>
      <c r="F19" s="2"/>
      <c r="G19" s="2"/>
      <c r="H19" s="2"/>
      <c r="I19" s="2"/>
    </row>
    <row r="20" spans="1:10" ht="15" customHeight="1" x14ac:dyDescent="0.25">
      <c r="A20" s="1"/>
      <c r="B20" s="1" t="s">
        <v>21</v>
      </c>
      <c r="C20" s="1"/>
      <c r="D20" s="2"/>
      <c r="E20" s="5"/>
      <c r="F20" s="2"/>
      <c r="G20" s="5"/>
      <c r="H20" s="2"/>
      <c r="I20" s="5"/>
      <c r="J20" s="13"/>
    </row>
    <row r="21" spans="1:10" x14ac:dyDescent="0.25">
      <c r="A21" s="1"/>
      <c r="B21" s="1" t="s">
        <v>22</v>
      </c>
      <c r="C21" s="1"/>
      <c r="D21" s="2"/>
      <c r="E21" s="2"/>
      <c r="F21" s="2"/>
      <c r="G21" s="2"/>
      <c r="H21" s="2"/>
      <c r="I21" s="2"/>
    </row>
    <row r="22" spans="1:10" x14ac:dyDescent="0.25">
      <c r="A22" s="1"/>
      <c r="B22" s="1" t="s">
        <v>23</v>
      </c>
      <c r="C22" s="1"/>
      <c r="D22" s="2"/>
      <c r="E22" s="2"/>
      <c r="F22" s="2"/>
      <c r="G22" s="2"/>
      <c r="H22" s="2"/>
      <c r="I22" s="2"/>
    </row>
    <row r="23" spans="1:10" ht="30" x14ac:dyDescent="0.25">
      <c r="A23" s="1"/>
      <c r="B23" s="16" t="s">
        <v>24</v>
      </c>
      <c r="C23" s="1"/>
      <c r="D23" s="2"/>
      <c r="E23" s="2"/>
      <c r="F23" s="2"/>
      <c r="G23" s="2"/>
      <c r="H23" s="2"/>
      <c r="I23" s="2"/>
    </row>
    <row r="24" spans="1:10" x14ac:dyDescent="0.25">
      <c r="A24" s="1"/>
      <c r="B24" s="1" t="s">
        <v>25</v>
      </c>
      <c r="C24" s="1"/>
      <c r="D24" s="2"/>
      <c r="E24" s="2"/>
      <c r="F24" s="2"/>
      <c r="G24" s="2"/>
      <c r="H24" s="2"/>
      <c r="I24" s="2"/>
    </row>
    <row r="25" spans="1:10" x14ac:dyDescent="0.25">
      <c r="A25" s="1"/>
      <c r="B25" s="1" t="s">
        <v>26</v>
      </c>
      <c r="C25" s="1"/>
      <c r="D25" s="2"/>
      <c r="E25" s="2"/>
      <c r="F25" s="2"/>
      <c r="G25" s="2"/>
      <c r="H25" s="2"/>
      <c r="I25" s="2"/>
    </row>
    <row r="26" spans="1:10" x14ac:dyDescent="0.25">
      <c r="A26" s="1"/>
      <c r="B26" s="1" t="s">
        <v>27</v>
      </c>
      <c r="C26" s="1"/>
      <c r="D26" s="2"/>
      <c r="E26" s="2"/>
      <c r="F26" s="2"/>
      <c r="G26" s="2"/>
      <c r="H26" s="2"/>
      <c r="I26" s="2"/>
    </row>
    <row r="27" spans="1:10" x14ac:dyDescent="0.25">
      <c r="A27" s="1"/>
      <c r="B27" s="1" t="s">
        <v>28</v>
      </c>
      <c r="C27" s="1"/>
      <c r="D27" s="2"/>
      <c r="E27" s="2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3">
        <f>SUM(D9:D24)</f>
        <v>0</v>
      </c>
      <c r="E28" s="11"/>
      <c r="F28" s="23">
        <f>SUM(F9:F24)</f>
        <v>0</v>
      </c>
      <c r="G28" s="11"/>
      <c r="H28" s="23">
        <f>SUM(H9:H24)</f>
        <v>0</v>
      </c>
      <c r="I28" s="11"/>
      <c r="J28" s="23">
        <f>SUM(J9:J24)</f>
        <v>0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>
        <v>2</v>
      </c>
      <c r="B32" s="1" t="s">
        <v>63</v>
      </c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1"/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47"/>
      <c r="C34" s="1"/>
      <c r="D34" s="2"/>
      <c r="E34" s="2"/>
      <c r="F34" s="2"/>
      <c r="G34" s="2"/>
      <c r="H34" s="2"/>
      <c r="I34" s="2"/>
      <c r="J34" s="2"/>
    </row>
    <row r="35" spans="1:10" ht="16.5" x14ac:dyDescent="0.25">
      <c r="A35" s="24"/>
      <c r="B35" s="1"/>
      <c r="C35" s="1"/>
      <c r="D35" s="2"/>
      <c r="E35" s="2"/>
      <c r="F35" s="2"/>
      <c r="G35" s="2"/>
      <c r="H35" s="2"/>
      <c r="I35" s="2"/>
      <c r="J35" s="2"/>
    </row>
    <row r="36" spans="1:10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spans="1:10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</row>
    <row r="38" spans="1:10" x14ac:dyDescent="0.25">
      <c r="A38" s="1"/>
      <c r="B38" s="1"/>
      <c r="C38" s="1"/>
      <c r="D38" s="2"/>
      <c r="E38" s="2"/>
      <c r="F38" s="2"/>
      <c r="G38" s="2"/>
      <c r="H38" s="2"/>
      <c r="I38" s="2"/>
      <c r="J38" s="2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AFBF-C3EF-46F0-BE3C-1F12B79F11CE}">
  <sheetPr>
    <pageSetUpPr fitToPage="1"/>
  </sheetPr>
  <dimension ref="A1:V39"/>
  <sheetViews>
    <sheetView topLeftCell="A6" zoomScale="90" zoomScaleNormal="90" workbookViewId="0">
      <selection activeCell="F13" sqref="F13"/>
    </sheetView>
  </sheetViews>
  <sheetFormatPr defaultRowHeight="15" x14ac:dyDescent="0.25"/>
  <cols>
    <col min="1" max="1" width="1.7109375" customWidth="1"/>
    <col min="2" max="2" width="9" customWidth="1"/>
    <col min="3" max="3" width="34.85546875" customWidth="1"/>
    <col min="4" max="4" width="1.7109375" customWidth="1"/>
    <col min="5" max="5" width="17.7109375" style="14" bestFit="1" customWidth="1"/>
    <col min="6" max="6" width="1.7109375" style="14" customWidth="1"/>
    <col min="7" max="7" width="17.7109375" style="14" bestFit="1" customWidth="1"/>
    <col min="8" max="8" width="1.7109375" style="14" customWidth="1"/>
    <col min="9" max="9" width="16.85546875" style="14" bestFit="1" customWidth="1"/>
    <col min="10" max="10" width="1.140625" style="14" customWidth="1"/>
    <col min="11" max="11" width="15.7109375" style="14" customWidth="1"/>
    <col min="12" max="12" width="1.28515625" customWidth="1"/>
    <col min="13" max="13" width="15.7109375" customWidth="1"/>
    <col min="14" max="14" width="1.28515625" customWidth="1"/>
    <col min="15" max="15" width="15.140625" hidden="1" customWidth="1"/>
    <col min="16" max="16" width="1.28515625" hidden="1" customWidth="1"/>
    <col min="17" max="17" width="16.140625" bestFit="1" customWidth="1"/>
    <col min="18" max="18" width="1.28515625" customWidth="1"/>
    <col min="19" max="19" width="15.7109375" customWidth="1"/>
    <col min="20" max="20" width="1.28515625" customWidth="1"/>
    <col min="21" max="21" width="1.7109375" customWidth="1"/>
    <col min="22" max="22" width="15.7109375" customWidth="1"/>
  </cols>
  <sheetData>
    <row r="1" spans="1:22" x14ac:dyDescent="0.25">
      <c r="A1" s="25" t="s">
        <v>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x14ac:dyDescent="0.25">
      <c r="A3" s="25" t="s">
        <v>40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x14ac:dyDescent="0.25">
      <c r="A4" s="25" t="s">
        <v>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spans="1:22" x14ac:dyDescent="0.25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thickBot="1" x14ac:dyDescent="0.3">
      <c r="A7" s="1"/>
      <c r="B7" s="1"/>
      <c r="C7" s="1"/>
      <c r="D7" s="1"/>
      <c r="E7" s="2"/>
      <c r="F7" s="2"/>
      <c r="G7" s="2"/>
      <c r="H7" s="2"/>
      <c r="I7" s="2"/>
      <c r="J7" s="26"/>
      <c r="K7" s="27" t="s">
        <v>41</v>
      </c>
      <c r="L7" s="27"/>
      <c r="M7" s="27"/>
      <c r="N7" s="27"/>
      <c r="O7" s="27"/>
      <c r="P7" s="27"/>
      <c r="Q7" s="27"/>
      <c r="R7" s="27"/>
      <c r="S7" s="27"/>
      <c r="T7" s="27"/>
      <c r="U7" s="1"/>
      <c r="V7" s="1"/>
    </row>
    <row r="8" spans="1:22" x14ac:dyDescent="0.25">
      <c r="A8" s="1"/>
      <c r="B8" s="1"/>
      <c r="C8" s="1"/>
      <c r="D8" s="1"/>
      <c r="E8" s="28" t="s">
        <v>42</v>
      </c>
      <c r="F8" s="29"/>
      <c r="G8" s="28" t="s">
        <v>43</v>
      </c>
      <c r="H8" s="29"/>
      <c r="I8" s="28" t="s">
        <v>44</v>
      </c>
      <c r="J8" s="30"/>
      <c r="K8" s="28" t="s">
        <v>45</v>
      </c>
      <c r="L8" s="29"/>
      <c r="M8" s="28" t="s">
        <v>46</v>
      </c>
      <c r="N8" s="29"/>
      <c r="O8" s="28" t="s">
        <v>47</v>
      </c>
      <c r="P8" s="29"/>
      <c r="Q8" s="28" t="s">
        <v>47</v>
      </c>
      <c r="R8" s="29"/>
      <c r="S8" s="28" t="s">
        <v>48</v>
      </c>
      <c r="T8" s="29"/>
      <c r="U8" s="29"/>
      <c r="V8" s="28" t="s">
        <v>49</v>
      </c>
    </row>
    <row r="9" spans="1:22" ht="93.75" x14ac:dyDescent="0.25">
      <c r="A9" s="3"/>
      <c r="B9" s="1"/>
      <c r="C9" s="1"/>
      <c r="D9" s="1"/>
      <c r="E9" s="31" t="s">
        <v>50</v>
      </c>
      <c r="F9" s="29"/>
      <c r="G9" s="31" t="s">
        <v>51</v>
      </c>
      <c r="H9" s="29"/>
      <c r="I9" s="32" t="s">
        <v>52</v>
      </c>
      <c r="J9" s="30"/>
      <c r="K9" s="31" t="s">
        <v>53</v>
      </c>
      <c r="L9" s="1"/>
      <c r="M9" s="31" t="s">
        <v>54</v>
      </c>
      <c r="N9" s="1"/>
      <c r="O9" s="31" t="s">
        <v>64</v>
      </c>
      <c r="P9" s="1"/>
      <c r="Q9" s="33" t="s">
        <v>56</v>
      </c>
      <c r="R9" s="1"/>
      <c r="S9" s="33" t="s">
        <v>57</v>
      </c>
      <c r="T9" s="1"/>
      <c r="U9" s="1"/>
      <c r="V9" s="31" t="s">
        <v>58</v>
      </c>
    </row>
    <row r="10" spans="1:22" x14ac:dyDescent="0.25">
      <c r="A10" s="1"/>
      <c r="B10" s="1"/>
      <c r="C10" s="1"/>
      <c r="D10" s="1"/>
      <c r="E10" s="2"/>
      <c r="F10" s="2"/>
      <c r="G10" s="2"/>
      <c r="H10" s="2"/>
      <c r="I10" s="2"/>
      <c r="J10" s="26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" t="s">
        <v>9</v>
      </c>
      <c r="B11" s="1"/>
      <c r="C11" s="1"/>
      <c r="D11" s="1"/>
      <c r="E11" s="2"/>
      <c r="F11" s="2"/>
      <c r="G11" s="2"/>
      <c r="H11" s="2"/>
      <c r="I11" s="2"/>
      <c r="J11" s="26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 t="s">
        <v>10</v>
      </c>
      <c r="C12" s="1"/>
      <c r="D12" s="1"/>
      <c r="E12" s="34"/>
      <c r="F12" s="34"/>
      <c r="G12" s="34"/>
      <c r="H12" s="34"/>
      <c r="I12" s="35">
        <f t="shared" ref="I12:I14" si="0">G12-E12</f>
        <v>0</v>
      </c>
      <c r="J12" s="36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5">
        <f>SUM(K12:T12)</f>
        <v>0</v>
      </c>
    </row>
    <row r="13" spans="1:22" x14ac:dyDescent="0.25">
      <c r="A13" s="1"/>
      <c r="B13" s="1" t="s">
        <v>11</v>
      </c>
      <c r="C13" s="1"/>
      <c r="D13" s="1"/>
      <c r="E13" s="34">
        <v>11465733.98</v>
      </c>
      <c r="F13" s="34"/>
      <c r="G13" s="34"/>
      <c r="H13" s="34"/>
      <c r="I13" s="35">
        <f t="shared" si="0"/>
        <v>-11465733.98</v>
      </c>
      <c r="J13" s="36"/>
      <c r="K13" s="34"/>
      <c r="L13" s="34"/>
      <c r="M13" s="34"/>
      <c r="N13" s="34"/>
      <c r="O13" s="34"/>
      <c r="P13" s="34"/>
      <c r="Q13" s="34">
        <v>11465733.98</v>
      </c>
      <c r="R13" s="34"/>
      <c r="S13" s="34"/>
      <c r="T13" s="34"/>
      <c r="U13" s="34"/>
      <c r="V13" s="35">
        <f>SUM(K13:T13)</f>
        <v>11465733.98</v>
      </c>
    </row>
    <row r="14" spans="1:22" x14ac:dyDescent="0.25">
      <c r="A14" s="1"/>
      <c r="B14" s="1" t="s">
        <v>13</v>
      </c>
      <c r="C14" s="1"/>
      <c r="D14" s="1"/>
      <c r="E14" s="34"/>
      <c r="F14" s="34"/>
      <c r="G14" s="34"/>
      <c r="H14" s="34"/>
      <c r="I14" s="35">
        <f t="shared" si="0"/>
        <v>0</v>
      </c>
      <c r="J14" s="36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5">
        <f>SUM(K14:T14)</f>
        <v>0</v>
      </c>
    </row>
    <row r="15" spans="1:22" x14ac:dyDescent="0.25">
      <c r="A15" s="1"/>
      <c r="B15" s="1" t="s">
        <v>14</v>
      </c>
      <c r="C15" s="1"/>
      <c r="D15" s="1"/>
      <c r="E15" s="34"/>
      <c r="F15" s="34"/>
      <c r="G15" s="34"/>
      <c r="H15" s="34"/>
      <c r="I15" s="35">
        <f>G15-E15</f>
        <v>0</v>
      </c>
      <c r="J15" s="36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>
        <f>SUM(K15:T15)</f>
        <v>0</v>
      </c>
    </row>
    <row r="16" spans="1:22" x14ac:dyDescent="0.25">
      <c r="A16" s="3" t="s">
        <v>16</v>
      </c>
      <c r="B16" s="1"/>
      <c r="C16" s="1"/>
      <c r="D16" s="1"/>
      <c r="E16" s="34"/>
      <c r="F16" s="34"/>
      <c r="G16" s="34"/>
      <c r="H16" s="34"/>
      <c r="I16" s="35"/>
      <c r="J16" s="36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5"/>
    </row>
    <row r="17" spans="1:22" x14ac:dyDescent="0.25">
      <c r="A17" s="1"/>
      <c r="B17" s="1" t="s">
        <v>17</v>
      </c>
      <c r="C17" s="1"/>
      <c r="D17" s="1"/>
      <c r="E17" s="34"/>
      <c r="F17" s="34"/>
      <c r="G17" s="34"/>
      <c r="H17" s="34"/>
      <c r="I17" s="35">
        <f t="shared" ref="I17:I28" si="1">G17-E17</f>
        <v>0</v>
      </c>
      <c r="J17" s="36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5">
        <f t="shared" ref="V17:V28" si="2">SUM(K17:T17)</f>
        <v>0</v>
      </c>
    </row>
    <row r="18" spans="1:22" x14ac:dyDescent="0.25">
      <c r="A18" s="1"/>
      <c r="B18" s="1" t="s">
        <v>18</v>
      </c>
      <c r="C18" s="1"/>
      <c r="D18" s="1"/>
      <c r="E18" s="34"/>
      <c r="F18" s="34"/>
      <c r="G18" s="34"/>
      <c r="H18" s="34"/>
      <c r="I18" s="35">
        <f t="shared" si="1"/>
        <v>0</v>
      </c>
      <c r="J18" s="36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5">
        <f t="shared" si="2"/>
        <v>0</v>
      </c>
    </row>
    <row r="19" spans="1:22" x14ac:dyDescent="0.25">
      <c r="A19" s="1"/>
      <c r="B19" s="1" t="s">
        <v>19</v>
      </c>
      <c r="C19" s="1"/>
      <c r="D19" s="1"/>
      <c r="E19" s="34"/>
      <c r="F19" s="34"/>
      <c r="G19" s="34"/>
      <c r="H19" s="34"/>
      <c r="I19" s="35">
        <f t="shared" si="1"/>
        <v>0</v>
      </c>
      <c r="J19" s="36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5">
        <f t="shared" si="2"/>
        <v>0</v>
      </c>
    </row>
    <row r="20" spans="1:22" x14ac:dyDescent="0.25">
      <c r="A20" s="1"/>
      <c r="B20" s="1" t="s">
        <v>20</v>
      </c>
      <c r="C20" s="1"/>
      <c r="D20" s="1"/>
      <c r="E20" s="34"/>
      <c r="F20" s="34"/>
      <c r="G20" s="34"/>
      <c r="H20" s="34"/>
      <c r="I20" s="35">
        <f t="shared" si="1"/>
        <v>0</v>
      </c>
      <c r="J20" s="36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5">
        <f t="shared" si="2"/>
        <v>0</v>
      </c>
    </row>
    <row r="21" spans="1:22" x14ac:dyDescent="0.25">
      <c r="A21" s="1"/>
      <c r="B21" s="1" t="s">
        <v>21</v>
      </c>
      <c r="C21" s="1"/>
      <c r="D21" s="1"/>
      <c r="E21" s="34"/>
      <c r="F21" s="34"/>
      <c r="G21" s="34"/>
      <c r="H21" s="34"/>
      <c r="I21" s="35">
        <f t="shared" si="1"/>
        <v>0</v>
      </c>
      <c r="J21" s="36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5">
        <f t="shared" si="2"/>
        <v>0</v>
      </c>
    </row>
    <row r="22" spans="1:22" x14ac:dyDescent="0.25">
      <c r="A22" s="1"/>
      <c r="B22" s="1" t="s">
        <v>22</v>
      </c>
      <c r="C22" s="1"/>
      <c r="D22" s="1"/>
      <c r="E22" s="34"/>
      <c r="F22" s="34"/>
      <c r="G22" s="34"/>
      <c r="H22" s="34"/>
      <c r="I22" s="35">
        <f t="shared" si="1"/>
        <v>0</v>
      </c>
      <c r="J22" s="36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5">
        <f t="shared" si="2"/>
        <v>0</v>
      </c>
    </row>
    <row r="23" spans="1:22" x14ac:dyDescent="0.25">
      <c r="A23" s="1"/>
      <c r="B23" s="1" t="s">
        <v>23</v>
      </c>
      <c r="C23" s="1"/>
      <c r="D23" s="1"/>
      <c r="E23" s="34"/>
      <c r="F23" s="34"/>
      <c r="G23" s="34"/>
      <c r="H23" s="34"/>
      <c r="I23" s="35">
        <f t="shared" si="1"/>
        <v>0</v>
      </c>
      <c r="J23" s="36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5">
        <f t="shared" si="2"/>
        <v>0</v>
      </c>
    </row>
    <row r="24" spans="1:22" s="41" customFormat="1" ht="31.5" customHeight="1" x14ac:dyDescent="0.25">
      <c r="A24" s="37"/>
      <c r="B24" s="49" t="s">
        <v>59</v>
      </c>
      <c r="C24" s="49"/>
      <c r="D24" s="37"/>
      <c r="E24" s="34"/>
      <c r="F24" s="34"/>
      <c r="G24" s="38"/>
      <c r="H24" s="38"/>
      <c r="I24" s="39">
        <f>G24-E24</f>
        <v>0</v>
      </c>
      <c r="J24" s="40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5">
        <f t="shared" si="2"/>
        <v>0</v>
      </c>
    </row>
    <row r="25" spans="1:22" x14ac:dyDescent="0.25">
      <c r="A25" s="1"/>
      <c r="B25" s="1" t="s">
        <v>25</v>
      </c>
      <c r="C25" s="1"/>
      <c r="D25" s="1"/>
      <c r="E25" s="34"/>
      <c r="F25" s="34"/>
      <c r="G25" s="34"/>
      <c r="H25" s="34"/>
      <c r="I25" s="35">
        <f t="shared" si="1"/>
        <v>0</v>
      </c>
      <c r="J25" s="36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5">
        <f t="shared" si="2"/>
        <v>0</v>
      </c>
    </row>
    <row r="26" spans="1:22" x14ac:dyDescent="0.25">
      <c r="A26" s="1"/>
      <c r="B26" s="1" t="s">
        <v>26</v>
      </c>
      <c r="C26" s="1"/>
      <c r="D26" s="1"/>
      <c r="E26" s="34"/>
      <c r="F26" s="34"/>
      <c r="G26" s="34"/>
      <c r="H26" s="34"/>
      <c r="I26" s="35">
        <f t="shared" si="1"/>
        <v>0</v>
      </c>
      <c r="J26" s="36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5">
        <f t="shared" si="2"/>
        <v>0</v>
      </c>
    </row>
    <row r="27" spans="1:22" x14ac:dyDescent="0.25">
      <c r="A27" s="1"/>
      <c r="B27" s="1" t="s">
        <v>27</v>
      </c>
      <c r="C27" s="1"/>
      <c r="D27" s="1"/>
      <c r="E27" s="34"/>
      <c r="F27" s="34"/>
      <c r="G27" s="34"/>
      <c r="H27" s="34"/>
      <c r="I27" s="35">
        <f t="shared" si="1"/>
        <v>0</v>
      </c>
      <c r="J27" s="36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5">
        <f t="shared" si="2"/>
        <v>0</v>
      </c>
    </row>
    <row r="28" spans="1:22" x14ac:dyDescent="0.25">
      <c r="A28" s="1"/>
      <c r="B28" s="1" t="s">
        <v>28</v>
      </c>
      <c r="C28" s="1"/>
      <c r="D28" s="1"/>
      <c r="E28" s="42"/>
      <c r="F28" s="34"/>
      <c r="G28" s="42"/>
      <c r="H28" s="34"/>
      <c r="I28" s="35">
        <f t="shared" si="1"/>
        <v>0</v>
      </c>
      <c r="J28" s="36"/>
      <c r="K28" s="42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5">
        <f t="shared" si="2"/>
        <v>0</v>
      </c>
    </row>
    <row r="29" spans="1:22" ht="15.75" thickBot="1" x14ac:dyDescent="0.3">
      <c r="A29" s="43" t="s">
        <v>60</v>
      </c>
      <c r="E29" s="44">
        <f>SUM(E12:E28)</f>
        <v>11465733.98</v>
      </c>
      <c r="F29" s="35"/>
      <c r="G29" s="44">
        <f>SUM(G12:G28)</f>
        <v>0</v>
      </c>
      <c r="H29" s="35"/>
      <c r="I29" s="44">
        <f>SUM(I12:I28)</f>
        <v>-11465733.98</v>
      </c>
      <c r="J29" s="45"/>
      <c r="K29" s="44">
        <f>SUM(K12:K28)</f>
        <v>0</v>
      </c>
      <c r="L29" s="35"/>
      <c r="M29" s="44">
        <f>SUM(M12:M28)</f>
        <v>0</v>
      </c>
      <c r="N29" s="35"/>
      <c r="O29" s="44">
        <f>SUM(O12:O28)</f>
        <v>0</v>
      </c>
      <c r="P29" s="35"/>
      <c r="Q29" s="44">
        <f>SUM(Q12:Q28)</f>
        <v>11465733.98</v>
      </c>
      <c r="R29" s="35"/>
      <c r="S29" s="44">
        <f>SUM(S12:S28)</f>
        <v>0</v>
      </c>
      <c r="T29" s="35"/>
      <c r="U29" s="35"/>
      <c r="V29" s="44">
        <f>SUM(V12:V28)</f>
        <v>11465733.98</v>
      </c>
    </row>
    <row r="30" spans="1:22" ht="15.75" thickTop="1" x14ac:dyDescent="0.25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</sheetData>
  <mergeCells count="1">
    <mergeCell ref="B24:C24"/>
  </mergeCells>
  <printOptions horizontalCentered="1"/>
  <pageMargins left="0.25" right="0.25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B227-013C-4BB9-B86B-CE7B15FEBD46}">
  <sheetPr>
    <pageSetUpPr fitToPage="1"/>
  </sheetPr>
  <dimension ref="A1:K36"/>
  <sheetViews>
    <sheetView zoomScaleNormal="100" workbookViewId="0">
      <selection activeCell="F13" sqref="F1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8" style="14" bestFit="1" customWidth="1"/>
    <col min="5" max="5" width="2.7109375" style="14" customWidth="1"/>
    <col min="6" max="6" width="16.28515625" style="14" bestFit="1" customWidth="1"/>
    <col min="7" max="7" width="2.7109375" style="14" customWidth="1"/>
    <col min="8" max="8" width="15.7109375" style="14" customWidth="1"/>
    <col min="9" max="9" width="2.7109375" style="14" customWidth="1"/>
    <col min="10" max="10" width="18" style="14" bestFit="1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65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8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>
        <v>27118863.73</v>
      </c>
      <c r="E9" s="5"/>
      <c r="F9" s="9"/>
      <c r="G9" s="9"/>
      <c r="H9" s="9"/>
      <c r="I9" s="9"/>
      <c r="J9" s="11">
        <f>D9+F9-H9</f>
        <v>27118863.73</v>
      </c>
    </row>
    <row r="10" spans="1:11" ht="15" customHeight="1" x14ac:dyDescent="0.25">
      <c r="A10" s="1"/>
      <c r="B10" s="1" t="s">
        <v>11</v>
      </c>
      <c r="C10" s="1"/>
      <c r="D10" s="2">
        <v>4603626081.9300003</v>
      </c>
      <c r="E10" s="5"/>
      <c r="F10" s="2">
        <v>2015700.75</v>
      </c>
      <c r="G10" s="2"/>
      <c r="H10" s="2"/>
      <c r="I10" s="2"/>
      <c r="J10" s="14">
        <f t="shared" ref="J10:J13" si="0">D10+F10-H10</f>
        <v>4605641782.6800003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2">
        <v>26110764.98</v>
      </c>
      <c r="E12" s="5"/>
      <c r="F12" s="2"/>
      <c r="G12" s="2"/>
      <c r="H12" s="2">
        <v>101080.94</v>
      </c>
      <c r="I12" s="5">
        <v>2</v>
      </c>
      <c r="J12" s="14">
        <f t="shared" si="0"/>
        <v>26009684.039999999</v>
      </c>
    </row>
    <row r="13" spans="1:11" ht="15" customHeight="1" x14ac:dyDescent="0.25">
      <c r="A13" s="1"/>
      <c r="B13" s="1" t="s">
        <v>14</v>
      </c>
      <c r="C13" s="1"/>
      <c r="D13" s="2">
        <v>702579620.26999998</v>
      </c>
      <c r="E13" s="5"/>
      <c r="F13" s="2">
        <v>101611455.98999999</v>
      </c>
      <c r="G13" s="2"/>
      <c r="H13" s="2">
        <v>2015700.75</v>
      </c>
      <c r="I13" s="5">
        <v>3</v>
      </c>
      <c r="J13" s="14">
        <f t="shared" si="0"/>
        <v>802175375.50999999</v>
      </c>
    </row>
    <row r="14" spans="1:11" x14ac:dyDescent="0.25">
      <c r="A14" s="1"/>
      <c r="B14" s="1" t="s">
        <v>15</v>
      </c>
      <c r="C14" s="1"/>
      <c r="D14" s="2"/>
      <c r="E14" s="2"/>
      <c r="F14" s="2"/>
      <c r="G14" s="2"/>
      <c r="H14" s="2"/>
      <c r="I14" s="2"/>
    </row>
    <row r="15" spans="1:11" x14ac:dyDescent="0.25">
      <c r="A15" s="3" t="s">
        <v>16</v>
      </c>
      <c r="B15" s="1"/>
      <c r="C15" s="1"/>
      <c r="D15" s="2"/>
      <c r="E15" s="2"/>
      <c r="F15" s="2"/>
      <c r="G15" s="2"/>
      <c r="H15" s="2"/>
      <c r="I15" s="2"/>
    </row>
    <row r="16" spans="1:11" x14ac:dyDescent="0.25">
      <c r="A16" s="1"/>
      <c r="B16" s="1" t="s">
        <v>17</v>
      </c>
      <c r="C16" s="1"/>
      <c r="D16" s="2"/>
      <c r="E16" s="2"/>
      <c r="F16" s="2"/>
      <c r="G16" s="2"/>
      <c r="H16" s="2"/>
      <c r="I16" s="2"/>
    </row>
    <row r="17" spans="1:10" x14ac:dyDescent="0.25">
      <c r="A17" s="1"/>
      <c r="B17" s="1" t="s">
        <v>18</v>
      </c>
      <c r="C17" s="1"/>
      <c r="D17" s="2"/>
      <c r="E17" s="2"/>
      <c r="F17" s="2"/>
      <c r="G17" s="2"/>
      <c r="H17" s="2"/>
      <c r="I17" s="2"/>
    </row>
    <row r="18" spans="1:10" x14ac:dyDescent="0.25">
      <c r="A18" s="1"/>
      <c r="B18" s="1" t="s">
        <v>19</v>
      </c>
      <c r="C18" s="1"/>
      <c r="D18" s="2"/>
      <c r="E18" s="2"/>
      <c r="F18" s="2"/>
      <c r="G18" s="2"/>
      <c r="H18" s="2"/>
      <c r="I18" s="2"/>
    </row>
    <row r="19" spans="1:10" x14ac:dyDescent="0.25">
      <c r="A19" s="1"/>
      <c r="B19" s="1" t="s">
        <v>20</v>
      </c>
      <c r="C19" s="1"/>
      <c r="D19" s="2"/>
      <c r="E19" s="2"/>
      <c r="F19" s="2"/>
      <c r="G19" s="2"/>
      <c r="H19" s="2"/>
      <c r="I19" s="2"/>
    </row>
    <row r="20" spans="1:10" ht="15" customHeight="1" x14ac:dyDescent="0.25">
      <c r="A20" s="1"/>
      <c r="B20" s="1" t="s">
        <v>21</v>
      </c>
      <c r="C20" s="1"/>
      <c r="D20" s="2"/>
      <c r="E20" s="5"/>
      <c r="F20" s="2"/>
      <c r="G20" s="5"/>
      <c r="H20" s="2"/>
      <c r="I20" s="5"/>
      <c r="J20" s="13"/>
    </row>
    <row r="21" spans="1:10" x14ac:dyDescent="0.25">
      <c r="A21" s="1"/>
      <c r="B21" s="1" t="s">
        <v>22</v>
      </c>
      <c r="C21" s="1"/>
      <c r="D21" s="2"/>
      <c r="E21" s="2"/>
      <c r="F21" s="2"/>
      <c r="G21" s="2"/>
      <c r="H21" s="2"/>
      <c r="I21" s="2"/>
    </row>
    <row r="22" spans="1:10" x14ac:dyDescent="0.25">
      <c r="A22" s="1"/>
      <c r="B22" s="1" t="s">
        <v>23</v>
      </c>
      <c r="C22" s="1"/>
      <c r="D22" s="2"/>
      <c r="E22" s="2"/>
      <c r="F22" s="2"/>
      <c r="G22" s="2"/>
      <c r="H22" s="2"/>
      <c r="I22" s="2"/>
    </row>
    <row r="23" spans="1:10" ht="30" x14ac:dyDescent="0.25">
      <c r="A23" s="1"/>
      <c r="B23" s="16" t="s">
        <v>24</v>
      </c>
      <c r="C23" s="1"/>
      <c r="D23" s="2"/>
      <c r="E23" s="2"/>
      <c r="F23" s="2"/>
      <c r="G23" s="2"/>
      <c r="H23" s="2"/>
      <c r="I23" s="2"/>
    </row>
    <row r="24" spans="1:10" x14ac:dyDescent="0.25">
      <c r="A24" s="1"/>
      <c r="B24" s="1" t="s">
        <v>25</v>
      </c>
      <c r="C24" s="1"/>
      <c r="D24" s="2"/>
      <c r="E24" s="2"/>
      <c r="F24" s="2"/>
      <c r="G24" s="2"/>
      <c r="H24" s="2"/>
      <c r="I24" s="2"/>
    </row>
    <row r="25" spans="1:10" x14ac:dyDescent="0.25">
      <c r="A25" s="1"/>
      <c r="B25" s="1" t="s">
        <v>26</v>
      </c>
      <c r="C25" s="1"/>
      <c r="D25" s="2"/>
      <c r="E25" s="2"/>
      <c r="F25" s="2"/>
      <c r="G25" s="2"/>
      <c r="H25" s="2"/>
      <c r="I25" s="2"/>
    </row>
    <row r="26" spans="1:10" x14ac:dyDescent="0.25">
      <c r="A26" s="1"/>
      <c r="B26" s="1" t="s">
        <v>27</v>
      </c>
      <c r="C26" s="1"/>
      <c r="D26" s="2"/>
      <c r="E26" s="2"/>
      <c r="F26" s="2"/>
      <c r="G26" s="2"/>
      <c r="H26" s="2"/>
      <c r="I26" s="2"/>
    </row>
    <row r="27" spans="1:10" x14ac:dyDescent="0.25">
      <c r="A27" s="1"/>
      <c r="B27" s="1" t="s">
        <v>28</v>
      </c>
      <c r="C27" s="1"/>
      <c r="D27" s="2"/>
      <c r="E27" s="2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2">
        <f>SUM(D9:D24)</f>
        <v>5359435330.9099998</v>
      </c>
      <c r="E28" s="11"/>
      <c r="F28" s="23">
        <f>SUM(F9:F24)</f>
        <v>103627156.73999999</v>
      </c>
      <c r="G28" s="11"/>
      <c r="H28" s="23">
        <f>SUM(H9:H24)</f>
        <v>2116781.69</v>
      </c>
      <c r="I28" s="11"/>
      <c r="J28" s="22">
        <f>SUM(J9:J24)</f>
        <v>5460945705.96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>
        <v>2</v>
      </c>
      <c r="B32" s="47" t="s">
        <v>66</v>
      </c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>
        <v>3</v>
      </c>
      <c r="B33" s="47" t="s">
        <v>67</v>
      </c>
      <c r="C33" s="1"/>
      <c r="D33" s="2"/>
      <c r="E33" s="2"/>
      <c r="F33" s="2"/>
      <c r="G33" s="2"/>
      <c r="H33" s="2"/>
      <c r="I33" s="2"/>
      <c r="J33" s="2"/>
    </row>
    <row r="34" spans="1:10" x14ac:dyDescent="0.25">
      <c r="A34" s="1"/>
      <c r="B34" s="1"/>
      <c r="C34" s="1"/>
      <c r="D34" s="2"/>
      <c r="E34" s="2"/>
      <c r="F34" s="2"/>
      <c r="G34" s="2"/>
      <c r="H34" s="2"/>
      <c r="I34" s="2"/>
      <c r="J34" s="2"/>
    </row>
    <row r="35" spans="1:10" x14ac:dyDescent="0.25">
      <c r="A35" s="1"/>
      <c r="B35" s="1"/>
      <c r="C35" s="1"/>
      <c r="D35" s="2"/>
      <c r="E35" s="2"/>
      <c r="F35" s="2"/>
      <c r="G35" s="2"/>
      <c r="H35" s="2"/>
      <c r="I35" s="2"/>
      <c r="J35" s="2"/>
    </row>
    <row r="36" spans="1:10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4743-D64E-4134-B577-FBDD205326A4}">
  <sheetPr>
    <pageSetUpPr fitToPage="1"/>
  </sheetPr>
  <dimension ref="A1:K37"/>
  <sheetViews>
    <sheetView zoomScaleNormal="100" workbookViewId="0">
      <selection activeCell="F13" sqref="F1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8" style="14" bestFit="1" customWidth="1"/>
    <col min="5" max="5" width="2.7109375" style="14" customWidth="1"/>
    <col min="6" max="6" width="16.28515625" style="14" bestFit="1" customWidth="1"/>
    <col min="7" max="7" width="2.7109375" style="14" customWidth="1"/>
    <col min="8" max="8" width="15.7109375" style="14" customWidth="1"/>
    <col min="9" max="9" width="2.7109375" style="14" customWidth="1"/>
    <col min="10" max="10" width="18" style="14" bestFit="1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68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8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/>
      <c r="E9" s="5"/>
      <c r="F9" s="9"/>
      <c r="G9" s="9"/>
      <c r="H9" s="9"/>
      <c r="I9" s="9"/>
      <c r="J9" s="11"/>
    </row>
    <row r="10" spans="1:11" ht="15" customHeight="1" x14ac:dyDescent="0.25">
      <c r="A10" s="1"/>
      <c r="B10" s="1" t="s">
        <v>11</v>
      </c>
      <c r="C10" s="1"/>
      <c r="D10" s="2">
        <v>455457487.39999998</v>
      </c>
      <c r="E10" s="5"/>
      <c r="F10" s="2"/>
      <c r="G10" s="2"/>
      <c r="H10" s="2"/>
      <c r="I10" s="2"/>
      <c r="J10" s="14">
        <f t="shared" ref="J10:J13" si="0">D10+F10-H10</f>
        <v>455457487.39999998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2">
        <v>12259427.08</v>
      </c>
      <c r="E12" s="5"/>
      <c r="F12" s="2"/>
      <c r="G12" s="2"/>
      <c r="H12" s="2">
        <v>5848.2</v>
      </c>
      <c r="I12" s="5">
        <v>2</v>
      </c>
      <c r="J12" s="14">
        <f t="shared" si="0"/>
        <v>12253578.880000001</v>
      </c>
    </row>
    <row r="13" spans="1:11" ht="15" customHeight="1" x14ac:dyDescent="0.25">
      <c r="A13" s="1"/>
      <c r="B13" s="1" t="s">
        <v>14</v>
      </c>
      <c r="C13" s="1"/>
      <c r="D13" s="2">
        <v>427311618.63</v>
      </c>
      <c r="E13" s="5"/>
      <c r="F13" s="2">
        <v>1388126.94</v>
      </c>
      <c r="G13" s="2"/>
      <c r="H13" s="2"/>
      <c r="I13" s="5"/>
      <c r="J13" s="14">
        <f t="shared" si="0"/>
        <v>428699745.56999999</v>
      </c>
    </row>
    <row r="14" spans="1:11" x14ac:dyDescent="0.25">
      <c r="A14" s="1"/>
      <c r="B14" s="1" t="s">
        <v>15</v>
      </c>
      <c r="C14" s="1"/>
      <c r="D14" s="2"/>
      <c r="E14" s="2"/>
      <c r="F14" s="2"/>
      <c r="G14" s="2"/>
      <c r="H14" s="2"/>
      <c r="I14" s="2"/>
    </row>
    <row r="15" spans="1:11" x14ac:dyDescent="0.25">
      <c r="A15" s="3" t="s">
        <v>16</v>
      </c>
      <c r="B15" s="1"/>
      <c r="C15" s="1"/>
      <c r="D15" s="2"/>
      <c r="E15" s="2"/>
      <c r="F15" s="2"/>
      <c r="G15" s="2"/>
      <c r="H15" s="2"/>
      <c r="I15" s="2"/>
    </row>
    <row r="16" spans="1:11" x14ac:dyDescent="0.25">
      <c r="A16" s="1"/>
      <c r="B16" s="1" t="s">
        <v>17</v>
      </c>
      <c r="C16" s="1"/>
      <c r="D16" s="2">
        <v>5752.8</v>
      </c>
      <c r="E16" s="2"/>
      <c r="F16" s="2"/>
      <c r="G16" s="2"/>
      <c r="H16" s="2"/>
      <c r="I16" s="2"/>
      <c r="J16" s="14">
        <f t="shared" ref="J16" si="1">D16+F16-H16</f>
        <v>5752.8</v>
      </c>
    </row>
    <row r="17" spans="1:10" x14ac:dyDescent="0.25">
      <c r="A17" s="1"/>
      <c r="B17" s="1" t="s">
        <v>18</v>
      </c>
      <c r="C17" s="1"/>
      <c r="D17" s="2"/>
      <c r="E17" s="2"/>
      <c r="F17" s="2"/>
      <c r="G17" s="2"/>
      <c r="H17" s="2"/>
      <c r="I17" s="2"/>
    </row>
    <row r="18" spans="1:10" x14ac:dyDescent="0.25">
      <c r="A18" s="1"/>
      <c r="B18" s="1" t="s">
        <v>19</v>
      </c>
      <c r="C18" s="1"/>
      <c r="D18" s="2"/>
      <c r="E18" s="2"/>
      <c r="F18" s="2"/>
      <c r="G18" s="2"/>
      <c r="H18" s="2"/>
      <c r="I18" s="2"/>
    </row>
    <row r="19" spans="1:10" x14ac:dyDescent="0.25">
      <c r="A19" s="1"/>
      <c r="B19" s="1" t="s">
        <v>20</v>
      </c>
      <c r="C19" s="1"/>
      <c r="D19" s="2"/>
      <c r="E19" s="2"/>
      <c r="F19" s="2"/>
      <c r="G19" s="2"/>
      <c r="H19" s="2"/>
      <c r="I19" s="2"/>
    </row>
    <row r="20" spans="1:10" ht="15" customHeight="1" x14ac:dyDescent="0.25">
      <c r="A20" s="1"/>
      <c r="B20" s="1" t="s">
        <v>21</v>
      </c>
      <c r="C20" s="1"/>
      <c r="D20" s="2"/>
      <c r="E20" s="5"/>
      <c r="F20" s="2"/>
      <c r="G20" s="5"/>
      <c r="H20" s="2"/>
      <c r="I20" s="5"/>
      <c r="J20" s="13"/>
    </row>
    <row r="21" spans="1:10" x14ac:dyDescent="0.25">
      <c r="A21" s="1"/>
      <c r="B21" s="1" t="s">
        <v>22</v>
      </c>
      <c r="C21" s="1"/>
      <c r="D21" s="2"/>
      <c r="E21" s="2"/>
      <c r="F21" s="2"/>
      <c r="G21" s="2"/>
      <c r="H21" s="2"/>
      <c r="I21" s="2"/>
    </row>
    <row r="22" spans="1:10" x14ac:dyDescent="0.25">
      <c r="A22" s="1"/>
      <c r="B22" s="1" t="s">
        <v>23</v>
      </c>
      <c r="C22" s="1"/>
      <c r="D22" s="2"/>
      <c r="E22" s="2"/>
      <c r="F22" s="2"/>
      <c r="G22" s="2"/>
      <c r="H22" s="2"/>
      <c r="I22" s="2"/>
    </row>
    <row r="23" spans="1:10" ht="30" x14ac:dyDescent="0.25">
      <c r="A23" s="1"/>
      <c r="B23" s="16" t="s">
        <v>24</v>
      </c>
      <c r="C23" s="1"/>
      <c r="D23" s="2"/>
      <c r="E23" s="2"/>
      <c r="F23" s="2"/>
      <c r="G23" s="2"/>
      <c r="H23" s="2"/>
      <c r="I23" s="2"/>
    </row>
    <row r="24" spans="1:10" x14ac:dyDescent="0.25">
      <c r="A24" s="1"/>
      <c r="B24" s="1" t="s">
        <v>25</v>
      </c>
      <c r="C24" s="1"/>
      <c r="D24" s="2"/>
      <c r="E24" s="2"/>
      <c r="F24" s="2"/>
      <c r="G24" s="2"/>
      <c r="H24" s="2"/>
      <c r="I24" s="2"/>
    </row>
    <row r="25" spans="1:10" x14ac:dyDescent="0.25">
      <c r="A25" s="1"/>
      <c r="B25" s="1" t="s">
        <v>26</v>
      </c>
      <c r="C25" s="1"/>
      <c r="D25" s="2"/>
      <c r="E25" s="2"/>
      <c r="F25" s="2"/>
      <c r="G25" s="2"/>
      <c r="H25" s="2"/>
      <c r="I25" s="2"/>
    </row>
    <row r="26" spans="1:10" x14ac:dyDescent="0.25">
      <c r="A26" s="1"/>
      <c r="B26" s="1" t="s">
        <v>27</v>
      </c>
      <c r="C26" s="1"/>
      <c r="D26" s="2"/>
      <c r="E26" s="2"/>
      <c r="F26" s="2"/>
      <c r="G26" s="2"/>
      <c r="H26" s="2"/>
      <c r="I26" s="2"/>
    </row>
    <row r="27" spans="1:10" x14ac:dyDescent="0.25">
      <c r="A27" s="1"/>
      <c r="B27" s="1" t="s">
        <v>28</v>
      </c>
      <c r="C27" s="1"/>
      <c r="D27" s="2"/>
      <c r="E27" s="2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2">
        <f>SUM(D9:D24)</f>
        <v>895034285.90999985</v>
      </c>
      <c r="E28" s="11"/>
      <c r="F28" s="23">
        <f>SUM(F9:F24)</f>
        <v>1388126.94</v>
      </c>
      <c r="G28" s="11"/>
      <c r="H28" s="23">
        <f>SUM(H9:H24)</f>
        <v>5848.2</v>
      </c>
      <c r="I28" s="11"/>
      <c r="J28" s="22">
        <f>SUM(J9:J24)</f>
        <v>896416564.64999986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>
        <v>2</v>
      </c>
      <c r="B32" s="47" t="s">
        <v>69</v>
      </c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47"/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47"/>
      <c r="C34" s="1"/>
      <c r="D34" s="2"/>
      <c r="E34" s="2"/>
      <c r="F34" s="2"/>
      <c r="G34" s="2"/>
      <c r="H34" s="2"/>
      <c r="I34" s="2"/>
      <c r="J34" s="2"/>
    </row>
    <row r="35" spans="1:10" x14ac:dyDescent="0.25">
      <c r="A35" s="1"/>
      <c r="B35" s="1"/>
      <c r="C35" s="1"/>
      <c r="D35" s="2"/>
      <c r="E35" s="2"/>
      <c r="F35" s="2"/>
      <c r="G35" s="2"/>
      <c r="H35" s="2"/>
      <c r="I35" s="2"/>
      <c r="J35" s="2"/>
    </row>
    <row r="36" spans="1:10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spans="1:10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F7CA-AFA5-42E6-B56D-198C5F3EBF8F}">
  <sheetPr>
    <pageSetUpPr fitToPage="1"/>
  </sheetPr>
  <dimension ref="A1:K37"/>
  <sheetViews>
    <sheetView zoomScaleNormal="100" workbookViewId="0">
      <selection activeCell="D10" sqref="D10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6.28515625" style="14" bestFit="1" customWidth="1"/>
    <col min="5" max="5" width="2.7109375" style="14" customWidth="1"/>
    <col min="6" max="6" width="15.7109375" style="14" customWidth="1"/>
    <col min="7" max="7" width="2.7109375" style="14" customWidth="1"/>
    <col min="8" max="8" width="15.7109375" style="14" customWidth="1"/>
    <col min="9" max="9" width="2.7109375" style="14" customWidth="1"/>
    <col min="10" max="10" width="16.42578125" style="14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70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'[1]0001'!A4:J4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8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>
        <v>220445</v>
      </c>
      <c r="E9" s="5"/>
      <c r="F9" s="9"/>
      <c r="G9" s="9"/>
      <c r="H9" s="9"/>
      <c r="I9" s="9"/>
      <c r="J9" s="11">
        <f>D9+F9-H9</f>
        <v>220445</v>
      </c>
    </row>
    <row r="10" spans="1:11" ht="15" customHeight="1" x14ac:dyDescent="0.25">
      <c r="A10" s="1"/>
      <c r="B10" s="1" t="s">
        <v>11</v>
      </c>
      <c r="C10" s="1"/>
      <c r="D10" s="2">
        <v>322315999.02999997</v>
      </c>
      <c r="E10" s="5"/>
      <c r="F10" s="2"/>
      <c r="G10" s="2"/>
      <c r="H10" s="2"/>
      <c r="I10" s="2"/>
      <c r="J10" s="14">
        <f t="shared" ref="J10" si="0">D10+F10-H10</f>
        <v>322315999.02999997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2"/>
      <c r="E12" s="5"/>
      <c r="F12" s="2"/>
      <c r="G12" s="2"/>
      <c r="H12" s="2"/>
      <c r="I12" s="2"/>
    </row>
    <row r="13" spans="1:11" ht="15" customHeight="1" x14ac:dyDescent="0.25">
      <c r="A13" s="1"/>
      <c r="B13" s="1" t="s">
        <v>14</v>
      </c>
      <c r="C13" s="1"/>
      <c r="D13" s="2"/>
      <c r="E13" s="2"/>
      <c r="F13" s="2"/>
      <c r="G13" s="2"/>
      <c r="H13" s="2"/>
      <c r="I13" s="2"/>
    </row>
    <row r="14" spans="1:11" x14ac:dyDescent="0.25">
      <c r="A14" s="1"/>
      <c r="B14" s="1" t="s">
        <v>15</v>
      </c>
      <c r="C14" s="1"/>
      <c r="D14" s="2"/>
      <c r="E14" s="2"/>
      <c r="F14" s="2"/>
      <c r="G14" s="2"/>
      <c r="H14" s="2"/>
      <c r="I14" s="2"/>
    </row>
    <row r="15" spans="1:11" x14ac:dyDescent="0.25">
      <c r="A15" s="3" t="s">
        <v>16</v>
      </c>
      <c r="B15" s="1"/>
      <c r="C15" s="1"/>
      <c r="D15" s="2"/>
      <c r="E15" s="2"/>
      <c r="F15" s="2"/>
      <c r="G15" s="2"/>
      <c r="H15" s="2"/>
      <c r="I15" s="2"/>
    </row>
    <row r="16" spans="1:11" x14ac:dyDescent="0.25">
      <c r="A16" s="1"/>
      <c r="B16" s="1" t="s">
        <v>17</v>
      </c>
      <c r="C16" s="1"/>
      <c r="D16" s="2"/>
      <c r="E16" s="2"/>
      <c r="F16" s="2"/>
      <c r="G16" s="2"/>
      <c r="H16" s="2"/>
      <c r="I16" s="2"/>
    </row>
    <row r="17" spans="1:10" x14ac:dyDescent="0.25">
      <c r="A17" s="1"/>
      <c r="B17" s="1" t="s">
        <v>18</v>
      </c>
      <c r="C17" s="1"/>
      <c r="D17" s="2"/>
      <c r="E17" s="2"/>
      <c r="F17" s="2"/>
      <c r="G17" s="2"/>
      <c r="H17" s="2"/>
      <c r="I17" s="2"/>
    </row>
    <row r="18" spans="1:10" x14ac:dyDescent="0.25">
      <c r="A18" s="1"/>
      <c r="B18" s="1" t="s">
        <v>19</v>
      </c>
      <c r="C18" s="1"/>
      <c r="D18" s="2"/>
      <c r="E18" s="2"/>
      <c r="F18" s="2"/>
      <c r="G18" s="2"/>
      <c r="H18" s="2"/>
      <c r="I18" s="2"/>
    </row>
    <row r="19" spans="1:10" x14ac:dyDescent="0.25">
      <c r="A19" s="1"/>
      <c r="B19" s="1" t="s">
        <v>20</v>
      </c>
      <c r="C19" s="1"/>
      <c r="D19" s="2"/>
      <c r="E19" s="2"/>
      <c r="F19" s="2"/>
      <c r="G19" s="2"/>
      <c r="H19" s="2"/>
      <c r="I19" s="2"/>
    </row>
    <row r="20" spans="1:10" ht="15" customHeight="1" x14ac:dyDescent="0.25">
      <c r="A20" s="1"/>
      <c r="B20" s="1" t="s">
        <v>21</v>
      </c>
      <c r="C20" s="1"/>
      <c r="D20" s="2"/>
      <c r="E20" s="5"/>
      <c r="F20" s="2"/>
      <c r="G20" s="5"/>
      <c r="H20" s="2"/>
      <c r="I20" s="5"/>
      <c r="J20" s="13"/>
    </row>
    <row r="21" spans="1:10" x14ac:dyDescent="0.25">
      <c r="A21" s="1"/>
      <c r="B21" s="1" t="s">
        <v>22</v>
      </c>
      <c r="C21" s="1"/>
      <c r="D21" s="2"/>
      <c r="E21" s="2"/>
      <c r="F21" s="2"/>
      <c r="G21" s="2"/>
      <c r="H21" s="2"/>
      <c r="I21" s="2"/>
    </row>
    <row r="22" spans="1:10" x14ac:dyDescent="0.25">
      <c r="A22" s="1"/>
      <c r="B22" s="1" t="s">
        <v>23</v>
      </c>
      <c r="C22" s="1"/>
      <c r="D22" s="2"/>
      <c r="E22" s="2"/>
      <c r="F22" s="2"/>
      <c r="G22" s="2"/>
      <c r="H22" s="2"/>
      <c r="I22" s="2"/>
    </row>
    <row r="23" spans="1:10" ht="30" x14ac:dyDescent="0.25">
      <c r="A23" s="1"/>
      <c r="B23" s="16" t="s">
        <v>24</v>
      </c>
      <c r="C23" s="1"/>
      <c r="D23" s="2"/>
      <c r="E23" s="2"/>
      <c r="F23" s="2"/>
      <c r="G23" s="2"/>
      <c r="H23" s="2"/>
      <c r="I23" s="2"/>
    </row>
    <row r="24" spans="1:10" x14ac:dyDescent="0.25">
      <c r="A24" s="1"/>
      <c r="B24" s="1" t="s">
        <v>25</v>
      </c>
      <c r="C24" s="1"/>
      <c r="D24" s="2"/>
      <c r="E24" s="2"/>
      <c r="F24" s="2"/>
      <c r="G24" s="2"/>
      <c r="H24" s="2"/>
      <c r="I24" s="2"/>
    </row>
    <row r="25" spans="1:10" x14ac:dyDescent="0.25">
      <c r="A25" s="1"/>
      <c r="B25" s="1" t="s">
        <v>26</v>
      </c>
      <c r="C25" s="1"/>
      <c r="D25" s="2"/>
      <c r="E25" s="2"/>
      <c r="F25" s="2"/>
      <c r="G25" s="2"/>
      <c r="H25" s="2"/>
      <c r="I25" s="2"/>
    </row>
    <row r="26" spans="1:10" x14ac:dyDescent="0.25">
      <c r="A26" s="1"/>
      <c r="B26" s="1" t="s">
        <v>27</v>
      </c>
      <c r="C26" s="1"/>
      <c r="D26" s="2"/>
      <c r="E26" s="2"/>
      <c r="F26" s="2"/>
      <c r="G26" s="2"/>
      <c r="H26" s="2"/>
      <c r="I26" s="2"/>
    </row>
    <row r="27" spans="1:10" x14ac:dyDescent="0.25">
      <c r="A27" s="1"/>
      <c r="B27" s="1" t="s">
        <v>28</v>
      </c>
      <c r="C27" s="1"/>
      <c r="D27" s="2"/>
      <c r="E27" s="2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2">
        <f>SUM(D9:D24)</f>
        <v>322536444.02999997</v>
      </c>
      <c r="E28" s="11"/>
      <c r="F28" s="23">
        <f>SUM(F9:F24)</f>
        <v>0</v>
      </c>
      <c r="G28" s="11"/>
      <c r="H28" s="23">
        <f>SUM(H9:H24)</f>
        <v>0</v>
      </c>
      <c r="I28" s="11"/>
      <c r="J28" s="22">
        <f>SUM(J9:J24)</f>
        <v>322536444.02999997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/>
      <c r="B32" s="47"/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47"/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47"/>
      <c r="C34" s="1"/>
      <c r="D34" s="2"/>
      <c r="E34" s="2"/>
      <c r="F34" s="2"/>
      <c r="G34" s="2"/>
      <c r="H34" s="2"/>
      <c r="I34" s="2"/>
      <c r="J34" s="2"/>
    </row>
    <row r="35" spans="1:10" x14ac:dyDescent="0.25">
      <c r="A35" s="1"/>
      <c r="B35" s="1"/>
      <c r="C35" s="1"/>
      <c r="D35" s="2"/>
      <c r="E35" s="2"/>
      <c r="F35" s="2"/>
      <c r="G35" s="2"/>
      <c r="H35" s="2"/>
      <c r="I35" s="2"/>
      <c r="J35" s="2"/>
    </row>
    <row r="36" spans="1:10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spans="1:10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FAD2-48E3-41C3-89A6-D3E836E1CD20}">
  <sheetPr>
    <pageSetUpPr fitToPage="1"/>
  </sheetPr>
  <dimension ref="A1:K34"/>
  <sheetViews>
    <sheetView zoomScaleNormal="100" workbookViewId="0">
      <selection activeCell="P18" sqref="P18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6.28515625" style="14" bestFit="1" customWidth="1"/>
    <col min="5" max="5" width="2.7109375" style="14" customWidth="1"/>
    <col min="6" max="6" width="15.7109375" style="14" customWidth="1"/>
    <col min="7" max="7" width="2.7109375" style="14" customWidth="1"/>
    <col min="8" max="8" width="15.7109375" style="14" customWidth="1"/>
    <col min="9" max="9" width="2.7109375" style="14" customWidth="1"/>
    <col min="10" max="10" width="16.28515625" style="14" bestFit="1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71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'[1]0001'!A4:J4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62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>
        <v>13524261</v>
      </c>
      <c r="E9" s="5"/>
      <c r="F9" s="9"/>
      <c r="G9" s="9"/>
      <c r="H9" s="9"/>
      <c r="I9" s="9"/>
      <c r="J9" s="11">
        <f>D9+F9-H9</f>
        <v>13524261</v>
      </c>
    </row>
    <row r="10" spans="1:11" ht="15" customHeight="1" x14ac:dyDescent="0.25">
      <c r="A10" s="1"/>
      <c r="B10" s="1" t="s">
        <v>11</v>
      </c>
      <c r="C10" s="1"/>
      <c r="D10" s="2">
        <v>347576935.07999998</v>
      </c>
      <c r="E10" s="5"/>
      <c r="F10" s="2"/>
      <c r="G10" s="2"/>
      <c r="H10" s="2"/>
      <c r="I10" s="2"/>
      <c r="J10" s="14">
        <f t="shared" ref="J10" si="0">D10+F10-H10</f>
        <v>347576935.07999998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2"/>
      <c r="E12" s="5"/>
      <c r="F12" s="2"/>
      <c r="G12" s="2"/>
      <c r="H12" s="2"/>
      <c r="I12" s="2"/>
    </row>
    <row r="13" spans="1:11" x14ac:dyDescent="0.25">
      <c r="A13" s="1"/>
      <c r="B13" s="1" t="s">
        <v>14</v>
      </c>
      <c r="C13" s="1"/>
      <c r="D13" s="2"/>
      <c r="E13" s="2"/>
      <c r="F13" s="2"/>
      <c r="G13" s="2"/>
      <c r="H13" s="2"/>
      <c r="I13" s="2"/>
    </row>
    <row r="14" spans="1:11" x14ac:dyDescent="0.25">
      <c r="A14" s="1"/>
      <c r="B14" s="1" t="s">
        <v>15</v>
      </c>
      <c r="C14" s="1"/>
      <c r="D14" s="2"/>
      <c r="E14" s="2"/>
      <c r="F14" s="2"/>
      <c r="G14" s="2"/>
      <c r="H14" s="2"/>
      <c r="I14" s="2"/>
    </row>
    <row r="15" spans="1:11" x14ac:dyDescent="0.25">
      <c r="A15" s="3" t="s">
        <v>16</v>
      </c>
      <c r="B15" s="1"/>
      <c r="C15" s="1"/>
      <c r="D15" s="2"/>
      <c r="E15" s="2"/>
      <c r="F15" s="2"/>
      <c r="G15" s="2"/>
      <c r="H15" s="2"/>
      <c r="I15" s="2"/>
    </row>
    <row r="16" spans="1:11" x14ac:dyDescent="0.25">
      <c r="A16" s="1"/>
      <c r="B16" s="1" t="s">
        <v>17</v>
      </c>
      <c r="C16" s="1"/>
      <c r="D16" s="2"/>
      <c r="E16" s="2"/>
      <c r="F16" s="2"/>
      <c r="G16" s="2"/>
      <c r="H16" s="2"/>
      <c r="I16" s="2"/>
    </row>
    <row r="17" spans="1:10" x14ac:dyDescent="0.25">
      <c r="A17" s="1"/>
      <c r="B17" s="1" t="s">
        <v>18</v>
      </c>
      <c r="C17" s="1"/>
      <c r="D17" s="2"/>
      <c r="E17" s="2"/>
      <c r="F17" s="2"/>
      <c r="G17" s="2"/>
      <c r="H17" s="2"/>
      <c r="I17" s="2"/>
    </row>
    <row r="18" spans="1:10" x14ac:dyDescent="0.25">
      <c r="A18" s="1"/>
      <c r="B18" s="1" t="s">
        <v>19</v>
      </c>
      <c r="C18" s="1"/>
      <c r="D18" s="2"/>
      <c r="E18" s="2"/>
      <c r="F18" s="2"/>
      <c r="G18" s="2"/>
      <c r="H18" s="2"/>
      <c r="I18" s="2"/>
    </row>
    <row r="19" spans="1:10" x14ac:dyDescent="0.25">
      <c r="A19" s="1"/>
      <c r="B19" s="1" t="s">
        <v>20</v>
      </c>
      <c r="C19" s="1"/>
      <c r="D19" s="2"/>
      <c r="E19" s="2"/>
      <c r="F19" s="2"/>
      <c r="G19" s="2"/>
      <c r="H19" s="2"/>
      <c r="I19" s="2"/>
    </row>
    <row r="20" spans="1:10" x14ac:dyDescent="0.25">
      <c r="A20" s="1"/>
      <c r="B20" s="1" t="s">
        <v>21</v>
      </c>
      <c r="C20" s="1"/>
      <c r="D20" s="2"/>
      <c r="E20" s="2"/>
      <c r="F20" s="2"/>
      <c r="G20" s="2"/>
      <c r="H20" s="2"/>
      <c r="I20" s="2"/>
    </row>
    <row r="21" spans="1:10" x14ac:dyDescent="0.25">
      <c r="A21" s="1"/>
      <c r="B21" s="1" t="s">
        <v>22</v>
      </c>
      <c r="C21" s="1"/>
      <c r="D21" s="2"/>
      <c r="E21" s="2"/>
      <c r="F21" s="2"/>
      <c r="G21" s="2"/>
      <c r="H21" s="2"/>
      <c r="I21" s="2"/>
    </row>
    <row r="22" spans="1:10" x14ac:dyDescent="0.25">
      <c r="A22" s="1"/>
      <c r="B22" s="1" t="s">
        <v>23</v>
      </c>
      <c r="C22" s="1"/>
      <c r="D22" s="2"/>
      <c r="E22" s="2"/>
      <c r="F22" s="2"/>
      <c r="G22" s="2"/>
      <c r="H22" s="2"/>
      <c r="I22" s="2"/>
    </row>
    <row r="23" spans="1:10" ht="30" x14ac:dyDescent="0.25">
      <c r="A23" s="1"/>
      <c r="B23" s="16" t="s">
        <v>24</v>
      </c>
      <c r="C23" s="1"/>
      <c r="D23" s="2"/>
      <c r="E23" s="2"/>
      <c r="F23" s="2"/>
      <c r="G23" s="2"/>
      <c r="H23" s="2"/>
      <c r="I23" s="2"/>
    </row>
    <row r="24" spans="1:10" x14ac:dyDescent="0.25">
      <c r="A24" s="1"/>
      <c r="B24" s="1" t="s">
        <v>25</v>
      </c>
      <c r="C24" s="1"/>
      <c r="D24" s="2"/>
      <c r="E24" s="2"/>
      <c r="F24" s="2"/>
      <c r="G24" s="2"/>
      <c r="H24" s="2"/>
      <c r="I24" s="2"/>
    </row>
    <row r="25" spans="1:10" x14ac:dyDescent="0.25">
      <c r="A25" s="1"/>
      <c r="B25" s="1" t="s">
        <v>26</v>
      </c>
      <c r="C25" s="1"/>
      <c r="D25" s="2"/>
      <c r="E25" s="2"/>
      <c r="F25" s="2"/>
      <c r="G25" s="2"/>
      <c r="H25" s="2"/>
      <c r="I25" s="2"/>
    </row>
    <row r="26" spans="1:10" x14ac:dyDescent="0.25">
      <c r="A26" s="1"/>
      <c r="B26" s="1" t="s">
        <v>27</v>
      </c>
      <c r="C26" s="1"/>
      <c r="D26" s="2"/>
      <c r="E26" s="2"/>
      <c r="F26" s="2"/>
      <c r="G26" s="2"/>
      <c r="H26" s="2"/>
      <c r="I26" s="2"/>
    </row>
    <row r="27" spans="1:10" x14ac:dyDescent="0.25">
      <c r="A27" s="1"/>
      <c r="B27" s="1" t="s">
        <v>28</v>
      </c>
      <c r="C27" s="1"/>
      <c r="D27" s="2"/>
      <c r="E27" s="2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2">
        <f>SUM(D9:D24)</f>
        <v>361101196.07999998</v>
      </c>
      <c r="E28" s="11"/>
      <c r="F28" s="23">
        <f>SUM(F9:F24)</f>
        <v>0</v>
      </c>
      <c r="G28" s="11"/>
      <c r="H28" s="23">
        <f>SUM(H9:H24)</f>
        <v>0</v>
      </c>
      <c r="I28" s="11"/>
      <c r="J28" s="22">
        <f>SUM(J9:J24)</f>
        <v>361101196.07999998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/>
      <c r="B32" s="1"/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1"/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47"/>
      <c r="C34" s="1"/>
      <c r="D34" s="2"/>
      <c r="E34" s="2"/>
      <c r="F34" s="2"/>
      <c r="G34" s="2"/>
      <c r="H34" s="2"/>
      <c r="I34" s="2"/>
      <c r="J34" s="2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F63D-07ED-4D26-A17F-822BB97F3976}">
  <sheetPr>
    <pageSetUpPr fitToPage="1"/>
  </sheetPr>
  <dimension ref="A1:K36"/>
  <sheetViews>
    <sheetView tabSelected="1" zoomScaleNormal="100" workbookViewId="0">
      <selection activeCell="J25" sqref="J25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6.28515625" style="14" bestFit="1" customWidth="1"/>
    <col min="5" max="5" width="2.7109375" style="14" customWidth="1"/>
    <col min="6" max="6" width="15.7109375" style="14" customWidth="1"/>
    <col min="7" max="7" width="2.7109375" style="14" customWidth="1"/>
    <col min="8" max="8" width="15.7109375" style="14" customWidth="1"/>
    <col min="9" max="9" width="2.7109375" style="14" customWidth="1"/>
    <col min="10" max="10" width="16.28515625" style="14" bestFit="1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74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'[1]0001'!A4:J4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62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>
        <v>12560123</v>
      </c>
      <c r="E9" s="5"/>
      <c r="F9" s="9"/>
      <c r="G9" s="9"/>
      <c r="H9" s="9"/>
      <c r="I9" s="9"/>
      <c r="J9" s="11">
        <f>D9+F9-H9</f>
        <v>12560123</v>
      </c>
    </row>
    <row r="10" spans="1:11" ht="15" customHeight="1" x14ac:dyDescent="0.25">
      <c r="A10" s="1"/>
      <c r="B10" s="1" t="s">
        <v>11</v>
      </c>
      <c r="C10" s="1"/>
      <c r="D10" s="2">
        <v>521421734.01999998</v>
      </c>
      <c r="E10" s="5"/>
      <c r="F10" s="2"/>
      <c r="G10" s="2"/>
      <c r="H10" s="2"/>
      <c r="I10" s="2"/>
      <c r="J10" s="14">
        <f>D10+F10-H10</f>
        <v>521421734.01999998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2"/>
      <c r="E12" s="5"/>
      <c r="F12" s="2"/>
      <c r="G12" s="2"/>
      <c r="H12" s="2"/>
      <c r="I12" s="2"/>
    </row>
    <row r="13" spans="1:11" ht="15" customHeight="1" x14ac:dyDescent="0.25">
      <c r="A13" s="1"/>
      <c r="B13" s="1" t="s">
        <v>14</v>
      </c>
      <c r="C13" s="1"/>
      <c r="D13" s="2"/>
      <c r="E13" s="5"/>
      <c r="F13" s="2"/>
      <c r="G13" s="2"/>
      <c r="H13" s="2"/>
      <c r="I13" s="2"/>
    </row>
    <row r="14" spans="1:11" ht="15" customHeight="1" x14ac:dyDescent="0.25">
      <c r="A14" s="1"/>
      <c r="B14" s="1" t="s">
        <v>15</v>
      </c>
      <c r="C14" s="1"/>
      <c r="D14" s="2"/>
      <c r="E14" s="5"/>
      <c r="F14" s="2"/>
      <c r="G14" s="2"/>
      <c r="H14" s="2"/>
      <c r="I14" s="2"/>
    </row>
    <row r="15" spans="1:11" ht="15" customHeight="1" x14ac:dyDescent="0.25">
      <c r="A15" s="3" t="s">
        <v>16</v>
      </c>
      <c r="B15" s="1"/>
      <c r="C15" s="1"/>
      <c r="D15" s="2"/>
      <c r="E15" s="5"/>
      <c r="F15" s="2"/>
      <c r="G15" s="2"/>
      <c r="H15" s="2"/>
      <c r="I15" s="2"/>
    </row>
    <row r="16" spans="1:11" ht="15" customHeight="1" x14ac:dyDescent="0.25">
      <c r="A16" s="1"/>
      <c r="B16" s="1" t="s">
        <v>17</v>
      </c>
      <c r="C16" s="1"/>
      <c r="D16" s="2"/>
      <c r="E16" s="5"/>
      <c r="F16" s="2"/>
      <c r="G16" s="2"/>
      <c r="H16" s="2"/>
      <c r="I16" s="2"/>
    </row>
    <row r="17" spans="1:10" ht="15" customHeight="1" x14ac:dyDescent="0.25">
      <c r="A17" s="1"/>
      <c r="B17" s="1" t="s">
        <v>18</v>
      </c>
      <c r="C17" s="1"/>
      <c r="D17" s="2"/>
      <c r="E17" s="5"/>
      <c r="F17" s="2"/>
      <c r="G17" s="2"/>
      <c r="H17" s="2"/>
      <c r="I17" s="2"/>
    </row>
    <row r="18" spans="1:10" ht="15" customHeight="1" x14ac:dyDescent="0.25">
      <c r="A18" s="1"/>
      <c r="B18" s="1" t="s">
        <v>19</v>
      </c>
      <c r="C18" s="1"/>
      <c r="D18" s="2"/>
      <c r="E18" s="5"/>
      <c r="F18" s="2"/>
      <c r="G18" s="2"/>
      <c r="H18" s="2"/>
      <c r="I18" s="2"/>
    </row>
    <row r="19" spans="1:10" ht="15" customHeight="1" x14ac:dyDescent="0.25">
      <c r="A19" s="1"/>
      <c r="B19" s="1" t="s">
        <v>20</v>
      </c>
      <c r="C19" s="1"/>
      <c r="D19" s="2"/>
      <c r="E19" s="5"/>
      <c r="F19" s="2"/>
      <c r="G19" s="2"/>
      <c r="H19" s="2"/>
      <c r="I19" s="2"/>
    </row>
    <row r="20" spans="1:10" x14ac:dyDescent="0.25">
      <c r="A20" s="1"/>
      <c r="B20" s="1" t="s">
        <v>21</v>
      </c>
      <c r="C20" s="1"/>
      <c r="D20" s="2"/>
      <c r="E20" s="2"/>
      <c r="F20" s="2"/>
      <c r="G20" s="2"/>
      <c r="H20" s="2"/>
      <c r="I20" s="2"/>
    </row>
    <row r="21" spans="1:10" ht="15" customHeight="1" x14ac:dyDescent="0.25">
      <c r="A21" s="1"/>
      <c r="B21" s="1" t="s">
        <v>22</v>
      </c>
      <c r="C21" s="1"/>
      <c r="D21" s="2"/>
      <c r="E21" s="5"/>
      <c r="F21" s="2"/>
      <c r="G21" s="2"/>
      <c r="H21" s="2"/>
      <c r="I21" s="2"/>
    </row>
    <row r="22" spans="1:10" ht="15" customHeight="1" x14ac:dyDescent="0.25">
      <c r="A22" s="1"/>
      <c r="B22" s="1" t="s">
        <v>23</v>
      </c>
      <c r="C22" s="1"/>
      <c r="D22" s="2"/>
      <c r="E22" s="5"/>
      <c r="F22" s="2"/>
      <c r="G22" s="2"/>
      <c r="H22" s="2"/>
      <c r="I22" s="2"/>
    </row>
    <row r="23" spans="1:10" ht="15" customHeight="1" x14ac:dyDescent="0.25">
      <c r="A23" s="1"/>
      <c r="B23" s="16" t="s">
        <v>24</v>
      </c>
      <c r="C23" s="1"/>
      <c r="D23" s="2"/>
      <c r="E23" s="5"/>
      <c r="F23" s="2"/>
      <c r="G23" s="2"/>
      <c r="H23" s="2"/>
      <c r="I23" s="2"/>
    </row>
    <row r="24" spans="1:10" ht="15" customHeight="1" x14ac:dyDescent="0.25">
      <c r="A24" s="1"/>
      <c r="B24" s="1" t="s">
        <v>25</v>
      </c>
      <c r="C24" s="1"/>
      <c r="D24" s="2"/>
      <c r="E24" s="5"/>
      <c r="F24" s="2"/>
      <c r="G24" s="2"/>
      <c r="H24" s="2"/>
      <c r="I24" s="2"/>
    </row>
    <row r="25" spans="1:10" ht="15" customHeight="1" x14ac:dyDescent="0.25">
      <c r="A25" s="1"/>
      <c r="B25" s="1" t="s">
        <v>26</v>
      </c>
      <c r="C25" s="1"/>
      <c r="D25" s="2"/>
      <c r="E25" s="5"/>
      <c r="F25" s="2"/>
      <c r="G25" s="2"/>
      <c r="H25" s="2"/>
      <c r="I25" s="2"/>
    </row>
    <row r="26" spans="1:10" ht="15" customHeight="1" x14ac:dyDescent="0.25">
      <c r="A26" s="1"/>
      <c r="B26" s="1" t="s">
        <v>27</v>
      </c>
      <c r="C26" s="1"/>
      <c r="D26" s="2"/>
      <c r="E26" s="5"/>
      <c r="F26" s="2"/>
      <c r="G26" s="2"/>
      <c r="H26" s="2"/>
      <c r="I26" s="2"/>
    </row>
    <row r="27" spans="1:10" ht="15" customHeight="1" x14ac:dyDescent="0.25">
      <c r="A27" s="1"/>
      <c r="B27" s="1" t="s">
        <v>28</v>
      </c>
      <c r="C27" s="1"/>
      <c r="D27" s="2"/>
      <c r="E27" s="5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2">
        <f>SUM(D9:D24)</f>
        <v>533981857.01999998</v>
      </c>
      <c r="E28" s="11"/>
      <c r="F28" s="23">
        <f>SUM(F9:F24)</f>
        <v>0</v>
      </c>
      <c r="G28" s="11"/>
      <c r="H28" s="23">
        <f>SUM(H9:H24)</f>
        <v>0</v>
      </c>
      <c r="I28" s="11"/>
      <c r="J28" s="22">
        <f>SUM(J9:J24)</f>
        <v>533981857.01999998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/>
      <c r="B32" s="1"/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1"/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47"/>
      <c r="C34" s="1"/>
      <c r="D34" s="2"/>
      <c r="E34" s="2"/>
      <c r="F34" s="2"/>
      <c r="G34" s="2"/>
      <c r="H34" s="2"/>
      <c r="I34" s="2"/>
      <c r="J34" s="2"/>
    </row>
    <row r="35" spans="1:10" ht="15" customHeight="1" x14ac:dyDescent="0.25">
      <c r="A35" s="24"/>
      <c r="B35" s="47"/>
      <c r="C35" s="1"/>
      <c r="D35" s="2"/>
      <c r="E35" s="2"/>
      <c r="F35" s="2"/>
      <c r="G35" s="2"/>
      <c r="H35" s="2"/>
      <c r="I35" s="2"/>
      <c r="J35" s="2"/>
    </row>
    <row r="36" spans="1:10" x14ac:dyDescent="0.25">
      <c r="B36" s="47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F9E0-109C-4A56-B878-170AC1DBD37E}">
  <sheetPr>
    <pageSetUpPr fitToPage="1"/>
  </sheetPr>
  <dimension ref="A1:K36"/>
  <sheetViews>
    <sheetView zoomScaleNormal="100" workbookViewId="0">
      <selection activeCell="I32" sqref="I32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6.28515625" style="14" bestFit="1" customWidth="1"/>
    <col min="5" max="5" width="2.7109375" style="14" customWidth="1"/>
    <col min="6" max="6" width="15.7109375" style="14" customWidth="1"/>
    <col min="7" max="7" width="2.7109375" style="14" customWidth="1"/>
    <col min="8" max="8" width="15.7109375" style="14" customWidth="1"/>
    <col min="9" max="9" width="2.7109375" style="14" customWidth="1"/>
    <col min="10" max="10" width="16.28515625" style="14" bestFit="1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72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'[1]0001'!A4:J4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62</v>
      </c>
      <c r="K6" s="8"/>
    </row>
    <row r="7" spans="1:11" ht="15" customHeight="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ht="15" customHeight="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ht="15" customHeight="1" x14ac:dyDescent="0.25">
      <c r="A9" s="1"/>
      <c r="B9" s="1" t="s">
        <v>10</v>
      </c>
      <c r="C9" s="1"/>
      <c r="D9" s="9">
        <v>663416</v>
      </c>
      <c r="E9" s="5"/>
      <c r="F9" s="9"/>
      <c r="G9" s="9"/>
      <c r="H9" s="9"/>
      <c r="I9" s="2"/>
      <c r="J9" s="11">
        <f>D9+F9-H9</f>
        <v>663416</v>
      </c>
    </row>
    <row r="10" spans="1:11" ht="15" customHeight="1" x14ac:dyDescent="0.25">
      <c r="A10" s="1"/>
      <c r="B10" s="1" t="s">
        <v>11</v>
      </c>
      <c r="C10" s="1"/>
      <c r="D10" s="2">
        <v>230137396.58000001</v>
      </c>
      <c r="E10" s="5"/>
      <c r="F10" s="2"/>
      <c r="G10" s="2"/>
      <c r="H10" s="12"/>
      <c r="I10" s="5"/>
      <c r="J10" s="14">
        <f>D10+F10-H10</f>
        <v>230137396.58000001</v>
      </c>
    </row>
    <row r="11" spans="1:11" ht="15" customHeight="1" x14ac:dyDescent="0.25">
      <c r="A11" s="1"/>
      <c r="B11" s="1" t="s">
        <v>12</v>
      </c>
      <c r="C11" s="1"/>
      <c r="D11" s="2"/>
      <c r="E11" s="5"/>
      <c r="F11" s="2"/>
      <c r="G11" s="2"/>
      <c r="H11" s="2"/>
      <c r="I11" s="5"/>
    </row>
    <row r="12" spans="1:11" ht="15" customHeight="1" x14ac:dyDescent="0.25">
      <c r="A12" s="1"/>
      <c r="B12" s="1" t="s">
        <v>13</v>
      </c>
      <c r="C12" s="1"/>
      <c r="D12" s="2"/>
      <c r="E12" s="5"/>
      <c r="F12" s="2"/>
      <c r="G12" s="2"/>
      <c r="H12" s="2"/>
      <c r="I12" s="5"/>
    </row>
    <row r="13" spans="1:11" ht="15" customHeight="1" x14ac:dyDescent="0.25">
      <c r="A13" s="1"/>
      <c r="B13" s="1" t="s">
        <v>14</v>
      </c>
      <c r="C13" s="1"/>
      <c r="D13" s="2">
        <v>247407.77</v>
      </c>
      <c r="E13" s="5"/>
      <c r="F13" s="2"/>
      <c r="G13" s="2"/>
      <c r="H13" s="2"/>
      <c r="I13" s="5"/>
      <c r="J13" s="14">
        <f>D13+F13-H13</f>
        <v>247407.77</v>
      </c>
    </row>
    <row r="14" spans="1:11" ht="15" customHeight="1" x14ac:dyDescent="0.25">
      <c r="A14" s="1"/>
      <c r="B14" s="1" t="s">
        <v>15</v>
      </c>
      <c r="C14" s="1"/>
      <c r="D14" s="2"/>
      <c r="E14" s="5"/>
      <c r="F14" s="2"/>
      <c r="G14" s="2"/>
      <c r="H14" s="2"/>
      <c r="I14" s="5"/>
    </row>
    <row r="15" spans="1:11" ht="15" customHeight="1" x14ac:dyDescent="0.25">
      <c r="A15" s="3" t="s">
        <v>16</v>
      </c>
      <c r="B15" s="1"/>
      <c r="C15" s="1"/>
      <c r="D15" s="2"/>
      <c r="E15" s="5"/>
      <c r="F15" s="2"/>
      <c r="G15" s="2"/>
      <c r="H15" s="2"/>
      <c r="I15" s="5"/>
    </row>
    <row r="16" spans="1:11" ht="15" customHeight="1" x14ac:dyDescent="0.25">
      <c r="A16" s="1"/>
      <c r="B16" s="1" t="s">
        <v>17</v>
      </c>
      <c r="C16" s="1"/>
      <c r="D16" s="2"/>
      <c r="E16" s="5"/>
      <c r="F16" s="2"/>
      <c r="G16" s="2"/>
      <c r="H16" s="2"/>
      <c r="I16" s="5"/>
    </row>
    <row r="17" spans="1:10" ht="15" customHeight="1" x14ac:dyDescent="0.25">
      <c r="A17" s="1"/>
      <c r="B17" s="1" t="s">
        <v>18</v>
      </c>
      <c r="C17" s="1"/>
      <c r="D17" s="2"/>
      <c r="E17" s="5"/>
      <c r="F17" s="2"/>
      <c r="G17" s="2"/>
      <c r="H17" s="2"/>
      <c r="I17" s="5"/>
    </row>
    <row r="18" spans="1:10" ht="15" customHeight="1" x14ac:dyDescent="0.25">
      <c r="A18" s="1"/>
      <c r="B18" s="1" t="s">
        <v>19</v>
      </c>
      <c r="C18" s="1"/>
      <c r="D18" s="2"/>
      <c r="E18" s="5"/>
      <c r="F18" s="2"/>
      <c r="G18" s="2"/>
      <c r="H18" s="2"/>
      <c r="I18" s="5"/>
    </row>
    <row r="19" spans="1:10" ht="15" customHeight="1" x14ac:dyDescent="0.25">
      <c r="A19" s="1"/>
      <c r="B19" s="1" t="s">
        <v>20</v>
      </c>
      <c r="C19" s="1"/>
      <c r="D19" s="2"/>
      <c r="E19" s="5"/>
      <c r="F19" s="2"/>
      <c r="G19" s="2"/>
      <c r="H19" s="2"/>
      <c r="I19" s="5"/>
    </row>
    <row r="20" spans="1:10" x14ac:dyDescent="0.25">
      <c r="A20" s="1"/>
      <c r="B20" s="1" t="s">
        <v>21</v>
      </c>
      <c r="C20" s="1"/>
      <c r="D20" s="2"/>
      <c r="E20" s="2"/>
      <c r="F20" s="2"/>
      <c r="G20" s="2"/>
      <c r="H20" s="2"/>
      <c r="I20" s="2"/>
    </row>
    <row r="21" spans="1:10" ht="15" customHeight="1" x14ac:dyDescent="0.25">
      <c r="A21" s="1"/>
      <c r="B21" s="1" t="s">
        <v>22</v>
      </c>
      <c r="C21" s="1"/>
      <c r="D21" s="2"/>
      <c r="E21" s="5"/>
      <c r="F21" s="2"/>
      <c r="G21" s="2"/>
      <c r="H21" s="2"/>
      <c r="I21" s="5"/>
    </row>
    <row r="22" spans="1:10" ht="15" customHeight="1" x14ac:dyDescent="0.25">
      <c r="A22" s="1"/>
      <c r="B22" s="1" t="s">
        <v>23</v>
      </c>
      <c r="C22" s="1"/>
      <c r="D22" s="2"/>
      <c r="E22" s="5"/>
      <c r="F22" s="2"/>
      <c r="G22" s="2"/>
      <c r="H22" s="2"/>
      <c r="I22" s="5"/>
    </row>
    <row r="23" spans="1:10" ht="15" customHeight="1" x14ac:dyDescent="0.25">
      <c r="A23" s="1"/>
      <c r="B23" s="16" t="s">
        <v>24</v>
      </c>
      <c r="C23" s="1"/>
      <c r="D23" s="2"/>
      <c r="E23" s="5"/>
      <c r="F23" s="2"/>
      <c r="G23" s="2"/>
      <c r="H23" s="2"/>
      <c r="I23" s="5"/>
    </row>
    <row r="24" spans="1:10" ht="15" customHeight="1" x14ac:dyDescent="0.25">
      <c r="A24" s="1"/>
      <c r="B24" s="1" t="s">
        <v>25</v>
      </c>
      <c r="C24" s="1"/>
      <c r="D24" s="2"/>
      <c r="E24" s="5"/>
      <c r="F24" s="2"/>
      <c r="G24" s="2"/>
      <c r="H24" s="2"/>
      <c r="I24" s="5"/>
    </row>
    <row r="25" spans="1:10" ht="15" customHeight="1" x14ac:dyDescent="0.25">
      <c r="A25" s="1"/>
      <c r="B25" s="1" t="s">
        <v>26</v>
      </c>
      <c r="C25" s="1"/>
      <c r="D25" s="2"/>
      <c r="E25" s="5"/>
      <c r="F25" s="2"/>
      <c r="G25" s="2"/>
      <c r="H25" s="2"/>
      <c r="I25" s="5"/>
    </row>
    <row r="26" spans="1:10" ht="15" customHeight="1" x14ac:dyDescent="0.25">
      <c r="A26" s="1"/>
      <c r="B26" s="1" t="s">
        <v>27</v>
      </c>
      <c r="C26" s="1"/>
      <c r="D26" s="2"/>
      <c r="E26" s="5"/>
      <c r="F26" s="2"/>
      <c r="G26" s="2"/>
      <c r="H26" s="2"/>
      <c r="I26" s="5"/>
    </row>
    <row r="27" spans="1:10" ht="15" customHeight="1" x14ac:dyDescent="0.25">
      <c r="A27" s="1"/>
      <c r="B27" s="1" t="s">
        <v>28</v>
      </c>
      <c r="C27" s="1"/>
      <c r="D27" s="2"/>
      <c r="E27" s="5"/>
      <c r="F27" s="2"/>
      <c r="G27" s="2"/>
      <c r="H27" s="2"/>
      <c r="I27" s="5"/>
    </row>
    <row r="28" spans="1:10" ht="15" customHeight="1" thickBot="1" x14ac:dyDescent="0.3">
      <c r="A28" s="3" t="s">
        <v>29</v>
      </c>
      <c r="B28" s="1"/>
      <c r="C28" s="1"/>
      <c r="D28" s="22">
        <f>SUM(D9:D24)</f>
        <v>231048220.35000002</v>
      </c>
      <c r="E28" s="5"/>
      <c r="F28" s="23">
        <f>SUM(F9:F24)</f>
        <v>0</v>
      </c>
      <c r="G28" s="11"/>
      <c r="H28" s="23">
        <f>SUM(H9:H24)</f>
        <v>0</v>
      </c>
      <c r="I28" s="5"/>
      <c r="J28" s="22">
        <f>SUM(J9:J24)</f>
        <v>231048220.35000002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/>
      <c r="B32" s="47"/>
      <c r="C32" s="1"/>
      <c r="D32" s="2"/>
      <c r="E32" s="2"/>
      <c r="F32" s="2"/>
      <c r="G32" s="2"/>
      <c r="H32" s="2"/>
      <c r="I32" s="2"/>
      <c r="J32" s="2"/>
    </row>
    <row r="33" spans="1:10" ht="15" customHeight="1" x14ac:dyDescent="0.25">
      <c r="A33" s="24"/>
      <c r="B33" s="47"/>
      <c r="C33" s="1"/>
      <c r="D33" s="2"/>
      <c r="E33" s="2"/>
      <c r="F33" s="2"/>
      <c r="G33" s="2"/>
      <c r="H33" s="2"/>
      <c r="I33" s="2"/>
      <c r="J33" s="2"/>
    </row>
    <row r="34" spans="1:10" ht="15" customHeight="1" x14ac:dyDescent="0.25">
      <c r="A34" s="24"/>
      <c r="B34" s="47"/>
      <c r="C34" s="1"/>
      <c r="D34" s="2"/>
      <c r="E34" s="2"/>
      <c r="F34" s="2"/>
      <c r="G34" s="2"/>
      <c r="H34" s="2"/>
      <c r="I34" s="2"/>
      <c r="J34" s="2"/>
    </row>
    <row r="35" spans="1:10" ht="15" customHeight="1" x14ac:dyDescent="0.25">
      <c r="A35" s="24"/>
      <c r="B35" s="47"/>
      <c r="C35" s="1"/>
      <c r="D35" s="2"/>
      <c r="E35" s="2"/>
      <c r="F35" s="2"/>
      <c r="G35" s="2"/>
      <c r="H35" s="2"/>
      <c r="I35" s="2"/>
      <c r="J35" s="2"/>
    </row>
    <row r="36" spans="1:10" ht="16.5" x14ac:dyDescent="0.25">
      <c r="A36" s="24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scale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8B75-8E47-427A-9813-BB7316D5A5B3}">
  <sheetPr>
    <pageSetUpPr fitToPage="1"/>
  </sheetPr>
  <dimension ref="A1:K34"/>
  <sheetViews>
    <sheetView zoomScaleNormal="100" workbookViewId="0">
      <selection activeCell="N23" sqref="N23"/>
    </sheetView>
  </sheetViews>
  <sheetFormatPr defaultRowHeight="15" x14ac:dyDescent="0.25"/>
  <cols>
    <col min="1" max="1" width="2.7109375" customWidth="1"/>
    <col min="2" max="2" width="50.85546875" customWidth="1"/>
    <col min="3" max="3" width="2.7109375" customWidth="1"/>
    <col min="4" max="4" width="15.7109375" style="14" customWidth="1"/>
    <col min="5" max="5" width="2.7109375" style="14" customWidth="1"/>
    <col min="6" max="6" width="15.7109375" style="14" customWidth="1"/>
    <col min="7" max="7" width="2.7109375" style="14" customWidth="1"/>
    <col min="8" max="8" width="15.7109375" style="14" customWidth="1"/>
    <col min="9" max="9" width="2.7109375" style="14" customWidth="1"/>
    <col min="10" max="10" width="15.7109375" style="14" customWidth="1"/>
  </cols>
  <sheetData>
    <row r="1" spans="1:11" x14ac:dyDescent="0.2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1" x14ac:dyDescent="0.2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x14ac:dyDescent="0.25">
      <c r="A3" s="48" t="s">
        <v>73</v>
      </c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25">
      <c r="A4" s="48" t="str">
        <f>'[1]0001'!A4:J4</f>
        <v>As of June 30, 2024</v>
      </c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25">
      <c r="A5" s="1"/>
      <c r="B5" s="1"/>
      <c r="C5" s="1"/>
      <c r="D5" s="2"/>
      <c r="E5" s="2"/>
      <c r="F5" s="2"/>
      <c r="G5" s="2"/>
      <c r="H5" s="2"/>
      <c r="I5" s="2"/>
      <c r="J5" s="2"/>
    </row>
    <row r="6" spans="1:11" ht="31.5" x14ac:dyDescent="0.25">
      <c r="A6" s="3" t="s">
        <v>4</v>
      </c>
      <c r="B6" s="1"/>
      <c r="C6" s="1"/>
      <c r="D6" s="4" t="s">
        <v>5</v>
      </c>
      <c r="E6" s="7"/>
      <c r="F6" s="6" t="s">
        <v>6</v>
      </c>
      <c r="G6" s="7"/>
      <c r="H6" s="6" t="s">
        <v>7</v>
      </c>
      <c r="I6" s="7"/>
      <c r="J6" s="4" t="s">
        <v>62</v>
      </c>
      <c r="K6" s="8"/>
    </row>
    <row r="7" spans="1:11" x14ac:dyDescent="0.25">
      <c r="A7" s="1"/>
      <c r="B7" s="1"/>
      <c r="C7" s="1"/>
      <c r="D7" s="2"/>
      <c r="E7" s="2"/>
      <c r="F7" s="2"/>
      <c r="G7" s="2"/>
      <c r="H7" s="2"/>
      <c r="I7" s="2"/>
      <c r="J7" s="2"/>
    </row>
    <row r="8" spans="1:11" x14ac:dyDescent="0.25">
      <c r="A8" s="3" t="s">
        <v>9</v>
      </c>
      <c r="B8" s="1"/>
      <c r="C8" s="1"/>
      <c r="D8" s="2"/>
      <c r="E8" s="2"/>
      <c r="F8" s="2"/>
      <c r="G8" s="2"/>
      <c r="H8" s="2"/>
      <c r="I8" s="2"/>
      <c r="J8" s="2"/>
    </row>
    <row r="9" spans="1:11" x14ac:dyDescent="0.25">
      <c r="A9" s="1"/>
      <c r="B9" s="1" t="s">
        <v>10</v>
      </c>
      <c r="C9" s="1"/>
      <c r="D9" s="9"/>
      <c r="E9" s="9"/>
      <c r="F9" s="9"/>
      <c r="G9" s="9"/>
      <c r="H9" s="9"/>
      <c r="I9" s="9"/>
      <c r="J9" s="11"/>
    </row>
    <row r="10" spans="1:11" x14ac:dyDescent="0.25">
      <c r="A10" s="1"/>
      <c r="B10" s="1" t="s">
        <v>11</v>
      </c>
      <c r="C10" s="1"/>
      <c r="D10" s="2"/>
      <c r="E10" s="2"/>
      <c r="F10" s="2"/>
      <c r="G10" s="2"/>
      <c r="H10" s="2"/>
      <c r="I10" s="2"/>
    </row>
    <row r="11" spans="1:11" x14ac:dyDescent="0.25">
      <c r="A11" s="1"/>
      <c r="B11" s="1" t="s">
        <v>12</v>
      </c>
      <c r="C11" s="1"/>
      <c r="D11" s="2"/>
      <c r="E11" s="2"/>
      <c r="F11" s="2"/>
      <c r="G11" s="2"/>
      <c r="H11" s="2"/>
      <c r="I11" s="2"/>
    </row>
    <row r="12" spans="1:11" ht="15" customHeight="1" x14ac:dyDescent="0.25">
      <c r="A12" s="1"/>
      <c r="B12" s="1" t="s">
        <v>13</v>
      </c>
      <c r="C12" s="1"/>
      <c r="D12" s="10">
        <v>347381.63</v>
      </c>
      <c r="E12" s="5"/>
      <c r="F12" s="51"/>
      <c r="G12" s="2"/>
      <c r="H12" s="51"/>
      <c r="I12" s="5"/>
      <c r="J12" s="50">
        <f>D12+F12-H12</f>
        <v>347381.63</v>
      </c>
    </row>
    <row r="13" spans="1:11" x14ac:dyDescent="0.25">
      <c r="A13" s="1"/>
      <c r="B13" s="1" t="s">
        <v>14</v>
      </c>
      <c r="C13" s="1"/>
      <c r="D13" s="2"/>
      <c r="E13" s="2"/>
      <c r="F13" s="2"/>
      <c r="G13" s="2"/>
      <c r="H13" s="2"/>
      <c r="I13" s="2"/>
    </row>
    <row r="14" spans="1:11" x14ac:dyDescent="0.25">
      <c r="A14" s="1"/>
      <c r="B14" s="1" t="s">
        <v>15</v>
      </c>
      <c r="C14" s="1"/>
      <c r="D14" s="2"/>
      <c r="E14" s="2"/>
      <c r="F14" s="2"/>
      <c r="G14" s="2"/>
      <c r="H14" s="2"/>
      <c r="I14" s="2"/>
    </row>
    <row r="15" spans="1:11" x14ac:dyDescent="0.25">
      <c r="A15" s="3" t="s">
        <v>16</v>
      </c>
      <c r="B15" s="1"/>
      <c r="C15" s="1"/>
      <c r="D15" s="2"/>
      <c r="E15" s="2"/>
      <c r="F15" s="2"/>
      <c r="G15" s="2"/>
      <c r="H15" s="2"/>
      <c r="I15" s="2"/>
    </row>
    <row r="16" spans="1:11" x14ac:dyDescent="0.25">
      <c r="A16" s="1"/>
      <c r="B16" s="1" t="s">
        <v>17</v>
      </c>
      <c r="C16" s="1"/>
      <c r="D16" s="2">
        <v>14770</v>
      </c>
      <c r="E16" s="2"/>
      <c r="F16" s="2"/>
      <c r="G16" s="2"/>
      <c r="H16" s="2"/>
      <c r="I16" s="2"/>
      <c r="J16" s="14">
        <f>D16+F16-H16</f>
        <v>14770</v>
      </c>
    </row>
    <row r="17" spans="1:10" x14ac:dyDescent="0.25">
      <c r="A17" s="1"/>
      <c r="B17" s="1" t="s">
        <v>18</v>
      </c>
      <c r="C17" s="1"/>
      <c r="D17" s="2"/>
      <c r="E17" s="2"/>
      <c r="F17" s="2"/>
      <c r="G17" s="2"/>
      <c r="H17" s="2"/>
      <c r="I17" s="2"/>
    </row>
    <row r="18" spans="1:10" x14ac:dyDescent="0.25">
      <c r="A18" s="1"/>
      <c r="B18" s="1" t="s">
        <v>19</v>
      </c>
      <c r="C18" s="1"/>
      <c r="D18" s="2"/>
      <c r="E18" s="2"/>
      <c r="F18" s="2"/>
      <c r="G18" s="2"/>
      <c r="H18" s="2"/>
      <c r="I18" s="2"/>
    </row>
    <row r="19" spans="1:10" x14ac:dyDescent="0.25">
      <c r="A19" s="1"/>
      <c r="B19" s="1" t="s">
        <v>20</v>
      </c>
      <c r="C19" s="1"/>
      <c r="D19" s="2"/>
      <c r="E19" s="2"/>
      <c r="F19" s="2"/>
      <c r="G19" s="2"/>
      <c r="H19" s="2"/>
      <c r="I19" s="2"/>
    </row>
    <row r="20" spans="1:10" x14ac:dyDescent="0.25">
      <c r="A20" s="1"/>
      <c r="B20" s="1" t="s">
        <v>21</v>
      </c>
      <c r="C20" s="1"/>
      <c r="D20" s="2"/>
      <c r="E20" s="2"/>
      <c r="F20" s="2"/>
      <c r="G20" s="2"/>
      <c r="H20" s="2"/>
      <c r="I20" s="2"/>
    </row>
    <row r="21" spans="1:10" x14ac:dyDescent="0.25">
      <c r="A21" s="1"/>
      <c r="B21" s="1" t="s">
        <v>22</v>
      </c>
      <c r="C21" s="1"/>
      <c r="D21" s="2"/>
      <c r="E21" s="2"/>
      <c r="F21" s="2"/>
      <c r="G21" s="2"/>
      <c r="H21" s="2"/>
      <c r="I21" s="2"/>
    </row>
    <row r="22" spans="1:10" x14ac:dyDescent="0.25">
      <c r="A22" s="1"/>
      <c r="B22" s="1" t="s">
        <v>23</v>
      </c>
      <c r="C22" s="1"/>
      <c r="D22" s="2"/>
      <c r="E22" s="2"/>
      <c r="F22" s="2"/>
      <c r="G22" s="2"/>
      <c r="H22" s="2"/>
      <c r="I22" s="2"/>
    </row>
    <row r="23" spans="1:10" ht="30" x14ac:dyDescent="0.25">
      <c r="A23" s="1"/>
      <c r="B23" s="16" t="s">
        <v>24</v>
      </c>
      <c r="C23" s="1"/>
      <c r="D23" s="2"/>
      <c r="E23" s="2"/>
      <c r="F23" s="2"/>
      <c r="G23" s="2"/>
      <c r="H23" s="2"/>
      <c r="I23" s="2"/>
    </row>
    <row r="24" spans="1:10" x14ac:dyDescent="0.25">
      <c r="A24" s="1"/>
      <c r="B24" s="1" t="s">
        <v>25</v>
      </c>
      <c r="C24" s="1"/>
      <c r="D24" s="2"/>
      <c r="E24" s="2"/>
      <c r="F24" s="2"/>
      <c r="G24" s="2"/>
      <c r="H24" s="2"/>
      <c r="I24" s="2"/>
    </row>
    <row r="25" spans="1:10" x14ac:dyDescent="0.25">
      <c r="A25" s="1"/>
      <c r="B25" s="1" t="s">
        <v>26</v>
      </c>
      <c r="C25" s="1"/>
      <c r="D25" s="2"/>
      <c r="E25" s="2"/>
      <c r="F25" s="2"/>
      <c r="G25" s="2"/>
      <c r="H25" s="2"/>
      <c r="I25" s="2"/>
    </row>
    <row r="26" spans="1:10" x14ac:dyDescent="0.25">
      <c r="A26" s="1"/>
      <c r="B26" s="1" t="s">
        <v>27</v>
      </c>
      <c r="C26" s="1"/>
      <c r="D26" s="2"/>
      <c r="E26" s="2"/>
      <c r="F26" s="2"/>
      <c r="G26" s="2"/>
      <c r="H26" s="2"/>
      <c r="I26" s="2"/>
    </row>
    <row r="27" spans="1:10" x14ac:dyDescent="0.25">
      <c r="A27" s="1"/>
      <c r="B27" s="1" t="s">
        <v>28</v>
      </c>
      <c r="C27" s="1"/>
      <c r="D27" s="2"/>
      <c r="E27" s="2"/>
      <c r="F27" s="2"/>
      <c r="G27" s="2"/>
      <c r="H27" s="2"/>
      <c r="I27" s="2"/>
    </row>
    <row r="28" spans="1:10" ht="15.75" thickBot="1" x14ac:dyDescent="0.3">
      <c r="A28" s="3" t="s">
        <v>29</v>
      </c>
      <c r="B28" s="1"/>
      <c r="C28" s="1"/>
      <c r="D28" s="22">
        <f>SUM(D9:D24)</f>
        <v>362151.63</v>
      </c>
      <c r="E28" s="11"/>
      <c r="F28" s="23">
        <f>SUM(F9:F24)</f>
        <v>0</v>
      </c>
      <c r="G28" s="11"/>
      <c r="H28" s="23">
        <f>SUM(H9:H24)</f>
        <v>0</v>
      </c>
      <c r="I28" s="11"/>
      <c r="J28" s="22">
        <f>SUM(J9:J24)</f>
        <v>362151.63</v>
      </c>
    </row>
    <row r="29" spans="1:10" ht="15.75" thickTop="1" x14ac:dyDescent="0.25">
      <c r="A29" s="1"/>
      <c r="B29" s="1"/>
      <c r="C29" s="1"/>
      <c r="D29" s="2"/>
      <c r="E29" s="2"/>
      <c r="F29" s="2"/>
      <c r="G29" s="2"/>
      <c r="H29" s="2"/>
      <c r="I29" s="2"/>
      <c r="J29" s="2"/>
    </row>
    <row r="30" spans="1:10" x14ac:dyDescent="0.25">
      <c r="A30" s="1"/>
      <c r="B30" s="1"/>
      <c r="C30" s="1"/>
      <c r="D30" s="2"/>
      <c r="E30" s="2"/>
      <c r="F30" s="2"/>
      <c r="G30" s="2"/>
      <c r="H30" s="2"/>
      <c r="I30" s="2"/>
      <c r="J30" s="2"/>
    </row>
    <row r="31" spans="1:10" ht="15" customHeight="1" x14ac:dyDescent="0.25">
      <c r="A31" s="24">
        <v>1</v>
      </c>
      <c r="B31" s="1" t="s">
        <v>30</v>
      </c>
      <c r="C31" s="1"/>
      <c r="D31" s="2"/>
      <c r="E31" s="2"/>
      <c r="F31" s="2"/>
      <c r="G31" s="2"/>
      <c r="H31" s="2"/>
      <c r="I31" s="2"/>
      <c r="J31" s="2"/>
    </row>
    <row r="32" spans="1:10" ht="15" customHeight="1" x14ac:dyDescent="0.25">
      <c r="A32" s="24"/>
      <c r="B32" s="1"/>
      <c r="C32" s="1"/>
      <c r="D32" s="2"/>
      <c r="E32" s="2"/>
      <c r="F32" s="2"/>
      <c r="G32" s="2"/>
      <c r="H32" s="2"/>
      <c r="I32" s="2"/>
      <c r="J32" s="2"/>
    </row>
    <row r="33" spans="1:10" x14ac:dyDescent="0.25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spans="1:10" x14ac:dyDescent="0.25">
      <c r="A34" s="1"/>
      <c r="B34" s="1"/>
      <c r="C34" s="1"/>
      <c r="D34" s="2"/>
      <c r="E34" s="2"/>
      <c r="F34" s="2"/>
      <c r="G34" s="2"/>
      <c r="H34" s="2"/>
      <c r="I34" s="2"/>
      <c r="J34" s="2"/>
    </row>
  </sheetData>
  <mergeCells count="4">
    <mergeCell ref="A1:J1"/>
    <mergeCell ref="A2:J2"/>
    <mergeCell ref="A3:J3"/>
    <mergeCell ref="A4:J4"/>
  </mergeCells>
  <printOptions horizontalCentered="1"/>
  <pageMargins left="0.5" right="0.5" top="0.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0001</vt:lpstr>
      <vt:lpstr>F0001 Diff</vt:lpstr>
      <vt:lpstr>F0036</vt:lpstr>
      <vt:lpstr>F0036 Diff</vt:lpstr>
      <vt:lpstr>F0660</vt:lpstr>
      <vt:lpstr>F0668</vt:lpstr>
      <vt:lpstr>F0723</vt:lpstr>
      <vt:lpstr>F0724</vt:lpstr>
      <vt:lpstr>F0747</vt:lpstr>
      <vt:lpstr>F0751</vt:lpstr>
      <vt:lpstr>F0942</vt:lpstr>
    </vt:vector>
  </TitlesOfParts>
  <Company>CDCR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Onishi, Gina@CDCR</dc:creator>
  <cp:lastModifiedBy>Zhao, Jing</cp:lastModifiedBy>
  <dcterms:created xsi:type="dcterms:W3CDTF">2024-08-12T17:49:17Z</dcterms:created>
  <dcterms:modified xsi:type="dcterms:W3CDTF">2024-11-06T21:40:11Z</dcterms:modified>
</cp:coreProperties>
</file>