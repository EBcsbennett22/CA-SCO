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8F3D0331-2EDA-4703-A5FC-6B2D1A9F1201}" xr6:coauthVersionLast="47" xr6:coauthVersionMax="47" xr10:uidLastSave="{00000000-0000-0000-0000-000000000000}"/>
  <bookViews>
    <workbookView xWindow="39150" yWindow="-110" windowWidth="38620" windowHeight="21220" xr2:uid="{00000000-000D-0000-FFFF-FFFF00000000}"/>
  </bookViews>
  <sheets>
    <sheet name="Fund 021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0214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l="1"/>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72" i="9" s="1"/>
  <c r="L31" i="2" l="1"/>
  <c r="D82" i="9" l="1"/>
  <c r="D81" i="9"/>
  <c r="D71" i="9"/>
  <c r="L71" i="9" s="1"/>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L73" i="9" s="1"/>
  <c r="K53" i="2"/>
  <c r="D61" i="9"/>
  <c r="J83" i="9" l="1"/>
  <c r="J19" i="4"/>
  <c r="L18" i="4"/>
  <c r="D83" i="9"/>
  <c r="H31" i="9"/>
  <c r="L31" i="9" s="1"/>
  <c r="D32" i="9" s="1"/>
  <c r="L61" i="9"/>
  <c r="D21" i="3"/>
  <c r="K95" i="2"/>
  <c r="K47" i="2" l="1"/>
  <c r="L83" i="9"/>
  <c r="K63" i="2"/>
  <c r="P18" i="4"/>
  <c r="P19" i="4" s="1"/>
  <c r="L19" i="4"/>
  <c r="D64" i="9"/>
  <c r="L64" i="9" s="1"/>
  <c r="D74" i="9"/>
  <c r="L74" i="9" s="1"/>
  <c r="D75" i="9" s="1"/>
  <c r="H23" i="9"/>
  <c r="L23" i="9" s="1"/>
  <c r="D25" i="9" s="1"/>
  <c r="D84" i="9" l="1"/>
  <c r="L84" i="9" s="1"/>
  <c r="D85" i="9" s="1"/>
  <c r="L53" i="9"/>
  <c r="D54" i="9" s="1"/>
  <c r="L39" i="9"/>
  <c r="D40" i="9" s="1"/>
  <c r="L46" i="9"/>
  <c r="D47" i="9" s="1"/>
  <c r="D63" i="9" l="1"/>
  <c r="L63" i="9" l="1"/>
  <c r="D62" i="9"/>
  <c r="L62" i="9" s="1"/>
  <c r="H16" i="9"/>
  <c r="L16" i="9" s="1"/>
  <c r="D17" i="9" s="1"/>
  <c r="D65" i="9" l="1"/>
  <c r="D19" i="3"/>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<sst xmlns="http://schemas.openxmlformats.org/spreadsheetml/2006/main" count="7552" uniqueCount="1643">
  <si>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</si>
  <si>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</si>
  <si>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</si>
  <si>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</si>
  <si>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</si>
  <si>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</si>
  <si>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</si>
  <si>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</si>
  <si>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</si>
  <si>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</si>
  <si>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</si>
  <si>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</si>
  <si>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</si>
  <si>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</si>
  <si>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</si>
  <si>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</si>
  <si>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</si>
  <si>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</si>
  <si>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</si>
  <si>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</si>
  <si>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</si>
  <si>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</si>
  <si>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</si>
  <si>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</si>
  <si>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</si>
  <si>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</si>
  <si>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</si>
  <si>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</si>
  <si>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</si>
  <si>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</si>
  <si>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</si>
  <si>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</si>
  <si>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</si>
  <si>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</si>
  <si>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</si>
  <si>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</si>
  <si>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</si>
  <si>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</si>
  <si>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</si>
  <si>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</si>
  <si>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</si>
  <si>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</si>
  <si>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</si>
  <si>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</si>
  <si>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</si>
  <si>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</si>
  <si>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</si>
  <si>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</si>
  <si>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</si>
  <si>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</si>
  <si>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</si>
  <si>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</si>
  <si>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</si>
  <si>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</si>
  <si>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</si>
  <si>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</si>
  <si>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</si>
  <si>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</si>
  <si>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</si>
  <si>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</si>
  <si>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</si>
  <si>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</si>
  <si>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</si>
  <si>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</si>
  <si>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</si>
  <si>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</si>
  <si>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</si>
  <si>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</si>
  <si>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</si>
  <si>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</si>
  <si>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</si>
  <si>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</si>
  <si>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</si>
  <si>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</si>
  <si>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</si>
  <si>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</si>
  <si>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</si>
  <si>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</si>
  <si>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</si>
  <si>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</si>
  <si>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</si>
  <si>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</si>
  <si>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</si>
  <si>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</si>
  <si>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</si>
  <si>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</si>
  <si>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</si>
  <si>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</si>
  <si>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</si>
  <si>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</si>
  <si>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</si>
  <si>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</si>
  <si>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</si>
  <si>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</si>
  <si>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</si>
  <si>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</si>
  <si>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</si>
  <si>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</si>
  <si>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</si>
  <si>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</si>
  <si>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</si>
  <si>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</si>
  <si>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</si>
  <si>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</si>
  <si>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</si>
  <si>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</si>
  <si>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</si>
  <si>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</si>
  <si>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</si>
  <si>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</si>
  <si>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</si>
  <si>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</si>
  <si>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</si>
  <si>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</si>
  <si>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</si>
  <si>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</si>
  <si>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</si>
  <si>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</si>
  <si>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</si>
  <si>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</si>
  <si>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</si>
  <si>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</si>
  <si>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</si>
  <si>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</si>
  <si>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</si>
  <si>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</si>
  <si>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</si>
  <si>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</si>
  <si>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</si>
  <si>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</si>
  <si>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</si>
  <si>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</si>
  <si>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</si>
  <si>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</si>
  <si>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</si>
  <si>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</si>
  <si>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</si>
  <si>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</si>
  <si>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</si>
  <si>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</si>
  <si>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</si>
  <si>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</si>
  <si>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</si>
  <si>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</si>
  <si>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</si>
  <si>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</si>
  <si>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</si>
  <si>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</si>
  <si>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</si>
  <si>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</si>
  <si>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</si>
  <si>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</si>
  <si>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</si>
  <si>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</si>
  <si>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</si>
  <si>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</si>
  <si>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</si>
  <si>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</si>
  <si>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</si>
  <si>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</si>
  <si>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</si>
  <si>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</si>
  <si>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</si>
  <si>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</si>
  <si>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</si>
  <si>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</si>
  <si>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</si>
  <si>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</si>
  <si>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</si>
  <si>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</si>
  <si>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</si>
  <si>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</si>
  <si>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</si>
  <si>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</si>
  <si>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</si>
  <si>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</si>
  <si>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</si>
  <si>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</si>
  <si>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</si>
  <si>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</si>
  <si>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</si>
  <si>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</si>
  <si>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</si>
  <si>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</si>
  <si>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</si>
  <si>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</si>
  <si>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</si>
  <si>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</si>
  <si>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</si>
  <si>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</si>
  <si>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</si>
  <si>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</si>
  <si>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</si>
  <si>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</si>
  <si>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</si>
  <si>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</si>
  <si>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</si>
  <si>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</si>
  <si>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</si>
  <si>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</si>
  <si>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</si>
  <si>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</si>
  <si>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</si>
  <si>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</si>
  <si>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</si>
  <si>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</si>
  <si>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</si>
  <si>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</si>
  <si>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</si>
  <si>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</si>
  <si>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</si>
  <si>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</si>
  <si>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</si>
  <si>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</si>
  <si>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</si>
  <si>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</si>
  <si>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</si>
  <si>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</si>
  <si>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</si>
  <si>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</si>
  <si>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</si>
  <si>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</si>
  <si>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</si>
  <si>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</si>
  <si>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</si>
  <si>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</si>
  <si>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</si>
  <si>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</si>
  <si>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</si>
  <si>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</si>
  <si>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</si>
  <si>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</si>
  <si>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</si>
  <si>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</si>
  <si>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</si>
  <si>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</si>
  <si>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</si>
  <si>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</si>
  <si>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</si>
  <si>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</si>
  <si>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</si>
  <si>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</si>
  <si>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</si>
  <si>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</si>
  <si>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</si>
  <si>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</si>
  <si>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</si>
  <si>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</si>
  <si>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</si>
  <si>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</si>
  <si>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</si>
  <si>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</si>
  <si>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</si>
  <si>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</si>
  <si>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</si>
  <si>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</si>
  <si>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</si>
  <si>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</si>
  <si>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</si>
  <si>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</si>
  <si>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</si>
  <si>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</si>
  <si>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</si>
  <si>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</si>
  <si>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</si>
  <si>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</si>
  <si>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</si>
  <si>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</si>
  <si>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</si>
  <si>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</si>
  <si>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</si>
  <si>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</si>
  <si>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</si>
  <si>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</si>
  <si>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</si>
  <si>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</si>
  <si>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</si>
  <si>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</si>
  <si>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</si>
  <si>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</si>
  <si>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</si>
  <si>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</si>
  <si>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</si>
  <si>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</si>
  <si>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</si>
  <si>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</si>
  <si>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</si>
  <si>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</si>
  <si>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</si>
  <si>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</si>
  <si>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</si>
  <si>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</si>
  <si>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</si>
  <si>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</si>
  <si>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</si>
  <si>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</si>
  <si>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</si>
  <si>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</si>
  <si>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</si>
  <si>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</si>
  <si>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</si>
  <si>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</si>
  <si>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</si>
  <si>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</si>
  <si>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</si>
  <si>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</si>
  <si>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</si>
  <si>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</si>
  <si>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</si>
  <si>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</si>
  <si>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</si>
  <si>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</si>
  <si>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</si>
  <si>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</si>
  <si>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</si>
  <si>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</si>
  <si>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</si>
  <si>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</si>
  <si>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</si>
  <si>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</si>
  <si>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</si>
  <si>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</si>
  <si>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</si>
  <si>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</si>
  <si>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</si>
  <si>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</si>
  <si>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</si>
  <si>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</si>
  <si>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</si>
  <si>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</si>
  <si>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</si>
  <si>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</si>
  <si>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</si>
  <si>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</si>
  <si>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</si>
  <si>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</si>
  <si>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</si>
  <si>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</si>
  <si>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</si>
  <si>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</si>
  <si>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</si>
  <si>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</si>
  <si>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</si>
  <si>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</si>
  <si>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</si>
  <si>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</si>
  <si>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</si>
  <si>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</si>
  <si>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</si>
  <si>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</si>
  <si>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</si>
  <si>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</si>
  <si>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</si>
  <si>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</si>
  <si>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</si>
  <si>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</si>
  <si>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</si>
  <si>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</si>
  <si>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</si>
  <si>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</si>
  <si>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</si>
  <si>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</si>
  <si>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</si>
  <si>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</si>
  <si>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</si>
  <si>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</si>
  <si>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</si>
  <si>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</si>
  <si>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</si>
  <si>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</si>
  <si>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</si>
  <si>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</si>
  <si>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</si>
  <si>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</si>
  <si>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</si>
  <si>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</si>
  <si>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</si>
  <si>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</si>
  <si>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</si>
  <si>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</si>
  <si>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</si>
  <si>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</si>
  <si>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</si>
  <si>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</si>
  <si>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</si>
  <si>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</si>
  <si>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</si>
  <si>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</si>
  <si>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</si>
  <si>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</si>
  <si>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</si>
  <si>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</si>
  <si>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</si>
  <si>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</si>
  <si>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</si>
  <si>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</si>
  <si>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</si>
  <si>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</si>
  <si>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</si>
  <si>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</si>
  <si>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</si>
  <si>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</si>
  <si>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</si>
  <si>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</si>
  <si>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</si>
  <si>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</si>
  <si>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</si>
  <si>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</si>
  <si>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</si>
  <si>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</si>
  <si>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</si>
  <si>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</si>
  <si>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</si>
  <si>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</si>
  <si>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</si>
  <si>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</si>
  <si>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</si>
  <si>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</si>
  <si>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</si>
  <si>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</si>
  <si>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</si>
  <si>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</si>
  <si>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</si>
  <si>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</si>
  <si>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</si>
  <si>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</si>
  <si>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</si>
  <si>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</si>
  <si>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</si>
  <si>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</si>
  <si>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</si>
  <si>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</si>
  <si>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</si>
  <si>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</si>
  <si>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</si>
  <si>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</si>
  <si>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</si>
  <si>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</si>
  <si>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</si>
  <si>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</si>
  <si>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</si>
  <si>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</si>
  <si>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</si>
  <si>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</si>
  <si>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</si>
  <si>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</si>
  <si>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</si>
  <si>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</si>
  <si>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</si>
  <si>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</si>
  <si>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</si>
  <si>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</si>
  <si>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</si>
  <si>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</si>
  <si>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</si>
  <si>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</si>
  <si>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</si>
  <si>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</si>
  <si>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</si>
  <si>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</si>
  <si>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</si>
  <si>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</si>
  <si>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</si>
  <si>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</si>
  <si>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</si>
  <si>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</si>
  <si>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</si>
  <si>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</si>
  <si>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</si>
  <si>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</si>
  <si>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</si>
  <si>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</si>
  <si>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</si>
  <si>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</si>
  <si>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</si>
  <si>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</si>
  <si>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</si>
  <si>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</si>
  <si>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</si>
  <si>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</si>
  <si>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</si>
  <si>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</si>
  <si>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</si>
  <si>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</si>
  <si>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</si>
  <si>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</si>
  <si>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</si>
  <si>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</si>
  <si>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</si>
  <si>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</si>
  <si>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</si>
  <si>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</si>
  <si>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</si>
  <si>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</si>
  <si>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</si>
  <si>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</si>
  <si>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</si>
  <si>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</si>
  <si>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</si>
  <si>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</si>
  <si>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</si>
  <si>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</si>
  <si>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</si>
  <si>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</si>
  <si>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</si>
  <si>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</si>
  <si>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</si>
  <si>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</si>
  <si>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</si>
  <si>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</si>
  <si>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</si>
  <si>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</si>
  <si>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</si>
  <si>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</si>
  <si>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</si>
  <si>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</si>
  <si>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</si>
  <si>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</si>
  <si>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</si>
  <si>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</si>
  <si>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</si>
  <si>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</si>
  <si>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</si>
  <si>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</si>
  <si>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</si>
  <si>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</si>
  <si>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</si>
  <si>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</si>
  <si>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</si>
  <si>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</si>
  <si>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</si>
  <si>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</si>
  <si>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</si>
  <si>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</si>
  <si>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</si>
  <si>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</si>
  <si>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</si>
  <si>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</si>
  <si>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</si>
  <si>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</si>
  <si>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</si>
  <si>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</si>
  <si>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</si>
  <si>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</si>
  <si>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</si>
  <si>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</si>
  <si>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</si>
  <si>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</si>
  <si>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</si>
  <si>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</si>
  <si>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</si>
  <si>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</si>
  <si>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</si>
  <si>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</si>
  <si>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</si>
  <si>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</si>
  <si>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</si>
  <si>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</si>
  <si>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</si>
  <si>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</si>
  <si>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</si>
  <si>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</si>
  <si>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</si>
  <si>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</si>
  <si>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</si>
  <si>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</si>
  <si>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</si>
  <si>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</si>
  <si>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</si>
  <si>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</si>
  <si>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</si>
  <si>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</si>
  <si>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</si>
  <si>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</si>
  <si>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</si>
  <si>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</si>
  <si>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</si>
  <si>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</si>
  <si>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</si>
  <si>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</si>
  <si>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</si>
  <si>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</si>
  <si>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</si>
  <si>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</si>
  <si>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</si>
  <si>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</si>
  <si>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</si>
  <si>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</si>
  <si>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</si>
  <si>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</si>
  <si>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</si>
  <si>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</si>
  <si>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</si>
  <si>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</si>
  <si>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</si>
  <si>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</si>
  <si>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</si>
  <si>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</si>
  <si>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</si>
  <si>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</si>
  <si>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</si>
  <si>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</si>
  <si>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</si>
  <si>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</si>
  <si>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</si>
  <si>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</si>
  <si>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</si>
  <si>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</si>
  <si>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</si>
  <si>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</si>
  <si>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</si>
  <si>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</si>
  <si>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</si>
  <si>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</si>
  <si>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</si>
  <si>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</si>
  <si>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</si>
  <si>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</si>
  <si>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</si>
  <si>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</si>
  <si>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</si>
  <si>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</si>
  <si>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</si>
  <si>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</si>
  <si>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</si>
  <si>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</si>
  <si>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</si>
  <si>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</si>
  <si>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</si>
  <si>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</si>
  <si>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</si>
  <si>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</si>
  <si>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</si>
  <si>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</si>
  <si>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</si>
  <si>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</si>
  <si>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</si>
  <si>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</si>
  <si>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</si>
  <si>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</si>
  <si>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</si>
  <si>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</si>
  <si>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</si>
  <si>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</si>
  <si>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</si>
  <si>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</si>
  <si>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</si>
  <si>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</si>
  <si>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</si>
  <si>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</si>
  <si>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</si>
  <si>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</si>
  <si>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</si>
  <si>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</si>
  <si>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</si>
  <si>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</si>
  <si>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</si>
  <si>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</si>
  <si>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</si>
  <si>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</si>
  <si>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</si>
  <si>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</si>
  <si>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</si>
  <si>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</si>
  <si>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</si>
  <si>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</si>
  <si>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</si>
  <si>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</si>
  <si>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</si>
  <si>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</si>
  <si>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</si>
  <si>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</si>
  <si>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</si>
  <si>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</si>
  <si>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</si>
  <si>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</si>
  <si>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</si>
  <si>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</si>
  <si>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</si>
  <si>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</si>
  <si>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</si>
  <si>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</si>
  <si>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</si>
  <si>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</si>
  <si>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</si>
  <si>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</si>
  <si>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</si>
  <si>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</si>
  <si>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</si>
  <si>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</si>
  <si>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</si>
  <si>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</si>
  <si>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</si>
  <si>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</si>
  <si>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</si>
  <si>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</si>
  <si>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</si>
  <si>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</si>
  <si>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</si>
  <si>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</si>
  <si>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</si>
  <si>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</si>
  <si>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</si>
  <si>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</si>
  <si>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</si>
  <si>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</si>
  <si>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</si>
  <si>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</si>
  <si>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</si>
  <si>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</si>
  <si>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</si>
  <si>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</si>
  <si>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</si>
  <si>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</si>
  <si>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</si>
  <si>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</si>
  <si>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</si>
  <si>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</si>
  <si>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</si>
  <si>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</si>
  <si>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</si>
  <si>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</si>
  <si>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</si>
  <si>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</si>
  <si>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</si>
  <si>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</si>
  <si>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</si>
  <si>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</si>
  <si>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</si>
  <si>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</si>
  <si>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</si>
  <si>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</si>
  <si>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</si>
  <si>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</si>
  <si>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</si>
  <si>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</si>
  <si>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</si>
  <si>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</si>
  <si>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</si>
  <si>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</si>
  <si>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</si>
  <si>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</si>
  <si>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</si>
  <si>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</si>
  <si>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</si>
  <si>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</si>
  <si>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</si>
  <si>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</si>
  <si>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</si>
  <si>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</si>
  <si>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</si>
  <si>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</si>
  <si>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</si>
  <si>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</si>
  <si>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</si>
  <si>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</si>
  <si>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</si>
  <si>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</si>
  <si>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</si>
  <si>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</si>
  <si>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</si>
  <si>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</si>
  <si>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</si>
  <si>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</si>
  <si>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</si>
  <si>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</si>
  <si>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</si>
  <si>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</si>
  <si>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</si>
  <si>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</si>
  <si>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</si>
  <si>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</si>
  <si>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</si>
  <si>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</si>
  <si>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</si>
  <si>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</si>
  <si>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</si>
  <si>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</si>
  <si>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</si>
  <si>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</si>
  <si>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</si>
  <si>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</si>
  <si>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</si>
  <si>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</si>
  <si>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</si>
  <si>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</si>
  <si>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</si>
  <si>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</si>
  <si>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</si>
  <si>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</si>
  <si>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</si>
  <si>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</si>
  <si>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</si>
  <si>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</si>
  <si>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</si>
  <si>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</si>
  <si>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</si>
  <si>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</si>
  <si>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</si>
  <si>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</si>
  <si>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</si>
  <si>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</si>
  <si>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</si>
  <si>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</si>
  <si>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</si>
  <si>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</si>
  <si>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</si>
  <si>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</si>
  <si>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</si>
  <si>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</si>
  <si>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</si>
  <si>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</si>
  <si>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</si>
  <si>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</si>
  <si>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</si>
  <si>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</si>
  <si>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</si>
  <si>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</si>
  <si>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</si>
  <si>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</si>
  <si>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</si>
  <si>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</si>
  <si>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</si>
  <si>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</si>
  <si>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</si>
  <si>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</si>
  <si>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</si>
  <si>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</si>
  <si>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</si>
  <si>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</si>
  <si>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</si>
  <si>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</si>
  <si>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</si>
  <si>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</si>
  <si>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</si>
  <si>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</si>
  <si>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</si>
  <si>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</si>
  <si>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</si>
  <si>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</si>
  <si>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</si>
  <si>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</si>
  <si>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</si>
  <si>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</si>
  <si>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</si>
  <si>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</si>
  <si>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</si>
  <si>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</si>
  <si>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</si>
  <si>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</si>
  <si>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</si>
  <si>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</si>
  <si>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</si>
  <si>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</si>
  <si>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</si>
  <si>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</si>
  <si>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</si>
  <si>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</si>
  <si>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</si>
  <si>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</si>
  <si>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</si>
  <si>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</si>
  <si>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</si>
  <si>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</si>
  <si>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</si>
  <si>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</si>
  <si>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</si>
  <si>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</si>
  <si>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</si>
  <si>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</si>
  <si>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</si>
  <si>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</si>
  <si>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</si>
  <si>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</si>
  <si>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</si>
  <si>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</si>
  <si>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</si>
  <si>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</si>
  <si>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</si>
  <si>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</si>
  <si>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</si>
  <si>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</si>
  <si>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</si>
  <si>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</si>
  <si>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</si>
  <si>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</si>
  <si>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</si>
  <si>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</si>
  <si>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</si>
  <si>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</si>
  <si>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</si>
  <si>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</si>
  <si>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</si>
  <si>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</si>
  <si>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</si>
  <si>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</si>
  <si>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</si>
  <si>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</si>
  <si>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</si>
  <si>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</si>
  <si>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</si>
  <si>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</si>
  <si>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</si>
  <si>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</si>
  <si>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</si>
  <si>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</si>
  <si>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</si>
  <si>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</si>
  <si>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</si>
  <si>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</si>
  <si>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</si>
  <si>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</si>
  <si>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</si>
  <si>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</si>
  <si>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</si>
  <si>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</si>
  <si>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</si>
  <si>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</si>
  <si>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</si>
  <si>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</si>
  <si>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</si>
  <si>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</si>
  <si>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</si>
  <si>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</si>
  <si>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</si>
  <si>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</si>
  <si>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</si>
  <si>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</si>
  <si>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</si>
  <si>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</si>
  <si>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</si>
  <si>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</si>
  <si>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</si>
  <si>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</si>
  <si>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</si>
  <si>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</si>
  <si>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</si>
  <si>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</si>
  <si>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</si>
  <si>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</si>
  <si>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</si>
  <si>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</si>
  <si>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</si>
  <si>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</si>
  <si>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</si>
  <si>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</si>
  <si>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</si>
  <si>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</si>
  <si>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</si>
  <si>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</si>
  <si>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</si>
  <si>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</si>
  <si>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</si>
  <si>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</si>
  <si>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</si>
  <si>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</si>
  <si>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</si>
  <si>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</si>
  <si>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</si>
  <si>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</si>
  <si>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</si>
  <si>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</si>
  <si>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</si>
  <si>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</si>
  <si>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</si>
  <si>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</si>
  <si>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</si>
  <si>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</si>
  <si>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</si>
  <si>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</si>
  <si>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</si>
  <si>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</si>
  <si>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</si>
  <si>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</si>
  <si>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</si>
  <si>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</si>
  <si>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</si>
  <si>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</si>
  <si>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</si>
  <si>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</si>
  <si>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</si>
  <si>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</si>
  <si>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</si>
  <si>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</si>
  <si>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</si>
  <si>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</si>
  <si>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</si>
  <si>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</si>
  <si>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</si>
  <si>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</si>
  <si>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</si>
  <si>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</si>
  <si>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</si>
  <si>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</si>
  <si>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</si>
  <si>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</si>
  <si>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</si>
  <si>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</si>
  <si>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</si>
  <si>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</si>
  <si>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</si>
  <si>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</si>
  <si>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</si>
  <si>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</si>
  <si>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</si>
  <si>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</si>
  <si>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</si>
  <si>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</si>
  <si>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</si>
  <si>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</si>
  <si>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</si>
  <si>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</si>
  <si>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</si>
  <si>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</si>
  <si>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</si>
  <si>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</si>
  <si>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</si>
  <si>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</si>
  <si>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</si>
  <si>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</si>
  <si>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</si>
  <si>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</si>
  <si>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</si>
  <si>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</si>
  <si>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</si>
  <si>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</si>
  <si>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</si>
  <si>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</si>
  <si>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</si>
  <si>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</si>
  <si>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</si>
  <si>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</si>
  <si>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</si>
  <si>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</si>
  <si>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</si>
  <si>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</si>
  <si>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</si>
  <si>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</si>
  <si>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</si>
  <si>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</si>
  <si>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</si>
  <si>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</si>
  <si>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</si>
  <si>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</si>
  <si>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</si>
  <si>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</si>
  <si>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</si>
  <si>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</si>
  <si>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</si>
  <si>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</si>
  <si>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</si>
  <si>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</si>
  <si>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</si>
  <si>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</si>
  <si>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</si>
  <si>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</si>
  <si>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</si>
  <si>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</si>
  <si>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</si>
  <si>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</si>
  <si>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</si>
  <si>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</si>
  <si>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</si>
  <si>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</si>
  <si>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</si>
  <si>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</si>
  <si>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</si>
  <si>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</si>
  <si>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</si>
  <si>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</si>
  <si>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</si>
  <si>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</si>
  <si>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</si>
  <si>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</si>
  <si>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</si>
  <si>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</si>
  <si>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</si>
  <si>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</si>
  <si>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</si>
  <si>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</si>
  <si>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</si>
  <si>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</si>
  <si>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</si>
  <si>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</si>
  <si>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</si>
  <si>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</si>
  <si>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</si>
  <si>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</si>
  <si>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</si>
  <si>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</si>
  <si>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</si>
  <si>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</si>
  <si>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</si>
  <si>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</si>
  <si>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</si>
  <si>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</si>
  <si>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</si>
  <si>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</si>
  <si>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</si>
  <si>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</si>
  <si>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</si>
  <si>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</si>
  <si>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</si>
  <si>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</si>
  <si>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</si>
  <si>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</si>
  <si>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</si>
  <si>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</si>
  <si>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</si>
  <si>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</si>
  <si>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</si>
  <si>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</si>
  <si>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</si>
  <si>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</si>
  <si>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</si>
  <si>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</si>
  <si>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</si>
  <si>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</si>
  <si>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</si>
  <si>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</si>
  <si>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</si>
  <si>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</si>
  <si>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</si>
  <si>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</si>
  <si>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</si>
  <si>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</si>
  <si>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</si>
  <si>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</si>
  <si>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</si>
  <si>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</si>
  <si>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</si>
  <si>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</si>
  <si>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</si>
  <si>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</si>
  <si>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</si>
  <si>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</si>
  <si>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</si>
  <si>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</si>
  <si>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</si>
  <si>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</si>
  <si>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</si>
  <si>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</si>
  <si>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</si>
  <si>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</si>
  <si>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</si>
  <si>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</si>
  <si>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</si>
  <si>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</si>
  <si>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</si>
  <si>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</si>
  <si>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</si>
  <si>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</si>
  <si>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</si>
  <si>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</si>
  <si>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</si>
  <si>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</si>
  <si>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</si>
  <si>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</si>
  <si>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</si>
  <si>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</si>
  <si>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</si>
  <si>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</si>
  <si>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</si>
  <si>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</si>
  <si>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</si>
  <si>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</si>
  <si>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</si>
  <si>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</si>
  <si>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</si>
  <si>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</si>
  <si>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</si>
  <si>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</si>
  <si>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</si>
  <si>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</si>
  <si>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</si>
  <si>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</si>
  <si>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</si>
  <si>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</si>
  <si>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</si>
  <si>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</si>
  <si>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</si>
  <si>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</si>
  <si>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</si>
  <si>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</si>
  <si>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</si>
  <si>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</si>
  <si>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</si>
  <si>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</si>
  <si>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</si>
  <si>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</si>
  <si>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</si>
  <si>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</si>
  <si>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</si>
  <si>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</si>
  <si>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</si>
  <si>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</si>
  <si>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</si>
  <si>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</si>
  <si>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</si>
  <si>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</si>
  <si>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</si>
  <si>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</si>
  <si>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</si>
  <si>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</si>
  <si>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</si>
  <si>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</si>
  <si>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</si>
  <si>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</si>
  <si>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</si>
  <si>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</si>
  <si>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</si>
  <si>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</si>
  <si>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</si>
  <si>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</si>
  <si>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</si>
  <si>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</si>
  <si>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</si>
  <si>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</si>
  <si>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</si>
  <si>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</si>
  <si>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</si>
  <si>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</si>
  <si>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</si>
  <si>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</si>
  <si>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</si>
  <si>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</si>
  <si>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</si>
  <si>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</si>
  <si>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</si>
  <si>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</si>
  <si>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</si>
  <si>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</si>
  <si>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</si>
  <si>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</si>
  <si>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</si>
  <si>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</si>
  <si>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</si>
  <si>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</si>
  <si>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</si>
  <si>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</si>
  <si>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</si>
  <si>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</si>
  <si>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</si>
  <si>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</si>
  <si>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</si>
  <si>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</si>
  <si>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</si>
  <si>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</si>
  <si>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</si>
  <si>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</si>
  <si>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</si>
  <si>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</si>
  <si>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</si>
  <si>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</si>
  <si>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</si>
  <si>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</si>
  <si>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</si>
  <si>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</si>
  <si>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</si>
  <si>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</si>
  <si>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</si>
  <si>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</si>
  <si>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</si>
  <si>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</si>
  <si>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</si>
  <si>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</si>
  <si>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</si>
  <si>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</si>
  <si>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</si>
  <si>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</si>
  <si>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</si>
  <si>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</si>
  <si>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</si>
  <si>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</si>
  <si>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</si>
  <si>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</si>
  <si>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</si>
  <si>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</si>
  <si>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</si>
  <si>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</si>
  <si>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</si>
  <si>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</si>
  <si>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</si>
  <si>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</si>
  <si>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</si>
  <si>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</si>
  <si>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</si>
  <si>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</si>
  <si>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</si>
  <si>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</si>
  <si>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</si>
  <si>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</si>
  <si>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</si>
  <si>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</si>
  <si>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</si>
  <si>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</si>
  <si>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</si>
  <si>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</si>
  <si>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</si>
  <si>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</si>
  <si>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</si>
  <si>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</si>
  <si>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</si>
  <si>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</si>
  <si>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</si>
  <si>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</si>
  <si>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</si>
  <si>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</si>
  <si>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</si>
  <si>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</si>
  <si>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</si>
  <si>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</si>
  <si>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</si>
  <si>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</si>
  <si>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</si>
  <si>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</si>
  <si>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</si>
  <si>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</si>
  <si>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</si>
  <si>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</si>
  <si>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</si>
  <si>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</si>
  <si>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</si>
  <si>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</si>
  <si>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</si>
  <si>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</si>
  <si>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</si>
  <si>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</si>
  <si>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</si>
  <si>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</si>
  <si>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</si>
  <si>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</si>
  <si>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</si>
  <si>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</si>
  <si>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</si>
  <si>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</si>
  <si>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</si>
  <si>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</si>
  <si>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</si>
  <si>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</si>
  <si>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</si>
  <si>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</si>
  <si>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</si>
  <si>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</si>
  <si>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</si>
  <si>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</si>
  <si>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</si>
  <si>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</si>
  <si>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</si>
  <si>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</si>
  <si>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</si>
  <si>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</si>
  <si>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</si>
  <si>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</si>
  <si>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</si>
  <si>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</si>
  <si>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</si>
  <si>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</si>
  <si>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</si>
  <si>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</si>
  <si>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</si>
  <si>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</si>
  <si>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</si>
  <si>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</si>
  <si>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</si>
  <si>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</si>
  <si>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</si>
  <si>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</si>
  <si>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</si>
  <si>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</si>
  <si>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</si>
  <si>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</si>
  <si>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</si>
  <si>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</si>
  <si>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</si>
  <si>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</si>
  <si>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</si>
  <si>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</si>
  <si>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</si>
  <si>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</si>
  <si>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</si>
  <si>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</si>
  <si>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</si>
  <si>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</si>
  <si>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</si>
  <si>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</si>
  <si>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</si>
  <si>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</si>
  <si>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</si>
  <si>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</si>
  <si>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</si>
  <si>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</si>
  <si>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</si>
  <si>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</si>
  <si>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</si>
  <si>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</si>
  <si>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</si>
  <si>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</si>
  <si>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</si>
  <si>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</si>
  <si>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</si>
  <si>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</si>
  <si>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</si>
  <si>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</si>
  <si>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</si>
  <si>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</si>
  <si>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</si>
  <si>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</si>
  <si>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</si>
  <si>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</si>
  <si>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</si>
  <si>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</si>
  <si>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</si>
  <si>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</si>
  <si>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</si>
  <si>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</si>
  <si>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</si>
  <si>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</si>
  <si>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</si>
  <si>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</si>
  <si>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</si>
  <si>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</si>
  <si>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</si>
  <si>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</si>
  <si>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</si>
  <si>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</si>
  <si>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</si>
  <si>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</si>
  <si>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</si>
  <si>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</si>
  <si>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</si>
  <si>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</si>
  <si>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</si>
  <si>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</si>
  <si>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</si>
  <si>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</si>
  <si>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</si>
  <si>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</si>
  <si>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</si>
  <si>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</si>
  <si>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</si>
  <si>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</si>
  <si>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</si>
  <si>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</si>
  <si>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</si>
  <si>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</si>
  <si>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</si>
  <si>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</si>
  <si>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</si>
  <si>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</si>
  <si>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</si>
  <si>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</si>
  <si>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</si>
  <si>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</si>
  <si>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</si>
  <si>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</si>
  <si>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</si>
  <si>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</si>
  <si>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</si>
  <si>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</si>
  <si>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</si>
  <si>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</si>
  <si>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</si>
  <si>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</si>
  <si>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</si>
  <si>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</si>
  <si>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</si>
  <si>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</si>
  <si>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</si>
  <si>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</si>
  <si>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</si>
  <si>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</si>
  <si>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</si>
  <si>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</si>
  <si>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</si>
  <si>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</si>
  <si>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</si>
  <si>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</si>
  <si>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</si>
  <si>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</si>
  <si>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</si>
  <si>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</si>
  <si>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</si>
  <si>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</si>
  <si>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</si>
  <si>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</si>
  <si>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</si>
  <si>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</si>
  <si>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</si>
  <si>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</si>
  <si>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</si>
  <si>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</si>
  <si>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</si>
  <si>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</si>
  <si>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</si>
  <si>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</si>
  <si>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</si>
  <si>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</si>
  <si>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</si>
  <si>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</si>
  <si>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</si>
  <si>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</si>
  <si>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</si>
  <si>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</si>
  <si>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</si>
  <si>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</si>
  <si>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</si>
  <si>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</si>
  <si>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</si>
  <si>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</si>
  <si>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</si>
  <si>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</si>
  <si>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</si>
  <si>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</si>
  <si>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</si>
  <si>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</si>
  <si>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</si>
  <si>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</si>
  <si>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</si>
  <si>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</si>
  <si>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</si>
  <si>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</si>
  <si>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</si>
  <si>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</si>
  <si>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</si>
  <si>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</si>
  <si>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</si>
  <si>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</si>
  <si>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</si>
  <si>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</si>
  <si>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</si>
  <si>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</si>
  <si>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</si>
  <si>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</si>
  <si>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</si>
  <si>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</si>
  <si>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</si>
  <si>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</si>
  <si>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</si>
  <si>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</si>
  <si>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</si>
  <si>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</si>
  <si>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</si>
  <si>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</si>
  <si>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</si>
  <si>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</si>
  <si>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</si>
  <si>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</si>
  <si>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</si>
  <si>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</si>
  <si>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</si>
  <si>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</si>
  <si>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</si>
  <si>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</si>
  <si>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</si>
  <si>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</si>
  <si>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</si>
  <si>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</si>
  <si>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</si>
  <si>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</si>
  <si>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</si>
  <si>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</si>
  <si>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</si>
  <si>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</si>
  <si>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</si>
  <si>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</si>
  <si>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</si>
  <si>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</si>
  <si>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</si>
  <si>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</si>
  <si>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</si>
  <si>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</si>
  <si>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</si>
  <si>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</si>
  <si>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</si>
  <si>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</si>
  <si>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</si>
  <si>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</si>
  <si>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</si>
  <si>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</si>
  <si>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</si>
  <si>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</si>
  <si>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</si>
  <si>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</si>
  <si>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</si>
  <si>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</si>
  <si>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</si>
  <si>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</si>
  <si>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</si>
  <si>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</si>
  <si>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</si>
  <si>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</si>
  <si>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</si>
  <si>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</si>
  <si>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</si>
  <si>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</si>
  <si>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</si>
  <si>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</si>
  <si>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</si>
  <si>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</si>
  <si>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</si>
  <si>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</si>
  <si>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</si>
  <si>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</si>
  <si>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</si>
  <si>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</si>
  <si>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</si>
  <si>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</si>
  <si>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</si>
  <si>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</si>
  <si>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</si>
  <si>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</si>
  <si>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</si>
  <si>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</si>
  <si>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</si>
  <si>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</si>
  <si>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</si>
  <si>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</si>
  <si>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</si>
  <si>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</si>
  <si>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</si>
  <si>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</si>
  <si>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</si>
  <si>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</si>
  <si>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</si>
  <si>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</si>
  <si>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</si>
  <si>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</si>
  <si>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</si>
  <si>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</si>
  <si>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</si>
  <si>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</si>
  <si>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</si>
  <si>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</si>
  <si>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</si>
  <si>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</si>
  <si>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</si>
  <si>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</si>
  <si>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</si>
  <si>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</si>
  <si>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</si>
  <si>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</si>
  <si>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California Victim Compensation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</si>
</sst>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34" sqref="J3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1138</v>
      </c>
      <c r="G5" s="180"/>
      <c r="H5" s="180"/>
      <c r="I5" s="180"/>
      <c r="J5" s="47"/>
      <c r="K5" s="47"/>
      <c r="L5" s="48"/>
      <c r="M5" s="48"/>
      <c r="N5" s="48"/>
    </row>
    <row r="6" spans="1:17" ht="15.75" x14ac:dyDescent="0.2">
      <c r="A6" s="173" t="s">
        <v>1</v>
      </c>
      <c r="B6" s="173"/>
      <c r="C6" s="173"/>
      <c r="D6" s="173"/>
      <c r="E6" s="173"/>
      <c r="F6" s="181">
        <v>214</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GENERAL GOVERNMENT</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312415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257295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55120</v>
      </c>
      <c r="Q21" s="28"/>
    </row>
    <row r="22" spans="1:17" ht="16.5" customHeight="1" x14ac:dyDescent="0.2">
      <c r="A22" s="56"/>
      <c r="B22" s="58"/>
      <c r="C22" s="58"/>
      <c r="D22" s="58"/>
      <c r="E22" s="58"/>
      <c r="F22" s="58"/>
      <c r="G22" s="58"/>
      <c r="H22" s="58"/>
      <c r="I22" s="58"/>
      <c r="J22" s="29">
        <f>ROUND(SUM(J15:J17),2)</f>
        <v>312415</v>
      </c>
      <c r="K22" s="29">
        <f>ROUND(SUM(K18:K21),2)</f>
        <v>312415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120935</v>
      </c>
      <c r="K45" s="33"/>
    </row>
    <row r="46" spans="1:12" ht="16.5" customHeight="1" x14ac:dyDescent="0.2">
      <c r="A46" s="56"/>
      <c r="B46" s="71"/>
      <c r="C46" s="165" t="s">
        <v>1587</v>
      </c>
      <c r="D46" s="165"/>
      <c r="E46" s="165"/>
      <c r="F46" s="165"/>
      <c r="G46" s="165"/>
      <c r="H46" s="165"/>
      <c r="I46" s="165"/>
      <c r="J46" s="36"/>
      <c r="K46" s="32">
        <f>J45</f>
        <v>120935</v>
      </c>
    </row>
    <row r="47" spans="1:12" ht="16.5" customHeight="1" x14ac:dyDescent="0.2">
      <c r="A47" s="68"/>
      <c r="B47" s="58"/>
      <c r="C47" s="58"/>
      <c r="D47" s="58"/>
      <c r="E47" s="58"/>
      <c r="F47" s="58"/>
      <c r="G47" s="58"/>
      <c r="H47" s="58"/>
      <c r="I47" s="58"/>
      <c r="J47" s="39">
        <f>ROUND(SUM(J45:J45),2)</f>
        <v>120935</v>
      </c>
      <c r="K47" s="39">
        <f>ROUND(SUM(K46),2)</f>
        <v>120935</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127365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4922</v>
      </c>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132287</v>
      </c>
    </row>
    <row r="53" spans="1:12" ht="16.5" customHeight="1" x14ac:dyDescent="0.2">
      <c r="A53" s="68"/>
      <c r="B53" s="58"/>
      <c r="C53" s="58"/>
      <c r="D53" s="58"/>
      <c r="E53" s="58"/>
      <c r="F53" s="58"/>
      <c r="G53" s="58"/>
      <c r="H53" s="58"/>
      <c r="I53" s="58"/>
      <c r="J53" s="39">
        <f>ROUND(SUM(J50:J51),2)</f>
        <v>132287</v>
      </c>
      <c r="K53" s="39">
        <f>ROUND(SUM(K52,),2)</f>
        <v>132287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127365</v>
      </c>
      <c r="K56" s="36"/>
    </row>
    <row r="57" spans="1:12" ht="16.5" customHeight="1" x14ac:dyDescent="0.25">
      <c r="A57" s="56"/>
      <c r="B57" s="57"/>
      <c r="C57" s="165" t="s">
        <v>1613</v>
      </c>
      <c r="D57" s="165"/>
      <c r="E57" s="165"/>
      <c r="F57" s="165"/>
      <c r="G57" s="165"/>
      <c r="H57" s="165"/>
      <c r="I57" s="165"/>
      <c r="J57" s="36"/>
      <c r="K57" s="32">
        <f>J50</f>
        <v>127365</v>
      </c>
    </row>
    <row r="58" spans="1:12" ht="16.5" customHeight="1" x14ac:dyDescent="0.2">
      <c r="A58" s="68"/>
      <c r="B58" s="58"/>
      <c r="C58" s="58"/>
      <c r="D58" s="58"/>
      <c r="E58" s="58"/>
      <c r="F58" s="58"/>
      <c r="G58" s="58"/>
      <c r="H58" s="58"/>
      <c r="I58" s="58"/>
      <c r="J58" s="39">
        <f>ROUND(SUM(J56:J56),2)</f>
        <v>127365</v>
      </c>
      <c r="K58" s="39">
        <f>ROUND(SUM(K57),2)</f>
        <v>127365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129930</v>
      </c>
      <c r="K61" s="33"/>
    </row>
    <row r="62" spans="1:12" ht="16.5" customHeight="1" x14ac:dyDescent="0.25">
      <c r="A62" s="56"/>
      <c r="B62" s="57"/>
      <c r="C62" s="165" t="s">
        <v>1623</v>
      </c>
      <c r="D62" s="165"/>
      <c r="E62" s="165"/>
      <c r="F62" s="165"/>
      <c r="G62" s="165"/>
      <c r="H62" s="165"/>
      <c r="I62" s="165"/>
      <c r="J62" s="33"/>
      <c r="K62" s="32">
        <f>J61</f>
        <v>129930</v>
      </c>
    </row>
    <row r="63" spans="1:12" ht="16.5" customHeight="1" x14ac:dyDescent="0.2">
      <c r="A63" s="56"/>
      <c r="B63" s="166" t="s">
        <v>1622</v>
      </c>
      <c r="C63" s="166"/>
      <c r="D63" s="166"/>
      <c r="E63" s="166"/>
      <c r="F63" s="166"/>
      <c r="G63" s="166"/>
      <c r="H63" s="166"/>
      <c r="I63" s="166"/>
      <c r="J63" s="39">
        <f>ROUND(SUM(J61:J61),2)</f>
        <v>129930</v>
      </c>
      <c r="K63" s="39">
        <f>ROUND(SUM(K62),2)</f>
        <v>129930</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312415</v>
      </c>
    </row>
    <row r="95" spans="1:12" ht="16.5" customHeight="1" x14ac:dyDescent="0.25">
      <c r="D95" s="57" t="s">
        <v>1641</v>
      </c>
      <c r="E95"/>
      <c r="F95"/>
      <c r="G95"/>
      <c r="H95" s="44"/>
      <c r="I95"/>
      <c r="J95"/>
      <c r="K95" s="162">
        <f>-K18-K46+J68+J77</f>
        <v>-120935</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-129930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disablePrompts="1"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13" zoomScale="85" zoomScaleNormal="85"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7870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129930</v>
      </c>
      <c r="C16" s="2">
        <v>2358</v>
      </c>
      <c r="D16" s="185" t="s">
        <v>1537</v>
      </c>
      <c r="E16" s="97"/>
      <c r="F16" s="97"/>
      <c r="G16" s="97"/>
      <c r="H16" s="97"/>
      <c r="I16" s="97"/>
      <c r="J16" s="97"/>
      <c r="K16" s="97"/>
    </row>
    <row r="17" spans="1:11" ht="15" customHeight="1" x14ac:dyDescent="0.2">
      <c r="A17" s="94" t="str">
        <f>LEFT(A16,4)+1&amp;"–"&amp;RIGHT(A16,4)+1</f>
        <v>2024–2025</v>
      </c>
      <c r="B17" s="2"/>
      <c r="C17" s="2"/>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7870</v>
      </c>
      <c r="C43" s="184"/>
    </row>
    <row r="44" spans="1:11" ht="15.75" x14ac:dyDescent="0.25">
      <c r="A44" s="92" t="s">
        <v>1600</v>
      </c>
      <c r="B44" s="183" t="str">
        <f>B13</f>
        <v>California Victim Compensation Board</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7870</v>
      </c>
      <c r="C74" s="184"/>
    </row>
    <row r="75" spans="1:4" ht="15.75" x14ac:dyDescent="0.25">
      <c r="A75" s="92" t="s">
        <v>1600</v>
      </c>
      <c r="B75" s="183" t="str">
        <f>B13</f>
        <v>California Victim Compensation Board</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iEk3GdpWaIR6mYhP2cGvgro0UKW4e5ci/UYIEFhYMqQPESSMkIZIHC2wog0e2BvcvU2d9KRSWPmdhIKxFFwKqg==" saltValue="kz33C0D89TOlYaJmYAv5nA=="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85" zoomScaleNormal="85" workbookViewId="0">
      <selection activeCell="F10" sqref="F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0214 Journal Entries'!$F$5&amp;" "&amp;'Fund 0214 Journal Entries'!$F$4</f>
        <v>Business Unit 7870 California Victim Compensation Board</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0214 Journal Entries'!$F$3,4)</f>
        <v>Balance
July 1, 2022</v>
      </c>
      <c r="G8" s="116"/>
      <c r="H8" s="117" t="s">
        <v>10</v>
      </c>
      <c r="I8" s="116"/>
      <c r="J8" s="117" t="s">
        <v>11</v>
      </c>
      <c r="K8" s="116"/>
      <c r="L8" s="115" t="str">
        <f>"Balance
June 30, "&amp;RIGHT('Fund 0214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0214 Journal Entries'!$F$7="Governmental Fund",'Fund 0214 Journal Entries'!$K$19,0)</f>
        <v>257295</v>
      </c>
      <c r="H10" s="3">
        <f>IF('Fund 0214 Journal Entries'!$F$7="Governmental Fund",'Fund 0214 Journal Entries'!$K$37,0)</f>
        <v>0</v>
      </c>
      <c r="J10" s="3">
        <f>IF('Fund 0214 Journal Entries'!$F$7="Governmental Fund",'Fund 0214 Journal Entries'!$J$56,0)</f>
        <v>127365</v>
      </c>
      <c r="L10" s="119">
        <f>SUM(F10+H10-J10)</f>
        <v>129930</v>
      </c>
      <c r="N10" s="3">
        <f>IF('Fund 0214 Journal Entries'!$F$7="Governmental Fund",'Fund 0214 Journal Entries'!$J$61,0)</f>
        <v>129930</v>
      </c>
      <c r="P10" s="119">
        <f>L10-N10</f>
        <v>0</v>
      </c>
      <c r="Q10" s="109"/>
    </row>
    <row r="11" spans="2:17" ht="19.5" thickTop="1" thickBot="1" x14ac:dyDescent="0.3">
      <c r="B11" s="107"/>
      <c r="C11" s="197" t="s">
        <v>15</v>
      </c>
      <c r="D11" s="197"/>
      <c r="F11" s="120">
        <f>SUM(F10:F10)</f>
        <v>257295</v>
      </c>
      <c r="H11" s="120">
        <f>SUM(H10:H10)</f>
        <v>0</v>
      </c>
      <c r="J11" s="120">
        <f>SUM(J10:J10)</f>
        <v>127365</v>
      </c>
      <c r="L11" s="120">
        <f>SUM(L10:L10)</f>
        <v>129930</v>
      </c>
      <c r="N11" s="120">
        <f>SUM(N10:N10)</f>
        <v>129930</v>
      </c>
      <c r="P11" s="120">
        <f>SUM(P10:P10)</f>
        <v>0</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0214 Journal Entries'!$F$7="Proprietary - Internal Service Fund",'Fund 0214 Journal Entries'!$K$19,0)</f>
        <v>0</v>
      </c>
      <c r="H14" s="3">
        <f>IF('Fund 0214 Journal Entries'!$F$7="Proprietary - Internal Service Fund",'Fund 0214 Journal Entries'!$K$37,0)</f>
        <v>0</v>
      </c>
      <c r="J14" s="3">
        <f>IF('Fund 0214 Journal Entries'!$F$7="Proprietary - Internal Service Fund",'Fund 0214 Journal Entries'!$J$56,0)</f>
        <v>0</v>
      </c>
      <c r="L14" s="119">
        <f>SUM(F14+H14-J14)</f>
        <v>0</v>
      </c>
      <c r="N14" s="3">
        <f>IF('Fund 0214 Journal Entries'!$F$7="Proprietary - Internal Service Fund",'Fund 0214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0214 Journal Entries'!$F$7="Proprietary - Enterprise Fund",'Fund 0214 Journal Entries'!$K$19,0)</f>
        <v>0</v>
      </c>
      <c r="H18" s="3">
        <f>IF('Fund 0214 Journal Entries'!$F$7="Proprietary - Enterprise Fund",'Fund 0214 Journal Entries'!$K$37,0)</f>
        <v>0</v>
      </c>
      <c r="J18" s="3">
        <f>IF('Fund 0214 Journal Entries'!$F$7="Proprietary - Enterprise Fund",'Fund 0214 Journal Entries'!$J$56,0)</f>
        <v>0</v>
      </c>
      <c r="L18" s="119">
        <f>SUM(F18+H18-J18)</f>
        <v>0</v>
      </c>
      <c r="N18" s="3">
        <f>IF('Fund 0214 Journal Entries'!$F$7="Proprietary - Enterprise Fund",'Fund 0214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H16" sqref="H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0214 Journal Entries'!$F$7="Governmental Fund",ROUND('Fund 0214 Journal Entries'!$K$19,0),0)</f>
        <v>257295</v>
      </c>
      <c r="C16" s="15" t="s">
        <v>1552</v>
      </c>
      <c r="D16" s="14">
        <f>IF('Fund 0214 Journal Entries'!$F$7="Governmental Fund",ROUND('Fund 0214 Journal Entries'!$K$37,0),0)</f>
        <v>0</v>
      </c>
      <c r="E16" s="16" t="s">
        <v>1554</v>
      </c>
      <c r="F16" s="14">
        <f>IF('Fund 0214 Journal Entries'!$F$7="Governmental Fund",ROUND('Fund 0214 Journal Entries'!$J$56,0),0)</f>
        <v>127365</v>
      </c>
      <c r="G16" s="16" t="s">
        <v>1556</v>
      </c>
      <c r="H16" s="17">
        <f>+B16+D16-F16</f>
        <v>129930</v>
      </c>
      <c r="I16" s="16"/>
      <c r="J16" s="18">
        <f>ROUND(SUM('Department Note Disclosure'!$B$16:$B$39),0)</f>
        <v>129930</v>
      </c>
      <c r="K16" s="15"/>
      <c r="L16" s="19">
        <f>H16-J16</f>
        <v>0</v>
      </c>
      <c r="M16" s="137"/>
    </row>
    <row r="17" spans="1:13" ht="15" customHeight="1" x14ac:dyDescent="0.25">
      <c r="A17" s="147"/>
      <c r="B17" s="147"/>
      <c r="C17" s="148"/>
      <c r="D17" s="149" t="str">
        <f>IF(OR(L16&gt;0.99, (L16&lt;(-0.99))),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0214 Journal Entries'!$F$7="Proprietary - Internal Service Fund",ROUND('Fund 0214 Journal Entries'!$K$19,0),0)</f>
        <v>0</v>
      </c>
      <c r="C23" s="15" t="s">
        <v>1552</v>
      </c>
      <c r="D23" s="14">
        <f>IF('Fund 0214 Journal Entries'!$F$7="Proprietary - Internal Service Fund",ROUND('Fund 0214 Journal Entries'!$K$37,0),0)</f>
        <v>0</v>
      </c>
      <c r="E23" s="16" t="s">
        <v>1554</v>
      </c>
      <c r="F23" s="14">
        <f>IF('Fund 0214 Journal Entries'!$F$7="Proprietary - Internal Service Fund",ROUND('Fund 0214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IF(OR(L23&gt;0.99, (L23&lt;(-0.99))),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0214 Journal Entries'!$F$7="Proprietary - Enterprise Fund",ROUND('Fund 0214 Journal Entries'!$K$19,0),0)</f>
        <v>0</v>
      </c>
      <c r="C31" s="15" t="s">
        <v>1552</v>
      </c>
      <c r="D31" s="14">
        <f>IF('Fund 0214 Journal Entries'!$F$7="Proprietary - Enterprise Fund",ROUND('Fund 0214 Journal Entries'!$K$37,0),0)</f>
        <v>0</v>
      </c>
      <c r="E31" s="16" t="s">
        <v>1554</v>
      </c>
      <c r="F31" s="14">
        <f>IF('Fund 0214 Journal Entries'!$F$7="Proprietary - Enterprise Fund",ROUND('Fund 0214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IF(OR(L31&gt;0.99, (L31&lt;(-0.99))),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0214 Journal Entries'!$F$7="Governmental Fund",ROUND('Fund 0214 Journal Entries'!$K$62,0),0)</f>
        <v>129930</v>
      </c>
      <c r="G39" s="150"/>
      <c r="H39" s="150"/>
      <c r="I39" s="20"/>
      <c r="J39" s="18">
        <f>ROUND('Department Note Disclosure'!$B$16,0)</f>
        <v>129930</v>
      </c>
      <c r="K39" s="21"/>
      <c r="L39" s="19">
        <f>F39-J39</f>
        <v>0</v>
      </c>
      <c r="M39" s="137"/>
    </row>
    <row r="40" spans="1:13" ht="17.25" x14ac:dyDescent="0.25">
      <c r="A40" s="137"/>
      <c r="B40" s="147"/>
      <c r="C40" s="148"/>
      <c r="D40" s="149" t="str">
        <f>IF(OR(L39&gt;0.99, (L39&lt;(-0.99))),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0214 Journal Entries'!$F$7="Proprietary - Internal Service Fund",ROUND('Fund 0214 Journal Entries'!$K$62,0),0)</f>
        <v>0</v>
      </c>
      <c r="G46" s="150"/>
      <c r="H46" s="150"/>
      <c r="I46" s="20"/>
      <c r="J46" s="18">
        <f>ROUND('Department Note Disclosure'!$B$47,0)</f>
        <v>0</v>
      </c>
      <c r="K46" s="21"/>
      <c r="L46" s="19">
        <f>F46-J46</f>
        <v>0</v>
      </c>
      <c r="M46" s="137"/>
    </row>
    <row r="47" spans="1:13" ht="17.25" x14ac:dyDescent="0.25">
      <c r="A47" s="137"/>
      <c r="B47" s="137"/>
      <c r="C47" s="137"/>
      <c r="D47" s="149" t="str">
        <f>IF(OR(L46&gt;0.99, (L46&lt;(-0.99))),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0214 Journal Entries'!$F$7="Proprietary - Enterprise Fund",ROUND('Fund 0214 Journal Entries'!$K$62,0),0)</f>
        <v>0</v>
      </c>
      <c r="G53" s="150"/>
      <c r="H53" s="150"/>
      <c r="I53" s="20"/>
      <c r="J53" s="18">
        <f>ROUND('Department Note Disclosure'!$B$78,0)</f>
        <v>0</v>
      </c>
      <c r="K53" s="21"/>
      <c r="L53" s="19">
        <f>F53-J53</f>
        <v>0</v>
      </c>
      <c r="M53" s="137"/>
    </row>
    <row r="54" spans="1:13" ht="17.25" x14ac:dyDescent="0.25">
      <c r="A54" s="137"/>
      <c r="B54" s="147"/>
      <c r="C54" s="148"/>
      <c r="D54" s="149" t="str">
        <f>IF(OR(L53&gt;0.99, (L53&lt;(-0.99))),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257295</v>
      </c>
      <c r="H61" s="154" t="str">
        <f>"Balance July 1, "&amp;LEFT('Fund 0214 Journal Entries'!$F$3,4)</f>
        <v>Balance July 1, 2022</v>
      </c>
      <c r="J61" s="22">
        <f>ROUND('SBITA Liabilities'!$F$10,0)</f>
        <v>257295</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127365</v>
      </c>
      <c r="H63" s="154" t="s">
        <v>11</v>
      </c>
      <c r="J63" s="22">
        <f>ROUND('SBITA Liabilities'!$J$10,0)</f>
        <v>127365</v>
      </c>
      <c r="L63" s="19">
        <f>D63-J63</f>
        <v>0</v>
      </c>
    </row>
    <row r="64" spans="1:13" x14ac:dyDescent="0.25">
      <c r="B64" s="152" t="s">
        <v>1559</v>
      </c>
      <c r="D64" s="22">
        <f>$F$39</f>
        <v>129930</v>
      </c>
      <c r="H64" s="154" t="s">
        <v>12</v>
      </c>
      <c r="J64" s="22">
        <f>ROUND('SBITA Liabilities'!$N$10,0)</f>
        <v>129930</v>
      </c>
      <c r="L64" s="19">
        <f>D64-J64</f>
        <v>0</v>
      </c>
    </row>
    <row r="65" spans="1:13" ht="15.95" customHeight="1" x14ac:dyDescent="0.25">
      <c r="D65" s="149" t="str">
        <f>IF(OR(L61&gt;0.99, L61&lt;(-0.99),L62&gt;0.99,L62&lt;(-0.99),L63&gt;0.99,L63&lt;(-0.99),L64&gt;0.99,L64&lt;(-0.99)),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0214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IF(OR(L71&gt;0.99, L71&lt;(-0.99),L72&gt;0.99,L72&lt;(-0.99),L73&gt;0.99,L73&lt;(-0.99),L74&gt;0.99,L74&lt;(-0.99)),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0214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IF(OR(L81&gt;0.99, L81&lt;(-0.99),L82&gt;0.99,L82&lt;(-0.99),L83&gt;0.99,L83&lt;(-0.99),L84&gt;0.99,L84&lt;(-0.99)),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GC9srGsrD+uFqGXTa63ktkgE+SiTZkwEI659IyH6utyY3AfJt5Mu0dcuBVA1CzI7nW+xa7kDGIxlB74YNzb9pQ==" saltValue="67VbQNDDpMomPEU/iZnZmg=="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5D26CA2-0A85-47AA-BE1A-2C101975147E}"/>
</file>

<file path=customXml/itemProps2.xml><?xml version="1.0" encoding="utf-8"?>
<ds:datastoreItem xmlns:ds="http://schemas.openxmlformats.org/officeDocument/2006/customXml" ds:itemID="{E63E69F7-66C7-42D2-AD85-26FDACB78DE1}"/>
</file>

<file path=customXml/itemProps3.xml><?xml version="1.0" encoding="utf-8"?>
<ds:datastoreItem xmlns:ds="http://schemas.openxmlformats.org/officeDocument/2006/customXml" ds:itemID="{7CA3F52A-B0A7-4775-91A0-A961A330FF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0214 Journal Entries</vt:lpstr>
      <vt:lpstr>Department Note Disclosure</vt:lpstr>
      <vt:lpstr>SBITA Liabilities</vt:lpstr>
      <vt:lpstr>Check Figures </vt:lpstr>
      <vt:lpstr>Drop Down Menus</vt:lpstr>
      <vt:lpstr>GAAP02Aindex</vt:lpstr>
      <vt:lpstr>'Department Note Disclosure'!Print_Area</vt:lpstr>
      <vt:lpstr>'Fund 0214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3299700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