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42727651-7747-49A7-B17E-DB56C219FD7C}" xr6:coauthVersionLast="47" xr6:coauthVersionMax="47" xr10:uidLastSave="{00000000-0000-0000-0000-000000000000}"/>
  <bookViews>
    <workbookView xWindow="20370" yWindow="-120" windowWidth="38640" windowHeight="15840" tabRatio="744" xr2:uid="{00000000-000D-0000-FFFF-FFFF00000000}"/>
  </bookViews>
  <sheets>
    <sheet name="Fund 0001 Journal Entries" sheetId="2" r:id="rId1"/>
    <sheet name="Fund 0263 Journal Entries " sheetId="10" r:id="rId2"/>
    <sheet name="Fund 0392 Journal Entries " sheetId="11" r:id="rId3"/>
    <sheet name="Fund 0516 Journal Entries " sheetId="12" r:id="rId4"/>
    <sheet name="Fund 0890 Journal Entries " sheetId="13" r:id="rId5"/>
    <sheet name="Fund 3352 Journal Entries  " sheetId="14" r:id="rId6"/>
    <sheet name="Department Note Disclosure" sheetId="3" r:id="rId7"/>
    <sheet name="SBITA Liabilities" sheetId="4" r:id="rId8"/>
    <sheet name="Check Figures " sheetId="9" r:id="rId9"/>
    <sheet name="Drop Down Menus" sheetId="1" state="hidden" r:id="rId10"/>
    <sheet name="GAAP02Aindex" sheetId="7" state="hidden" r:id="rId11"/>
  </sheets>
  <externalReferences>
    <externalReference r:id="rId12"/>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6">'Department Note Disclosure'!$A$3:$D$101</definedName>
    <definedName name="_xlnm.Print_Area" localSheetId="0">'Fund 0001 Journal Entries'!$A$3:$K$70</definedName>
    <definedName name="_xlnm.Print_Area" localSheetId="1">'Fund 0263 Journal Entries '!$A$3:$K$70</definedName>
    <definedName name="_xlnm.Print_Area" localSheetId="2">'Fund 0392 Journal Entries '!$A$3:$K$70</definedName>
    <definedName name="_xlnm.Print_Area" localSheetId="3">'Fund 0516 Journal Entries '!$A$3:$K$70</definedName>
    <definedName name="_xlnm.Print_Area" localSheetId="4">'Fund 0890 Journal Entries '!$A$3:$K$70</definedName>
    <definedName name="_xlnm.Print_Area" localSheetId="5">'Fund 3352 Journal Entries  '!$A$3:$K$70</definedName>
    <definedName name="_xlnm.Print_Area" localSheetId="7">'SBITA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4" l="1"/>
  <c r="N10" i="4"/>
  <c r="F10" i="4"/>
  <c r="D92" i="3" l="1"/>
  <c r="D61" i="3"/>
  <c r="D89" i="3"/>
  <c r="D58" i="3"/>
  <c r="D30" i="3"/>
  <c r="D27" i="3"/>
  <c r="B16" i="9" l="1"/>
  <c r="K86" i="14" l="1"/>
  <c r="J86" i="14"/>
  <c r="L86" i="14" s="1"/>
  <c r="L81" i="14"/>
  <c r="K81" i="14"/>
  <c r="J81" i="14"/>
  <c r="J70" i="14"/>
  <c r="L70" i="14" s="1"/>
  <c r="K69" i="14"/>
  <c r="K70" i="14" s="1"/>
  <c r="J63" i="14"/>
  <c r="K62" i="14"/>
  <c r="K57" i="14"/>
  <c r="J56" i="14" s="1"/>
  <c r="J53" i="14"/>
  <c r="K52" i="14"/>
  <c r="K53" i="14" s="1"/>
  <c r="L53" i="14" s="1"/>
  <c r="B51" i="14"/>
  <c r="J47" i="14"/>
  <c r="K46" i="14"/>
  <c r="K47" i="14" s="1"/>
  <c r="L47" i="14" s="1"/>
  <c r="K39" i="14"/>
  <c r="J39" i="14"/>
  <c r="L39" i="14" s="1"/>
  <c r="K31" i="14"/>
  <c r="J31" i="14"/>
  <c r="A26" i="14"/>
  <c r="K22" i="14"/>
  <c r="J22" i="14"/>
  <c r="B14" i="14"/>
  <c r="A12" i="14"/>
  <c r="F8" i="14"/>
  <c r="C52" i="14" s="1"/>
  <c r="K86" i="13"/>
  <c r="J86" i="13"/>
  <c r="L86" i="13" s="1"/>
  <c r="L81" i="13"/>
  <c r="K81" i="13"/>
  <c r="J81" i="13"/>
  <c r="J70" i="13"/>
  <c r="K69" i="13"/>
  <c r="K94" i="13" s="1"/>
  <c r="J63" i="13"/>
  <c r="K62" i="13"/>
  <c r="K97" i="13" s="1"/>
  <c r="K57" i="13"/>
  <c r="J56" i="13" s="1"/>
  <c r="J53" i="13"/>
  <c r="K52" i="13"/>
  <c r="K53" i="13" s="1"/>
  <c r="L53" i="13" s="1"/>
  <c r="B51" i="13"/>
  <c r="J47" i="13"/>
  <c r="K46" i="13"/>
  <c r="K47" i="13" s="1"/>
  <c r="K39" i="13"/>
  <c r="J39" i="13"/>
  <c r="K31" i="13"/>
  <c r="J31" i="13"/>
  <c r="A26" i="13"/>
  <c r="K22" i="13"/>
  <c r="J22" i="13"/>
  <c r="B14" i="13"/>
  <c r="A12" i="13"/>
  <c r="F8" i="13"/>
  <c r="C80" i="13" s="1"/>
  <c r="K86" i="12"/>
  <c r="J86" i="12"/>
  <c r="L86" i="12" s="1"/>
  <c r="L81" i="12"/>
  <c r="K81" i="12"/>
  <c r="J81" i="12"/>
  <c r="J70" i="12"/>
  <c r="K69" i="12"/>
  <c r="K70" i="12" s="1"/>
  <c r="L70" i="12" s="1"/>
  <c r="J63" i="12"/>
  <c r="K62" i="12"/>
  <c r="K57" i="12"/>
  <c r="J56" i="12" s="1"/>
  <c r="J53" i="12"/>
  <c r="K52" i="12"/>
  <c r="K53" i="12" s="1"/>
  <c r="B51" i="12"/>
  <c r="J47" i="12"/>
  <c r="K46" i="12"/>
  <c r="K95" i="12" s="1"/>
  <c r="K39" i="12"/>
  <c r="J39" i="12"/>
  <c r="L39" i="12" s="1"/>
  <c r="K31" i="12"/>
  <c r="J31" i="12"/>
  <c r="A26" i="12"/>
  <c r="K22" i="12"/>
  <c r="J22" i="12"/>
  <c r="B14" i="12"/>
  <c r="A12" i="12"/>
  <c r="F8" i="12"/>
  <c r="C80" i="12" s="1"/>
  <c r="K86" i="11"/>
  <c r="J86" i="11"/>
  <c r="L86" i="11" s="1"/>
  <c r="L81" i="11"/>
  <c r="K81" i="11"/>
  <c r="J81" i="11"/>
  <c r="J70" i="11"/>
  <c r="K69" i="11"/>
  <c r="K94" i="11" s="1"/>
  <c r="J63" i="11"/>
  <c r="K62" i="11"/>
  <c r="K97" i="11" s="1"/>
  <c r="K57" i="11"/>
  <c r="J56" i="11" s="1"/>
  <c r="J53" i="11"/>
  <c r="K52" i="11"/>
  <c r="K53" i="11" s="1"/>
  <c r="L53" i="11" s="1"/>
  <c r="B51" i="11"/>
  <c r="J47" i="11"/>
  <c r="L47" i="11" s="1"/>
  <c r="K46" i="11"/>
  <c r="K47" i="11" s="1"/>
  <c r="K39" i="11"/>
  <c r="J39" i="11"/>
  <c r="L39" i="11" s="1"/>
  <c r="K31" i="11"/>
  <c r="J31" i="11"/>
  <c r="A26" i="11"/>
  <c r="K22" i="11"/>
  <c r="J22" i="11"/>
  <c r="B14" i="11"/>
  <c r="A12" i="11"/>
  <c r="F8" i="11"/>
  <c r="C80" i="11" s="1"/>
  <c r="K86" i="10"/>
  <c r="J86" i="10"/>
  <c r="L86" i="10" s="1"/>
  <c r="L81" i="10"/>
  <c r="K81" i="10"/>
  <c r="J81" i="10"/>
  <c r="J70" i="10"/>
  <c r="K69" i="10"/>
  <c r="K94" i="10" s="1"/>
  <c r="J63" i="10"/>
  <c r="K62" i="10"/>
  <c r="K97" i="10" s="1"/>
  <c r="K57" i="10"/>
  <c r="J56" i="10" s="1"/>
  <c r="J53" i="10"/>
  <c r="K52" i="10"/>
  <c r="K53" i="10" s="1"/>
  <c r="B51" i="10"/>
  <c r="J47" i="10"/>
  <c r="K46" i="10"/>
  <c r="K47" i="10" s="1"/>
  <c r="K39" i="10"/>
  <c r="J39" i="10"/>
  <c r="L39" i="10" s="1"/>
  <c r="K31" i="10"/>
  <c r="J31" i="10"/>
  <c r="A26" i="10"/>
  <c r="K22" i="10"/>
  <c r="J22" i="10"/>
  <c r="B14" i="10"/>
  <c r="A12" i="10"/>
  <c r="F8" i="10"/>
  <c r="C80" i="10" s="1"/>
  <c r="D16" i="9"/>
  <c r="B23" i="9"/>
  <c r="D23" i="9"/>
  <c r="F23" i="9"/>
  <c r="D31" i="9"/>
  <c r="F46" i="9"/>
  <c r="N14" i="4"/>
  <c r="J14" i="4"/>
  <c r="H14" i="4"/>
  <c r="F14" i="4"/>
  <c r="H18" i="4"/>
  <c r="K46" i="2"/>
  <c r="K52" i="2"/>
  <c r="K63" i="11" l="1"/>
  <c r="L63" i="11" s="1"/>
  <c r="K97" i="14"/>
  <c r="K97" i="12"/>
  <c r="L39" i="13"/>
  <c r="K63" i="14"/>
  <c r="L63" i="14" s="1"/>
  <c r="K63" i="13"/>
  <c r="L63" i="13" s="1"/>
  <c r="K63" i="10"/>
  <c r="L63" i="10" s="1"/>
  <c r="L53" i="12"/>
  <c r="L53" i="10"/>
  <c r="L47" i="13"/>
  <c r="K47" i="12"/>
  <c r="L47" i="12" s="1"/>
  <c r="L47" i="10"/>
  <c r="L31" i="14"/>
  <c r="L31" i="13"/>
  <c r="L31" i="12"/>
  <c r="L31" i="11"/>
  <c r="L31" i="10"/>
  <c r="L22" i="14"/>
  <c r="K96" i="14"/>
  <c r="J58" i="14"/>
  <c r="C38" i="14"/>
  <c r="B78" i="14"/>
  <c r="K94" i="14"/>
  <c r="K58" i="14"/>
  <c r="C30" i="14"/>
  <c r="C80" i="14"/>
  <c r="K95" i="14"/>
  <c r="L22" i="13"/>
  <c r="L70" i="13"/>
  <c r="K96" i="13"/>
  <c r="J58" i="13"/>
  <c r="C38" i="13"/>
  <c r="K70" i="13"/>
  <c r="C52" i="13"/>
  <c r="B78" i="13"/>
  <c r="K58" i="13"/>
  <c r="C30" i="13"/>
  <c r="K95" i="13"/>
  <c r="L22" i="12"/>
  <c r="K96" i="12"/>
  <c r="J58" i="12"/>
  <c r="C38" i="12"/>
  <c r="B78" i="12"/>
  <c r="K94" i="12"/>
  <c r="C52" i="12"/>
  <c r="K58" i="12"/>
  <c r="C30" i="12"/>
  <c r="K63" i="12"/>
  <c r="L63" i="12" s="1"/>
  <c r="L22" i="11"/>
  <c r="K96" i="11"/>
  <c r="J58" i="11"/>
  <c r="C38" i="11"/>
  <c r="C52" i="11"/>
  <c r="K58" i="11"/>
  <c r="K70" i="11"/>
  <c r="L70" i="11" s="1"/>
  <c r="B78" i="11"/>
  <c r="C30" i="11"/>
  <c r="K95" i="11"/>
  <c r="L22" i="10"/>
  <c r="L70" i="10"/>
  <c r="K96" i="10"/>
  <c r="J58" i="10"/>
  <c r="K70" i="10"/>
  <c r="B78" i="10"/>
  <c r="C38" i="10"/>
  <c r="C52" i="10"/>
  <c r="K58" i="10"/>
  <c r="C30" i="10"/>
  <c r="K95" i="10"/>
  <c r="G5" i="4"/>
  <c r="K62" i="2"/>
  <c r="F39" i="9" s="1"/>
  <c r="K57" i="2"/>
  <c r="J56" i="2" s="1"/>
  <c r="F16" i="9" s="1"/>
  <c r="D86" i="3"/>
  <c r="D55" i="3"/>
  <c r="D24" i="3"/>
  <c r="L58" i="12" l="1"/>
  <c r="L58" i="14"/>
  <c r="L58" i="13"/>
  <c r="L58" i="11"/>
  <c r="L58" i="10"/>
  <c r="K97" i="2"/>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<sst xmlns="http://schemas.openxmlformats.org/spreadsheetml/2006/main" count="7870" uniqueCount="1645">
  <si>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</si>
  <si>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</si>
  <si>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</si>
  <si>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</si>
  <si>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</si>
  <si>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</si>
  <si>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</si>
  <si>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</si>
  <si>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</si>
  <si>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</si>
  <si>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</si>
  <si>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</si>
  <si>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</si>
  <si>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</si>
  <si>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</si>
  <si>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</si>
  <si>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</si>
  <si>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</si>
  <si>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</si>
  <si>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</si>
  <si>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</si>
  <si>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</si>
  <si>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</si>
  <si>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</si>
  <si>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</si>
  <si>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</si>
  <si>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</si>
  <si>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</si>
  <si>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</si>
  <si>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</si>
  <si>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</si>
  <si>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</si>
  <si>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</si>
  <si>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</si>
  <si>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</si>
  <si>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</si>
  <si>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</si>
  <si>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</si>
  <si>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</si>
  <si>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</si>
  <si>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</si>
  <si>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</si>
  <si>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</si>
  <si>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</si>
  <si>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</si>
  <si>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</si>
  <si>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</si>
  <si>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</si>
  <si>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</si>
  <si>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</si>
  <si>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</si>
  <si>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</si>
  <si>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</si>
  <si>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</si>
  <si>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</si>
  <si>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</si>
  <si>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</si>
  <si>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</si>
  <si>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</si>
  <si>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</si>
  <si>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</si>
  <si>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</si>
  <si>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</si>
  <si>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</si>
  <si>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</si>
  <si>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</si>
  <si>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</si>
  <si>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</si>
  <si>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</si>
  <si>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</si>
  <si>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</si>
  <si>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</si>
  <si>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</si>
  <si>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</si>
  <si>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</si>
  <si>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</si>
  <si>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</si>
  <si>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</si>
  <si>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</si>
  <si>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</si>
  <si>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</si>
  <si>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</si>
  <si>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</si>
  <si>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</si>
  <si>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</si>
  <si>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</si>
  <si>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</si>
  <si>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</si>
  <si>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</si>
  <si>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</si>
  <si>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</si>
  <si>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</si>
  <si>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</si>
  <si>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</si>
  <si>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</si>
  <si>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</si>
  <si>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</si>
  <si>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</si>
  <si>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</si>
  <si>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</si>
  <si>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</si>
  <si>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</si>
  <si>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</si>
  <si>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</si>
  <si>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</si>
  <si>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</si>
  <si>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</si>
  <si>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</si>
  <si>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</si>
  <si>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</si>
  <si>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</si>
  <si>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</si>
  <si>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</si>
  <si>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</si>
  <si>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</si>
  <si>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</si>
  <si>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</si>
  <si>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</si>
  <si>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</si>
  <si>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</si>
  <si>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</si>
  <si>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</si>
  <si>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</si>
  <si>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</si>
  <si>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</si>
  <si>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</si>
  <si>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</si>
  <si>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</si>
  <si>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</si>
  <si>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</si>
  <si>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</si>
  <si>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</si>
  <si>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</si>
  <si>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</si>
  <si>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</si>
  <si>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</si>
  <si>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</si>
  <si>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</si>
  <si>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</si>
  <si>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</si>
  <si>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</si>
  <si>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</si>
  <si>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</si>
  <si>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</si>
  <si>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</si>
  <si>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</si>
  <si>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</si>
  <si>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</si>
  <si>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</si>
  <si>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</si>
  <si>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</si>
  <si>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</si>
  <si>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</si>
  <si>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</si>
  <si>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</si>
  <si>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</si>
  <si>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</si>
  <si>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</si>
  <si>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</si>
  <si>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</si>
  <si>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</si>
  <si>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</si>
  <si>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</si>
  <si>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</si>
  <si>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</si>
  <si>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</si>
  <si>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</si>
  <si>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</si>
  <si>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</si>
  <si>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</si>
  <si>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</si>
  <si>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</si>
  <si>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</si>
  <si>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</si>
  <si>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</si>
  <si>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</si>
  <si>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</si>
  <si>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</si>
  <si>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</si>
  <si>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</si>
  <si>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</si>
  <si>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</si>
  <si>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</si>
  <si>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</si>
  <si>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</si>
  <si>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</si>
  <si>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</si>
  <si>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</si>
  <si>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</si>
  <si>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</si>
  <si>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</si>
  <si>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</si>
  <si>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</si>
  <si>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</si>
  <si>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</si>
  <si>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</si>
  <si>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</si>
  <si>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</si>
  <si>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</si>
  <si>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</si>
  <si>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</si>
  <si>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</si>
  <si>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</si>
  <si>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</si>
  <si>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</si>
  <si>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</si>
  <si>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</si>
  <si>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</si>
  <si>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</si>
  <si>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</si>
  <si>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</si>
  <si>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</si>
  <si>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</si>
  <si>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</si>
  <si>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</si>
  <si>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</si>
  <si>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</si>
  <si>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</si>
  <si>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</si>
  <si>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</si>
  <si>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</si>
  <si>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</si>
  <si>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</si>
  <si>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</si>
  <si>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</si>
  <si>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</si>
  <si>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</si>
  <si>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</si>
  <si>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</si>
  <si>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</si>
  <si>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</si>
  <si>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</si>
  <si>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</si>
  <si>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</si>
  <si>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</si>
  <si>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</si>
  <si>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</si>
  <si>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</si>
  <si>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</si>
  <si>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</si>
  <si>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</si>
  <si>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</si>
  <si>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</si>
  <si>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</si>
  <si>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</si>
  <si>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</si>
  <si>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</si>
  <si>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</si>
  <si>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</si>
  <si>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</si>
  <si>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</si>
  <si>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</si>
  <si>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</si>
  <si>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</si>
  <si>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</si>
  <si>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</si>
  <si>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</si>
  <si>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</si>
  <si>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</si>
  <si>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</si>
  <si>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</si>
  <si>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</si>
  <si>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</si>
  <si>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</si>
  <si>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</si>
  <si>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</si>
  <si>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</si>
  <si>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</si>
  <si>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</si>
  <si>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</si>
  <si>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</si>
  <si>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</si>
  <si>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</si>
  <si>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</si>
  <si>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</si>
  <si>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</si>
  <si>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</si>
  <si>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</si>
  <si>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</si>
  <si>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</si>
  <si>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</si>
  <si>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</si>
  <si>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</si>
  <si>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</si>
  <si>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</si>
  <si>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</si>
  <si>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</si>
  <si>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</si>
  <si>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</si>
  <si>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</si>
  <si>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</si>
  <si>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</si>
  <si>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</si>
  <si>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</si>
  <si>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</si>
  <si>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</si>
  <si>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</si>
  <si>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</si>
  <si>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</si>
  <si>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</si>
  <si>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</si>
  <si>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</si>
  <si>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</si>
  <si>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</si>
  <si>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</si>
  <si>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</si>
  <si>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</si>
  <si>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</si>
  <si>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</si>
  <si>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</si>
  <si>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</si>
  <si>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</si>
  <si>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</si>
  <si>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</si>
  <si>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</si>
  <si>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</si>
  <si>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</si>
  <si>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</si>
  <si>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</si>
  <si>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</si>
  <si>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</si>
  <si>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</si>
  <si>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</si>
  <si>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</si>
  <si>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</si>
  <si>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</si>
  <si>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</si>
  <si>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</si>
  <si>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</si>
  <si>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</si>
  <si>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</si>
  <si>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</si>
  <si>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</si>
  <si>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</si>
  <si>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</si>
  <si>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</si>
  <si>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</si>
  <si>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</si>
  <si>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</si>
  <si>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</si>
  <si>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</si>
  <si>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</si>
  <si>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</si>
  <si>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</si>
  <si>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</si>
  <si>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</si>
  <si>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</si>
  <si>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</si>
  <si>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</si>
  <si>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</si>
  <si>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</si>
  <si>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</si>
  <si>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</si>
  <si>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</si>
  <si>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</si>
  <si>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</si>
  <si>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</si>
  <si>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</si>
  <si>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</si>
  <si>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</si>
  <si>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</si>
  <si>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</si>
  <si>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</si>
  <si>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</si>
  <si>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</si>
  <si>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</si>
  <si>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</si>
  <si>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</si>
  <si>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</si>
  <si>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</si>
  <si>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</si>
  <si>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</si>
  <si>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</si>
  <si>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</si>
  <si>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</si>
  <si>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</si>
  <si>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</si>
  <si>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</si>
  <si>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</si>
  <si>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</si>
  <si>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</si>
  <si>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</si>
  <si>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</si>
  <si>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</si>
  <si>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</si>
  <si>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</si>
  <si>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</si>
  <si>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</si>
  <si>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</si>
  <si>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</si>
  <si>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</si>
  <si>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</si>
  <si>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</si>
  <si>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</si>
  <si>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</si>
  <si>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</si>
  <si>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</si>
  <si>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</si>
  <si>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</si>
  <si>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</si>
  <si>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</si>
  <si>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</si>
  <si>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</si>
  <si>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</si>
  <si>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</si>
  <si>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</si>
  <si>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</si>
  <si>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</si>
  <si>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</si>
  <si>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</si>
  <si>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</si>
  <si>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</si>
  <si>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</si>
  <si>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</si>
  <si>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</si>
  <si>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</si>
  <si>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</si>
  <si>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</si>
  <si>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</si>
  <si>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</si>
  <si>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</si>
  <si>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</si>
  <si>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</si>
  <si>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</si>
  <si>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</si>
  <si>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</si>
  <si>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</si>
  <si>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</si>
  <si>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</si>
  <si>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</si>
  <si>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</si>
  <si>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</si>
  <si>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</si>
  <si>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</si>
  <si>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</si>
  <si>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</si>
  <si>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</si>
  <si>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</si>
  <si>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</si>
  <si>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</si>
  <si>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</si>
  <si>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</si>
  <si>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</si>
  <si>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</si>
  <si>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</si>
  <si>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</si>
  <si>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</si>
  <si>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</si>
  <si>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</si>
  <si>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</si>
  <si>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</si>
  <si>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</si>
  <si>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</si>
  <si>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</si>
  <si>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</si>
  <si>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</si>
  <si>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</si>
  <si>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</si>
  <si>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</si>
  <si>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</si>
  <si>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</si>
  <si>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</si>
  <si>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</si>
  <si>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</si>
  <si>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</si>
  <si>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</si>
  <si>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</si>
  <si>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</si>
  <si>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</si>
  <si>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</si>
  <si>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</si>
  <si>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</si>
  <si>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</si>
  <si>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</si>
  <si>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</si>
  <si>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</si>
  <si>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</si>
  <si>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</si>
  <si>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</si>
  <si>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</si>
  <si>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</si>
  <si>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</si>
  <si>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</si>
  <si>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</si>
  <si>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</si>
  <si>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</si>
  <si>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</si>
  <si>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</si>
  <si>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</si>
  <si>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</si>
  <si>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</si>
  <si>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</si>
  <si>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</si>
  <si>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</si>
  <si>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</si>
  <si>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</si>
  <si>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</si>
  <si>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</si>
  <si>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</si>
  <si>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</si>
  <si>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</si>
  <si>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</si>
  <si>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</si>
  <si>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</si>
  <si>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</si>
  <si>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</si>
  <si>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</si>
  <si>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</si>
  <si>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</si>
  <si>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</si>
  <si>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</si>
  <si>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</si>
  <si>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</si>
  <si>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</si>
  <si>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</si>
  <si>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</si>
  <si>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</si>
  <si>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</si>
  <si>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</si>
  <si>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</si>
  <si>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</si>
  <si>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</si>
  <si>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</si>
  <si>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</si>
  <si>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</si>
  <si>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</si>
  <si>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</si>
  <si>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</si>
  <si>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</si>
  <si>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</si>
  <si>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</si>
  <si>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</si>
  <si>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</si>
  <si>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</si>
  <si>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</si>
  <si>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</si>
  <si>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</si>
  <si>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</si>
  <si>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</si>
  <si>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</si>
  <si>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</si>
  <si>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</si>
  <si>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</si>
  <si>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</si>
  <si>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</si>
  <si>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</si>
  <si>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</si>
  <si>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</si>
  <si>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</si>
  <si>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</si>
  <si>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</si>
  <si>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</si>
  <si>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</si>
  <si>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</si>
  <si>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</si>
  <si>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</si>
  <si>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</si>
  <si>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</si>
  <si>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</si>
  <si>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</si>
  <si>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</si>
  <si>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</si>
  <si>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</si>
  <si>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</si>
  <si>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</si>
  <si>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</si>
  <si>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</si>
  <si>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</si>
  <si>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</si>
  <si>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</si>
  <si>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</si>
  <si>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</si>
  <si>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</si>
  <si>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</si>
  <si>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</si>
  <si>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</si>
  <si>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</si>
  <si>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</si>
  <si>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</si>
  <si>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</si>
  <si>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</si>
  <si>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</si>
  <si>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</si>
  <si>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</si>
  <si>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</si>
  <si>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</si>
  <si>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</si>
  <si>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</si>
  <si>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</si>
  <si>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</si>
  <si>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</si>
  <si>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</si>
  <si>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</si>
  <si>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</si>
  <si>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</si>
  <si>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</si>
  <si>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</si>
  <si>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</si>
  <si>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</si>
  <si>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</si>
  <si>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</si>
  <si>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</si>
  <si>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</si>
  <si>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</si>
  <si>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</si>
  <si>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</si>
  <si>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</si>
  <si>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</si>
  <si>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</si>
  <si>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</si>
  <si>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</si>
  <si>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</si>
  <si>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</si>
  <si>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</si>
  <si>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</si>
  <si>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</si>
  <si>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</si>
  <si>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</si>
  <si>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</si>
  <si>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</si>
  <si>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</si>
  <si>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</si>
  <si>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</si>
  <si>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</si>
  <si>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</si>
  <si>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</si>
  <si>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</si>
  <si>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</si>
  <si>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</si>
  <si>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</si>
  <si>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</si>
  <si>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</si>
  <si>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</si>
  <si>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</si>
  <si>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</si>
  <si>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</si>
  <si>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</si>
  <si>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</si>
  <si>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</si>
  <si>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</si>
  <si>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</si>
  <si>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</si>
  <si>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</si>
  <si>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</si>
  <si>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</si>
  <si>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</si>
  <si>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</si>
  <si>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</si>
  <si>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</si>
  <si>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</si>
  <si>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</si>
  <si>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</si>
  <si>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</si>
  <si>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</si>
  <si>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</si>
  <si>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</si>
  <si>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</si>
  <si>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</si>
  <si>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</si>
  <si>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</si>
  <si>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</si>
  <si>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</si>
  <si>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</si>
  <si>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</si>
  <si>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</si>
  <si>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</si>
  <si>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</si>
  <si>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</si>
  <si>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</si>
  <si>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</si>
  <si>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</si>
  <si>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</si>
  <si>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</si>
  <si>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</si>
  <si>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</si>
  <si>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</si>
  <si>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</si>
  <si>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</si>
  <si>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</si>
  <si>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</si>
  <si>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</si>
  <si>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</si>
  <si>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</si>
  <si>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</si>
  <si>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</si>
  <si>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</si>
  <si>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</si>
  <si>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</si>
  <si>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</si>
  <si>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</si>
  <si>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</si>
  <si>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</si>
  <si>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</si>
  <si>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</si>
  <si>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</si>
  <si>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</si>
  <si>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</si>
  <si>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</si>
  <si>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</si>
  <si>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</si>
  <si>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</si>
  <si>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</si>
  <si>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</si>
  <si>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</si>
  <si>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</si>
  <si>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</si>
  <si>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</si>
  <si>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</si>
  <si>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</si>
  <si>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</si>
  <si>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</si>
  <si>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</si>
  <si>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</si>
  <si>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</si>
  <si>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</si>
  <si>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</si>
  <si>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</si>
  <si>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</si>
  <si>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</si>
  <si>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</si>
  <si>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</si>
  <si>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</si>
  <si>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</si>
  <si>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</si>
  <si>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</si>
  <si>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</si>
  <si>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</si>
  <si>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</si>
  <si>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</si>
  <si>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</si>
  <si>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</si>
  <si>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</si>
  <si>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</si>
  <si>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</si>
  <si>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</si>
  <si>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</si>
  <si>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</si>
  <si>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</si>
  <si>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</si>
  <si>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</si>
  <si>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</si>
  <si>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</si>
  <si>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</si>
  <si>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</si>
  <si>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</si>
  <si>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</si>
  <si>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</si>
  <si>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</si>
  <si>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</si>
  <si>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</si>
  <si>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</si>
  <si>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</si>
  <si>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</si>
  <si>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</si>
  <si>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</si>
  <si>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</si>
  <si>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</si>
  <si>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</si>
  <si>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</si>
  <si>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</si>
  <si>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</si>
  <si>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</si>
  <si>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</si>
  <si>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</si>
  <si>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</si>
  <si>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</si>
  <si>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</si>
  <si>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</si>
  <si>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</si>
  <si>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</si>
  <si>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</si>
  <si>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</si>
  <si>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</si>
  <si>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</si>
  <si>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</si>
  <si>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</si>
  <si>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</si>
  <si>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</si>
  <si>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</si>
  <si>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</si>
  <si>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</si>
  <si>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</si>
  <si>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</si>
  <si>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</si>
  <si>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</si>
  <si>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</si>
  <si>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</si>
  <si>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</si>
  <si>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</si>
  <si>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</si>
  <si>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</si>
  <si>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</si>
  <si>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</si>
  <si>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</si>
  <si>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</si>
  <si>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</si>
  <si>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</si>
  <si>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</si>
  <si>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</si>
  <si>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</si>
  <si>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</si>
  <si>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</si>
  <si>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</si>
  <si>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</si>
  <si>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</si>
  <si>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</si>
  <si>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</si>
  <si>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</si>
  <si>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</si>
  <si>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</si>
  <si>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</si>
  <si>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</si>
  <si>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</si>
  <si>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</si>
  <si>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</si>
  <si>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</si>
  <si>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</si>
  <si>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</si>
  <si>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</si>
  <si>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</si>
  <si>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</si>
  <si>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</si>
  <si>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</si>
  <si>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</si>
  <si>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</si>
  <si>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</si>
  <si>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</si>
  <si>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</si>
  <si>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</si>
  <si>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</si>
  <si>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</si>
  <si>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</si>
  <si>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</si>
  <si>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</si>
  <si>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</si>
  <si>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</si>
  <si>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</si>
  <si>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</si>
  <si>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</si>
  <si>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</si>
  <si>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</si>
  <si>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</si>
  <si>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</si>
  <si>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</si>
  <si>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</si>
  <si>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</si>
  <si>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</si>
  <si>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</si>
  <si>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</si>
  <si>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</si>
  <si>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</si>
  <si>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</si>
  <si>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</si>
  <si>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</si>
  <si>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</si>
  <si>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</si>
  <si>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</si>
  <si>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</si>
  <si>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</si>
  <si>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</si>
  <si>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</si>
  <si>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</si>
  <si>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</si>
  <si>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</si>
  <si>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</si>
  <si>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</si>
  <si>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</si>
  <si>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</si>
  <si>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</si>
  <si>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</si>
  <si>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</si>
  <si>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</si>
  <si>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</si>
  <si>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</si>
  <si>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</si>
  <si>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</si>
  <si>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</si>
  <si>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</si>
  <si>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</si>
  <si>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</si>
  <si>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</si>
  <si>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</si>
  <si>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</si>
  <si>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</si>
  <si>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</si>
  <si>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</si>
  <si>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</si>
  <si>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</si>
  <si>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</si>
  <si>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</si>
  <si>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</si>
  <si>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</si>
  <si>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</si>
  <si>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</si>
  <si>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</si>
  <si>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</si>
  <si>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</si>
  <si>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</si>
  <si>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</si>
  <si>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</si>
  <si>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</si>
  <si>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</si>
  <si>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</si>
  <si>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</si>
  <si>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</si>
  <si>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</si>
  <si>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</si>
  <si>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</si>
  <si>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</si>
  <si>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</si>
  <si>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</si>
  <si>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</si>
  <si>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</si>
  <si>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</si>
  <si>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</si>
  <si>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</si>
  <si>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</si>
  <si>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</si>
  <si>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</si>
  <si>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</si>
  <si>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</si>
  <si>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</si>
  <si>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</si>
  <si>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</si>
  <si>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</si>
  <si>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</si>
  <si>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</si>
  <si>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</si>
  <si>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</si>
  <si>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</si>
  <si>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</si>
  <si>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</si>
  <si>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</si>
  <si>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</si>
  <si>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</si>
  <si>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</si>
  <si>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</si>
  <si>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</si>
  <si>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</si>
  <si>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</si>
  <si>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</si>
  <si>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</si>
  <si>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</si>
  <si>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</si>
  <si>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</si>
  <si>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</si>
  <si>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</si>
  <si>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</si>
  <si>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</si>
  <si>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</si>
  <si>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</si>
  <si>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</si>
  <si>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</si>
  <si>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</si>
  <si>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</si>
  <si>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</si>
  <si>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</si>
  <si>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</si>
  <si>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</si>
  <si>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</si>
  <si>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</si>
  <si>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</si>
  <si>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</si>
  <si>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</si>
  <si>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</si>
  <si>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</si>
  <si>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</si>
  <si>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</si>
  <si>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</si>
  <si>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</si>
  <si>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</si>
  <si>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</si>
  <si>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</si>
  <si>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</si>
  <si>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</si>
  <si>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</si>
  <si>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</si>
  <si>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</si>
  <si>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</si>
  <si>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</si>
  <si>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</si>
  <si>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</si>
  <si>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</si>
  <si>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</si>
  <si>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</si>
  <si>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</si>
  <si>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</si>
  <si>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</si>
  <si>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</si>
  <si>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</si>
  <si>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</si>
  <si>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</si>
  <si>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</si>
  <si>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</si>
  <si>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</si>
  <si>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</si>
  <si>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</si>
  <si>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</si>
  <si>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</si>
  <si>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</si>
  <si>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</si>
  <si>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</si>
  <si>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</si>
  <si>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</si>
  <si>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</si>
  <si>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</si>
  <si>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</si>
  <si>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</si>
  <si>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</si>
  <si>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</si>
  <si>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</si>
  <si>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</si>
  <si>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</si>
  <si>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</si>
  <si>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</si>
  <si>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</si>
  <si>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</si>
  <si>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</si>
  <si>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</si>
  <si>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</si>
  <si>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</si>
  <si>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</si>
  <si>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</si>
  <si>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</si>
  <si>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</si>
  <si>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</si>
  <si>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</si>
  <si>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</si>
  <si>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</si>
  <si>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</si>
  <si>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</si>
  <si>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</si>
  <si>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</si>
  <si>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</si>
  <si>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</si>
  <si>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</si>
  <si>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</si>
  <si>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</si>
  <si>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</si>
  <si>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</si>
  <si>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</si>
  <si>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</si>
  <si>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</si>
  <si>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</si>
  <si>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</si>
  <si>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</si>
  <si>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</si>
  <si>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</si>
  <si>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</si>
  <si>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</si>
  <si>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</si>
  <si>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</si>
  <si>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</si>
  <si>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</si>
  <si>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</si>
  <si>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</si>
  <si>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</si>
  <si>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</si>
  <si>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</si>
  <si>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</si>
  <si>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</si>
  <si>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</si>
  <si>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</si>
  <si>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</si>
  <si>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</si>
  <si>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</si>
  <si>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</si>
  <si>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</si>
  <si>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</si>
  <si>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</si>
  <si>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</si>
  <si>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</si>
  <si>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</si>
  <si>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</si>
  <si>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</si>
  <si>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</si>
  <si>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</si>
  <si>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</si>
  <si>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</si>
  <si>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</si>
  <si>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</si>
  <si>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</si>
  <si>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</si>
  <si>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</si>
  <si>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</si>
  <si>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</si>
  <si>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</si>
  <si>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</si>
  <si>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</si>
  <si>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</si>
  <si>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</si>
  <si>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</si>
  <si>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</si>
  <si>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</si>
  <si>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</si>
  <si>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</si>
  <si>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</si>
  <si>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</si>
  <si>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</si>
  <si>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</si>
  <si>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</si>
  <si>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</si>
  <si>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</si>
  <si>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</si>
  <si>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</si>
  <si>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</si>
  <si>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</si>
  <si>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</si>
  <si>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</si>
  <si>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</si>
  <si>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</si>
  <si>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</si>
  <si>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</si>
  <si>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</si>
  <si>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</si>
  <si>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</si>
  <si>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</si>
  <si>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</si>
  <si>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</si>
  <si>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</si>
  <si>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</si>
  <si>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</si>
  <si>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</si>
  <si>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</si>
  <si>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</si>
  <si>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</si>
  <si>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</si>
  <si>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</si>
  <si>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</si>
  <si>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</si>
  <si>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</si>
  <si>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</si>
  <si>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</si>
  <si>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</si>
  <si>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</si>
  <si>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</si>
  <si>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</si>
  <si>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</si>
  <si>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</si>
  <si>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</si>
  <si>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</si>
  <si>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</si>
  <si>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</si>
  <si>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</si>
  <si>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</si>
  <si>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</si>
  <si>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</si>
  <si>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</si>
  <si>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</si>
  <si>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</si>
  <si>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</si>
  <si>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</si>
  <si>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</si>
  <si>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</si>
  <si>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</si>
  <si>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</si>
  <si>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</si>
  <si>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</si>
  <si>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</si>
  <si>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</si>
  <si>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</si>
  <si>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</si>
  <si>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</si>
  <si>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</si>
  <si>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</si>
  <si>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</si>
  <si>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</si>
  <si>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</si>
  <si>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</si>
  <si>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</si>
  <si>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</si>
  <si>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</si>
  <si>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</si>
  <si>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</si>
  <si>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</si>
  <si>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</si>
  <si>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</si>
  <si>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</si>
  <si>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</si>
  <si>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</si>
  <si>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</si>
  <si>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</si>
  <si>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</si>
  <si>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</si>
  <si>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</si>
  <si>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</si>
  <si>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</si>
  <si>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</si>
  <si>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</si>
  <si>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</si>
  <si>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</si>
  <si>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</si>
  <si>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</si>
  <si>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</si>
  <si>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</si>
  <si>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</si>
  <si>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</si>
  <si>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</si>
  <si>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</si>
  <si>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</si>
  <si>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</si>
  <si>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</si>
  <si>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</si>
  <si>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</si>
  <si>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</si>
  <si>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</si>
  <si>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</si>
  <si>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</si>
  <si>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</si>
  <si>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</si>
  <si>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</si>
  <si>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</si>
  <si>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</si>
  <si>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</si>
  <si>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</si>
  <si>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</si>
  <si>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</si>
  <si>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</si>
  <si>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</si>
  <si>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</si>
  <si>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</si>
  <si>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</si>
  <si>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</si>
  <si>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</si>
  <si>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</si>
  <si>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</si>
  <si>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</si>
  <si>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</si>
  <si>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</si>
  <si>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</si>
  <si>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</si>
  <si>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</si>
  <si>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</si>
  <si>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</si>
  <si>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</si>
  <si>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</si>
  <si>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</si>
  <si>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</si>
  <si>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</si>
  <si>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</si>
  <si>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</si>
  <si>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</si>
  <si>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</si>
  <si>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</si>
  <si>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</si>
  <si>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</si>
  <si>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</si>
  <si>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</si>
  <si>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</si>
  <si>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</si>
  <si>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</si>
  <si>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</si>
  <si>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</si>
  <si>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</si>
  <si>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</si>
  <si>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</si>
  <si>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</si>
  <si>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</si>
  <si>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</si>
  <si>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</si>
  <si>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</si>
  <si>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</si>
  <si>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</si>
  <si>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</si>
  <si>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</si>
  <si>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</si>
  <si>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</si>
  <si>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</si>
  <si>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</si>
  <si>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</si>
  <si>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</si>
  <si>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</si>
  <si>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</si>
  <si>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</si>
  <si>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</si>
  <si>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</si>
  <si>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</si>
  <si>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</si>
  <si>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</si>
  <si>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</si>
  <si>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</si>
  <si>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</si>
  <si>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</si>
  <si>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</si>
  <si>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</si>
  <si>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</si>
  <si>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</si>
  <si>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</si>
  <si>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</si>
  <si>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</si>
  <si>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</si>
  <si>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</si>
  <si>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</si>
  <si>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</si>
  <si>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</si>
  <si>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</si>
  <si>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</si>
  <si>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</si>
  <si>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</si>
  <si>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</si>
  <si>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</si>
  <si>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</si>
  <si>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</si>
  <si>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</si>
  <si>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</si>
  <si>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</si>
  <si>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</si>
  <si>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</si>
  <si>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</si>
  <si>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</si>
  <si>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</si>
  <si>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</si>
  <si>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</si>
  <si>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</si>
  <si>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</si>
  <si>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</si>
  <si>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</si>
  <si>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</si>
  <si>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</si>
  <si>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</si>
  <si>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</si>
  <si>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</si>
  <si>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</si>
  <si>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</si>
  <si>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</si>
  <si>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</si>
  <si>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</si>
  <si>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</si>
  <si>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</si>
  <si>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</si>
  <si>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</si>
  <si>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</si>
  <si>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</si>
  <si>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</si>
  <si>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</si>
  <si>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</si>
  <si>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</si>
  <si>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</si>
  <si>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</si>
  <si>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</si>
  <si>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</si>
  <si>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</si>
  <si>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</si>
  <si>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</si>
  <si>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</si>
  <si>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</si>
  <si>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</si>
  <si>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</si>
  <si>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</si>
  <si>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</si>
  <si>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</si>
  <si>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</si>
  <si>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</si>
  <si>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</si>
  <si>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</si>
  <si>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</si>
  <si>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</si>
  <si>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</si>
  <si>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</si>
  <si>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</si>
  <si>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</si>
  <si>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</si>
  <si>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</si>
  <si>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</si>
  <si>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</si>
  <si>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</si>
  <si>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</si>
  <si>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</si>
  <si>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</si>
  <si>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</si>
  <si>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</si>
  <si>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</si>
  <si>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</si>
  <si>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</si>
  <si>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</si>
  <si>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</si>
  <si>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</si>
  <si>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</si>
  <si>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</si>
  <si>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</si>
  <si>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</si>
  <si>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</si>
  <si>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</si>
  <si>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</si>
  <si>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</si>
  <si>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</si>
  <si>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</si>
  <si>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</si>
  <si>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</si>
  <si>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</si>
  <si>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</si>
  <si>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</si>
  <si>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</si>
  <si>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</si>
  <si>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</si>
  <si>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</si>
  <si>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</si>
  <si>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</si>
  <si>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</si>
  <si>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</si>
  <si>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</si>
  <si>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</si>
  <si>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</si>
  <si>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</si>
  <si>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</si>
  <si>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</si>
  <si>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</si>
  <si>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</si>
  <si>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</si>
  <si>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</si>
  <si>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</si>
  <si>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</si>
  <si>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</si>
  <si>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</si>
  <si>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</si>
  <si>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</si>
  <si>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</si>
  <si>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</si>
  <si>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</si>
  <si>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</si>
  <si>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</si>
  <si>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</si>
  <si>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</si>
  <si>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</si>
  <si>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</si>
  <si>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</si>
  <si>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</si>
  <si>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</si>
  <si>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</si>
  <si>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</si>
  <si>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</si>
  <si>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</si>
  <si>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</si>
  <si>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</si>
  <si>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</si>
  <si>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</si>
  <si>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</si>
  <si>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</si>
  <si>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</si>
  <si>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</si>
  <si>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</si>
  <si>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</si>
  <si>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</si>
  <si>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</si>
  <si>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</si>
  <si>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</si>
  <si>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</si>
  <si>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</si>
  <si>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</si>
  <si>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</si>
  <si>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</si>
  <si>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</si>
  <si>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</si>
  <si>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</si>
  <si>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</si>
  <si>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</si>
  <si>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</si>
  <si>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</si>
  <si>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</si>
  <si>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</si>
  <si>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</si>
  <si>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</si>
  <si>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</si>
  <si>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</si>
  <si>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</si>
  <si>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</si>
  <si>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</si>
  <si>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</si>
  <si>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</si>
  <si>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</si>
  <si>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</si>
  <si>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</si>
  <si>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</si>
  <si>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</si>
  <si>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</si>
  <si>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</si>
  <si>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</si>
  <si>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</si>
  <si>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</si>
  <si>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</si>
  <si>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</si>
  <si>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</si>
  <si>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</si>
  <si>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</si>
  <si>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</si>
  <si>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</si>
  <si>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</si>
  <si>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</si>
  <si>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</si>
  <si>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</si>
  <si>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</si>
  <si>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</si>
  <si>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</si>
  <si>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</si>
  <si>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</si>
  <si>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</si>
  <si>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</si>
  <si>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</si>
  <si>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</si>
  <si>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</si>
  <si>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</si>
  <si>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</si>
  <si>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</si>
  <si>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</si>
  <si>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</si>
  <si>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</si>
  <si>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</si>
  <si>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</si>
  <si>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</si>
  <si>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</si>
  <si>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</si>
  <si>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</si>
  <si>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</si>
  <si>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</si>
  <si>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</si>
  <si>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</si>
  <si>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</si>
  <si>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</si>
  <si>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</si>
  <si>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</si>
  <si>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</si>
  <si>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</si>
  <si>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</si>
  <si>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</si>
  <si>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</si>
  <si>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</si>
  <si>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</si>
  <si>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</si>
  <si>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</si>
  <si>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</si>
  <si>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</si>
  <si>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</si>
  <si>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</si>
  <si>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</si>
  <si>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</si>
  <si>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</si>
  <si>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</si>
  <si>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</si>
  <si>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</si>
  <si>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</si>
  <si>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</si>
  <si>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</si>
  <si>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</si>
  <si>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</si>
  <si>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</si>
  <si>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</si>
  <si>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</si>
  <si>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</si>
  <si>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</si>
  <si>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</si>
  <si>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</si>
  <si>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</si>
  <si>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</si>
  <si>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</si>
  <si>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</si>
  <si>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</si>
  <si>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</si>
  <si>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</si>
  <si>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</si>
  <si>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</si>
  <si>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</si>
  <si>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</si>
  <si>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</si>
  <si>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</si>
  <si>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</si>
  <si>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</si>
  <si>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</si>
  <si>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</si>
  <si>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</si>
  <si>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</si>
  <si>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</si>
  <si>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</si>
  <si>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</si>
  <si>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</si>
  <si>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</si>
  <si>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</si>
  <si>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</si>
  <si>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</si>
  <si>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</si>
  <si>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</si>
  <si>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</si>
  <si>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</si>
  <si>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</si>
  <si>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</si>
  <si>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</si>
  <si>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</si>
  <si>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</si>
  <si>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</si>
  <si>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</si>
  <si>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</si>
  <si>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</si>
  <si>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</si>
  <si>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</si>
  <si>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</si>
  <si>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</si>
  <si>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</si>
  <si>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</si>
  <si>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</si>
  <si>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</si>
  <si>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</si>
  <si>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</si>
  <si>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</si>
  <si>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</si>
  <si>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</si>
  <si>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</si>
  <si>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</si>
  <si>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</si>
  <si>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</si>
  <si>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</si>
  <si>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</si>
  <si>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</si>
  <si>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</si>
  <si>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</si>
  <si>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</si>
  <si>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</si>
  <si>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</si>
  <si>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</si>
  <si>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</si>
  <si>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</si>
  <si>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</si>
  <si>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</si>
  <si>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</si>
  <si>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</si>
  <si>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</si>
  <si>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</si>
  <si>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</si>
  <si>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</si>
  <si>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</si>
  <si>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</si>
  <si>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</si>
  <si>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</si>
  <si>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</si>
  <si>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</si>
  <si>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</si>
  <si>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</si>
  <si>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</si>
  <si>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</si>
  <si>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</si>
  <si>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</si>
  <si>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</si>
  <si>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</si>
  <si>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</si>
  <si>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Parks and Recreation</t>
  </si>
  <si>
    <t>N/A</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</si>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</sst>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673</v>
      </c>
      <c r="G5" s="170"/>
      <c r="H5" s="170"/>
      <c r="I5" s="170"/>
      <c r="J5" s="47"/>
      <c r="K5" s="47"/>
      <c r="L5" s="48"/>
      <c r="M5" s="48"/>
      <c r="N5" s="48"/>
    </row>
    <row r="6" spans="1:17" ht="15.75" x14ac:dyDescent="0.2">
      <c r="A6" s="169" t="s">
        <v>1</v>
      </c>
      <c r="B6" s="169"/>
      <c r="C6" s="169"/>
      <c r="D6" s="169"/>
      <c r="E6" s="169"/>
      <c r="F6" s="171">
        <v>1</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RESOURCES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1732280</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1326267</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406013</v>
      </c>
      <c r="Q21" s="28"/>
    </row>
    <row r="22" spans="1:17" ht="16.5" customHeight="1" x14ac:dyDescent="0.2">
      <c r="A22" s="56"/>
      <c r="B22" s="58"/>
      <c r="C22" s="58"/>
      <c r="D22" s="58"/>
      <c r="E22" s="58"/>
      <c r="F22" s="58"/>
      <c r="G22" s="58"/>
      <c r="H22" s="58"/>
      <c r="I22" s="58"/>
      <c r="J22" s="29">
        <f>ROUND(SUM(J15:J17),2)</f>
        <v>1732280</v>
      </c>
      <c r="K22" s="29">
        <f>ROUND(SUM(K18:K21),2)</f>
        <v>1732280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0</v>
      </c>
      <c r="K28" s="33"/>
      <c r="L28" s="54"/>
    </row>
    <row r="29" spans="1:17" ht="16.5" customHeight="1" x14ac:dyDescent="0.25">
      <c r="A29" s="56"/>
      <c r="B29" s="57"/>
      <c r="C29" s="165" t="s">
        <v>1578</v>
      </c>
      <c r="D29" s="165"/>
      <c r="E29" s="165"/>
      <c r="F29" s="165"/>
      <c r="G29" s="165"/>
      <c r="H29" s="165"/>
      <c r="I29" s="165"/>
      <c r="J29" s="33"/>
      <c r="K29" s="32">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1117601</v>
      </c>
      <c r="K45" s="33"/>
    </row>
    <row r="46" spans="1:12" ht="16.5" customHeight="1" x14ac:dyDescent="0.2">
      <c r="A46" s="56"/>
      <c r="B46" s="71"/>
      <c r="C46" s="165" t="s">
        <v>1587</v>
      </c>
      <c r="D46" s="165"/>
      <c r="E46" s="165"/>
      <c r="F46" s="165"/>
      <c r="G46" s="165"/>
      <c r="H46" s="165"/>
      <c r="I46" s="165"/>
      <c r="J46" s="36"/>
      <c r="K46" s="32">
        <f>J45</f>
        <v>1117601</v>
      </c>
    </row>
    <row r="47" spans="1:12" ht="16.5" customHeight="1" x14ac:dyDescent="0.2">
      <c r="A47" s="68"/>
      <c r="B47" s="58"/>
      <c r="C47" s="58"/>
      <c r="D47" s="58"/>
      <c r="E47" s="58"/>
      <c r="F47" s="58"/>
      <c r="G47" s="58"/>
      <c r="H47" s="58"/>
      <c r="I47" s="58"/>
      <c r="J47" s="39">
        <f>ROUND(SUM(J45:J45),2)</f>
        <v>1117601</v>
      </c>
      <c r="K47" s="39">
        <f>ROUND(SUM(K46),2)</f>
        <v>1117601</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376800</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470122</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846922</v>
      </c>
    </row>
    <row r="53" spans="1:12" ht="16.5" customHeight="1" x14ac:dyDescent="0.2">
      <c r="A53" s="68"/>
      <c r="B53" s="58"/>
      <c r="C53" s="58"/>
      <c r="D53" s="58"/>
      <c r="E53" s="58"/>
      <c r="F53" s="58"/>
      <c r="G53" s="58"/>
      <c r="H53" s="58"/>
      <c r="I53" s="58"/>
      <c r="J53" s="39">
        <f>ROUND(SUM(J50:J51),2)</f>
        <v>846922</v>
      </c>
      <c r="K53" s="39">
        <f>ROUND(SUM(K52,),2)</f>
        <v>846922</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376800</v>
      </c>
      <c r="K56" s="36"/>
    </row>
    <row r="57" spans="1:12" ht="16.5" customHeight="1" x14ac:dyDescent="0.25">
      <c r="A57" s="56"/>
      <c r="B57" s="57"/>
      <c r="C57" s="165" t="s">
        <v>1613</v>
      </c>
      <c r="D57" s="165"/>
      <c r="E57" s="165"/>
      <c r="F57" s="165"/>
      <c r="G57" s="165"/>
      <c r="H57" s="165"/>
      <c r="I57" s="165"/>
      <c r="J57" s="36"/>
      <c r="K57" s="32">
        <f>J50</f>
        <v>376800</v>
      </c>
    </row>
    <row r="58" spans="1:12" ht="16.5" customHeight="1" x14ac:dyDescent="0.2">
      <c r="A58" s="68"/>
      <c r="B58" s="58"/>
      <c r="C58" s="58"/>
      <c r="D58" s="58"/>
      <c r="E58" s="58"/>
      <c r="F58" s="58"/>
      <c r="G58" s="58"/>
      <c r="H58" s="58"/>
      <c r="I58" s="58"/>
      <c r="J58" s="39">
        <f>ROUND(SUM(J56:J56),2)</f>
        <v>376800</v>
      </c>
      <c r="K58" s="39">
        <f>ROUND(SUM(K57),2)</f>
        <v>376800</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466599</v>
      </c>
      <c r="K61" s="33"/>
    </row>
    <row r="62" spans="1:12" ht="16.5" customHeight="1" x14ac:dyDescent="0.25">
      <c r="A62" s="56"/>
      <c r="B62" s="57"/>
      <c r="C62" s="165" t="s">
        <v>1623</v>
      </c>
      <c r="D62" s="165"/>
      <c r="E62" s="165"/>
      <c r="F62" s="165"/>
      <c r="G62" s="165"/>
      <c r="H62" s="165"/>
      <c r="I62" s="165"/>
      <c r="J62" s="33"/>
      <c r="K62" s="32">
        <f>J61</f>
        <v>466599</v>
      </c>
    </row>
    <row r="63" spans="1:12" ht="16.5" customHeight="1" x14ac:dyDescent="0.2">
      <c r="A63" s="56"/>
      <c r="B63" s="179" t="s">
        <v>1622</v>
      </c>
      <c r="C63" s="179"/>
      <c r="D63" s="179"/>
      <c r="E63" s="179"/>
      <c r="F63" s="179"/>
      <c r="G63" s="179"/>
      <c r="H63" s="179"/>
      <c r="I63" s="179"/>
      <c r="J63" s="39">
        <f>ROUND(SUM(J61:J61),2)</f>
        <v>466599</v>
      </c>
      <c r="K63" s="39">
        <f>ROUND(SUM(K62),2)</f>
        <v>466599</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1732280</v>
      </c>
    </row>
    <row r="95" spans="1:12" ht="16.5" customHeight="1" x14ac:dyDescent="0.25">
      <c r="D95" s="57" t="s">
        <v>1641</v>
      </c>
      <c r="E95"/>
      <c r="F95"/>
      <c r="G95"/>
      <c r="H95" s="44"/>
      <c r="I95"/>
      <c r="J95"/>
      <c r="K95" s="162">
        <f>-K18-K46+J68+J77</f>
        <v>-1117601</v>
      </c>
    </row>
    <row r="96" spans="1:12" ht="16.5" customHeight="1" x14ac:dyDescent="0.25">
      <c r="D96" s="57" t="s">
        <v>1639</v>
      </c>
      <c r="E96"/>
      <c r="F96"/>
      <c r="G96"/>
      <c r="H96" s="44"/>
      <c r="I96"/>
      <c r="J96"/>
      <c r="K96" s="162">
        <f>-K19-K37+J56+J61+J76-K85</f>
        <v>-482868</v>
      </c>
    </row>
    <row r="97" spans="1:11" ht="16.5" customHeight="1" x14ac:dyDescent="0.25">
      <c r="D97" s="57" t="s">
        <v>1640</v>
      </c>
      <c r="E97"/>
      <c r="F97"/>
      <c r="G97"/>
      <c r="H97" s="44"/>
      <c r="I97"/>
      <c r="J97"/>
      <c r="K97" s="162">
        <f>-K62</f>
        <v>-466599</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6"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F1AC0-C9B5-4F66-A9E8-385A632DD29E}">
  <sheetPr>
    <tabColor rgb="FF92D050"/>
    <pageSetUpPr fitToPage="1"/>
  </sheetPr>
  <dimension ref="A1:Q115"/>
  <sheetViews>
    <sheetView topLeftCell="A46"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673</v>
      </c>
      <c r="G5" s="170"/>
      <c r="H5" s="170"/>
      <c r="I5" s="170"/>
      <c r="J5" s="47"/>
      <c r="K5" s="47"/>
      <c r="L5" s="48"/>
      <c r="M5" s="48"/>
      <c r="N5" s="48"/>
    </row>
    <row r="6" spans="1:17" ht="15.75" x14ac:dyDescent="0.2">
      <c r="A6" s="169" t="s">
        <v>1</v>
      </c>
      <c r="B6" s="169"/>
      <c r="C6" s="169"/>
      <c r="D6" s="169"/>
      <c r="E6" s="169"/>
      <c r="F6" s="171">
        <v>263</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RESOURCES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31925</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24442</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7483</v>
      </c>
      <c r="Q21" s="28"/>
    </row>
    <row r="22" spans="1:17" ht="16.5" customHeight="1" x14ac:dyDescent="0.2">
      <c r="A22" s="56"/>
      <c r="B22" s="58"/>
      <c r="C22" s="58"/>
      <c r="D22" s="58"/>
      <c r="E22" s="58"/>
      <c r="F22" s="58"/>
      <c r="G22" s="58"/>
      <c r="H22" s="58"/>
      <c r="I22" s="58"/>
      <c r="J22" s="29">
        <f>ROUND(SUM(J15:J17),2)</f>
        <v>31925</v>
      </c>
      <c r="K22" s="29">
        <f>ROUND(SUM(K18:K21),2)</f>
        <v>31925</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0</v>
      </c>
      <c r="K28" s="33"/>
      <c r="L28" s="54"/>
    </row>
    <row r="29" spans="1:17" ht="16.5" customHeight="1" x14ac:dyDescent="0.25">
      <c r="A29" s="56"/>
      <c r="B29" s="57"/>
      <c r="C29" s="165" t="s">
        <v>1578</v>
      </c>
      <c r="D29" s="165"/>
      <c r="E29" s="165"/>
      <c r="F29" s="165"/>
      <c r="G29" s="165"/>
      <c r="H29" s="165"/>
      <c r="I29" s="165"/>
      <c r="J29" s="33"/>
      <c r="K29" s="32">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20597</v>
      </c>
      <c r="K45" s="33"/>
    </row>
    <row r="46" spans="1:12" ht="16.5" customHeight="1" x14ac:dyDescent="0.2">
      <c r="A46" s="56"/>
      <c r="B46" s="71"/>
      <c r="C46" s="165" t="s">
        <v>1587</v>
      </c>
      <c r="D46" s="165"/>
      <c r="E46" s="165"/>
      <c r="F46" s="165"/>
      <c r="G46" s="165"/>
      <c r="H46" s="165"/>
      <c r="I46" s="165"/>
      <c r="J46" s="36"/>
      <c r="K46" s="32">
        <f>J45</f>
        <v>20597</v>
      </c>
    </row>
    <row r="47" spans="1:12" ht="16.5" customHeight="1" x14ac:dyDescent="0.2">
      <c r="A47" s="68"/>
      <c r="B47" s="58"/>
      <c r="C47" s="58"/>
      <c r="D47" s="58"/>
      <c r="E47" s="58"/>
      <c r="F47" s="58"/>
      <c r="G47" s="58"/>
      <c r="H47" s="58"/>
      <c r="I47" s="58"/>
      <c r="J47" s="39">
        <f>ROUND(SUM(J45:J45),2)</f>
        <v>20597</v>
      </c>
      <c r="K47" s="39">
        <f>ROUND(SUM(K46),2)</f>
        <v>20597</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6944</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8664</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15608</v>
      </c>
    </row>
    <row r="53" spans="1:12" ht="16.5" customHeight="1" x14ac:dyDescent="0.2">
      <c r="A53" s="68"/>
      <c r="B53" s="58"/>
      <c r="C53" s="58"/>
      <c r="D53" s="58"/>
      <c r="E53" s="58"/>
      <c r="F53" s="58"/>
      <c r="G53" s="58"/>
      <c r="H53" s="58"/>
      <c r="I53" s="58"/>
      <c r="J53" s="39">
        <f>ROUND(SUM(J50:J51),2)</f>
        <v>15608</v>
      </c>
      <c r="K53" s="39">
        <f>ROUND(SUM(K52,),2)</f>
        <v>15608</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6944</v>
      </c>
      <c r="K56" s="36"/>
    </row>
    <row r="57" spans="1:12" ht="16.5" customHeight="1" x14ac:dyDescent="0.25">
      <c r="A57" s="56"/>
      <c r="B57" s="57"/>
      <c r="C57" s="165" t="s">
        <v>1613</v>
      </c>
      <c r="D57" s="165"/>
      <c r="E57" s="165"/>
      <c r="F57" s="165"/>
      <c r="G57" s="165"/>
      <c r="H57" s="165"/>
      <c r="I57" s="165"/>
      <c r="J57" s="36"/>
      <c r="K57" s="32">
        <f>J50</f>
        <v>6944</v>
      </c>
    </row>
    <row r="58" spans="1:12" ht="16.5" customHeight="1" x14ac:dyDescent="0.2">
      <c r="A58" s="68"/>
      <c r="B58" s="58"/>
      <c r="C58" s="58"/>
      <c r="D58" s="58"/>
      <c r="E58" s="58"/>
      <c r="F58" s="58"/>
      <c r="G58" s="58"/>
      <c r="H58" s="58"/>
      <c r="I58" s="58"/>
      <c r="J58" s="39">
        <f>ROUND(SUM(J56:J56),2)</f>
        <v>6944</v>
      </c>
      <c r="K58" s="39">
        <f>ROUND(SUM(K57),2)</f>
        <v>6944</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8599</v>
      </c>
      <c r="K61" s="33"/>
    </row>
    <row r="62" spans="1:12" ht="16.5" customHeight="1" x14ac:dyDescent="0.25">
      <c r="A62" s="56"/>
      <c r="B62" s="57"/>
      <c r="C62" s="165" t="s">
        <v>1623</v>
      </c>
      <c r="D62" s="165"/>
      <c r="E62" s="165"/>
      <c r="F62" s="165"/>
      <c r="G62" s="165"/>
      <c r="H62" s="165"/>
      <c r="I62" s="165"/>
      <c r="J62" s="33"/>
      <c r="K62" s="32">
        <f>J61</f>
        <v>8599</v>
      </c>
    </row>
    <row r="63" spans="1:12" ht="16.5" customHeight="1" x14ac:dyDescent="0.2">
      <c r="A63" s="56"/>
      <c r="B63" s="179" t="s">
        <v>1622</v>
      </c>
      <c r="C63" s="179"/>
      <c r="D63" s="179"/>
      <c r="E63" s="179"/>
      <c r="F63" s="179"/>
      <c r="G63" s="179"/>
      <c r="H63" s="179"/>
      <c r="I63" s="179"/>
      <c r="J63" s="39">
        <f>ROUND(SUM(J61:J61),2)</f>
        <v>8599</v>
      </c>
      <c r="K63" s="39">
        <f>ROUND(SUM(K62),2)</f>
        <v>8599</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31925</v>
      </c>
    </row>
    <row r="95" spans="1:12" ht="16.5" customHeight="1" x14ac:dyDescent="0.25">
      <c r="D95" s="57" t="s">
        <v>1641</v>
      </c>
      <c r="E95"/>
      <c r="F95"/>
      <c r="G95"/>
      <c r="H95" s="44"/>
      <c r="I95"/>
      <c r="J95"/>
      <c r="K95" s="162">
        <f>-K18-K46+J68+J77</f>
        <v>-20597</v>
      </c>
    </row>
    <row r="96" spans="1:12" ht="16.5" customHeight="1" x14ac:dyDescent="0.25">
      <c r="D96" s="57" t="s">
        <v>1639</v>
      </c>
      <c r="E96"/>
      <c r="F96"/>
      <c r="G96"/>
      <c r="H96" s="44"/>
      <c r="I96"/>
      <c r="J96"/>
      <c r="K96" s="162">
        <f>-K19-K37+J56+J61+J76-K85</f>
        <v>-8899</v>
      </c>
    </row>
    <row r="97" spans="1:11" ht="16.5" customHeight="1" x14ac:dyDescent="0.25">
      <c r="D97" s="57" t="s">
        <v>1640</v>
      </c>
      <c r="E97"/>
      <c r="F97"/>
      <c r="G97"/>
      <c r="H97" s="44"/>
      <c r="I97"/>
      <c r="J97"/>
      <c r="K97" s="162">
        <f>-K62</f>
        <v>-8599</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83:K83"/>
    <mergeCell ref="B84:I84"/>
    <mergeCell ref="C85:I85"/>
    <mergeCell ref="B88:K88"/>
    <mergeCell ref="B75:K75"/>
    <mergeCell ref="B76:I76"/>
    <mergeCell ref="B77:I77"/>
    <mergeCell ref="B78:I78"/>
    <mergeCell ref="C79:I79"/>
    <mergeCell ref="C80:I80"/>
    <mergeCell ref="B72:K72"/>
    <mergeCell ref="C46:I46"/>
    <mergeCell ref="B50:I50"/>
    <mergeCell ref="B51:I51"/>
    <mergeCell ref="C52:I52"/>
    <mergeCell ref="B56:I56"/>
    <mergeCell ref="C57:I57"/>
    <mergeCell ref="B61:I61"/>
    <mergeCell ref="C62:I62"/>
    <mergeCell ref="B63:I64"/>
    <mergeCell ref="B68:I68"/>
    <mergeCell ref="C69:I69"/>
    <mergeCell ref="B45:I45"/>
    <mergeCell ref="B27:K27"/>
    <mergeCell ref="B28:I28"/>
    <mergeCell ref="C29:I29"/>
    <mergeCell ref="C30:I30"/>
    <mergeCell ref="B33:K33"/>
    <mergeCell ref="B34:I34"/>
    <mergeCell ref="B35:I35"/>
    <mergeCell ref="C36:I36"/>
    <mergeCell ref="C37:I37"/>
    <mergeCell ref="C38:I38"/>
    <mergeCell ref="B41:K41"/>
    <mergeCell ref="B24:K24"/>
    <mergeCell ref="A8:E8"/>
    <mergeCell ref="F8:I8"/>
    <mergeCell ref="A12:K12"/>
    <mergeCell ref="B14:K14"/>
    <mergeCell ref="B15:I15"/>
    <mergeCell ref="B16:I16"/>
    <mergeCell ref="B17:I17"/>
    <mergeCell ref="C18:I18"/>
    <mergeCell ref="C19:I19"/>
    <mergeCell ref="C20:I20"/>
    <mergeCell ref="C21:I21"/>
    <mergeCell ref="A5:E5"/>
    <mergeCell ref="F5:I5"/>
    <mergeCell ref="A6:E6"/>
    <mergeCell ref="F6:I6"/>
    <mergeCell ref="A7:E7"/>
    <mergeCell ref="F7:I7"/>
    <mergeCell ref="A1:K1"/>
    <mergeCell ref="A2:K2"/>
    <mergeCell ref="A3:E3"/>
    <mergeCell ref="F3:I3"/>
    <mergeCell ref="A4:E4"/>
    <mergeCell ref="F4:I4"/>
  </mergeCells>
  <conditionalFormatting sqref="L1 L3:L1048576">
    <cfRule type="cellIs" dxfId="25"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38976B3B-FFF4-4701-AFD6-C2A9C6592890}">
      <formula1>4</formula1>
    </dataValidation>
    <dataValidation type="textLength" operator="lessThan" allowBlank="1" showInputMessage="1" showErrorMessage="1" sqref="E11 A6:A8" xr:uid="{572C780D-5A4C-4158-A918-6081C23CEF8F}">
      <formula1>0</formula1>
    </dataValidation>
    <dataValidation operator="lessThan" allowBlank="1" showInputMessage="1" showErrorMessage="1" sqref="A3:A5 A7:A8 A11" xr:uid="{69B42181-FB18-4826-8890-4DA35C49C62F}"/>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CAA01D31-2BDF-4C3D-93F6-7BC8D8A40658}">
          <x14:formula1>
            <xm:f>'Drop Down Menus'!$B$1:$B$3</xm:f>
          </x14:formula1>
          <xm:sqref>F7</xm:sqref>
        </x14:dataValidation>
        <x14:dataValidation type="list" allowBlank="1" showInputMessage="1" showErrorMessage="1" xr:uid="{F4421C1E-1713-4198-AA95-FEA880E19AFA}">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DCBF0-5EB4-4930-9F95-24FC7DCCEF3E}">
  <sheetPr>
    <tabColor rgb="FF92D050"/>
    <pageSetUpPr fitToPage="1"/>
  </sheetPr>
  <dimension ref="A1:Q115"/>
  <sheetViews>
    <sheetView topLeftCell="A44"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673</v>
      </c>
      <c r="G5" s="170"/>
      <c r="H5" s="170"/>
      <c r="I5" s="170"/>
      <c r="J5" s="47"/>
      <c r="K5" s="47"/>
      <c r="L5" s="48"/>
      <c r="M5" s="48"/>
      <c r="N5" s="48"/>
    </row>
    <row r="6" spans="1:17" ht="15.75" x14ac:dyDescent="0.2">
      <c r="A6" s="169" t="s">
        <v>1</v>
      </c>
      <c r="B6" s="169"/>
      <c r="C6" s="169"/>
      <c r="D6" s="169"/>
      <c r="E6" s="169"/>
      <c r="F6" s="171">
        <v>392</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RESOURCES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379658</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290673</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88985</v>
      </c>
      <c r="Q21" s="28"/>
    </row>
    <row r="22" spans="1:17" ht="16.5" customHeight="1" x14ac:dyDescent="0.2">
      <c r="A22" s="56"/>
      <c r="B22" s="58"/>
      <c r="C22" s="58"/>
      <c r="D22" s="58"/>
      <c r="E22" s="58"/>
      <c r="F22" s="58"/>
      <c r="G22" s="58"/>
      <c r="H22" s="58"/>
      <c r="I22" s="58"/>
      <c r="J22" s="29">
        <f>ROUND(SUM(J15:J17),2)</f>
        <v>379658</v>
      </c>
      <c r="K22" s="29">
        <f>ROUND(SUM(K18:K21),2)</f>
        <v>379658</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0</v>
      </c>
      <c r="K28" s="33"/>
      <c r="L28" s="54"/>
    </row>
    <row r="29" spans="1:17" ht="16.5" customHeight="1" x14ac:dyDescent="0.25">
      <c r="A29" s="56"/>
      <c r="B29" s="57"/>
      <c r="C29" s="165" t="s">
        <v>1578</v>
      </c>
      <c r="D29" s="165"/>
      <c r="E29" s="165"/>
      <c r="F29" s="165"/>
      <c r="G29" s="165"/>
      <c r="H29" s="165"/>
      <c r="I29" s="165"/>
      <c r="J29" s="33"/>
      <c r="K29" s="32">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244941</v>
      </c>
      <c r="K45" s="33"/>
    </row>
    <row r="46" spans="1:12" ht="16.5" customHeight="1" x14ac:dyDescent="0.2">
      <c r="A46" s="56"/>
      <c r="B46" s="71"/>
      <c r="C46" s="165" t="s">
        <v>1587</v>
      </c>
      <c r="D46" s="165"/>
      <c r="E46" s="165"/>
      <c r="F46" s="165"/>
      <c r="G46" s="165"/>
      <c r="H46" s="165"/>
      <c r="I46" s="165"/>
      <c r="J46" s="36"/>
      <c r="K46" s="32">
        <f>J45</f>
        <v>244941</v>
      </c>
    </row>
    <row r="47" spans="1:12" ht="16.5" customHeight="1" x14ac:dyDescent="0.2">
      <c r="A47" s="68"/>
      <c r="B47" s="58"/>
      <c r="C47" s="58"/>
      <c r="D47" s="58"/>
      <c r="E47" s="58"/>
      <c r="F47" s="58"/>
      <c r="G47" s="58"/>
      <c r="H47" s="58"/>
      <c r="I47" s="58"/>
      <c r="J47" s="39">
        <f>ROUND(SUM(J45:J45),2)</f>
        <v>244941</v>
      </c>
      <c r="K47" s="39">
        <f>ROUND(SUM(K46),2)</f>
        <v>244941</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82582</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103035</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185617</v>
      </c>
    </row>
    <row r="53" spans="1:12" ht="16.5" customHeight="1" x14ac:dyDescent="0.2">
      <c r="A53" s="68"/>
      <c r="B53" s="58"/>
      <c r="C53" s="58"/>
      <c r="D53" s="58"/>
      <c r="E53" s="58"/>
      <c r="F53" s="58"/>
      <c r="G53" s="58"/>
      <c r="H53" s="58"/>
      <c r="I53" s="58"/>
      <c r="J53" s="39">
        <f>ROUND(SUM(J50:J51),2)</f>
        <v>185617</v>
      </c>
      <c r="K53" s="39">
        <f>ROUND(SUM(K52,),2)</f>
        <v>185617</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82582</v>
      </c>
      <c r="K56" s="36"/>
    </row>
    <row r="57" spans="1:12" ht="16.5" customHeight="1" x14ac:dyDescent="0.25">
      <c r="A57" s="56"/>
      <c r="B57" s="57"/>
      <c r="C57" s="165" t="s">
        <v>1613</v>
      </c>
      <c r="D57" s="165"/>
      <c r="E57" s="165"/>
      <c r="F57" s="165"/>
      <c r="G57" s="165"/>
      <c r="H57" s="165"/>
      <c r="I57" s="165"/>
      <c r="J57" s="36"/>
      <c r="K57" s="32">
        <f>J50</f>
        <v>82582</v>
      </c>
    </row>
    <row r="58" spans="1:12" ht="16.5" customHeight="1" x14ac:dyDescent="0.2">
      <c r="A58" s="68"/>
      <c r="B58" s="58"/>
      <c r="C58" s="58"/>
      <c r="D58" s="58"/>
      <c r="E58" s="58"/>
      <c r="F58" s="58"/>
      <c r="G58" s="58"/>
      <c r="H58" s="58"/>
      <c r="I58" s="58"/>
      <c r="J58" s="39">
        <f>ROUND(SUM(J56:J56),2)</f>
        <v>82582</v>
      </c>
      <c r="K58" s="39">
        <f>ROUND(SUM(K57),2)</f>
        <v>82582</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102263</v>
      </c>
      <c r="K61" s="33"/>
    </row>
    <row r="62" spans="1:12" ht="16.5" customHeight="1" x14ac:dyDescent="0.25">
      <c r="A62" s="56"/>
      <c r="B62" s="57"/>
      <c r="C62" s="165" t="s">
        <v>1623</v>
      </c>
      <c r="D62" s="165"/>
      <c r="E62" s="165"/>
      <c r="F62" s="165"/>
      <c r="G62" s="165"/>
      <c r="H62" s="165"/>
      <c r="I62" s="165"/>
      <c r="J62" s="33"/>
      <c r="K62" s="32">
        <f>J61</f>
        <v>102263</v>
      </c>
    </row>
    <row r="63" spans="1:12" ht="16.5" customHeight="1" x14ac:dyDescent="0.2">
      <c r="A63" s="56"/>
      <c r="B63" s="179" t="s">
        <v>1622</v>
      </c>
      <c r="C63" s="179"/>
      <c r="D63" s="179"/>
      <c r="E63" s="179"/>
      <c r="F63" s="179"/>
      <c r="G63" s="179"/>
      <c r="H63" s="179"/>
      <c r="I63" s="179"/>
      <c r="J63" s="39">
        <f>ROUND(SUM(J61:J61),2)</f>
        <v>102263</v>
      </c>
      <c r="K63" s="39">
        <f>ROUND(SUM(K62),2)</f>
        <v>102263</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379658</v>
      </c>
    </row>
    <row r="95" spans="1:12" ht="16.5" customHeight="1" x14ac:dyDescent="0.25">
      <c r="D95" s="57" t="s">
        <v>1641</v>
      </c>
      <c r="E95"/>
      <c r="F95"/>
      <c r="G95"/>
      <c r="H95" s="44"/>
      <c r="I95"/>
      <c r="J95"/>
      <c r="K95" s="162">
        <f>-K18-K46+J68+J77</f>
        <v>-244941</v>
      </c>
    </row>
    <row r="96" spans="1:12" ht="16.5" customHeight="1" x14ac:dyDescent="0.25">
      <c r="D96" s="57" t="s">
        <v>1639</v>
      </c>
      <c r="E96"/>
      <c r="F96"/>
      <c r="G96"/>
      <c r="H96" s="44"/>
      <c r="I96"/>
      <c r="J96"/>
      <c r="K96" s="162">
        <f>-K19-K37+J56+J61+J76-K85</f>
        <v>-105828</v>
      </c>
    </row>
    <row r="97" spans="1:11" ht="16.5" customHeight="1" x14ac:dyDescent="0.25">
      <c r="D97" s="57" t="s">
        <v>1640</v>
      </c>
      <c r="E97"/>
      <c r="F97"/>
      <c r="G97"/>
      <c r="H97" s="44"/>
      <c r="I97"/>
      <c r="J97"/>
      <c r="K97" s="162">
        <f>-K62</f>
        <v>-102263</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83:K83"/>
    <mergeCell ref="B84:I84"/>
    <mergeCell ref="C85:I85"/>
    <mergeCell ref="B88:K88"/>
    <mergeCell ref="B75:K75"/>
    <mergeCell ref="B76:I76"/>
    <mergeCell ref="B77:I77"/>
    <mergeCell ref="B78:I78"/>
    <mergeCell ref="C79:I79"/>
    <mergeCell ref="C80:I80"/>
    <mergeCell ref="B72:K72"/>
    <mergeCell ref="C46:I46"/>
    <mergeCell ref="B50:I50"/>
    <mergeCell ref="B51:I51"/>
    <mergeCell ref="C52:I52"/>
    <mergeCell ref="B56:I56"/>
    <mergeCell ref="C57:I57"/>
    <mergeCell ref="B61:I61"/>
    <mergeCell ref="C62:I62"/>
    <mergeCell ref="B63:I64"/>
    <mergeCell ref="B68:I68"/>
    <mergeCell ref="C69:I69"/>
    <mergeCell ref="B45:I45"/>
    <mergeCell ref="B27:K27"/>
    <mergeCell ref="B28:I28"/>
    <mergeCell ref="C29:I29"/>
    <mergeCell ref="C30:I30"/>
    <mergeCell ref="B33:K33"/>
    <mergeCell ref="B34:I34"/>
    <mergeCell ref="B35:I35"/>
    <mergeCell ref="C36:I36"/>
    <mergeCell ref="C37:I37"/>
    <mergeCell ref="C38:I38"/>
    <mergeCell ref="B41:K41"/>
    <mergeCell ref="B24:K24"/>
    <mergeCell ref="A8:E8"/>
    <mergeCell ref="F8:I8"/>
    <mergeCell ref="A12:K12"/>
    <mergeCell ref="B14:K14"/>
    <mergeCell ref="B15:I15"/>
    <mergeCell ref="B16:I16"/>
    <mergeCell ref="B17:I17"/>
    <mergeCell ref="C18:I18"/>
    <mergeCell ref="C19:I19"/>
    <mergeCell ref="C20:I20"/>
    <mergeCell ref="C21:I21"/>
    <mergeCell ref="A5:E5"/>
    <mergeCell ref="F5:I5"/>
    <mergeCell ref="A6:E6"/>
    <mergeCell ref="F6:I6"/>
    <mergeCell ref="A7:E7"/>
    <mergeCell ref="F7:I7"/>
    <mergeCell ref="A1:K1"/>
    <mergeCell ref="A2:K2"/>
    <mergeCell ref="A3:E3"/>
    <mergeCell ref="F3:I3"/>
    <mergeCell ref="A4:E4"/>
    <mergeCell ref="F4:I4"/>
  </mergeCells>
  <conditionalFormatting sqref="L1 L3:L1048576">
    <cfRule type="cellIs" dxfId="24" priority="1" operator="equal">
      <formula>"&lt;- Debits and Credits do not equal each other."</formula>
    </cfRule>
  </conditionalFormatting>
  <dataValidations count="3">
    <dataValidation operator="lessThan" allowBlank="1" showInputMessage="1" showErrorMessage="1" sqref="A3:A5 A7:A8 A11" xr:uid="{36961507-9AA1-476D-AEA7-1B5B756E7DD6}"/>
    <dataValidation type="textLength" operator="lessThan" allowBlank="1" showInputMessage="1" showErrorMessage="1" sqref="E11 A6:A8" xr:uid="{F9C0C787-CBEE-46E1-A2BA-09114FA31F4D}">
      <formula1>0</formula1>
    </dataValidation>
    <dataValidation type="textLength" operator="equal" allowBlank="1" showInputMessage="1" showErrorMessage="1" errorTitle="4-Digit Org Code" error="Enter the Org Code/BU as 4 digits." sqref="F5" xr:uid="{1C2FDE7A-3A09-408F-B7C8-839465526659}">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23E2868-BEF0-4B1F-BAEC-2BCE2D8D65C7}">
          <x14:formula1>
            <xm:f>'Drop Down Menus'!$A$1:$A$101</xm:f>
          </x14:formula1>
          <xm:sqref>F3</xm:sqref>
        </x14:dataValidation>
        <x14:dataValidation type="list" allowBlank="1" showInputMessage="1" showErrorMessage="1" xr:uid="{D121959F-2A7E-40C6-95CF-B64EBA20872E}">
          <x14:formula1>
            <xm:f>'Drop Down Menus'!$B$1:$B$3</xm:f>
          </x14:formula1>
          <xm:sqref>F7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6102F-2098-49E4-B7A2-48E5E406E34F}">
  <sheetPr>
    <tabColor rgb="FF92D050"/>
    <pageSetUpPr fitToPage="1"/>
  </sheetPr>
  <dimension ref="A1:Q115"/>
  <sheetViews>
    <sheetView topLeftCell="A39" zoomScale="85" zoomScaleNormal="85" workbookViewId="0">
      <selection activeCell="J51" sqref="J51"/>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673</v>
      </c>
      <c r="G5" s="170"/>
      <c r="H5" s="170"/>
      <c r="I5" s="170"/>
      <c r="J5" s="47"/>
      <c r="K5" s="47"/>
      <c r="L5" s="48"/>
      <c r="M5" s="48"/>
      <c r="N5" s="48"/>
    </row>
    <row r="6" spans="1:17" ht="15.75" x14ac:dyDescent="0.2">
      <c r="A6" s="169" t="s">
        <v>1</v>
      </c>
      <c r="B6" s="169"/>
      <c r="C6" s="169"/>
      <c r="D6" s="169"/>
      <c r="E6" s="169"/>
      <c r="F6" s="171">
        <v>516</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RESOURCES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126961</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97204</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29757</v>
      </c>
      <c r="Q21" s="28"/>
    </row>
    <row r="22" spans="1:17" ht="16.5" customHeight="1" x14ac:dyDescent="0.2">
      <c r="A22" s="56"/>
      <c r="B22" s="58"/>
      <c r="C22" s="58"/>
      <c r="D22" s="58"/>
      <c r="E22" s="58"/>
      <c r="F22" s="58"/>
      <c r="G22" s="58"/>
      <c r="H22" s="58"/>
      <c r="I22" s="58"/>
      <c r="J22" s="29">
        <f>ROUND(SUM(J15:J17),2)</f>
        <v>126961</v>
      </c>
      <c r="K22" s="29">
        <f>ROUND(SUM(K18:K21),2)</f>
        <v>126961</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0</v>
      </c>
      <c r="K28" s="33"/>
      <c r="L28" s="54"/>
    </row>
    <row r="29" spans="1:17" ht="16.5" customHeight="1" x14ac:dyDescent="0.25">
      <c r="A29" s="56"/>
      <c r="B29" s="57"/>
      <c r="C29" s="165" t="s">
        <v>1578</v>
      </c>
      <c r="D29" s="165"/>
      <c r="E29" s="165"/>
      <c r="F29" s="165"/>
      <c r="G29" s="165"/>
      <c r="H29" s="165"/>
      <c r="I29" s="165"/>
      <c r="J29" s="33"/>
      <c r="K29" s="32">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81911</v>
      </c>
      <c r="K45" s="33"/>
    </row>
    <row r="46" spans="1:12" ht="16.5" customHeight="1" x14ac:dyDescent="0.2">
      <c r="A46" s="56"/>
      <c r="B46" s="71"/>
      <c r="C46" s="165" t="s">
        <v>1587</v>
      </c>
      <c r="D46" s="165"/>
      <c r="E46" s="165"/>
      <c r="F46" s="165"/>
      <c r="G46" s="165"/>
      <c r="H46" s="165"/>
      <c r="I46" s="165"/>
      <c r="J46" s="36"/>
      <c r="K46" s="32">
        <f>J45</f>
        <v>81911</v>
      </c>
    </row>
    <row r="47" spans="1:12" ht="16.5" customHeight="1" x14ac:dyDescent="0.2">
      <c r="A47" s="68"/>
      <c r="B47" s="58"/>
      <c r="C47" s="58"/>
      <c r="D47" s="58"/>
      <c r="E47" s="58"/>
      <c r="F47" s="58"/>
      <c r="G47" s="58"/>
      <c r="H47" s="58"/>
      <c r="I47" s="58"/>
      <c r="J47" s="39">
        <f>ROUND(SUM(J45:J45),2)</f>
        <v>81911</v>
      </c>
      <c r="K47" s="39">
        <f>ROUND(SUM(K46),2)</f>
        <v>81911</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27617</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34456</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62073</v>
      </c>
    </row>
    <row r="53" spans="1:12" ht="16.5" customHeight="1" x14ac:dyDescent="0.2">
      <c r="A53" s="68"/>
      <c r="B53" s="58"/>
      <c r="C53" s="58"/>
      <c r="D53" s="58"/>
      <c r="E53" s="58"/>
      <c r="F53" s="58"/>
      <c r="G53" s="58"/>
      <c r="H53" s="58"/>
      <c r="I53" s="58"/>
      <c r="J53" s="39">
        <f>ROUND(SUM(J50:J51),2)</f>
        <v>62073</v>
      </c>
      <c r="K53" s="39">
        <f>ROUND(SUM(K52,),2)</f>
        <v>62073</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27617</v>
      </c>
      <c r="K56" s="36"/>
    </row>
    <row r="57" spans="1:12" ht="16.5" customHeight="1" x14ac:dyDescent="0.25">
      <c r="A57" s="56"/>
      <c r="B57" s="57"/>
      <c r="C57" s="165" t="s">
        <v>1613</v>
      </c>
      <c r="D57" s="165"/>
      <c r="E57" s="165"/>
      <c r="F57" s="165"/>
      <c r="G57" s="165"/>
      <c r="H57" s="165"/>
      <c r="I57" s="165"/>
      <c r="J57" s="36"/>
      <c r="K57" s="32">
        <f>J50</f>
        <v>27617</v>
      </c>
    </row>
    <row r="58" spans="1:12" ht="16.5" customHeight="1" x14ac:dyDescent="0.2">
      <c r="A58" s="68"/>
      <c r="B58" s="58"/>
      <c r="C58" s="58"/>
      <c r="D58" s="58"/>
      <c r="E58" s="58"/>
      <c r="F58" s="58"/>
      <c r="G58" s="58"/>
      <c r="H58" s="58"/>
      <c r="I58" s="58"/>
      <c r="J58" s="39">
        <f>ROUND(SUM(J56:J56),2)</f>
        <v>27617</v>
      </c>
      <c r="K58" s="39">
        <f>ROUND(SUM(K57),2)</f>
        <v>27617</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34197</v>
      </c>
      <c r="K61" s="33"/>
    </row>
    <row r="62" spans="1:12" ht="16.5" customHeight="1" x14ac:dyDescent="0.25">
      <c r="A62" s="56"/>
      <c r="B62" s="57"/>
      <c r="C62" s="165" t="s">
        <v>1623</v>
      </c>
      <c r="D62" s="165"/>
      <c r="E62" s="165"/>
      <c r="F62" s="165"/>
      <c r="G62" s="165"/>
      <c r="H62" s="165"/>
      <c r="I62" s="165"/>
      <c r="J62" s="33"/>
      <c r="K62" s="32">
        <f>J61</f>
        <v>34197</v>
      </c>
    </row>
    <row r="63" spans="1:12" ht="16.5" customHeight="1" x14ac:dyDescent="0.2">
      <c r="A63" s="56"/>
      <c r="B63" s="179" t="s">
        <v>1622</v>
      </c>
      <c r="C63" s="179"/>
      <c r="D63" s="179"/>
      <c r="E63" s="179"/>
      <c r="F63" s="179"/>
      <c r="G63" s="179"/>
      <c r="H63" s="179"/>
      <c r="I63" s="179"/>
      <c r="J63" s="39">
        <f>ROUND(SUM(J61:J61),2)</f>
        <v>34197</v>
      </c>
      <c r="K63" s="39">
        <f>ROUND(SUM(K62),2)</f>
        <v>34197</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126961</v>
      </c>
    </row>
    <row r="95" spans="1:12" ht="16.5" customHeight="1" x14ac:dyDescent="0.25">
      <c r="D95" s="57" t="s">
        <v>1641</v>
      </c>
      <c r="E95"/>
      <c r="F95"/>
      <c r="G95"/>
      <c r="H95" s="44"/>
      <c r="I95"/>
      <c r="J95"/>
      <c r="K95" s="162">
        <f>-K18-K46+J68+J77</f>
        <v>-81911</v>
      </c>
    </row>
    <row r="96" spans="1:12" ht="16.5" customHeight="1" x14ac:dyDescent="0.25">
      <c r="D96" s="57" t="s">
        <v>1639</v>
      </c>
      <c r="E96"/>
      <c r="F96"/>
      <c r="G96"/>
      <c r="H96" s="44"/>
      <c r="I96"/>
      <c r="J96"/>
      <c r="K96" s="162">
        <f>-K19-K37+J56+J61+J76-K85</f>
        <v>-35390</v>
      </c>
    </row>
    <row r="97" spans="1:11" ht="16.5" customHeight="1" x14ac:dyDescent="0.25">
      <c r="D97" s="57" t="s">
        <v>1640</v>
      </c>
      <c r="E97"/>
      <c r="F97"/>
      <c r="G97"/>
      <c r="H97" s="44"/>
      <c r="I97"/>
      <c r="J97"/>
      <c r="K97" s="162">
        <f>-K62</f>
        <v>-34197</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83:K83"/>
    <mergeCell ref="B84:I84"/>
    <mergeCell ref="C85:I85"/>
    <mergeCell ref="B88:K88"/>
    <mergeCell ref="B75:K75"/>
    <mergeCell ref="B76:I76"/>
    <mergeCell ref="B77:I77"/>
    <mergeCell ref="B78:I78"/>
    <mergeCell ref="C79:I79"/>
    <mergeCell ref="C80:I80"/>
    <mergeCell ref="B72:K72"/>
    <mergeCell ref="C46:I46"/>
    <mergeCell ref="B50:I50"/>
    <mergeCell ref="B51:I51"/>
    <mergeCell ref="C52:I52"/>
    <mergeCell ref="B56:I56"/>
    <mergeCell ref="C57:I57"/>
    <mergeCell ref="B61:I61"/>
    <mergeCell ref="C62:I62"/>
    <mergeCell ref="B63:I64"/>
    <mergeCell ref="B68:I68"/>
    <mergeCell ref="C69:I69"/>
    <mergeCell ref="B45:I45"/>
    <mergeCell ref="B27:K27"/>
    <mergeCell ref="B28:I28"/>
    <mergeCell ref="C29:I29"/>
    <mergeCell ref="C30:I30"/>
    <mergeCell ref="B33:K33"/>
    <mergeCell ref="B34:I34"/>
    <mergeCell ref="B35:I35"/>
    <mergeCell ref="C36:I36"/>
    <mergeCell ref="C37:I37"/>
    <mergeCell ref="C38:I38"/>
    <mergeCell ref="B41:K41"/>
    <mergeCell ref="B24:K24"/>
    <mergeCell ref="A8:E8"/>
    <mergeCell ref="F8:I8"/>
    <mergeCell ref="A12:K12"/>
    <mergeCell ref="B14:K14"/>
    <mergeCell ref="B15:I15"/>
    <mergeCell ref="B16:I16"/>
    <mergeCell ref="B17:I17"/>
    <mergeCell ref="C18:I18"/>
    <mergeCell ref="C19:I19"/>
    <mergeCell ref="C20:I20"/>
    <mergeCell ref="C21:I21"/>
    <mergeCell ref="A5:E5"/>
    <mergeCell ref="F5:I5"/>
    <mergeCell ref="A6:E6"/>
    <mergeCell ref="F6:I6"/>
    <mergeCell ref="A7:E7"/>
    <mergeCell ref="F7:I7"/>
    <mergeCell ref="A1:K1"/>
    <mergeCell ref="A2:K2"/>
    <mergeCell ref="A3:E3"/>
    <mergeCell ref="F3:I3"/>
    <mergeCell ref="A4:E4"/>
    <mergeCell ref="F4:I4"/>
  </mergeCells>
  <conditionalFormatting sqref="L1 L3:L1048576">
    <cfRule type="cellIs" dxfId="23"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FE6158EF-B3FA-4C28-8123-C422451207AD}">
      <formula1>4</formula1>
    </dataValidation>
    <dataValidation type="textLength" operator="lessThan" allowBlank="1" showInputMessage="1" showErrorMessage="1" sqref="E11 A6:A8" xr:uid="{6B63E971-E689-4340-B910-C79C34407E23}">
      <formula1>0</formula1>
    </dataValidation>
    <dataValidation operator="lessThan" allowBlank="1" showInputMessage="1" showErrorMessage="1" sqref="A3:A5 A7:A8 A11" xr:uid="{6DE0F528-2DE0-464C-B865-00C965C96EAF}"/>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483C935B-5044-441C-A86D-2037C3D5B191}">
          <x14:formula1>
            <xm:f>'Drop Down Menus'!$B$1:$B$3</xm:f>
          </x14:formula1>
          <xm:sqref>F7</xm:sqref>
        </x14:dataValidation>
        <x14:dataValidation type="list" allowBlank="1" showInputMessage="1" showErrorMessage="1" xr:uid="{D94612DE-4F62-4C62-94E6-B147554B361D}">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2D934-1A3F-45EA-BB72-099D757028B6}">
  <sheetPr>
    <tabColor rgb="FF92D050"/>
    <pageSetUpPr fitToPage="1"/>
  </sheetPr>
  <dimension ref="A1:Q115"/>
  <sheetViews>
    <sheetView topLeftCell="A6"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673</v>
      </c>
      <c r="G5" s="170"/>
      <c r="H5" s="170"/>
      <c r="I5" s="170"/>
      <c r="J5" s="47"/>
      <c r="K5" s="47"/>
      <c r="L5" s="48"/>
      <c r="M5" s="48"/>
      <c r="N5" s="48"/>
    </row>
    <row r="6" spans="1:17" ht="15.75" x14ac:dyDescent="0.2">
      <c r="A6" s="169" t="s">
        <v>1</v>
      </c>
      <c r="B6" s="169"/>
      <c r="C6" s="169"/>
      <c r="D6" s="169"/>
      <c r="E6" s="169"/>
      <c r="F6" s="171">
        <v>890</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RESOURCES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4666</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3572</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1094</v>
      </c>
      <c r="Q21" s="28"/>
    </row>
    <row r="22" spans="1:17" ht="16.5" customHeight="1" x14ac:dyDescent="0.2">
      <c r="A22" s="56"/>
      <c r="B22" s="58"/>
      <c r="C22" s="58"/>
      <c r="D22" s="58"/>
      <c r="E22" s="58"/>
      <c r="F22" s="58"/>
      <c r="G22" s="58"/>
      <c r="H22" s="58"/>
      <c r="I22" s="58"/>
      <c r="J22" s="29">
        <f>ROUND(SUM(J15:J17),2)</f>
        <v>4666</v>
      </c>
      <c r="K22" s="29">
        <f>ROUND(SUM(K18:K21),2)</f>
        <v>4666</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0</v>
      </c>
      <c r="K28" s="33"/>
      <c r="L28" s="54"/>
    </row>
    <row r="29" spans="1:17" ht="16.5" customHeight="1" x14ac:dyDescent="0.25">
      <c r="A29" s="56"/>
      <c r="B29" s="57"/>
      <c r="C29" s="165" t="s">
        <v>1578</v>
      </c>
      <c r="D29" s="165"/>
      <c r="E29" s="165"/>
      <c r="F29" s="165"/>
      <c r="G29" s="165"/>
      <c r="H29" s="165"/>
      <c r="I29" s="165"/>
      <c r="J29" s="33"/>
      <c r="K29" s="32">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3010</v>
      </c>
      <c r="K45" s="33"/>
    </row>
    <row r="46" spans="1:12" ht="16.5" customHeight="1" x14ac:dyDescent="0.2">
      <c r="A46" s="56"/>
      <c r="B46" s="71"/>
      <c r="C46" s="165" t="s">
        <v>1587</v>
      </c>
      <c r="D46" s="165"/>
      <c r="E46" s="165"/>
      <c r="F46" s="165"/>
      <c r="G46" s="165"/>
      <c r="H46" s="165"/>
      <c r="I46" s="165"/>
      <c r="J46" s="36"/>
      <c r="K46" s="32">
        <f>J45</f>
        <v>3010</v>
      </c>
    </row>
    <row r="47" spans="1:12" ht="16.5" customHeight="1" x14ac:dyDescent="0.2">
      <c r="A47" s="68"/>
      <c r="B47" s="58"/>
      <c r="C47" s="58"/>
      <c r="D47" s="58"/>
      <c r="E47" s="58"/>
      <c r="F47" s="58"/>
      <c r="G47" s="58"/>
      <c r="H47" s="58"/>
      <c r="I47" s="58"/>
      <c r="J47" s="39">
        <f>ROUND(SUM(J45:J45),2)</f>
        <v>3010</v>
      </c>
      <c r="K47" s="39">
        <f>ROUND(SUM(K46),2)</f>
        <v>3010</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1015</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1266</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2281</v>
      </c>
    </row>
    <row r="53" spans="1:12" ht="16.5" customHeight="1" x14ac:dyDescent="0.2">
      <c r="A53" s="68"/>
      <c r="B53" s="58"/>
      <c r="C53" s="58"/>
      <c r="D53" s="58"/>
      <c r="E53" s="58"/>
      <c r="F53" s="58"/>
      <c r="G53" s="58"/>
      <c r="H53" s="58"/>
      <c r="I53" s="58"/>
      <c r="J53" s="39">
        <f>ROUND(SUM(J50:J51),2)</f>
        <v>2281</v>
      </c>
      <c r="K53" s="39">
        <f>ROUND(SUM(K52,),2)</f>
        <v>2281</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1015</v>
      </c>
      <c r="K56" s="36"/>
    </row>
    <row r="57" spans="1:12" ht="16.5" customHeight="1" x14ac:dyDescent="0.25">
      <c r="A57" s="56"/>
      <c r="B57" s="57"/>
      <c r="C57" s="165" t="s">
        <v>1613</v>
      </c>
      <c r="D57" s="165"/>
      <c r="E57" s="165"/>
      <c r="F57" s="165"/>
      <c r="G57" s="165"/>
      <c r="H57" s="165"/>
      <c r="I57" s="165"/>
      <c r="J57" s="36"/>
      <c r="K57" s="32">
        <f>J50</f>
        <v>1015</v>
      </c>
    </row>
    <row r="58" spans="1:12" ht="16.5" customHeight="1" x14ac:dyDescent="0.2">
      <c r="A58" s="68"/>
      <c r="B58" s="58"/>
      <c r="C58" s="58"/>
      <c r="D58" s="58"/>
      <c r="E58" s="58"/>
      <c r="F58" s="58"/>
      <c r="G58" s="58"/>
      <c r="H58" s="58"/>
      <c r="I58" s="58"/>
      <c r="J58" s="39">
        <f>ROUND(SUM(J56:J56),2)</f>
        <v>1015</v>
      </c>
      <c r="K58" s="39">
        <f>ROUND(SUM(K57),2)</f>
        <v>1015</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1257</v>
      </c>
      <c r="K61" s="33"/>
    </row>
    <row r="62" spans="1:12" ht="16.5" customHeight="1" x14ac:dyDescent="0.25">
      <c r="A62" s="56"/>
      <c r="B62" s="57"/>
      <c r="C62" s="165" t="s">
        <v>1623</v>
      </c>
      <c r="D62" s="165"/>
      <c r="E62" s="165"/>
      <c r="F62" s="165"/>
      <c r="G62" s="165"/>
      <c r="H62" s="165"/>
      <c r="I62" s="165"/>
      <c r="J62" s="33"/>
      <c r="K62" s="32">
        <f>J61</f>
        <v>1257</v>
      </c>
    </row>
    <row r="63" spans="1:12" ht="16.5" customHeight="1" x14ac:dyDescent="0.2">
      <c r="A63" s="56"/>
      <c r="B63" s="179" t="s">
        <v>1622</v>
      </c>
      <c r="C63" s="179"/>
      <c r="D63" s="179"/>
      <c r="E63" s="179"/>
      <c r="F63" s="179"/>
      <c r="G63" s="179"/>
      <c r="H63" s="179"/>
      <c r="I63" s="179"/>
      <c r="J63" s="39">
        <f>ROUND(SUM(J61:J61),2)</f>
        <v>1257</v>
      </c>
      <c r="K63" s="39">
        <f>ROUND(SUM(K62),2)</f>
        <v>1257</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4666</v>
      </c>
    </row>
    <row r="95" spans="1:12" ht="16.5" customHeight="1" x14ac:dyDescent="0.25">
      <c r="D95" s="57" t="s">
        <v>1641</v>
      </c>
      <c r="E95"/>
      <c r="F95"/>
      <c r="G95"/>
      <c r="H95" s="44"/>
      <c r="I95"/>
      <c r="J95"/>
      <c r="K95" s="162">
        <f>-K18-K46+J68+J77</f>
        <v>-3010</v>
      </c>
    </row>
    <row r="96" spans="1:12" ht="16.5" customHeight="1" x14ac:dyDescent="0.25">
      <c r="D96" s="57" t="s">
        <v>1639</v>
      </c>
      <c r="E96"/>
      <c r="F96"/>
      <c r="G96"/>
      <c r="H96" s="44"/>
      <c r="I96"/>
      <c r="J96"/>
      <c r="K96" s="162">
        <f>-K19-K37+J56+J61+J76-K85</f>
        <v>-1300</v>
      </c>
    </row>
    <row r="97" spans="1:11" ht="16.5" customHeight="1" x14ac:dyDescent="0.25">
      <c r="D97" s="57" t="s">
        <v>1640</v>
      </c>
      <c r="E97"/>
      <c r="F97"/>
      <c r="G97"/>
      <c r="H97" s="44"/>
      <c r="I97"/>
      <c r="J97"/>
      <c r="K97" s="162">
        <f>-K62</f>
        <v>-1257</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83:K83"/>
    <mergeCell ref="B84:I84"/>
    <mergeCell ref="C85:I85"/>
    <mergeCell ref="B88:K88"/>
    <mergeCell ref="B75:K75"/>
    <mergeCell ref="B76:I76"/>
    <mergeCell ref="B77:I77"/>
    <mergeCell ref="B78:I78"/>
    <mergeCell ref="C79:I79"/>
    <mergeCell ref="C80:I80"/>
    <mergeCell ref="B72:K72"/>
    <mergeCell ref="C46:I46"/>
    <mergeCell ref="B50:I50"/>
    <mergeCell ref="B51:I51"/>
    <mergeCell ref="C52:I52"/>
    <mergeCell ref="B56:I56"/>
    <mergeCell ref="C57:I57"/>
    <mergeCell ref="B61:I61"/>
    <mergeCell ref="C62:I62"/>
    <mergeCell ref="B63:I64"/>
    <mergeCell ref="B68:I68"/>
    <mergeCell ref="C69:I69"/>
    <mergeCell ref="B45:I45"/>
    <mergeCell ref="B27:K27"/>
    <mergeCell ref="B28:I28"/>
    <mergeCell ref="C29:I29"/>
    <mergeCell ref="C30:I30"/>
    <mergeCell ref="B33:K33"/>
    <mergeCell ref="B34:I34"/>
    <mergeCell ref="B35:I35"/>
    <mergeCell ref="C36:I36"/>
    <mergeCell ref="C37:I37"/>
    <mergeCell ref="C38:I38"/>
    <mergeCell ref="B41:K41"/>
    <mergeCell ref="B24:K24"/>
    <mergeCell ref="A8:E8"/>
    <mergeCell ref="F8:I8"/>
    <mergeCell ref="A12:K12"/>
    <mergeCell ref="B14:K14"/>
    <mergeCell ref="B15:I15"/>
    <mergeCell ref="B16:I16"/>
    <mergeCell ref="B17:I17"/>
    <mergeCell ref="C18:I18"/>
    <mergeCell ref="C19:I19"/>
    <mergeCell ref="C20:I20"/>
    <mergeCell ref="C21:I21"/>
    <mergeCell ref="A5:E5"/>
    <mergeCell ref="F5:I5"/>
    <mergeCell ref="A6:E6"/>
    <mergeCell ref="F6:I6"/>
    <mergeCell ref="A7:E7"/>
    <mergeCell ref="F7:I7"/>
    <mergeCell ref="A1:K1"/>
    <mergeCell ref="A2:K2"/>
    <mergeCell ref="A3:E3"/>
    <mergeCell ref="F3:I3"/>
    <mergeCell ref="A4:E4"/>
    <mergeCell ref="F4:I4"/>
  </mergeCells>
  <conditionalFormatting sqref="L1 L3:L1048576">
    <cfRule type="cellIs" dxfId="22" priority="1" operator="equal">
      <formula>"&lt;- Debits and Credits do not equal each other."</formula>
    </cfRule>
  </conditionalFormatting>
  <dataValidations count="3">
    <dataValidation operator="lessThan" allowBlank="1" showInputMessage="1" showErrorMessage="1" sqref="A3:A5 A7:A8 A11" xr:uid="{4E0AB27C-BFF2-4B0E-B02E-AF91663CBF35}"/>
    <dataValidation type="textLength" operator="lessThan" allowBlank="1" showInputMessage="1" showErrorMessage="1" sqref="E11 A6:A8" xr:uid="{A708FF81-6DF0-4F42-A0FE-62640C444D1F}">
      <formula1>0</formula1>
    </dataValidation>
    <dataValidation type="textLength" operator="equal" allowBlank="1" showInputMessage="1" showErrorMessage="1" errorTitle="4-Digit Org Code" error="Enter the Org Code/BU as 4 digits." sqref="F5" xr:uid="{2CB97117-5DF4-4552-8D81-AE35B8C355A6}">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FFD4323C-2C2B-45E6-B7FA-36A63662A55B}">
          <x14:formula1>
            <xm:f>'Drop Down Menus'!$A$1:$A$101</xm:f>
          </x14:formula1>
          <xm:sqref>F3</xm:sqref>
        </x14:dataValidation>
        <x14:dataValidation type="list" allowBlank="1" showInputMessage="1" showErrorMessage="1" xr:uid="{58B97958-534B-4F81-835E-086D62A71739}">
          <x14:formula1>
            <xm:f>'Drop Down Menus'!$B$1:$B$3</xm:f>
          </x14:formula1>
          <xm:sqref>F7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455B-EACF-4529-B946-FEB1D4F46677}">
  <sheetPr>
    <tabColor rgb="FF92D050"/>
    <pageSetUpPr fitToPage="1"/>
  </sheetPr>
  <dimension ref="A1:Q115"/>
  <sheetViews>
    <sheetView topLeftCell="A41"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673</v>
      </c>
      <c r="G5" s="170"/>
      <c r="H5" s="170"/>
      <c r="I5" s="170"/>
      <c r="J5" s="47"/>
      <c r="K5" s="47"/>
      <c r="L5" s="48"/>
      <c r="M5" s="48"/>
      <c r="N5" s="48"/>
    </row>
    <row r="6" spans="1:17" ht="15.75" x14ac:dyDescent="0.2">
      <c r="A6" s="169" t="s">
        <v>1</v>
      </c>
      <c r="B6" s="169"/>
      <c r="C6" s="169"/>
      <c r="D6" s="169"/>
      <c r="E6" s="169"/>
      <c r="F6" s="171">
        <v>3352</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RESOURCES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180252</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138004</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42248</v>
      </c>
      <c r="Q21" s="28"/>
    </row>
    <row r="22" spans="1:17" ht="16.5" customHeight="1" x14ac:dyDescent="0.2">
      <c r="A22" s="56"/>
      <c r="B22" s="58"/>
      <c r="C22" s="58"/>
      <c r="D22" s="58"/>
      <c r="E22" s="58"/>
      <c r="F22" s="58"/>
      <c r="G22" s="58"/>
      <c r="H22" s="58"/>
      <c r="I22" s="58"/>
      <c r="J22" s="29">
        <f>ROUND(SUM(J15:J17),2)</f>
        <v>180252</v>
      </c>
      <c r="K22" s="29">
        <f>ROUND(SUM(K18:K21),2)</f>
        <v>180252</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0</v>
      </c>
      <c r="K28" s="33"/>
      <c r="L28" s="54"/>
    </row>
    <row r="29" spans="1:17" ht="16.5" customHeight="1" x14ac:dyDescent="0.25">
      <c r="A29" s="56"/>
      <c r="B29" s="57"/>
      <c r="C29" s="165" t="s">
        <v>1578</v>
      </c>
      <c r="D29" s="165"/>
      <c r="E29" s="165"/>
      <c r="F29" s="165"/>
      <c r="G29" s="165"/>
      <c r="H29" s="165"/>
      <c r="I29" s="165"/>
      <c r="J29" s="33"/>
      <c r="K29" s="32">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116291</v>
      </c>
      <c r="K45" s="33"/>
    </row>
    <row r="46" spans="1:12" ht="16.5" customHeight="1" x14ac:dyDescent="0.2">
      <c r="A46" s="56"/>
      <c r="B46" s="71"/>
      <c r="C46" s="165" t="s">
        <v>1587</v>
      </c>
      <c r="D46" s="165"/>
      <c r="E46" s="165"/>
      <c r="F46" s="165"/>
      <c r="G46" s="165"/>
      <c r="H46" s="165"/>
      <c r="I46" s="165"/>
      <c r="J46" s="36"/>
      <c r="K46" s="32">
        <f>J45</f>
        <v>116291</v>
      </c>
    </row>
    <row r="47" spans="1:12" ht="16.5" customHeight="1" x14ac:dyDescent="0.2">
      <c r="A47" s="68"/>
      <c r="B47" s="58"/>
      <c r="C47" s="58"/>
      <c r="D47" s="58"/>
      <c r="E47" s="58"/>
      <c r="F47" s="58"/>
      <c r="G47" s="58"/>
      <c r="H47" s="58"/>
      <c r="I47" s="58"/>
      <c r="J47" s="39">
        <f>ROUND(SUM(J45:J45),2)</f>
        <v>116291</v>
      </c>
      <c r="K47" s="39">
        <f>ROUND(SUM(K46),2)</f>
        <v>116291</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39208</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48918</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88126</v>
      </c>
    </row>
    <row r="53" spans="1:12" ht="16.5" customHeight="1" x14ac:dyDescent="0.2">
      <c r="A53" s="68"/>
      <c r="B53" s="58"/>
      <c r="C53" s="58"/>
      <c r="D53" s="58"/>
      <c r="E53" s="58"/>
      <c r="F53" s="58"/>
      <c r="G53" s="58"/>
      <c r="H53" s="58"/>
      <c r="I53" s="58"/>
      <c r="J53" s="39">
        <f>ROUND(SUM(J50:J51),2)</f>
        <v>88126</v>
      </c>
      <c r="K53" s="39">
        <f>ROUND(SUM(K52,),2)</f>
        <v>88126</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39208</v>
      </c>
      <c r="K56" s="36"/>
    </row>
    <row r="57" spans="1:12" ht="16.5" customHeight="1" x14ac:dyDescent="0.25">
      <c r="A57" s="56"/>
      <c r="B57" s="57"/>
      <c r="C57" s="165" t="s">
        <v>1613</v>
      </c>
      <c r="D57" s="165"/>
      <c r="E57" s="165"/>
      <c r="F57" s="165"/>
      <c r="G57" s="165"/>
      <c r="H57" s="165"/>
      <c r="I57" s="165"/>
      <c r="J57" s="36"/>
      <c r="K57" s="32">
        <f>J50</f>
        <v>39208</v>
      </c>
    </row>
    <row r="58" spans="1:12" ht="16.5" customHeight="1" x14ac:dyDescent="0.2">
      <c r="A58" s="68"/>
      <c r="B58" s="58"/>
      <c r="C58" s="58"/>
      <c r="D58" s="58"/>
      <c r="E58" s="58"/>
      <c r="F58" s="58"/>
      <c r="G58" s="58"/>
      <c r="H58" s="58"/>
      <c r="I58" s="58"/>
      <c r="J58" s="39">
        <f>ROUND(SUM(J56:J56),2)</f>
        <v>39208</v>
      </c>
      <c r="K58" s="39">
        <f>ROUND(SUM(K57),2)</f>
        <v>39208</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48552</v>
      </c>
      <c r="K61" s="33"/>
    </row>
    <row r="62" spans="1:12" ht="16.5" customHeight="1" x14ac:dyDescent="0.25">
      <c r="A62" s="56"/>
      <c r="B62" s="57"/>
      <c r="C62" s="165" t="s">
        <v>1623</v>
      </c>
      <c r="D62" s="165"/>
      <c r="E62" s="165"/>
      <c r="F62" s="165"/>
      <c r="G62" s="165"/>
      <c r="H62" s="165"/>
      <c r="I62" s="165"/>
      <c r="J62" s="33"/>
      <c r="K62" s="32">
        <f>J61</f>
        <v>48552</v>
      </c>
    </row>
    <row r="63" spans="1:12" ht="16.5" customHeight="1" x14ac:dyDescent="0.2">
      <c r="A63" s="56"/>
      <c r="B63" s="179" t="s">
        <v>1622</v>
      </c>
      <c r="C63" s="179"/>
      <c r="D63" s="179"/>
      <c r="E63" s="179"/>
      <c r="F63" s="179"/>
      <c r="G63" s="179"/>
      <c r="H63" s="179"/>
      <c r="I63" s="179"/>
      <c r="J63" s="39">
        <f>ROUND(SUM(J61:J61),2)</f>
        <v>48552</v>
      </c>
      <c r="K63" s="39">
        <f>ROUND(SUM(K62),2)</f>
        <v>48552</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180252</v>
      </c>
    </row>
    <row r="95" spans="1:12" ht="16.5" customHeight="1" x14ac:dyDescent="0.25">
      <c r="D95" s="57" t="s">
        <v>1641</v>
      </c>
      <c r="E95"/>
      <c r="F95"/>
      <c r="G95"/>
      <c r="H95" s="44"/>
      <c r="I95"/>
      <c r="J95"/>
      <c r="K95" s="162">
        <f>-K18-K46+J68+J77</f>
        <v>-116291</v>
      </c>
    </row>
    <row r="96" spans="1:12" ht="16.5" customHeight="1" x14ac:dyDescent="0.25">
      <c r="D96" s="57" t="s">
        <v>1639</v>
      </c>
      <c r="E96"/>
      <c r="F96"/>
      <c r="G96"/>
      <c r="H96" s="44"/>
      <c r="I96"/>
      <c r="J96"/>
      <c r="K96" s="162">
        <f>-K19-K37+J56+J61+J76-K85</f>
        <v>-50244</v>
      </c>
    </row>
    <row r="97" spans="1:11" ht="16.5" customHeight="1" x14ac:dyDescent="0.25">
      <c r="D97" s="57" t="s">
        <v>1640</v>
      </c>
      <c r="E97"/>
      <c r="F97"/>
      <c r="G97"/>
      <c r="H97" s="44"/>
      <c r="I97"/>
      <c r="J97"/>
      <c r="K97" s="162">
        <f>-K62</f>
        <v>-48552</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83:K83"/>
    <mergeCell ref="B84:I84"/>
    <mergeCell ref="C85:I85"/>
    <mergeCell ref="B88:K88"/>
    <mergeCell ref="B75:K75"/>
    <mergeCell ref="B76:I76"/>
    <mergeCell ref="B77:I77"/>
    <mergeCell ref="B78:I78"/>
    <mergeCell ref="C79:I79"/>
    <mergeCell ref="C80:I80"/>
    <mergeCell ref="B72:K72"/>
    <mergeCell ref="C46:I46"/>
    <mergeCell ref="B50:I50"/>
    <mergeCell ref="B51:I51"/>
    <mergeCell ref="C52:I52"/>
    <mergeCell ref="B56:I56"/>
    <mergeCell ref="C57:I57"/>
    <mergeCell ref="B61:I61"/>
    <mergeCell ref="C62:I62"/>
    <mergeCell ref="B63:I64"/>
    <mergeCell ref="B68:I68"/>
    <mergeCell ref="C69:I69"/>
    <mergeCell ref="B45:I45"/>
    <mergeCell ref="B27:K27"/>
    <mergeCell ref="B28:I28"/>
    <mergeCell ref="C29:I29"/>
    <mergeCell ref="C30:I30"/>
    <mergeCell ref="B33:K33"/>
    <mergeCell ref="B34:I34"/>
    <mergeCell ref="B35:I35"/>
    <mergeCell ref="C36:I36"/>
    <mergeCell ref="C37:I37"/>
    <mergeCell ref="C38:I38"/>
    <mergeCell ref="B41:K41"/>
    <mergeCell ref="B24:K24"/>
    <mergeCell ref="A8:E8"/>
    <mergeCell ref="F8:I8"/>
    <mergeCell ref="A12:K12"/>
    <mergeCell ref="B14:K14"/>
    <mergeCell ref="B15:I15"/>
    <mergeCell ref="B16:I16"/>
    <mergeCell ref="B17:I17"/>
    <mergeCell ref="C18:I18"/>
    <mergeCell ref="C19:I19"/>
    <mergeCell ref="C20:I20"/>
    <mergeCell ref="C21:I21"/>
    <mergeCell ref="A5:E5"/>
    <mergeCell ref="F5:I5"/>
    <mergeCell ref="A6:E6"/>
    <mergeCell ref="F6:I6"/>
    <mergeCell ref="A7:E7"/>
    <mergeCell ref="F7:I7"/>
    <mergeCell ref="A1:K1"/>
    <mergeCell ref="A2:K2"/>
    <mergeCell ref="A3:E3"/>
    <mergeCell ref="F3:I3"/>
    <mergeCell ref="A4:E4"/>
    <mergeCell ref="F4:I4"/>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D4EB3A59-FEDA-46F0-9889-0262C2DC935B}">
      <formula1>4</formula1>
    </dataValidation>
    <dataValidation type="textLength" operator="lessThan" allowBlank="1" showInputMessage="1" showErrorMessage="1" sqref="E11 A6:A8" xr:uid="{A4241A9D-40D7-46F1-BC88-ED1BDEDEBE57}">
      <formula1>0</formula1>
    </dataValidation>
    <dataValidation operator="lessThan" allowBlank="1" showInputMessage="1" showErrorMessage="1" sqref="A3:A5 A7:A8 A11" xr:uid="{86645224-3125-484C-ADD5-02A703A902AE}"/>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C2869C36-A4E3-4F7D-9FC6-817CEFA4B212}">
          <x14:formula1>
            <xm:f>'Drop Down Menus'!$B$1:$B$3</xm:f>
          </x14:formula1>
          <xm:sqref>F7</xm:sqref>
        </x14:dataValidation>
        <x14:dataValidation type="list" allowBlank="1" showInputMessage="1" showErrorMessage="1" xr:uid="{79ACB310-A0C5-4FB9-9EA0-80A48BA16CC0}">
          <x14:formula1>
            <xm:f>'Drop Down Menus'!$A$1:$A$101</xm:f>
          </x14:formula1>
          <xm:sqref>F3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B18" sqref="B1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3790</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661467</v>
      </c>
      <c r="C16" s="2">
        <v>18966</v>
      </c>
      <c r="D16" s="193" t="s">
        <v>1537</v>
      </c>
      <c r="E16" s="97"/>
      <c r="F16" s="97"/>
      <c r="G16" s="97"/>
      <c r="H16" s="97"/>
      <c r="I16" s="97"/>
      <c r="J16" s="97"/>
      <c r="K16" s="97"/>
    </row>
    <row r="17" spans="1:11" ht="15" customHeight="1" x14ac:dyDescent="0.2">
      <c r="A17" s="94" t="str">
        <f>LEFT(A16,4)+1&amp;"–"&amp;RIGHT(A16,4)+1</f>
        <v>2024–2025</v>
      </c>
      <c r="B17" s="2">
        <v>684529</v>
      </c>
      <c r="C17" s="2">
        <v>0</v>
      </c>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t="s">
        <v>1643</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t="s">
        <v>1644</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t="s">
        <v>1643</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3790</v>
      </c>
      <c r="C43" s="189"/>
    </row>
    <row r="44" spans="1:11" ht="15.75" x14ac:dyDescent="0.25">
      <c r="A44" s="92" t="s">
        <v>1600</v>
      </c>
      <c r="B44" s="190" t="str">
        <f>B13</f>
        <v>Department of Parks and Recreation</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3790</v>
      </c>
      <c r="C74" s="189"/>
    </row>
    <row r="75" spans="1:4" ht="15.75" x14ac:dyDescent="0.25">
      <c r="A75" s="92" t="s">
        <v>1600</v>
      </c>
      <c r="B75" s="190" t="str">
        <f>B13</f>
        <v>Department of Parks and Recreation</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M4oCipDL8Y6QguAcICkloO7j5xL36HIqe1cooQKIG/nh+O0oNRwqhSpnc3cN5bFWb5rP7t3htSmOb+4iz8L1jg==" saltValue="JKuLrhxJSg+F10lb3KVKNg=="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topLeftCell="A3" zoomScaleNormal="100" workbookViewId="0">
      <selection activeCell="J11" sqref="J11"/>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3790 Department of Parks and Recreation</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+'Fund 0001 Journal Entries'!K19+'Fund 0263 Journal Entries '!K19+'Fund 0392 Journal Entries '!K19+'Fund 0516 Journal Entries '!K19+'Fund 0890 Journal Entries '!K19+'Fund 3352 Journal Entries  '!K19</f>
        <v>1880162</v>
      </c>
      <c r="H10" s="3">
        <v>0</v>
      </c>
      <c r="J10" s="3">
        <f>'Fund 0001 Journal Entries'!J56+'Fund 0263 Journal Entries '!J56+'Fund 0392 Journal Entries '!J56+'Fund 0516 Journal Entries '!J56+'Fund 0890 Journal Entries '!J56+'Fund 3352 Journal Entries  '!J56</f>
        <v>534166</v>
      </c>
      <c r="L10" s="119">
        <f>SUM(F10+H10-J10)</f>
        <v>1345996</v>
      </c>
      <c r="N10" s="3">
        <f>'Fund 0001 Journal Entries'!J61+'Fund 0263 Journal Entries '!J61+'Fund 0392 Journal Entries '!J61+'Fund 0516 Journal Entries '!J61+'Fund 0890 Journal Entries '!J61+'Fund 3352 Journal Entries  '!J61</f>
        <v>661467</v>
      </c>
      <c r="P10" s="119">
        <f>L10-N10</f>
        <v>684529</v>
      </c>
      <c r="Q10" s="109"/>
    </row>
    <row r="11" spans="2:17" ht="19.5" thickTop="1" thickBot="1" x14ac:dyDescent="0.3">
      <c r="B11" s="107"/>
      <c r="C11" s="195" t="s">
        <v>15</v>
      </c>
      <c r="D11" s="195"/>
      <c r="F11" s="120">
        <f>SUM(F10:F10)</f>
        <v>1880162</v>
      </c>
      <c r="H11" s="120">
        <f>SUM(H10:H10)</f>
        <v>0</v>
      </c>
      <c r="J11" s="120">
        <f>SUM(J10:J10)</f>
        <v>534166</v>
      </c>
      <c r="L11" s="120">
        <f>SUM(L10:L10)</f>
        <v>1345996</v>
      </c>
      <c r="N11" s="120">
        <f>SUM(N10:N10)</f>
        <v>661467</v>
      </c>
      <c r="P11" s="120">
        <f>SUM(P10:P10)</f>
        <v>684529</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v>0</v>
      </c>
      <c r="H18" s="3">
        <f>IF('Fund 0001 Journal Entries'!$F$7="Proprietary - Enterprise Fund",'Fund 0001 Journal Entries'!$K$37,0)</f>
        <v>0</v>
      </c>
      <c r="J18" s="3">
        <v>0</v>
      </c>
      <c r="L18" s="119">
        <f>SUM(F18+H18-J18)</f>
        <v>0</v>
      </c>
      <c r="N18" s="3">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19" zoomScale="112" zoomScaleNormal="112" workbookViewId="0">
      <selection activeCell="F54" sqref="F54"/>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'Fund 0001 Journal Entries'!K19+'Fund 0263 Journal Entries '!K19+'Fund 0392 Journal Entries '!K19+'Fund 0890 Journal Entries '!K19+'Fund 3352 Journal Entries  '!K19+'Fund 0516 Journal Entries '!K19</f>
        <v>1880162</v>
      </c>
      <c r="C16" s="15" t="s">
        <v>1552</v>
      </c>
      <c r="D16" s="14">
        <f>IF('Fund 0001 Journal Entries'!$F$7="Governmental Fund",ROUND('Fund 0001 Journal Entries'!$K$37,0),0)</f>
        <v>0</v>
      </c>
      <c r="E16" s="16" t="s">
        <v>1554</v>
      </c>
      <c r="F16" s="14">
        <f>'Fund 0001 Journal Entries'!J56+'Fund 0263 Journal Entries '!J56+'Fund 0392 Journal Entries '!J56+'Fund 0890 Journal Entries '!J56+'Fund 3352 Journal Entries  '!J56+'Fund 0516 Journal Entries '!J56</f>
        <v>534166</v>
      </c>
      <c r="G16" s="16" t="s">
        <v>1556</v>
      </c>
      <c r="H16" s="17">
        <f>+B16+D16-F16</f>
        <v>1345996</v>
      </c>
      <c r="I16" s="16"/>
      <c r="J16" s="18">
        <f>ROUND(SUM('Department Note Disclosure'!$B$16:$B$39),0)</f>
        <v>1345996</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v>0</v>
      </c>
      <c r="C31" s="15" t="s">
        <v>1552</v>
      </c>
      <c r="D31" s="14">
        <f>IF('Fund 0001 Journal Entries'!$F$7="Proprietary - Enterprise Fund",ROUND('Fund 0001 Journal Entries'!$K$37,0),0)</f>
        <v>0</v>
      </c>
      <c r="E31" s="16" t="s">
        <v>1554</v>
      </c>
      <c r="F31" s="14">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'Fund 0001 Journal Entries'!K62+'Fund 0263 Journal Entries '!K62+'Fund 0392 Journal Entries '!K62+'Fund 0890 Journal Entries '!K62+'Fund 3352 Journal Entries  '!K62+'Fund 0516 Journal Entries '!K62</f>
        <v>661467</v>
      </c>
      <c r="G39" s="150"/>
      <c r="H39" s="150"/>
      <c r="I39" s="20"/>
      <c r="J39" s="18">
        <f>ROUND('Department Note Disclosure'!$B$16,0)</f>
        <v>661467</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1880162</v>
      </c>
      <c r="H61" s="154" t="str">
        <f>"Balance July 1, "&amp;LEFT('Fund 0001 Journal Entries'!$F$3,4)</f>
        <v>Balance July 1, 2022</v>
      </c>
      <c r="J61" s="22">
        <f>ROUND('SBITA Liabilities'!$F$10,0)</f>
        <v>1880162</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534166</v>
      </c>
      <c r="H63" s="154" t="s">
        <v>11</v>
      </c>
      <c r="J63" s="22">
        <f>ROUND('SBITA Liabilities'!$J$10,0)</f>
        <v>534166</v>
      </c>
      <c r="L63" s="19">
        <f>D63-J63</f>
        <v>0</v>
      </c>
    </row>
    <row r="64" spans="1:13" x14ac:dyDescent="0.25">
      <c r="B64" s="152" t="s">
        <v>1559</v>
      </c>
      <c r="D64" s="22">
        <f>$F$39</f>
        <v>661467</v>
      </c>
      <c r="H64" s="154" t="s">
        <v>12</v>
      </c>
      <c r="J64" s="22">
        <f>ROUND('SBITA Liabilities'!$N$10,0)</f>
        <v>661467</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39CD2E5-B286-4B80-9487-5ACE891F854D}"/>
</file>

<file path=customXml/itemProps2.xml><?xml version="1.0" encoding="utf-8"?>
<ds:datastoreItem xmlns:ds="http://schemas.openxmlformats.org/officeDocument/2006/customXml" ds:itemID="{746724C7-29FA-4F4A-9338-3965FDD01CBA}"/>
</file>

<file path=customXml/itemProps3.xml><?xml version="1.0" encoding="utf-8"?>
<ds:datastoreItem xmlns:ds="http://schemas.openxmlformats.org/officeDocument/2006/customXml" ds:itemID="{76523B8D-77BC-42C4-A2DD-BC7B871D10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Fund 0001 Journal Entries</vt:lpstr>
      <vt:lpstr>Fund 0263 Journal Entries </vt:lpstr>
      <vt:lpstr>Fund 0392 Journal Entries </vt:lpstr>
      <vt:lpstr>Fund 0516 Journal Entries </vt:lpstr>
      <vt:lpstr>Fund 0890 Journal Entries </vt:lpstr>
      <vt:lpstr>Fund 3352 Journal Entries  </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0263 Journal Entries '!Print_Area</vt:lpstr>
      <vt:lpstr>'Fund 0392 Journal Entries '!Print_Area</vt:lpstr>
      <vt:lpstr>'Fund 0516 Journal Entries '!Print_Area</vt:lpstr>
      <vt:lpstr>'Fund 0890 Journal Entries '!Print_Area</vt:lpstr>
      <vt:lpstr>'Fund 3352 Journal Entries  '!Print_Area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2024-06-13T01:45:37Z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3302000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