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CD025C50-F806-4ECC-BFDB-C0CF1B3EFD4E}" xr6:coauthVersionLast="47" xr6:coauthVersionMax="47" xr10:uidLastSave="{00000000-0000-0000-0000-000000000000}"/>
  <bookViews>
    <workbookView xWindow="20370" yWindow="-120" windowWidth="38640" windowHeight="15840" tabRatio="958" firstSheet="3" activeTab="3" xr2:uid="{00000000-000D-0000-FFFF-FFFF00000000}"/>
  </bookViews>
  <sheets>
    <sheet name="Fund 0108 Journal Entries" sheetId="19" r:id="rId1"/>
    <sheet name="Fund 0152 Journal Entries" sheetId="18" r:id="rId2"/>
    <sheet name="Fund 0305 Journal Entries" sheetId="17" r:id="rId3"/>
    <sheet name="Fund 0325 Journal Entries" sheetId="16" r:id="rId4"/>
    <sheet name="Fund 0492 Journal Entries" sheetId="14" r:id="rId5"/>
    <sheet name="Fund 0702 Journal Entries" sheetId="13" r:id="rId6"/>
    <sheet name="Fund 0706 Journal Entries" sheetId="12" r:id="rId7"/>
    <sheet name="Fund 0717 Journal Entries" sheetId="2" r:id="rId8"/>
    <sheet name="Fund 0752 Journal Entries" sheetId="10" r:id="rId9"/>
    <sheet name="Fund 0757 Journal Entries" sheetId="15" r:id="rId10"/>
    <sheet name="Fund 0770 Journal Entries" sheetId="11" r:id="rId11"/>
    <sheet name="Fund 0775 Journal Entries" sheetId="21" r:id="rId12"/>
    <sheet name="Fund 3315 Journal Entries" sheetId="20" r:id="rId13"/>
    <sheet name="Department Note Disclosure" sheetId="3" r:id="rId14"/>
    <sheet name="SBITA Liabilities" sheetId="4" r:id="rId15"/>
    <sheet name="Check Figures " sheetId="9" r:id="rId16"/>
    <sheet name="Drop Down Menus" sheetId="1" state="hidden" r:id="rId17"/>
    <sheet name="GAAP02Aindex" sheetId="7" state="hidden" r:id="rId18"/>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13">'Department Note Disclosure'!$A$3:$D$101</definedName>
    <definedName name="_xlnm.Print_Area" localSheetId="0">'Fund 0108 Journal Entries'!$A:$L</definedName>
    <definedName name="_xlnm.Print_Area" localSheetId="1">'Fund 0152 Journal Entries'!$A$3:$K$70</definedName>
    <definedName name="_xlnm.Print_Area" localSheetId="2">'Fund 0305 Journal Entries'!$A$3:$K$70</definedName>
    <definedName name="_xlnm.Print_Area" localSheetId="3">'Fund 0325 Journal Entries'!$A$3:$K$70</definedName>
    <definedName name="_xlnm.Print_Area" localSheetId="4">'Fund 0492 Journal Entries'!$A$3:$K$70</definedName>
    <definedName name="_xlnm.Print_Area" localSheetId="5">'Fund 0702 Journal Entries'!$A$3:$K$70</definedName>
    <definedName name="_xlnm.Print_Area" localSheetId="6">'Fund 0706 Journal Entries'!$A$3:$K$70</definedName>
    <definedName name="_xlnm.Print_Area" localSheetId="7">'Fund 0717 Journal Entries'!$A$3:$K$70</definedName>
    <definedName name="_xlnm.Print_Area" localSheetId="8">'Fund 0752 Journal Entries'!$A$3:$K$70</definedName>
    <definedName name="_xlnm.Print_Area" localSheetId="9">'Fund 0757 Journal Entries'!$A$3:$K$70</definedName>
    <definedName name="_xlnm.Print_Area" localSheetId="10">'Fund 0770 Journal Entries'!$A$3:$K$70</definedName>
    <definedName name="_xlnm.Print_Area" localSheetId="11">'Fund 0775 Journal Entries'!$A$3:$K$70</definedName>
    <definedName name="_xlnm.Print_Area" localSheetId="12">'Fund 3315 Journal Entries'!$A$3:$K$70</definedName>
    <definedName name="_xlnm.Print_Area" localSheetId="14">'SBITA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9" l="1"/>
  <c r="D92" i="3"/>
  <c r="D61" i="3"/>
  <c r="D89" i="3"/>
  <c r="D58" i="3"/>
  <c r="D30" i="3"/>
  <c r="D27" i="3"/>
  <c r="F39" i="9" l="1"/>
  <c r="D16" i="9"/>
  <c r="B16" i="9"/>
  <c r="F10" i="4"/>
  <c r="N10" i="4"/>
  <c r="C52" i="19" l="1"/>
  <c r="C52" i="18"/>
  <c r="C52" i="17"/>
  <c r="C52" i="16"/>
  <c r="C52" i="14"/>
  <c r="C52" i="13"/>
  <c r="C52" i="12"/>
  <c r="C52" i="15"/>
  <c r="C52" i="11"/>
  <c r="C52" i="21"/>
  <c r="C52" i="20"/>
  <c r="C52" i="10"/>
  <c r="C52" i="2"/>
  <c r="C38" i="15"/>
  <c r="C38" i="11"/>
  <c r="C38" i="21"/>
  <c r="C38" i="20"/>
  <c r="C38" i="10"/>
  <c r="C38" i="19"/>
  <c r="C38" i="18"/>
  <c r="C38" i="17"/>
  <c r="C38" i="16"/>
  <c r="C38" i="14"/>
  <c r="C38" i="13"/>
  <c r="C38" i="12"/>
  <c r="C38" i="2"/>
  <c r="C30" i="19"/>
  <c r="C30" i="18"/>
  <c r="C30" i="17"/>
  <c r="C30" i="16"/>
  <c r="C30" i="14"/>
  <c r="C30" i="13"/>
  <c r="C30" i="12"/>
  <c r="C30" i="15"/>
  <c r="C30" i="11"/>
  <c r="C30" i="21"/>
  <c r="C30" i="20"/>
  <c r="C30" i="10"/>
  <c r="C30" i="2"/>
  <c r="F8" i="15"/>
  <c r="F8" i="11"/>
  <c r="F8" i="21"/>
  <c r="F8" i="20"/>
  <c r="F8" i="10"/>
  <c r="F8" i="16"/>
  <c r="F8" i="14"/>
  <c r="F8" i="13"/>
  <c r="F8" i="12"/>
  <c r="F8" i="17"/>
  <c r="F8" i="18"/>
  <c r="F8" i="19"/>
  <c r="F8" i="2"/>
  <c r="K86" i="21"/>
  <c r="J86" i="21"/>
  <c r="L86" i="21" s="1"/>
  <c r="L81" i="21"/>
  <c r="K81" i="21"/>
  <c r="J81" i="21"/>
  <c r="J70" i="21"/>
  <c r="K69" i="21"/>
  <c r="K94" i="21" s="1"/>
  <c r="K63" i="21"/>
  <c r="J63" i="21"/>
  <c r="K62" i="21"/>
  <c r="K97" i="21" s="1"/>
  <c r="K57" i="21"/>
  <c r="J56" i="21" s="1"/>
  <c r="J53" i="21"/>
  <c r="K52" i="21"/>
  <c r="K53" i="21" s="1"/>
  <c r="B51" i="21"/>
  <c r="J47" i="21"/>
  <c r="K46" i="21"/>
  <c r="K47" i="21" s="1"/>
  <c r="L47" i="21" s="1"/>
  <c r="K39" i="21"/>
  <c r="J39" i="21"/>
  <c r="L39" i="21" s="1"/>
  <c r="L31" i="21"/>
  <c r="K31" i="21"/>
  <c r="J31" i="21"/>
  <c r="A26" i="21"/>
  <c r="K22" i="21"/>
  <c r="J22" i="21"/>
  <c r="B14" i="21"/>
  <c r="A12" i="21"/>
  <c r="K86" i="20"/>
  <c r="J86" i="20"/>
  <c r="L86" i="20" s="1"/>
  <c r="L81" i="20"/>
  <c r="K81" i="20"/>
  <c r="J81" i="20"/>
  <c r="J70" i="20"/>
  <c r="K69" i="20"/>
  <c r="K94" i="20" s="1"/>
  <c r="K63" i="20"/>
  <c r="J63" i="20"/>
  <c r="L63" i="20" s="1"/>
  <c r="K62" i="20"/>
  <c r="K97" i="20" s="1"/>
  <c r="K57" i="20"/>
  <c r="J56" i="20" s="1"/>
  <c r="K53" i="20"/>
  <c r="J53" i="20"/>
  <c r="K52" i="20"/>
  <c r="B51" i="20"/>
  <c r="K47" i="20"/>
  <c r="L47" i="20" s="1"/>
  <c r="J47" i="20"/>
  <c r="K46" i="20"/>
  <c r="K95" i="20" s="1"/>
  <c r="K39" i="20"/>
  <c r="J39" i="20"/>
  <c r="L39" i="20" s="1"/>
  <c r="L31" i="20"/>
  <c r="K31" i="20"/>
  <c r="J31" i="20"/>
  <c r="A26" i="20"/>
  <c r="K22" i="20"/>
  <c r="J22" i="20"/>
  <c r="B14" i="20"/>
  <c r="A12" i="20"/>
  <c r="K86" i="19"/>
  <c r="J86" i="19"/>
  <c r="L86" i="19" s="1"/>
  <c r="L81" i="19"/>
  <c r="K81" i="19"/>
  <c r="J81" i="19"/>
  <c r="J70" i="19"/>
  <c r="K69" i="19"/>
  <c r="K70" i="19" s="1"/>
  <c r="J63" i="19"/>
  <c r="K62" i="19"/>
  <c r="K97" i="19" s="1"/>
  <c r="K57" i="19"/>
  <c r="J56" i="19" s="1"/>
  <c r="J53" i="19"/>
  <c r="K52" i="19"/>
  <c r="K53" i="19" s="1"/>
  <c r="B51" i="19"/>
  <c r="J47" i="19"/>
  <c r="K46" i="19"/>
  <c r="K47" i="19" s="1"/>
  <c r="K39" i="19"/>
  <c r="J39" i="19"/>
  <c r="L39" i="19" s="1"/>
  <c r="L31" i="19"/>
  <c r="K31" i="19"/>
  <c r="J31" i="19"/>
  <c r="A26" i="19"/>
  <c r="K22" i="19"/>
  <c r="J22" i="19"/>
  <c r="B14" i="19"/>
  <c r="A12" i="19"/>
  <c r="K86" i="18"/>
  <c r="J86" i="18"/>
  <c r="L86" i="18" s="1"/>
  <c r="L81" i="18"/>
  <c r="K81" i="18"/>
  <c r="J81" i="18"/>
  <c r="J70" i="18"/>
  <c r="K69" i="18"/>
  <c r="K94" i="18" s="1"/>
  <c r="J63" i="18"/>
  <c r="K62" i="18"/>
  <c r="K97" i="18" s="1"/>
  <c r="K57" i="18"/>
  <c r="J56" i="18" s="1"/>
  <c r="J53" i="18"/>
  <c r="K52" i="18"/>
  <c r="K53" i="18" s="1"/>
  <c r="B51" i="18"/>
  <c r="J47" i="18"/>
  <c r="K46" i="18"/>
  <c r="K47" i="18" s="1"/>
  <c r="K39" i="18"/>
  <c r="J39" i="18"/>
  <c r="L39" i="18" s="1"/>
  <c r="L31" i="18"/>
  <c r="K31" i="18"/>
  <c r="J31" i="18"/>
  <c r="A26" i="18"/>
  <c r="K22" i="18"/>
  <c r="J22" i="18"/>
  <c r="B14" i="18"/>
  <c r="A12" i="18"/>
  <c r="K86" i="17"/>
  <c r="J86" i="17"/>
  <c r="L86" i="17" s="1"/>
  <c r="L81" i="17"/>
  <c r="K81" i="17"/>
  <c r="J81" i="17"/>
  <c r="J70" i="17"/>
  <c r="K69" i="17"/>
  <c r="K70" i="17" s="1"/>
  <c r="J63" i="17"/>
  <c r="K57" i="17"/>
  <c r="J56" i="17" s="1"/>
  <c r="J53" i="17"/>
  <c r="K52" i="17"/>
  <c r="K53" i="17" s="1"/>
  <c r="B51" i="17"/>
  <c r="J47" i="17"/>
  <c r="K39" i="17"/>
  <c r="J39" i="17"/>
  <c r="L39" i="17" s="1"/>
  <c r="K31" i="17"/>
  <c r="J31" i="17"/>
  <c r="L31" i="17" s="1"/>
  <c r="A26" i="17"/>
  <c r="K22" i="17"/>
  <c r="J22" i="17"/>
  <c r="B14" i="17"/>
  <c r="A12" i="17"/>
  <c r="K86" i="16"/>
  <c r="L86" i="16" s="1"/>
  <c r="J86" i="16"/>
  <c r="K81" i="16"/>
  <c r="J81" i="16"/>
  <c r="L81" i="16" s="1"/>
  <c r="K70" i="16"/>
  <c r="L70" i="16" s="1"/>
  <c r="J70" i="16"/>
  <c r="K69" i="16"/>
  <c r="K94" i="16" s="1"/>
  <c r="J63" i="16"/>
  <c r="K62" i="16"/>
  <c r="K97" i="16" s="1"/>
  <c r="K57" i="16"/>
  <c r="K58" i="16" s="1"/>
  <c r="J53" i="16"/>
  <c r="K52" i="16"/>
  <c r="K53" i="16" s="1"/>
  <c r="L53" i="16" s="1"/>
  <c r="B51" i="16"/>
  <c r="J47" i="16"/>
  <c r="K46" i="16"/>
  <c r="K47" i="16" s="1"/>
  <c r="K39" i="16"/>
  <c r="J39" i="16"/>
  <c r="L39" i="16" s="1"/>
  <c r="K31" i="16"/>
  <c r="J31" i="16"/>
  <c r="L31" i="16" s="1"/>
  <c r="A26" i="16"/>
  <c r="K22" i="16"/>
  <c r="J22" i="16"/>
  <c r="B14" i="16"/>
  <c r="A12" i="16"/>
  <c r="K86" i="15"/>
  <c r="J86" i="15"/>
  <c r="L86" i="15" s="1"/>
  <c r="L81" i="15"/>
  <c r="K81" i="15"/>
  <c r="J81" i="15"/>
  <c r="J70" i="15"/>
  <c r="K69" i="15"/>
  <c r="K70" i="15" s="1"/>
  <c r="J63" i="15"/>
  <c r="K62" i="15"/>
  <c r="K97" i="15" s="1"/>
  <c r="K57" i="15"/>
  <c r="J56" i="15" s="1"/>
  <c r="K53" i="15"/>
  <c r="J53" i="15"/>
  <c r="K52" i="15"/>
  <c r="B51" i="15"/>
  <c r="J47" i="15"/>
  <c r="K46" i="15"/>
  <c r="K47" i="15" s="1"/>
  <c r="L47" i="15" s="1"/>
  <c r="K39" i="15"/>
  <c r="J39" i="15"/>
  <c r="L39" i="15" s="1"/>
  <c r="L31" i="15"/>
  <c r="K31" i="15"/>
  <c r="J31" i="15"/>
  <c r="A26" i="15"/>
  <c r="K22" i="15"/>
  <c r="J22" i="15"/>
  <c r="B14" i="15"/>
  <c r="A12" i="15"/>
  <c r="K86" i="14"/>
  <c r="J86" i="14"/>
  <c r="L86" i="14" s="1"/>
  <c r="L81" i="14"/>
  <c r="K81" i="14"/>
  <c r="J81" i="14"/>
  <c r="J70" i="14"/>
  <c r="K69" i="14"/>
  <c r="K94" i="14" s="1"/>
  <c r="J63" i="14"/>
  <c r="K62" i="14"/>
  <c r="K97" i="14" s="1"/>
  <c r="K57" i="14"/>
  <c r="J56" i="14" s="1"/>
  <c r="J53" i="14"/>
  <c r="K52" i="14"/>
  <c r="K53" i="14" s="1"/>
  <c r="B51" i="14"/>
  <c r="J47" i="14"/>
  <c r="K46" i="14"/>
  <c r="K47" i="14" s="1"/>
  <c r="L47" i="14" s="1"/>
  <c r="L39" i="14"/>
  <c r="K39" i="14"/>
  <c r="J39" i="14"/>
  <c r="L31" i="14"/>
  <c r="K31" i="14"/>
  <c r="J31" i="14"/>
  <c r="A26" i="14"/>
  <c r="K22" i="14"/>
  <c r="J22" i="14"/>
  <c r="B14" i="14"/>
  <c r="A12" i="14"/>
  <c r="K86" i="13"/>
  <c r="J86" i="13"/>
  <c r="L86" i="13" s="1"/>
  <c r="L81" i="13"/>
  <c r="K81" i="13"/>
  <c r="J81" i="13"/>
  <c r="J70" i="13"/>
  <c r="K69" i="13"/>
  <c r="K94" i="13" s="1"/>
  <c r="J63" i="13"/>
  <c r="K62" i="13"/>
  <c r="K97" i="13" s="1"/>
  <c r="K57" i="13"/>
  <c r="J56" i="13" s="1"/>
  <c r="H10" i="4" s="1"/>
  <c r="J53" i="13"/>
  <c r="K52" i="13"/>
  <c r="K53" i="13" s="1"/>
  <c r="B51" i="13"/>
  <c r="J47" i="13"/>
  <c r="K46" i="13"/>
  <c r="K47" i="13" s="1"/>
  <c r="L47" i="13" s="1"/>
  <c r="L39" i="13"/>
  <c r="K39" i="13"/>
  <c r="J39" i="13"/>
  <c r="L31" i="13"/>
  <c r="K31" i="13"/>
  <c r="J31" i="13"/>
  <c r="A26" i="13"/>
  <c r="K22" i="13"/>
  <c r="J22" i="13"/>
  <c r="L22" i="13" s="1"/>
  <c r="B14" i="13"/>
  <c r="A12" i="13"/>
  <c r="K86" i="12"/>
  <c r="J86" i="12"/>
  <c r="L86" i="12" s="1"/>
  <c r="L81" i="12"/>
  <c r="K81" i="12"/>
  <c r="J81" i="12"/>
  <c r="J70" i="12"/>
  <c r="K69" i="12"/>
  <c r="K70" i="12" s="1"/>
  <c r="J63" i="12"/>
  <c r="K62" i="12"/>
  <c r="K97" i="12" s="1"/>
  <c r="K57" i="12"/>
  <c r="J56" i="12" s="1"/>
  <c r="K53" i="12"/>
  <c r="L53" i="12" s="1"/>
  <c r="J53" i="12"/>
  <c r="K52" i="12"/>
  <c r="B51" i="12"/>
  <c r="J47" i="12"/>
  <c r="K46" i="12"/>
  <c r="K47" i="12" s="1"/>
  <c r="L47" i="12" s="1"/>
  <c r="K39" i="12"/>
  <c r="J39" i="12"/>
  <c r="L39" i="12" s="1"/>
  <c r="L31" i="12"/>
  <c r="K31" i="12"/>
  <c r="J31" i="12"/>
  <c r="A26" i="12"/>
  <c r="K22" i="12"/>
  <c r="J22" i="12"/>
  <c r="B14" i="12"/>
  <c r="A12" i="12"/>
  <c r="K86" i="11"/>
  <c r="J86" i="11"/>
  <c r="L86" i="11" s="1"/>
  <c r="K81" i="11"/>
  <c r="J81" i="11"/>
  <c r="L81" i="11" s="1"/>
  <c r="K70" i="11"/>
  <c r="J70" i="11"/>
  <c r="L70" i="11" s="1"/>
  <c r="K69" i="11"/>
  <c r="K94" i="11" s="1"/>
  <c r="J63" i="11"/>
  <c r="K62" i="11"/>
  <c r="K97" i="11" s="1"/>
  <c r="K57" i="11"/>
  <c r="J56" i="11" s="1"/>
  <c r="J53" i="11"/>
  <c r="K52" i="11"/>
  <c r="K53" i="11" s="1"/>
  <c r="B51" i="11"/>
  <c r="J47" i="11"/>
  <c r="K46" i="11"/>
  <c r="K47" i="11" s="1"/>
  <c r="K39" i="11"/>
  <c r="J39" i="11"/>
  <c r="L39" i="11" s="1"/>
  <c r="K31" i="11"/>
  <c r="J31" i="11"/>
  <c r="L31" i="11" s="1"/>
  <c r="A26" i="11"/>
  <c r="K22" i="11"/>
  <c r="J22" i="11"/>
  <c r="B14" i="11"/>
  <c r="A12" i="11"/>
  <c r="K97" i="10"/>
  <c r="K94" i="10"/>
  <c r="K86" i="10"/>
  <c r="J86" i="10"/>
  <c r="L86" i="10" s="1"/>
  <c r="K81" i="10"/>
  <c r="J81" i="10"/>
  <c r="L81" i="10" s="1"/>
  <c r="J70" i="10"/>
  <c r="K69" i="10"/>
  <c r="K70" i="10" s="1"/>
  <c r="L70" i="10" s="1"/>
  <c r="K63" i="10"/>
  <c r="J63" i="10"/>
  <c r="L63" i="10" s="1"/>
  <c r="K62" i="10"/>
  <c r="K57" i="10"/>
  <c r="K58" i="10" s="1"/>
  <c r="K53" i="10"/>
  <c r="J53" i="10"/>
  <c r="K52" i="10"/>
  <c r="B51" i="10"/>
  <c r="J47" i="10"/>
  <c r="K46" i="10"/>
  <c r="K95" i="10" s="1"/>
  <c r="L39" i="10"/>
  <c r="K39" i="10"/>
  <c r="J39" i="10"/>
  <c r="K31" i="10"/>
  <c r="J31" i="10"/>
  <c r="L31" i="10" s="1"/>
  <c r="A26" i="10"/>
  <c r="K22" i="10"/>
  <c r="J22" i="10"/>
  <c r="B14" i="10"/>
  <c r="A12" i="10"/>
  <c r="L53" i="20" l="1"/>
  <c r="L22" i="20"/>
  <c r="L63" i="21"/>
  <c r="L53" i="21"/>
  <c r="L22" i="21"/>
  <c r="K63" i="11"/>
  <c r="L63" i="11"/>
  <c r="L53" i="11"/>
  <c r="K58" i="11"/>
  <c r="L22" i="11"/>
  <c r="L53" i="15"/>
  <c r="L22" i="15"/>
  <c r="J56" i="10"/>
  <c r="K96" i="10" s="1"/>
  <c r="L53" i="10"/>
  <c r="L22" i="10"/>
  <c r="K63" i="12"/>
  <c r="L63" i="12"/>
  <c r="L22" i="12"/>
  <c r="L53" i="13"/>
  <c r="L53" i="14"/>
  <c r="L22" i="14"/>
  <c r="K63" i="16"/>
  <c r="L63" i="16" s="1"/>
  <c r="J56" i="16"/>
  <c r="L22" i="16"/>
  <c r="L22" i="17"/>
  <c r="L47" i="18"/>
  <c r="L22" i="18"/>
  <c r="L47" i="19"/>
  <c r="L22" i="19"/>
  <c r="K96" i="21"/>
  <c r="J58" i="21"/>
  <c r="K58" i="21"/>
  <c r="K70" i="21"/>
  <c r="L70" i="21" s="1"/>
  <c r="K95" i="21"/>
  <c r="K96" i="20"/>
  <c r="J58" i="20"/>
  <c r="K70" i="20"/>
  <c r="L70" i="20" s="1"/>
  <c r="K58" i="20"/>
  <c r="L70" i="19"/>
  <c r="L53" i="19"/>
  <c r="K96" i="19"/>
  <c r="J58" i="19"/>
  <c r="K58" i="19"/>
  <c r="K94" i="19"/>
  <c r="K95" i="19"/>
  <c r="K63" i="19"/>
  <c r="L63" i="19" s="1"/>
  <c r="L53" i="18"/>
  <c r="J58" i="18"/>
  <c r="K96" i="18"/>
  <c r="K70" i="18"/>
  <c r="L70" i="18" s="1"/>
  <c r="K95" i="18"/>
  <c r="K63" i="18"/>
  <c r="L63" i="18" s="1"/>
  <c r="K58" i="18"/>
  <c r="L70" i="17"/>
  <c r="L53" i="17"/>
  <c r="K96" i="17"/>
  <c r="J58" i="17"/>
  <c r="K58" i="17"/>
  <c r="K46" i="17"/>
  <c r="K62" i="17"/>
  <c r="K94" i="17"/>
  <c r="L47" i="16"/>
  <c r="K95" i="16"/>
  <c r="L70" i="15"/>
  <c r="K96" i="15"/>
  <c r="J58" i="15"/>
  <c r="K58" i="15"/>
  <c r="K94" i="15"/>
  <c r="K95" i="15"/>
  <c r="K63" i="15"/>
  <c r="L63" i="15" s="1"/>
  <c r="K96" i="14"/>
  <c r="J58" i="14"/>
  <c r="K58" i="14"/>
  <c r="K70" i="14"/>
  <c r="L70" i="14" s="1"/>
  <c r="K95" i="14"/>
  <c r="K63" i="14"/>
  <c r="L63" i="14" s="1"/>
  <c r="K96" i="13"/>
  <c r="J58" i="13"/>
  <c r="K58" i="13"/>
  <c r="K70" i="13"/>
  <c r="L70" i="13" s="1"/>
  <c r="K95" i="13"/>
  <c r="K63" i="13"/>
  <c r="L63" i="13" s="1"/>
  <c r="L70" i="12"/>
  <c r="K96" i="12"/>
  <c r="J58" i="12"/>
  <c r="K58" i="12"/>
  <c r="K94" i="12"/>
  <c r="K95" i="12"/>
  <c r="K96" i="11"/>
  <c r="J58" i="11"/>
  <c r="L58" i="11" s="1"/>
  <c r="L47" i="11"/>
  <c r="K95" i="11"/>
  <c r="J58" i="10"/>
  <c r="L58" i="10" s="1"/>
  <c r="K47" i="10"/>
  <c r="L47" i="10" s="1"/>
  <c r="L58" i="12" l="1"/>
  <c r="J58" i="16"/>
  <c r="L58" i="16" s="1"/>
  <c r="K96" i="16"/>
  <c r="L58" i="21"/>
  <c r="L58" i="20"/>
  <c r="L58" i="19"/>
  <c r="L58" i="18"/>
  <c r="L58" i="17"/>
  <c r="K97" i="17"/>
  <c r="K63" i="17"/>
  <c r="L63" i="17" s="1"/>
  <c r="K47" i="17"/>
  <c r="L47" i="17" s="1"/>
  <c r="K95" i="17"/>
  <c r="L58" i="15"/>
  <c r="L58" i="14"/>
  <c r="L58" i="13"/>
  <c r="B23" i="9"/>
  <c r="D23" i="9"/>
  <c r="F23" i="9"/>
  <c r="B31" i="9"/>
  <c r="D31" i="9"/>
  <c r="F31" i="9"/>
  <c r="F46" i="9"/>
  <c r="F53" i="9"/>
  <c r="N14" i="4"/>
  <c r="J14" i="4"/>
  <c r="H14" i="4"/>
  <c r="F14" i="4"/>
  <c r="F18" i="4"/>
  <c r="H18" i="4"/>
  <c r="J18" i="4"/>
  <c r="N18" i="4"/>
  <c r="K46" i="2"/>
  <c r="K52" i="2"/>
  <c r="G5" i="4" l="1"/>
  <c r="K62" i="2"/>
  <c r="K57" i="2"/>
  <c r="J56" i="2" s="1"/>
  <c r="D86" i="3"/>
  <c r="D55" i="3"/>
  <c r="D24" i="3"/>
  <c r="J10" i="4" l="1"/>
  <c r="F16" i="9"/>
  <c r="H16" i="9" s="1"/>
  <c r="L16" i="9" s="1"/>
  <c r="D17" i="9" s="1"/>
  <c r="K97" i="2"/>
  <c r="K96" i="2"/>
  <c r="J22" i="2"/>
  <c r="K22" i="2"/>
  <c r="D52" i="3"/>
  <c r="K69" i="2" l="1"/>
  <c r="K94" i="2" s="1"/>
  <c r="J53" i="9"/>
  <c r="J46" i="9"/>
  <c r="J39" i="9"/>
  <c r="L39" i="9" s="1"/>
  <c r="D40" i="9" s="1"/>
  <c r="J31" i="9"/>
  <c r="J23" i="9"/>
  <c r="K86" i="2"/>
  <c r="J86" i="2"/>
  <c r="K81" i="2"/>
  <c r="J81" i="2"/>
  <c r="L86" i="2" l="1"/>
  <c r="L81" i="2"/>
  <c r="B51" i="2" l="1"/>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46" i="9"/>
  <c r="D47" i="9" s="1"/>
  <c r="D75" i="9"/>
  <c r="D25" i="9"/>
  <c r="D63" i="9" l="1"/>
  <c r="L63" i="9" l="1"/>
  <c r="D62" i="9"/>
  <c r="L62" i="9" s="1"/>
  <c r="D65" i="9" l="1"/>
  <c r="D19" i="3"/>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<sst xmlns="http://schemas.openxmlformats.org/spreadsheetml/2006/main" count="8333" uniqueCount="1644">
  <si>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</si>
  <si>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</si>
  <si>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</si>
  <si>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</si>
  <si>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</si>
  <si>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</si>
  <si>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</si>
  <si>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</si>
  <si>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</si>
  <si>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</si>
  <si>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</si>
  <si>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</si>
  <si>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</si>
  <si>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</si>
  <si>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</si>
  <si>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</si>
  <si>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</si>
  <si>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</si>
  <si>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</si>
  <si>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</si>
  <si>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</si>
  <si>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</si>
  <si>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</si>
  <si>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</si>
  <si>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</si>
  <si>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</si>
  <si>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</si>
  <si>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</si>
  <si>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</si>
  <si>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</si>
  <si>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</si>
  <si>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</si>
  <si>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</si>
  <si>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</si>
  <si>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</si>
  <si>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</si>
  <si>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</si>
  <si>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</si>
  <si>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</si>
  <si>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</si>
  <si>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</si>
  <si>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</si>
  <si>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</si>
  <si>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</si>
  <si>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</si>
  <si>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</si>
  <si>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</si>
  <si>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</si>
  <si>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</si>
  <si>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</si>
  <si>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</si>
  <si>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</si>
  <si>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</si>
  <si>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</si>
  <si>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</si>
  <si>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</si>
  <si>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</si>
  <si>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</si>
  <si>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</si>
  <si>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</si>
  <si>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</si>
  <si>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</si>
  <si>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</si>
  <si>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</si>
  <si>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</si>
  <si>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</si>
  <si>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</si>
  <si>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</si>
  <si>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</si>
  <si>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</si>
  <si>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</si>
  <si>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</si>
  <si>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</si>
  <si>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</si>
  <si>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</si>
  <si>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</si>
  <si>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</si>
  <si>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</si>
  <si>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</si>
  <si>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</si>
  <si>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</si>
  <si>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</si>
  <si>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</si>
  <si>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</si>
  <si>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</si>
  <si>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</si>
  <si>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</si>
  <si>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</si>
  <si>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</si>
  <si>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</si>
  <si>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</si>
  <si>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</si>
  <si>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</si>
  <si>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</si>
  <si>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</si>
  <si>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</si>
  <si>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</si>
  <si>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</si>
  <si>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</si>
  <si>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</si>
  <si>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</si>
  <si>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</si>
  <si>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</si>
  <si>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</si>
  <si>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</si>
  <si>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</si>
  <si>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</si>
  <si>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</si>
  <si>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</si>
  <si>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</si>
  <si>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</si>
  <si>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</si>
  <si>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</si>
  <si>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</si>
  <si>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</si>
  <si>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</si>
  <si>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</si>
  <si>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</si>
  <si>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</si>
  <si>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</si>
  <si>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</si>
  <si>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</si>
  <si>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</si>
  <si>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</si>
  <si>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</si>
  <si>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</si>
  <si>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</si>
  <si>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</si>
  <si>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</si>
  <si>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</si>
  <si>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</si>
  <si>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</si>
  <si>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</si>
  <si>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</si>
  <si>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</si>
  <si>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</si>
  <si>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</si>
  <si>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</si>
  <si>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</si>
  <si>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</si>
  <si>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</si>
  <si>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</si>
  <si>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</si>
  <si>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</si>
  <si>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</si>
  <si>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</si>
  <si>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</si>
  <si>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</si>
  <si>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</si>
  <si>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</si>
  <si>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</si>
  <si>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</si>
  <si>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</si>
  <si>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</si>
  <si>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</si>
  <si>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</si>
  <si>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</si>
  <si>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</si>
  <si>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</si>
  <si>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</si>
  <si>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</si>
  <si>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</si>
  <si>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</si>
  <si>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</si>
  <si>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</si>
  <si>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</si>
  <si>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</si>
  <si>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</si>
  <si>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</si>
  <si>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</si>
  <si>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</si>
  <si>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</si>
  <si>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</si>
  <si>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</si>
  <si>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</si>
  <si>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</si>
  <si>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</si>
  <si>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</si>
  <si>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</si>
  <si>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</si>
  <si>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</si>
  <si>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</si>
  <si>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</si>
  <si>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</si>
  <si>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</si>
  <si>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</si>
  <si>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</si>
  <si>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</si>
  <si>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</si>
  <si>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</si>
  <si>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</si>
  <si>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</si>
  <si>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</si>
  <si>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</si>
  <si>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</si>
  <si>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</si>
  <si>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</si>
  <si>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</si>
  <si>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</si>
  <si>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</si>
  <si>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</si>
  <si>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</si>
  <si>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</si>
  <si>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</si>
  <si>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</si>
  <si>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</si>
  <si>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</si>
  <si>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</si>
  <si>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</si>
  <si>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</si>
  <si>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</si>
  <si>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</si>
  <si>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</si>
  <si>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</si>
  <si>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</si>
  <si>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</si>
  <si>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</si>
  <si>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</si>
  <si>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</si>
  <si>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</si>
  <si>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</si>
  <si>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</si>
  <si>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</si>
  <si>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</si>
  <si>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</si>
  <si>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</si>
  <si>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</si>
  <si>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</si>
  <si>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</si>
  <si>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</si>
  <si>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</si>
  <si>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</si>
  <si>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</si>
  <si>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</si>
  <si>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</si>
  <si>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</si>
  <si>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</si>
  <si>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</si>
  <si>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</si>
  <si>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</si>
  <si>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</si>
  <si>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</si>
  <si>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</si>
  <si>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</si>
  <si>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</si>
  <si>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</si>
  <si>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</si>
  <si>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</si>
  <si>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</si>
  <si>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</si>
  <si>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</si>
  <si>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</si>
  <si>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</si>
  <si>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</si>
  <si>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</si>
  <si>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</si>
  <si>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</si>
  <si>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</si>
  <si>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</si>
  <si>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</si>
  <si>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</si>
  <si>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</si>
  <si>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</si>
  <si>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</si>
  <si>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</si>
  <si>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</si>
  <si>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</si>
  <si>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</si>
  <si>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</si>
  <si>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</si>
  <si>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</si>
  <si>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</si>
  <si>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</si>
  <si>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</si>
  <si>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</si>
  <si>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</si>
  <si>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</si>
  <si>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</si>
  <si>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</si>
  <si>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</si>
  <si>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</si>
  <si>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</si>
  <si>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</si>
  <si>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</si>
  <si>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</si>
  <si>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</si>
  <si>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</si>
  <si>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</si>
  <si>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</si>
  <si>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</si>
  <si>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</si>
  <si>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</si>
  <si>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</si>
  <si>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</si>
  <si>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</si>
  <si>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</si>
  <si>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</si>
  <si>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</si>
  <si>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</si>
  <si>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</si>
  <si>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</si>
  <si>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</si>
  <si>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</si>
  <si>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</si>
  <si>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</si>
  <si>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</si>
  <si>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</si>
  <si>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</si>
  <si>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</si>
  <si>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</si>
  <si>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</si>
  <si>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</si>
  <si>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</si>
  <si>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</si>
  <si>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</si>
  <si>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</si>
  <si>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</si>
  <si>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</si>
  <si>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</si>
  <si>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</si>
  <si>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</si>
  <si>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</si>
  <si>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</si>
  <si>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</si>
  <si>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</si>
  <si>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</si>
  <si>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</si>
  <si>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</si>
  <si>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</si>
  <si>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</si>
  <si>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</si>
  <si>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</si>
  <si>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</si>
  <si>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</si>
  <si>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</si>
  <si>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</si>
  <si>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</si>
  <si>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</si>
  <si>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</si>
  <si>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</si>
  <si>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</si>
  <si>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</si>
  <si>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</si>
  <si>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</si>
  <si>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</si>
  <si>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</si>
  <si>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</si>
  <si>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</si>
  <si>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</si>
  <si>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</si>
  <si>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</si>
  <si>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</si>
  <si>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</si>
  <si>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</si>
  <si>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</si>
  <si>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</si>
  <si>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</si>
  <si>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</si>
  <si>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</si>
  <si>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</si>
  <si>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</si>
  <si>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</si>
  <si>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</si>
  <si>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</si>
  <si>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</si>
  <si>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</si>
  <si>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</si>
  <si>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</si>
  <si>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</si>
  <si>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</si>
  <si>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</si>
  <si>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</si>
  <si>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</si>
  <si>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</si>
  <si>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</si>
  <si>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</si>
  <si>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</si>
  <si>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</si>
  <si>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</si>
  <si>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</si>
  <si>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</si>
  <si>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</si>
  <si>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</si>
  <si>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</si>
  <si>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</si>
  <si>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</si>
  <si>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</si>
  <si>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</si>
  <si>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</si>
  <si>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</si>
  <si>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</si>
  <si>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</si>
  <si>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</si>
  <si>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</si>
  <si>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</si>
  <si>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</si>
  <si>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</si>
  <si>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</si>
  <si>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</si>
  <si>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</si>
  <si>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</si>
  <si>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</si>
  <si>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</si>
  <si>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</si>
  <si>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</si>
  <si>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</si>
  <si>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</si>
  <si>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</si>
  <si>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</si>
  <si>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</si>
  <si>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</si>
  <si>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</si>
  <si>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</si>
  <si>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</si>
  <si>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</si>
  <si>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</si>
  <si>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</si>
  <si>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</si>
  <si>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</si>
  <si>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</si>
  <si>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</si>
  <si>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</si>
  <si>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</si>
  <si>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</si>
  <si>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</si>
  <si>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</si>
  <si>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</si>
  <si>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</si>
  <si>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</si>
  <si>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</si>
  <si>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</si>
  <si>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</si>
  <si>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</si>
  <si>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</si>
  <si>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</si>
  <si>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</si>
  <si>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</si>
  <si>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</si>
  <si>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</si>
  <si>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</si>
  <si>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</si>
  <si>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</si>
  <si>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</si>
  <si>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</si>
  <si>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</si>
  <si>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</si>
  <si>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</si>
  <si>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</si>
  <si>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</si>
  <si>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</si>
  <si>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</si>
  <si>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</si>
  <si>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</si>
  <si>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</si>
  <si>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</si>
  <si>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</si>
  <si>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</si>
  <si>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</si>
  <si>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</si>
  <si>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</si>
  <si>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</si>
  <si>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</si>
  <si>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</si>
  <si>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</si>
  <si>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</si>
  <si>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</si>
  <si>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</si>
  <si>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</si>
  <si>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</si>
  <si>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</si>
  <si>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</si>
  <si>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</si>
  <si>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</si>
  <si>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</si>
  <si>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</si>
  <si>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</si>
  <si>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</si>
  <si>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</si>
  <si>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</si>
  <si>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</si>
  <si>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</si>
  <si>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</si>
  <si>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</si>
  <si>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</si>
  <si>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</si>
  <si>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</si>
  <si>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</si>
  <si>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</si>
  <si>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</si>
  <si>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</si>
  <si>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</si>
  <si>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</si>
  <si>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</si>
  <si>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</si>
  <si>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</si>
  <si>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</si>
  <si>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</si>
  <si>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</si>
  <si>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</si>
  <si>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</si>
  <si>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</si>
  <si>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</si>
  <si>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</si>
  <si>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</si>
  <si>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</si>
  <si>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</si>
  <si>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</si>
  <si>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</si>
  <si>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</si>
  <si>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</si>
  <si>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</si>
  <si>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</si>
  <si>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</si>
  <si>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</si>
  <si>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</si>
  <si>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</si>
  <si>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</si>
  <si>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</si>
  <si>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</si>
  <si>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</si>
  <si>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</si>
  <si>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</si>
  <si>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</si>
  <si>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</si>
  <si>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</si>
  <si>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</si>
  <si>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</si>
  <si>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</si>
  <si>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</si>
  <si>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</si>
  <si>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</si>
  <si>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</si>
  <si>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</si>
  <si>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</si>
  <si>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</si>
  <si>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</si>
  <si>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</si>
  <si>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</si>
  <si>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</si>
  <si>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</si>
  <si>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</si>
  <si>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</si>
  <si>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</si>
  <si>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</si>
  <si>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</si>
  <si>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</si>
  <si>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</si>
  <si>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</si>
  <si>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</si>
  <si>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</si>
  <si>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</si>
  <si>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</si>
  <si>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</si>
  <si>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</si>
  <si>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</si>
  <si>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</si>
  <si>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</si>
  <si>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</si>
  <si>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</si>
  <si>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</si>
  <si>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</si>
  <si>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</si>
  <si>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</si>
  <si>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</si>
  <si>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</si>
  <si>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</si>
  <si>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</si>
  <si>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</si>
  <si>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</si>
  <si>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</si>
  <si>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</si>
  <si>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</si>
  <si>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</si>
  <si>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</si>
  <si>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</si>
  <si>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</si>
  <si>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</si>
  <si>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</si>
  <si>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</si>
  <si>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</si>
  <si>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</si>
  <si>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</si>
  <si>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</si>
  <si>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</si>
  <si>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</si>
  <si>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</si>
  <si>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</si>
  <si>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</si>
  <si>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</si>
  <si>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</si>
  <si>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</si>
  <si>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</si>
  <si>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</si>
  <si>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</si>
  <si>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</si>
  <si>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</si>
  <si>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</si>
  <si>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</si>
  <si>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</si>
  <si>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</si>
  <si>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</si>
  <si>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</si>
  <si>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</si>
  <si>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</si>
  <si>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</si>
  <si>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</si>
  <si>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</si>
  <si>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</si>
  <si>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</si>
  <si>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</si>
  <si>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</si>
  <si>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</si>
  <si>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</si>
  <si>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</si>
  <si>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</si>
  <si>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</si>
  <si>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</si>
  <si>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</si>
  <si>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</si>
  <si>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</si>
  <si>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</si>
  <si>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</si>
  <si>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</si>
  <si>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</si>
  <si>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</si>
  <si>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</si>
  <si>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</si>
  <si>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</si>
  <si>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</si>
  <si>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</si>
  <si>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</si>
  <si>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</si>
  <si>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</si>
  <si>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</si>
  <si>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</si>
  <si>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</si>
  <si>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</si>
  <si>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</si>
  <si>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</si>
  <si>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</si>
  <si>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</si>
  <si>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</si>
  <si>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</si>
  <si>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</si>
  <si>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</si>
  <si>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</si>
  <si>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</si>
  <si>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</si>
  <si>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</si>
  <si>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</si>
  <si>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</si>
  <si>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</si>
  <si>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</si>
  <si>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</si>
  <si>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</si>
  <si>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</si>
  <si>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</si>
  <si>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</si>
  <si>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</si>
  <si>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</si>
  <si>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</si>
  <si>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</si>
  <si>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</si>
  <si>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</si>
  <si>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</si>
  <si>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</si>
  <si>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</si>
  <si>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</si>
  <si>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</si>
  <si>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</si>
  <si>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</si>
  <si>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</si>
  <si>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</si>
  <si>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</si>
  <si>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</si>
  <si>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</si>
  <si>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</si>
  <si>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</si>
  <si>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</si>
  <si>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</si>
  <si>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</si>
  <si>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</si>
  <si>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</si>
  <si>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</si>
  <si>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</si>
  <si>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</si>
  <si>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</si>
  <si>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</si>
  <si>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</si>
  <si>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</si>
  <si>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</si>
  <si>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</si>
  <si>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</si>
  <si>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</si>
  <si>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</si>
  <si>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</si>
  <si>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</si>
  <si>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</si>
  <si>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</si>
  <si>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</si>
  <si>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</si>
  <si>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</si>
  <si>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</si>
  <si>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</si>
  <si>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</si>
  <si>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</si>
  <si>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</si>
  <si>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</si>
  <si>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</si>
  <si>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</si>
  <si>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</si>
  <si>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</si>
  <si>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</si>
  <si>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</si>
  <si>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</si>
  <si>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</si>
  <si>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</si>
  <si>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</si>
  <si>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</si>
  <si>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</si>
  <si>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</si>
  <si>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</si>
  <si>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</si>
  <si>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</si>
  <si>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</si>
  <si>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</si>
  <si>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</si>
  <si>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</si>
  <si>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</si>
  <si>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</si>
  <si>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</si>
  <si>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</si>
  <si>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</si>
  <si>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</si>
  <si>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</si>
  <si>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</si>
  <si>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</si>
  <si>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</si>
  <si>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</si>
  <si>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</si>
  <si>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</si>
  <si>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</si>
  <si>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</si>
  <si>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</si>
  <si>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</si>
  <si>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</si>
  <si>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</si>
  <si>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</si>
  <si>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</si>
  <si>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</si>
  <si>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</si>
  <si>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</si>
  <si>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</si>
  <si>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</si>
  <si>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</si>
  <si>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</si>
  <si>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</si>
  <si>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</si>
  <si>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</si>
  <si>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</si>
  <si>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</si>
  <si>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</si>
  <si>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</si>
  <si>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</si>
  <si>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</si>
  <si>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</si>
  <si>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</si>
  <si>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</si>
  <si>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</si>
  <si>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</si>
  <si>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</si>
  <si>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</si>
  <si>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</si>
  <si>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</si>
  <si>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</si>
  <si>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</si>
  <si>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</si>
  <si>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</si>
  <si>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</si>
  <si>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</si>
  <si>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</si>
  <si>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</si>
  <si>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</si>
  <si>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</si>
  <si>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</si>
  <si>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</si>
  <si>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</si>
  <si>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</si>
  <si>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</si>
  <si>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</si>
  <si>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</si>
  <si>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</si>
  <si>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</si>
  <si>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</si>
  <si>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</si>
  <si>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</si>
  <si>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</si>
  <si>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</si>
  <si>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</si>
  <si>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</si>
  <si>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</si>
  <si>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</si>
  <si>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</si>
  <si>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</si>
  <si>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</si>
  <si>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</si>
  <si>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</si>
  <si>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</si>
  <si>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</si>
  <si>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</si>
  <si>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</si>
  <si>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</si>
  <si>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</si>
  <si>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</si>
  <si>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</si>
  <si>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</si>
  <si>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</si>
  <si>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</si>
  <si>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</si>
  <si>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</si>
  <si>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</si>
  <si>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</si>
  <si>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</si>
  <si>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</si>
  <si>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</si>
  <si>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</si>
  <si>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</si>
  <si>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</si>
  <si>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</si>
  <si>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</si>
  <si>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</si>
  <si>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</si>
  <si>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</si>
  <si>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</si>
  <si>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</si>
  <si>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</si>
  <si>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</si>
  <si>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</si>
  <si>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</si>
  <si>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</si>
  <si>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</si>
  <si>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</si>
  <si>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</si>
  <si>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</si>
  <si>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</si>
  <si>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</si>
  <si>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</si>
  <si>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</si>
  <si>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</si>
  <si>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</si>
  <si>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</si>
  <si>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</si>
  <si>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</si>
  <si>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</si>
  <si>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</si>
  <si>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</si>
  <si>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</si>
  <si>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</si>
  <si>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</si>
  <si>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</si>
  <si>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</si>
  <si>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</si>
  <si>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</si>
  <si>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</si>
  <si>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</si>
  <si>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</si>
  <si>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</si>
  <si>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</si>
  <si>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</si>
  <si>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</si>
  <si>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</si>
  <si>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</si>
  <si>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</si>
  <si>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</si>
  <si>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</si>
  <si>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</si>
  <si>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</si>
  <si>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</si>
  <si>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</si>
  <si>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</si>
  <si>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</si>
  <si>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</si>
  <si>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</si>
  <si>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</si>
  <si>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</si>
  <si>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</si>
  <si>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</si>
  <si>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</si>
  <si>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</si>
  <si>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</si>
  <si>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</si>
  <si>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</si>
  <si>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</si>
  <si>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</si>
  <si>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</si>
  <si>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</si>
  <si>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</si>
  <si>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</si>
  <si>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</si>
  <si>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</si>
  <si>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</si>
  <si>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</si>
  <si>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</si>
  <si>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</si>
  <si>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</si>
  <si>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</si>
  <si>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</si>
  <si>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</si>
  <si>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</si>
  <si>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</si>
  <si>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</si>
  <si>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</si>
  <si>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</si>
  <si>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</si>
  <si>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</si>
  <si>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</si>
  <si>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</si>
  <si>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</si>
  <si>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</si>
  <si>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</si>
  <si>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</si>
  <si>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</si>
  <si>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</si>
  <si>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</si>
  <si>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</si>
  <si>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</si>
  <si>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</si>
  <si>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</si>
  <si>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</si>
  <si>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</si>
  <si>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</si>
  <si>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</si>
  <si>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</si>
  <si>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</si>
  <si>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</si>
  <si>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</si>
  <si>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</si>
  <si>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</si>
  <si>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</si>
  <si>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</si>
  <si>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</si>
  <si>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</si>
  <si>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</si>
  <si>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</si>
  <si>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</si>
  <si>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</si>
  <si>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</si>
  <si>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</si>
  <si>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</si>
  <si>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</si>
  <si>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</si>
  <si>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</si>
  <si>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</si>
  <si>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</si>
  <si>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</si>
  <si>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</si>
  <si>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</si>
  <si>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</si>
  <si>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</si>
  <si>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</si>
  <si>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</si>
  <si>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</si>
  <si>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</si>
  <si>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</si>
  <si>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</si>
  <si>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</si>
  <si>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</si>
  <si>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</si>
  <si>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</si>
  <si>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</si>
  <si>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</si>
  <si>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</si>
  <si>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</si>
  <si>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</si>
  <si>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</si>
  <si>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</si>
  <si>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</si>
  <si>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</si>
  <si>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</si>
  <si>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</si>
  <si>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</si>
  <si>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</si>
  <si>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</si>
  <si>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</si>
  <si>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</si>
  <si>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</si>
  <si>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</si>
  <si>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</si>
  <si>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</si>
  <si>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</si>
  <si>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</si>
  <si>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</si>
  <si>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</si>
  <si>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</si>
  <si>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</si>
  <si>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</si>
  <si>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</si>
  <si>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</si>
  <si>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</si>
  <si>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</si>
  <si>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</si>
  <si>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</si>
  <si>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</si>
  <si>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</si>
  <si>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</si>
  <si>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</si>
  <si>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</si>
  <si>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</si>
  <si>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</si>
  <si>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</si>
  <si>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</si>
  <si>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</si>
  <si>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</si>
  <si>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</si>
  <si>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</si>
  <si>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</si>
  <si>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</si>
  <si>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</si>
  <si>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</si>
  <si>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</si>
  <si>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</si>
  <si>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</si>
  <si>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</si>
  <si>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</si>
  <si>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</si>
  <si>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</si>
  <si>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</si>
  <si>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</si>
  <si>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</si>
  <si>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</si>
  <si>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</si>
  <si>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</si>
  <si>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</si>
  <si>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</si>
  <si>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</si>
  <si>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</si>
  <si>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</si>
  <si>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</si>
  <si>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</si>
  <si>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</si>
  <si>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</si>
  <si>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</si>
  <si>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</si>
  <si>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</si>
  <si>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</si>
  <si>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</si>
  <si>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</si>
  <si>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</si>
  <si>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</si>
  <si>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</si>
  <si>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</si>
  <si>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</si>
  <si>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</si>
  <si>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</si>
  <si>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</si>
  <si>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</si>
  <si>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</si>
  <si>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</si>
  <si>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</si>
  <si>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</si>
  <si>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</si>
  <si>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</si>
  <si>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</si>
  <si>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</si>
  <si>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</si>
  <si>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</si>
  <si>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</si>
  <si>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</si>
  <si>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</si>
  <si>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</si>
  <si>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</si>
  <si>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</si>
  <si>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</si>
  <si>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</si>
  <si>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</si>
  <si>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</si>
  <si>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</si>
  <si>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</si>
  <si>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</si>
  <si>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</si>
  <si>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</si>
  <si>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</si>
  <si>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</si>
  <si>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</si>
  <si>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</si>
  <si>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</si>
  <si>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</si>
  <si>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</si>
  <si>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</si>
  <si>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</si>
  <si>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</si>
  <si>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</si>
  <si>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</si>
  <si>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</si>
  <si>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</si>
  <si>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</si>
  <si>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</si>
  <si>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</si>
  <si>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</si>
  <si>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</si>
  <si>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</si>
  <si>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</si>
  <si>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</si>
  <si>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</si>
  <si>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</si>
  <si>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</si>
  <si>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</si>
  <si>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</si>
  <si>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</si>
  <si>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</si>
  <si>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</si>
  <si>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</si>
  <si>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</si>
  <si>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</si>
  <si>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</si>
  <si>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</si>
  <si>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</si>
  <si>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</si>
  <si>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</si>
  <si>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</si>
  <si>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</si>
  <si>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</si>
  <si>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</si>
  <si>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</si>
  <si>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</si>
  <si>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</si>
  <si>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</si>
  <si>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</si>
  <si>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</si>
  <si>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</si>
  <si>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</si>
  <si>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</si>
  <si>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</si>
  <si>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</si>
  <si>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</si>
  <si>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</si>
  <si>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</si>
  <si>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</si>
  <si>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</si>
  <si>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</si>
  <si>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</si>
  <si>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</si>
  <si>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</si>
  <si>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</si>
  <si>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</si>
  <si>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</si>
  <si>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</si>
  <si>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</si>
  <si>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</si>
  <si>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</si>
  <si>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</si>
  <si>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</si>
  <si>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</si>
  <si>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</si>
  <si>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</si>
  <si>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</si>
  <si>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</si>
  <si>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</si>
  <si>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</si>
  <si>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</si>
  <si>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</si>
  <si>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</si>
  <si>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</si>
  <si>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</si>
  <si>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</si>
  <si>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</si>
  <si>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</si>
  <si>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</si>
  <si>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</si>
  <si>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</si>
  <si>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</si>
  <si>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</si>
  <si>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</si>
  <si>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</si>
  <si>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</si>
  <si>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</si>
  <si>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</si>
  <si>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</si>
  <si>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</si>
  <si>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</si>
  <si>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</si>
  <si>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</si>
  <si>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</si>
  <si>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</si>
  <si>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</si>
  <si>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</si>
  <si>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</si>
  <si>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</si>
  <si>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</si>
  <si>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</si>
  <si>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</si>
  <si>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</si>
  <si>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</si>
  <si>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</si>
  <si>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</si>
  <si>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</si>
  <si>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</si>
  <si>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</si>
  <si>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</si>
  <si>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</si>
  <si>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</si>
  <si>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</si>
  <si>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</si>
  <si>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</si>
  <si>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</si>
  <si>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</si>
  <si>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</si>
  <si>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</si>
  <si>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</si>
  <si>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</si>
  <si>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</si>
  <si>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</si>
  <si>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</si>
  <si>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</si>
  <si>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</si>
  <si>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</si>
  <si>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</si>
  <si>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</si>
  <si>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</si>
  <si>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</si>
  <si>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</si>
  <si>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</si>
  <si>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</si>
  <si>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</si>
  <si>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</si>
  <si>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</si>
  <si>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</si>
  <si>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</si>
  <si>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</si>
  <si>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</si>
  <si>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</si>
  <si>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</si>
  <si>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</si>
  <si>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</si>
  <si>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</si>
  <si>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</si>
  <si>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</si>
  <si>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</si>
  <si>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</si>
  <si>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</si>
  <si>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</si>
  <si>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</si>
  <si>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</si>
  <si>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</si>
  <si>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</si>
  <si>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</si>
  <si>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</si>
  <si>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</si>
  <si>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</si>
  <si>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</si>
  <si>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</si>
  <si>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</si>
  <si>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</si>
  <si>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</si>
  <si>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</si>
  <si>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</si>
  <si>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</si>
  <si>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</si>
  <si>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</si>
  <si>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</si>
  <si>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</si>
  <si>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</si>
  <si>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</si>
  <si>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</si>
  <si>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</si>
  <si>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</si>
  <si>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</si>
  <si>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</si>
  <si>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</si>
  <si>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</si>
  <si>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</si>
  <si>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</si>
  <si>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</si>
  <si>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</si>
  <si>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</si>
  <si>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</si>
  <si>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</si>
  <si>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</si>
  <si>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</si>
  <si>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</si>
  <si>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</si>
  <si>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</si>
  <si>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</si>
  <si>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</si>
  <si>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</si>
  <si>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</si>
  <si>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</si>
  <si>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</si>
  <si>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</si>
  <si>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</si>
  <si>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</si>
  <si>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</si>
  <si>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</si>
  <si>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</si>
  <si>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</si>
  <si>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</si>
  <si>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</si>
  <si>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</si>
  <si>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</si>
  <si>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</si>
  <si>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</si>
  <si>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</si>
  <si>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</si>
  <si>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</si>
  <si>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</si>
  <si>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</si>
  <si>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</si>
  <si>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</si>
  <si>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</si>
  <si>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</si>
  <si>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</si>
  <si>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</si>
  <si>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</si>
  <si>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</si>
  <si>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</si>
  <si>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</si>
  <si>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</si>
  <si>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</si>
  <si>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</si>
  <si>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</si>
  <si>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</si>
  <si>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</si>
  <si>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</si>
  <si>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</si>
  <si>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</si>
  <si>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</si>
  <si>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</si>
  <si>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</si>
  <si>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</si>
  <si>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</si>
  <si>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</si>
  <si>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</si>
  <si>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</si>
  <si>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</si>
  <si>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</si>
  <si>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</si>
  <si>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</si>
  <si>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</si>
  <si>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</si>
  <si>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</si>
  <si>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</si>
  <si>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</si>
  <si>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</si>
  <si>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</si>
  <si>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</si>
  <si>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</si>
  <si>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</si>
  <si>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</si>
  <si>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</si>
  <si>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</si>
  <si>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</si>
  <si>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</si>
  <si>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</si>
  <si>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</si>
  <si>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</si>
  <si>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</si>
  <si>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</si>
  <si>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</si>
  <si>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</si>
  <si>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</si>
  <si>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</si>
  <si>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</si>
  <si>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</si>
  <si>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</si>
  <si>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</si>
  <si>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</si>
  <si>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</si>
  <si>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</si>
  <si>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</si>
  <si>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</si>
  <si>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</si>
  <si>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</si>
  <si>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</si>
  <si>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</si>
  <si>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</si>
  <si>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</si>
  <si>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</si>
  <si>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</si>
  <si>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</si>
  <si>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</si>
  <si>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</si>
  <si>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</si>
  <si>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</si>
  <si>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</si>
  <si>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</si>
  <si>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</si>
  <si>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</si>
  <si>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</si>
  <si>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</si>
  <si>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</si>
  <si>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</si>
  <si>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</si>
  <si>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</si>
  <si>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</si>
  <si>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</si>
  <si>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</si>
  <si>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</si>
  <si>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</si>
  <si>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</si>
  <si>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</si>
  <si>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</si>
  <si>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</si>
  <si>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</si>
  <si>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</si>
  <si>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</si>
  <si>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</si>
  <si>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</si>
  <si>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</si>
  <si>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</si>
  <si>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</si>
  <si>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</si>
  <si>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</si>
  <si>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</si>
  <si>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</si>
  <si>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</si>
  <si>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</si>
  <si>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</si>
  <si>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</si>
  <si>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</si>
  <si>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</si>
  <si>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</si>
  <si>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</si>
  <si>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</si>
  <si>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</si>
  <si>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</si>
  <si>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</si>
  <si>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</si>
  <si>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</si>
  <si>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</si>
  <si>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</si>
  <si>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</si>
  <si>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</si>
  <si>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</si>
  <si>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</si>
  <si>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</si>
  <si>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</si>
  <si>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</si>
  <si>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</si>
  <si>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</si>
  <si>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</si>
  <si>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</si>
  <si>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</si>
  <si>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</si>
  <si>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</si>
  <si>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</si>
  <si>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</si>
  <si>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</si>
  <si>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</si>
  <si>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</si>
  <si>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</si>
  <si>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</si>
  <si>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</si>
  <si>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</si>
  <si>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</si>
  <si>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</si>
  <si>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</si>
  <si>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</si>
  <si>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</si>
  <si>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</si>
  <si>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</si>
  <si>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</si>
  <si>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</si>
  <si>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</si>
  <si>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</si>
  <si>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</si>
  <si>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</si>
  <si>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</si>
  <si>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</si>
  <si>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</si>
  <si>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</si>
  <si>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</si>
  <si>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</si>
  <si>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</si>
  <si>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</si>
  <si>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</si>
  <si>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</si>
  <si>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</si>
  <si>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</si>
  <si>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</si>
  <si>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</si>
  <si>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</si>
  <si>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</si>
  <si>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</si>
  <si>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</si>
  <si>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</si>
  <si>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</si>
  <si>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</si>
  <si>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</si>
  <si>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</si>
  <si>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</si>
  <si>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</si>
  <si>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</si>
  <si>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</si>
  <si>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</si>
  <si>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</si>
  <si>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</si>
  <si>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</si>
  <si>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</si>
  <si>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</si>
  <si>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</si>
  <si>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</si>
  <si>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</si>
  <si>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</si>
  <si>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</si>
  <si>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</si>
  <si>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</si>
  <si>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</si>
  <si>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</si>
  <si>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</si>
  <si>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</si>
  <si>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</si>
  <si>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</si>
  <si>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</si>
  <si>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</si>
  <si>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</si>
  <si>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</si>
  <si>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</si>
  <si>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</si>
  <si>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</si>
  <si>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</si>
  <si>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</si>
  <si>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</si>
  <si>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</si>
  <si>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</si>
  <si>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</si>
  <si>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</si>
  <si>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</si>
  <si>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</si>
  <si>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</si>
  <si>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</si>
  <si>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</si>
  <si>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</si>
  <si>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</si>
  <si>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</si>
  <si>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</si>
  <si>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</si>
  <si>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</si>
  <si>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</si>
  <si>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</si>
  <si>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</si>
  <si>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</si>
  <si>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</si>
  <si>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</si>
  <si>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</si>
  <si>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</si>
  <si>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</si>
  <si>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</si>
  <si>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</si>
  <si>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</si>
  <si>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</si>
  <si>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</si>
  <si>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</si>
  <si>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</si>
  <si>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</si>
  <si>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</si>
  <si>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</si>
  <si>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</si>
  <si>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</si>
  <si>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</si>
  <si>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</si>
  <si>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</si>
  <si>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</si>
  <si>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</si>
  <si>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</si>
  <si>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</si>
  <si>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</si>
  <si>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</si>
  <si>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</si>
  <si>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</si>
  <si>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</si>
  <si>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</si>
  <si>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</si>
  <si>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</si>
  <si>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</si>
  <si>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</si>
  <si>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</si>
  <si>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</si>
  <si>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</si>
  <si>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</si>
  <si>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</si>
  <si>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</si>
  <si>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</si>
  <si>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</si>
  <si>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</si>
  <si>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</si>
  <si>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</si>
  <si>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</si>
  <si>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</si>
  <si>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</si>
  <si>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</si>
  <si>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</si>
  <si>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</si>
  <si>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</si>
  <si>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</si>
  <si>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</si>
  <si>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</si>
  <si>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</si>
  <si>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</si>
  <si>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</si>
  <si>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</si>
  <si>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</si>
  <si>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</si>
  <si>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</si>
  <si>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</si>
  <si>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</si>
  <si>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</si>
  <si>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</si>
  <si>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</si>
  <si>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</si>
  <si>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</si>
  <si>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</si>
  <si>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</si>
  <si>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</si>
  <si>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</si>
  <si>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</si>
  <si>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</si>
  <si>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</si>
  <si>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</si>
  <si>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</si>
  <si>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</si>
  <si>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</si>
  <si>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</si>
  <si>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</si>
  <si>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</si>
  <si>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</si>
  <si>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</si>
  <si>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</si>
  <si>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</si>
  <si>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</si>
  <si>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</si>
  <si>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</si>
  <si>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</si>
  <si>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</si>
  <si>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</si>
  <si>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</si>
  <si>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</si>
  <si>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</si>
  <si>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</si>
  <si>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</si>
  <si>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</si>
  <si>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</si>
  <si>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</si>
  <si>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Department of Consumer Affairs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</si>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</sst>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7" fillId="0" borderId="14" xfId="0" applyNumberFormat="1" applyFont="1" applyBorder="1" applyAlignment="1">
      <alignment horizontal="left"/>
    </xf>
    <xf numFmtId="165" fontId="37" fillId="0" borderId="0" xfId="0" applyNumberFormat="1" applyFont="1" applyAlignment="1">
      <alignment horizontal="left"/>
    </xf>
    <xf numFmtId="165" fontId="3" fillId="0" borderId="0" xfId="0" applyNumberFormat="1" applyFont="1" applyAlignment="1" applyProtection="1">
      <alignment horizontal="left"/>
      <protection hidden="1"/>
    </xf>
    <xf numFmtId="165" fontId="38"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165" fontId="42" fillId="0" borderId="0" xfId="0" applyNumberFormat="1" applyFont="1" applyAlignment="1">
      <alignment horizontal="left" wrapText="1"/>
    </xf>
    <xf numFmtId="165" fontId="37" fillId="0" borderId="14" xfId="0" applyNumberFormat="1" applyFont="1" applyBorder="1"/>
    <xf numFmtId="165" fontId="37" fillId="0" borderId="0" xfId="0" applyNumberFormat="1" applyFont="1"/>
    <xf numFmtId="0" fontId="2" fillId="0" borderId="0" xfId="0" applyFont="1" applyAlignment="1">
      <alignment horizontal="left" vertical="top"/>
    </xf>
    <xf numFmtId="164" fontId="6" fillId="0" borderId="0" xfId="0" quotePrefix="1" applyNumberFormat="1" applyFont="1" applyAlignment="1">
      <alignment horizontal="left" vertical="top"/>
    </xf>
    <xf numFmtId="0" fontId="35" fillId="7" borderId="0" xfId="0" applyFont="1" applyFill="1" applyAlignment="1">
      <alignment horizontal="left"/>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2" borderId="0" xfId="0" applyFont="1" applyFill="1" applyAlignment="1" applyProtection="1">
      <alignment horizontal="left" vertical="top"/>
      <protection locked="0"/>
    </xf>
    <xf numFmtId="0" fontId="39" fillId="0" borderId="0" xfId="0" applyFont="1" applyAlignment="1">
      <alignment horizontal="center" vertical="top" wrapText="1"/>
    </xf>
    <xf numFmtId="0" fontId="41" fillId="0" borderId="0" xfId="0" applyFont="1" applyAlignment="1">
      <alignment horizontal="left" vertical="center" wrapText="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6C12-93B7-4FD4-8FEE-8B6DE0083D30}">
  <sheetPr>
    <tabColor rgb="FF92D050"/>
    <pageSetUpPr fitToPage="1"/>
  </sheetPr>
  <dimension ref="A1:Q115"/>
  <sheetViews>
    <sheetView topLeftCell="A10"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108</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9321</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8349</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972</v>
      </c>
      <c r="Q21" s="27"/>
    </row>
    <row r="22" spans="1:17" ht="16.5" customHeight="1" x14ac:dyDescent="0.2">
      <c r="A22" s="51"/>
      <c r="B22" s="52"/>
      <c r="C22" s="52"/>
      <c r="D22" s="52"/>
      <c r="E22" s="52"/>
      <c r="F22" s="52"/>
      <c r="G22" s="52"/>
      <c r="H22" s="52"/>
      <c r="I22" s="52"/>
      <c r="J22" s="28">
        <f>ROUND(SUM(J15:J17),2)</f>
        <v>9321</v>
      </c>
      <c r="K22" s="28">
        <f>ROUND(SUM(K18:K21),2)</f>
        <v>9321</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2796</v>
      </c>
      <c r="K45" s="32"/>
    </row>
    <row r="46" spans="1:12" ht="16.5" customHeight="1" x14ac:dyDescent="0.2">
      <c r="A46" s="51"/>
      <c r="B46" s="62"/>
      <c r="C46" s="166" t="s">
        <v>13</v>
      </c>
      <c r="D46" s="166"/>
      <c r="E46" s="166"/>
      <c r="F46" s="166"/>
      <c r="G46" s="166"/>
      <c r="H46" s="166"/>
      <c r="I46" s="166"/>
      <c r="J46" s="35"/>
      <c r="K46" s="31">
        <f>J45</f>
        <v>2796</v>
      </c>
    </row>
    <row r="47" spans="1:12" ht="16.5" customHeight="1" x14ac:dyDescent="0.2">
      <c r="A47" s="60"/>
      <c r="B47" s="52"/>
      <c r="C47" s="52"/>
      <c r="D47" s="52"/>
      <c r="E47" s="52"/>
      <c r="F47" s="52"/>
      <c r="G47" s="52"/>
      <c r="H47" s="52"/>
      <c r="I47" s="52"/>
      <c r="J47" s="38">
        <f>ROUND(SUM(J45:J45),2)</f>
        <v>2796</v>
      </c>
      <c r="K47" s="38">
        <f>ROUND(SUM(K46),2)</f>
        <v>2796</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2582</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336</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2918</v>
      </c>
    </row>
    <row r="53" spans="1:12" ht="16.5" customHeight="1" x14ac:dyDescent="0.2">
      <c r="A53" s="60"/>
      <c r="B53" s="52"/>
      <c r="C53" s="52"/>
      <c r="D53" s="52"/>
      <c r="E53" s="52"/>
      <c r="F53" s="52"/>
      <c r="G53" s="52"/>
      <c r="H53" s="52"/>
      <c r="I53" s="52"/>
      <c r="J53" s="38">
        <f>ROUND(SUM(J50:J51),2)</f>
        <v>2918</v>
      </c>
      <c r="K53" s="38">
        <f>ROUND(SUM(K52,),2)</f>
        <v>2918</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2582</v>
      </c>
      <c r="K56" s="35"/>
    </row>
    <row r="57" spans="1:12" ht="16.5" customHeight="1" x14ac:dyDescent="0.25">
      <c r="A57" s="51"/>
      <c r="B57" s="156"/>
      <c r="C57" s="166" t="s">
        <v>32</v>
      </c>
      <c r="D57" s="166"/>
      <c r="E57" s="166"/>
      <c r="F57" s="166"/>
      <c r="G57" s="166"/>
      <c r="H57" s="166"/>
      <c r="I57" s="166"/>
      <c r="J57" s="35"/>
      <c r="K57" s="31">
        <f>J50</f>
        <v>2582</v>
      </c>
    </row>
    <row r="58" spans="1:12" ht="16.5" customHeight="1" x14ac:dyDescent="0.2">
      <c r="A58" s="60"/>
      <c r="B58" s="52"/>
      <c r="C58" s="52"/>
      <c r="D58" s="52"/>
      <c r="E58" s="52"/>
      <c r="F58" s="52"/>
      <c r="G58" s="52"/>
      <c r="H58" s="52"/>
      <c r="I58" s="52"/>
      <c r="J58" s="38">
        <f>ROUND(SUM(J56:J56),2)</f>
        <v>2582</v>
      </c>
      <c r="K58" s="38">
        <f>ROUND(SUM(K57),2)</f>
        <v>2582</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2849</v>
      </c>
      <c r="K61" s="32"/>
    </row>
    <row r="62" spans="1:12" ht="16.5" customHeight="1" x14ac:dyDescent="0.25">
      <c r="A62" s="51"/>
      <c r="B62" s="156"/>
      <c r="C62" s="166" t="s">
        <v>34</v>
      </c>
      <c r="D62" s="166"/>
      <c r="E62" s="166"/>
      <c r="F62" s="166"/>
      <c r="G62" s="166"/>
      <c r="H62" s="166"/>
      <c r="I62" s="166"/>
      <c r="J62" s="32"/>
      <c r="K62" s="31">
        <f>J61</f>
        <v>2849</v>
      </c>
    </row>
    <row r="63" spans="1:12" ht="16.5" customHeight="1" x14ac:dyDescent="0.2">
      <c r="A63" s="51"/>
      <c r="B63" s="171" t="s">
        <v>35</v>
      </c>
      <c r="C63" s="171"/>
      <c r="D63" s="171"/>
      <c r="E63" s="171"/>
      <c r="F63" s="171"/>
      <c r="G63" s="171"/>
      <c r="H63" s="171"/>
      <c r="I63" s="171"/>
      <c r="J63" s="38">
        <f>ROUND(SUM(J61:J61),2)</f>
        <v>2849</v>
      </c>
      <c r="K63" s="38">
        <f>ROUND(SUM(K62),2)</f>
        <v>2849</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9321</v>
      </c>
    </row>
    <row r="95" spans="1:12" ht="16.5" customHeight="1" x14ac:dyDescent="0.25">
      <c r="D95" s="156" t="s">
        <v>48</v>
      </c>
      <c r="E95"/>
      <c r="F95"/>
      <c r="G95"/>
      <c r="H95" s="42"/>
      <c r="I95"/>
      <c r="J95"/>
      <c r="K95" s="162">
        <f>-K18-K46+J68+J77</f>
        <v>-2796</v>
      </c>
    </row>
    <row r="96" spans="1:12" ht="16.5" customHeight="1" x14ac:dyDescent="0.25">
      <c r="D96" s="156" t="s">
        <v>49</v>
      </c>
      <c r="E96"/>
      <c r="F96"/>
      <c r="G96"/>
      <c r="H96" s="42"/>
      <c r="I96"/>
      <c r="J96"/>
      <c r="K96" s="162">
        <f>-K19-K37+J56+J61+J76-K85</f>
        <v>-2918</v>
      </c>
    </row>
    <row r="97" spans="1:11" ht="16.5" customHeight="1" x14ac:dyDescent="0.25">
      <c r="D97" s="156" t="s">
        <v>50</v>
      </c>
      <c r="E97"/>
      <c r="F97"/>
      <c r="G97"/>
      <c r="H97" s="42"/>
      <c r="I97"/>
      <c r="J97"/>
      <c r="K97" s="162">
        <f>-K62</f>
        <v>-2849</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6U56uiRWS1aemIyeqnKrS327KIkRpK1F+OZ77uWxSJySVoWPIlZfLFEAts7tqDBDzhSRqgf0IbHLO+BTW5Qitg==" saltValue="dgJ146+dtPO3j1bDo7Vbc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57D795A4-5CF4-4216-9217-00A56BC0930C}">
      <formula1>4</formula1>
    </dataValidation>
    <dataValidation type="textLength" operator="lessThan" allowBlank="1" showInputMessage="1" showErrorMessage="1" sqref="E11 A6:A8" xr:uid="{31CFCAD6-8BF6-4007-9767-C0FDB337BEE4}">
      <formula1>0</formula1>
    </dataValidation>
    <dataValidation operator="lessThan" allowBlank="1" showInputMessage="1" showErrorMessage="1" sqref="A3:A5 A7:A8 A11" xr:uid="{2E1FB60A-CD3C-4744-BA42-AB9070AF0974}"/>
  </dataValidations>
  <printOptions horizontalCentered="1"/>
  <pageMargins left="0.5" right="0.5" top="0.75" bottom="1" header="0.3" footer="0.3"/>
  <pageSetup scale="42"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84F26-CA66-43C2-A914-B626BCCE86D7}">
  <sheetPr>
    <tabColor rgb="FF92D050"/>
    <pageSetUpPr fitToPage="1"/>
  </sheetPr>
  <dimension ref="A1:Q115"/>
  <sheetViews>
    <sheetView topLeftCell="A42"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152</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18642</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16697</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1945</v>
      </c>
      <c r="Q21" s="27"/>
    </row>
    <row r="22" spans="1:17" ht="16.5" customHeight="1" x14ac:dyDescent="0.2">
      <c r="A22" s="51"/>
      <c r="B22" s="52"/>
      <c r="C22" s="52"/>
      <c r="D22" s="52"/>
      <c r="E22" s="52"/>
      <c r="F22" s="52"/>
      <c r="G22" s="52"/>
      <c r="H22" s="52"/>
      <c r="I22" s="52"/>
      <c r="J22" s="28">
        <f>ROUND(SUM(J15:J17),2)</f>
        <v>18642</v>
      </c>
      <c r="K22" s="28">
        <f>ROUND(SUM(K18:K21),2)</f>
        <v>18642</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5593</v>
      </c>
      <c r="K45" s="32"/>
    </row>
    <row r="46" spans="1:12" ht="16.5" customHeight="1" x14ac:dyDescent="0.2">
      <c r="A46" s="51"/>
      <c r="B46" s="62"/>
      <c r="C46" s="166" t="s">
        <v>13</v>
      </c>
      <c r="D46" s="166"/>
      <c r="E46" s="166"/>
      <c r="F46" s="166"/>
      <c r="G46" s="166"/>
      <c r="H46" s="166"/>
      <c r="I46" s="166"/>
      <c r="J46" s="35"/>
      <c r="K46" s="31">
        <f>J45</f>
        <v>5593</v>
      </c>
    </row>
    <row r="47" spans="1:12" ht="16.5" customHeight="1" x14ac:dyDescent="0.2">
      <c r="A47" s="60"/>
      <c r="B47" s="52"/>
      <c r="C47" s="52"/>
      <c r="D47" s="52"/>
      <c r="E47" s="52"/>
      <c r="F47" s="52"/>
      <c r="G47" s="52"/>
      <c r="H47" s="52"/>
      <c r="I47" s="52"/>
      <c r="J47" s="38">
        <f>ROUND(SUM(J45:J45),2)</f>
        <v>5593</v>
      </c>
      <c r="K47" s="38">
        <f>ROUND(SUM(K46),2)</f>
        <v>5593</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5164</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671</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5835</v>
      </c>
    </row>
    <row r="53" spans="1:12" ht="16.5" customHeight="1" x14ac:dyDescent="0.2">
      <c r="A53" s="60"/>
      <c r="B53" s="52"/>
      <c r="C53" s="52"/>
      <c r="D53" s="52"/>
      <c r="E53" s="52"/>
      <c r="F53" s="52"/>
      <c r="G53" s="52"/>
      <c r="H53" s="52"/>
      <c r="I53" s="52"/>
      <c r="J53" s="38">
        <f>ROUND(SUM(J50:J51),2)</f>
        <v>5835</v>
      </c>
      <c r="K53" s="38">
        <f>ROUND(SUM(K52,),2)</f>
        <v>5835</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5164</v>
      </c>
      <c r="K56" s="35"/>
    </row>
    <row r="57" spans="1:12" ht="16.5" customHeight="1" x14ac:dyDescent="0.25">
      <c r="A57" s="51"/>
      <c r="B57" s="156"/>
      <c r="C57" s="166" t="s">
        <v>32</v>
      </c>
      <c r="D57" s="166"/>
      <c r="E57" s="166"/>
      <c r="F57" s="166"/>
      <c r="G57" s="166"/>
      <c r="H57" s="166"/>
      <c r="I57" s="166"/>
      <c r="J57" s="35"/>
      <c r="K57" s="31">
        <f>J50</f>
        <v>5164</v>
      </c>
    </row>
    <row r="58" spans="1:12" ht="16.5" customHeight="1" x14ac:dyDescent="0.2">
      <c r="A58" s="60"/>
      <c r="B58" s="52"/>
      <c r="C58" s="52"/>
      <c r="D58" s="52"/>
      <c r="E58" s="52"/>
      <c r="F58" s="52"/>
      <c r="G58" s="52"/>
      <c r="H58" s="52"/>
      <c r="I58" s="52"/>
      <c r="J58" s="38">
        <f>ROUND(SUM(J56:J56),2)</f>
        <v>5164</v>
      </c>
      <c r="K58" s="38">
        <f>ROUND(SUM(K57),2)</f>
        <v>5164</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5698</v>
      </c>
      <c r="K61" s="32"/>
    </row>
    <row r="62" spans="1:12" ht="16.5" customHeight="1" x14ac:dyDescent="0.25">
      <c r="A62" s="51"/>
      <c r="B62" s="156"/>
      <c r="C62" s="166" t="s">
        <v>34</v>
      </c>
      <c r="D62" s="166"/>
      <c r="E62" s="166"/>
      <c r="F62" s="166"/>
      <c r="G62" s="166"/>
      <c r="H62" s="166"/>
      <c r="I62" s="166"/>
      <c r="J62" s="32"/>
      <c r="K62" s="31">
        <f>J61</f>
        <v>5698</v>
      </c>
    </row>
    <row r="63" spans="1:12" ht="16.5" customHeight="1" x14ac:dyDescent="0.2">
      <c r="A63" s="51"/>
      <c r="B63" s="171" t="s">
        <v>35</v>
      </c>
      <c r="C63" s="171"/>
      <c r="D63" s="171"/>
      <c r="E63" s="171"/>
      <c r="F63" s="171"/>
      <c r="G63" s="171"/>
      <c r="H63" s="171"/>
      <c r="I63" s="171"/>
      <c r="J63" s="38">
        <f>ROUND(SUM(J61:J61),2)</f>
        <v>5698</v>
      </c>
      <c r="K63" s="38">
        <f>ROUND(SUM(K62),2)</f>
        <v>5698</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18642</v>
      </c>
    </row>
    <row r="95" spans="1:12" ht="16.5" customHeight="1" x14ac:dyDescent="0.25">
      <c r="D95" s="156" t="s">
        <v>48</v>
      </c>
      <c r="E95"/>
      <c r="F95"/>
      <c r="G95"/>
      <c r="H95" s="42"/>
      <c r="I95"/>
      <c r="J95"/>
      <c r="K95" s="162">
        <f>-K18-K46+J68+J77</f>
        <v>-5593</v>
      </c>
    </row>
    <row r="96" spans="1:12" ht="16.5" customHeight="1" x14ac:dyDescent="0.25">
      <c r="D96" s="156" t="s">
        <v>49</v>
      </c>
      <c r="E96"/>
      <c r="F96"/>
      <c r="G96"/>
      <c r="H96" s="42"/>
      <c r="I96"/>
      <c r="J96"/>
      <c r="K96" s="162">
        <f>-K19-K37+J56+J61+J76-K85</f>
        <v>-5835</v>
      </c>
    </row>
    <row r="97" spans="1:11" ht="16.5" customHeight="1" x14ac:dyDescent="0.25">
      <c r="D97" s="156" t="s">
        <v>50</v>
      </c>
      <c r="E97"/>
      <c r="F97"/>
      <c r="G97"/>
      <c r="H97" s="42"/>
      <c r="I97"/>
      <c r="J97"/>
      <c r="K97" s="162">
        <f>-K62</f>
        <v>-5698</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jgb8XT2z5BYKnF0/K3TSFRS4vjW/QqQeJTlFb0kGdvyThhTp53p8t6yYn+GWnTVC5U4MFg4lIRWH+DKpdWviqA==" saltValue="JUJb9248Pk5ma75uFA5LJ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F444E58B-26E3-48BC-AEE1-E5AAB68831E5}">
      <formula1>4</formula1>
    </dataValidation>
    <dataValidation type="textLength" operator="lessThan" allowBlank="1" showInputMessage="1" showErrorMessage="1" sqref="E11 A6:A8" xr:uid="{B5D2716D-685B-4CE9-AD10-4658EDBD4639}">
      <formula1>0</formula1>
    </dataValidation>
    <dataValidation operator="lessThan" allowBlank="1" showInputMessage="1" showErrorMessage="1" sqref="A3:A5 A7:A8 A11" xr:uid="{B6E7A0EF-CF26-43B4-9915-6BCF38732246}"/>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DBE3-9619-4382-9741-5118A7C3C9CC}">
  <sheetPr>
    <tabColor rgb="FF92D050"/>
    <pageSetUpPr fitToPage="1"/>
  </sheetPr>
  <dimension ref="A1:Q115"/>
  <sheetViews>
    <sheetView topLeftCell="A34"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305</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736072</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583778</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152294</v>
      </c>
      <c r="Q21" s="27"/>
    </row>
    <row r="22" spans="1:17" ht="16.5" customHeight="1" x14ac:dyDescent="0.2">
      <c r="A22" s="51"/>
      <c r="B22" s="52"/>
      <c r="C22" s="52"/>
      <c r="D22" s="52"/>
      <c r="E22" s="52"/>
      <c r="F22" s="52"/>
      <c r="G22" s="52"/>
      <c r="H22" s="52"/>
      <c r="I22" s="52"/>
      <c r="J22" s="28">
        <f>ROUND(SUM(J15:J17),2)</f>
        <v>736072</v>
      </c>
      <c r="K22" s="28">
        <f>ROUND(SUM(K18:K21),2)</f>
        <v>736072</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230678</v>
      </c>
      <c r="K45" s="32"/>
    </row>
    <row r="46" spans="1:12" ht="16.5" customHeight="1" x14ac:dyDescent="0.2">
      <c r="A46" s="51"/>
      <c r="B46" s="62"/>
      <c r="C46" s="166" t="s">
        <v>13</v>
      </c>
      <c r="D46" s="166"/>
      <c r="E46" s="166"/>
      <c r="F46" s="166"/>
      <c r="G46" s="166"/>
      <c r="H46" s="166"/>
      <c r="I46" s="166"/>
      <c r="J46" s="35"/>
      <c r="K46" s="31">
        <f>J45</f>
        <v>230678</v>
      </c>
    </row>
    <row r="47" spans="1:12" ht="16.5" customHeight="1" x14ac:dyDescent="0.2">
      <c r="A47" s="60"/>
      <c r="B47" s="52"/>
      <c r="C47" s="52"/>
      <c r="D47" s="52"/>
      <c r="E47" s="52"/>
      <c r="F47" s="52"/>
      <c r="G47" s="52"/>
      <c r="H47" s="52"/>
      <c r="I47" s="52"/>
      <c r="J47" s="38">
        <f>ROUND(SUM(J45:J45),2)</f>
        <v>230678</v>
      </c>
      <c r="K47" s="38">
        <f>ROUND(SUM(K46),2)</f>
        <v>230678</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180545</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23462</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204007</v>
      </c>
    </row>
    <row r="53" spans="1:12" ht="16.5" customHeight="1" x14ac:dyDescent="0.2">
      <c r="A53" s="60"/>
      <c r="B53" s="52"/>
      <c r="C53" s="52"/>
      <c r="D53" s="52"/>
      <c r="E53" s="52"/>
      <c r="F53" s="52"/>
      <c r="G53" s="52"/>
      <c r="H53" s="52"/>
      <c r="I53" s="52"/>
      <c r="J53" s="38">
        <f>ROUND(SUM(J50:J51),2)</f>
        <v>204007</v>
      </c>
      <c r="K53" s="38">
        <f>ROUND(SUM(K52,),2)</f>
        <v>204007</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180545</v>
      </c>
      <c r="K56" s="35"/>
    </row>
    <row r="57" spans="1:12" ht="16.5" customHeight="1" x14ac:dyDescent="0.25">
      <c r="A57" s="51"/>
      <c r="B57" s="156"/>
      <c r="C57" s="166" t="s">
        <v>32</v>
      </c>
      <c r="D57" s="166"/>
      <c r="E57" s="166"/>
      <c r="F57" s="166"/>
      <c r="G57" s="166"/>
      <c r="H57" s="166"/>
      <c r="I57" s="166"/>
      <c r="J57" s="35"/>
      <c r="K57" s="31">
        <f>J50</f>
        <v>180545</v>
      </c>
    </row>
    <row r="58" spans="1:12" ht="16.5" customHeight="1" x14ac:dyDescent="0.2">
      <c r="A58" s="60"/>
      <c r="B58" s="52"/>
      <c r="C58" s="52"/>
      <c r="D58" s="52"/>
      <c r="E58" s="52"/>
      <c r="F58" s="52"/>
      <c r="G58" s="52"/>
      <c r="H58" s="52"/>
      <c r="I58" s="52"/>
      <c r="J58" s="38">
        <f>ROUND(SUM(J56:J56),2)</f>
        <v>180545</v>
      </c>
      <c r="K58" s="38">
        <f>ROUND(SUM(K57),2)</f>
        <v>180545</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199226</v>
      </c>
      <c r="K61" s="32"/>
    </row>
    <row r="62" spans="1:12" ht="16.5" customHeight="1" x14ac:dyDescent="0.25">
      <c r="A62" s="51"/>
      <c r="B62" s="156"/>
      <c r="C62" s="166" t="s">
        <v>34</v>
      </c>
      <c r="D62" s="166"/>
      <c r="E62" s="166"/>
      <c r="F62" s="166"/>
      <c r="G62" s="166"/>
      <c r="H62" s="166"/>
      <c r="I62" s="166"/>
      <c r="J62" s="32"/>
      <c r="K62" s="31">
        <f>J61</f>
        <v>199226</v>
      </c>
    </row>
    <row r="63" spans="1:12" ht="16.5" customHeight="1" x14ac:dyDescent="0.2">
      <c r="A63" s="51"/>
      <c r="B63" s="171" t="s">
        <v>35</v>
      </c>
      <c r="C63" s="171"/>
      <c r="D63" s="171"/>
      <c r="E63" s="171"/>
      <c r="F63" s="171"/>
      <c r="G63" s="171"/>
      <c r="H63" s="171"/>
      <c r="I63" s="171"/>
      <c r="J63" s="38">
        <f>ROUND(SUM(J61:J61),2)</f>
        <v>199226</v>
      </c>
      <c r="K63" s="38">
        <f>ROUND(SUM(K62),2)</f>
        <v>199226</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736072</v>
      </c>
    </row>
    <row r="95" spans="1:12" ht="16.5" customHeight="1" x14ac:dyDescent="0.25">
      <c r="D95" s="156" t="s">
        <v>48</v>
      </c>
      <c r="E95"/>
      <c r="F95"/>
      <c r="G95"/>
      <c r="H95" s="42"/>
      <c r="I95"/>
      <c r="J95"/>
      <c r="K95" s="162">
        <f>-K18-K46+J68+J77</f>
        <v>-230678</v>
      </c>
    </row>
    <row r="96" spans="1:12" ht="16.5" customHeight="1" x14ac:dyDescent="0.25">
      <c r="D96" s="156" t="s">
        <v>49</v>
      </c>
      <c r="E96"/>
      <c r="F96"/>
      <c r="G96"/>
      <c r="H96" s="42"/>
      <c r="I96"/>
      <c r="J96"/>
      <c r="K96" s="162">
        <f>-K19-K37+J56+J61+J76-K85</f>
        <v>-204007</v>
      </c>
    </row>
    <row r="97" spans="1:11" ht="16.5" customHeight="1" x14ac:dyDescent="0.25">
      <c r="D97" s="156" t="s">
        <v>50</v>
      </c>
      <c r="E97"/>
      <c r="F97"/>
      <c r="G97"/>
      <c r="H97" s="42"/>
      <c r="I97"/>
      <c r="J97"/>
      <c r="K97" s="162">
        <f>-K62</f>
        <v>-199226</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RaHx/XYTa/7/uon28SlECUCyf97JLEGRcjtn0tvnOLaA8wIHmuuKfa8IlaVoKPvV/5knv/uwMh+n/JIQInq6GA==" saltValue="FISAyDwUjpa3Bg475DRD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CB3E1926-2194-4A4A-AF16-FC62096420E0}">
      <formula1>4</formula1>
    </dataValidation>
    <dataValidation type="textLength" operator="lessThan" allowBlank="1" showInputMessage="1" showErrorMessage="1" sqref="E11 A6:A8" xr:uid="{88BB41FF-F50E-4C45-9840-604C66CC9DA2}">
      <formula1>0</formula1>
    </dataValidation>
    <dataValidation operator="lessThan" allowBlank="1" showInputMessage="1" showErrorMessage="1" sqref="A3:A5 A7:A8 A11" xr:uid="{EED9ADE1-12B4-409C-A9C8-38591F21E6E6}"/>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A949-CEF4-431F-AB67-3DF5C709962B}">
  <sheetPr>
    <tabColor rgb="FF92D050"/>
    <pageSetUpPr fitToPage="1"/>
  </sheetPr>
  <dimension ref="A1:Q115"/>
  <sheetViews>
    <sheetView tabSelected="1" zoomScale="85" zoomScaleNormal="85" workbookViewId="0">
      <selection activeCell="J17" sqref="J17"/>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325</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48585</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27853</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20732</v>
      </c>
      <c r="Q21" s="27"/>
    </row>
    <row r="22" spans="1:17" ht="16.5" customHeight="1" x14ac:dyDescent="0.2">
      <c r="A22" s="51"/>
      <c r="B22" s="52"/>
      <c r="C22" s="52"/>
      <c r="D22" s="52"/>
      <c r="E22" s="52"/>
      <c r="F22" s="52"/>
      <c r="G22" s="52"/>
      <c r="H22" s="52"/>
      <c r="I22" s="52"/>
      <c r="J22" s="28">
        <f>ROUND(SUM(J15:J17),2)</f>
        <v>48585</v>
      </c>
      <c r="K22" s="28">
        <f>ROUND(SUM(K18:K21),2)</f>
        <v>48585</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10052</v>
      </c>
      <c r="K45" s="32"/>
    </row>
    <row r="46" spans="1:12" ht="16.5" customHeight="1" x14ac:dyDescent="0.2">
      <c r="A46" s="51"/>
      <c r="B46" s="62"/>
      <c r="C46" s="166" t="s">
        <v>13</v>
      </c>
      <c r="D46" s="166"/>
      <c r="E46" s="166"/>
      <c r="F46" s="166"/>
      <c r="G46" s="166"/>
      <c r="H46" s="166"/>
      <c r="I46" s="166"/>
      <c r="J46" s="35"/>
      <c r="K46" s="31">
        <f>J45</f>
        <v>10052</v>
      </c>
    </row>
    <row r="47" spans="1:12" ht="16.5" customHeight="1" x14ac:dyDescent="0.2">
      <c r="A47" s="60"/>
      <c r="B47" s="52"/>
      <c r="C47" s="52"/>
      <c r="D47" s="52"/>
      <c r="E47" s="52"/>
      <c r="F47" s="52"/>
      <c r="G47" s="52"/>
      <c r="H47" s="52"/>
      <c r="I47" s="52"/>
      <c r="J47" s="38">
        <f>ROUND(SUM(J45:J45),2)</f>
        <v>10052</v>
      </c>
      <c r="K47" s="38">
        <f>ROUND(SUM(K46),2)</f>
        <v>10052</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6210</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1176</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7386</v>
      </c>
    </row>
    <row r="53" spans="1:12" ht="16.5" customHeight="1" x14ac:dyDescent="0.2">
      <c r="A53" s="60"/>
      <c r="B53" s="52"/>
      <c r="C53" s="52"/>
      <c r="D53" s="52"/>
      <c r="E53" s="52"/>
      <c r="F53" s="52"/>
      <c r="G53" s="52"/>
      <c r="H53" s="52"/>
      <c r="I53" s="52"/>
      <c r="J53" s="38">
        <f>ROUND(SUM(J50:J51),2)</f>
        <v>7386</v>
      </c>
      <c r="K53" s="38">
        <f>ROUND(SUM(K52,),2)</f>
        <v>7386</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6210</v>
      </c>
      <c r="K56" s="35"/>
    </row>
    <row r="57" spans="1:12" ht="16.5" customHeight="1" x14ac:dyDescent="0.25">
      <c r="A57" s="51"/>
      <c r="B57" s="156"/>
      <c r="C57" s="166" t="s">
        <v>32</v>
      </c>
      <c r="D57" s="166"/>
      <c r="E57" s="166"/>
      <c r="F57" s="166"/>
      <c r="G57" s="166"/>
      <c r="H57" s="166"/>
      <c r="I57" s="166"/>
      <c r="J57" s="35"/>
      <c r="K57" s="31">
        <f>J50</f>
        <v>6210</v>
      </c>
    </row>
    <row r="58" spans="1:12" ht="16.5" customHeight="1" x14ac:dyDescent="0.2">
      <c r="A58" s="60"/>
      <c r="B58" s="52"/>
      <c r="C58" s="52"/>
      <c r="D58" s="52"/>
      <c r="E58" s="52"/>
      <c r="F58" s="52"/>
      <c r="G58" s="52"/>
      <c r="H58" s="52"/>
      <c r="I58" s="52"/>
      <c r="J58" s="38">
        <f>ROUND(SUM(J56:J56),2)</f>
        <v>6210</v>
      </c>
      <c r="K58" s="38">
        <f>ROUND(SUM(K57),2)</f>
        <v>6210</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7044</v>
      </c>
      <c r="K61" s="32"/>
    </row>
    <row r="62" spans="1:12" ht="16.5" customHeight="1" x14ac:dyDescent="0.25">
      <c r="A62" s="51"/>
      <c r="B62" s="156"/>
      <c r="C62" s="166" t="s">
        <v>34</v>
      </c>
      <c r="D62" s="166"/>
      <c r="E62" s="166"/>
      <c r="F62" s="166"/>
      <c r="G62" s="166"/>
      <c r="H62" s="166"/>
      <c r="I62" s="166"/>
      <c r="J62" s="32"/>
      <c r="K62" s="31">
        <f>J61</f>
        <v>7044</v>
      </c>
    </row>
    <row r="63" spans="1:12" ht="16.5" customHeight="1" x14ac:dyDescent="0.2">
      <c r="A63" s="51"/>
      <c r="B63" s="171" t="s">
        <v>35</v>
      </c>
      <c r="C63" s="171"/>
      <c r="D63" s="171"/>
      <c r="E63" s="171"/>
      <c r="F63" s="171"/>
      <c r="G63" s="171"/>
      <c r="H63" s="171"/>
      <c r="I63" s="171"/>
      <c r="J63" s="38">
        <f>ROUND(SUM(J61:J61),2)</f>
        <v>7044</v>
      </c>
      <c r="K63" s="38">
        <f>ROUND(SUM(K62),2)</f>
        <v>7044</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48585</v>
      </c>
    </row>
    <row r="95" spans="1:12" ht="16.5" customHeight="1" x14ac:dyDescent="0.25">
      <c r="D95" s="156" t="s">
        <v>48</v>
      </c>
      <c r="E95"/>
      <c r="F95"/>
      <c r="G95"/>
      <c r="H95" s="42"/>
      <c r="I95"/>
      <c r="J95"/>
      <c r="K95" s="162">
        <f>-K18-K46+J68+J77</f>
        <v>-10052</v>
      </c>
    </row>
    <row r="96" spans="1:12" ht="16.5" customHeight="1" x14ac:dyDescent="0.25">
      <c r="D96" s="156" t="s">
        <v>49</v>
      </c>
      <c r="E96"/>
      <c r="F96"/>
      <c r="G96"/>
      <c r="H96" s="42"/>
      <c r="I96"/>
      <c r="J96"/>
      <c r="K96" s="162">
        <f>-K19-K37+J56+J61+J76-K85</f>
        <v>-14599</v>
      </c>
    </row>
    <row r="97" spans="1:11" ht="16.5" customHeight="1" x14ac:dyDescent="0.25">
      <c r="D97" s="156" t="s">
        <v>50</v>
      </c>
      <c r="E97"/>
      <c r="F97"/>
      <c r="G97"/>
      <c r="H97" s="42"/>
      <c r="I97"/>
      <c r="J97"/>
      <c r="K97" s="162">
        <f>-K62</f>
        <v>-7044</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oIb7wc3AnO5KHefge5o/ZuNaGDGYJVAC77jytUnDj3pfJITrBCAGsE1+lI3zftWpGv7wewMMObUCXqRcKVc7Ow==" saltValue="LWqeVadUxBS6Rqp6TLQybg=="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30"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2A7B6C91-8897-4AAA-843A-0DCDED47F1D5}">
      <formula1>4</formula1>
    </dataValidation>
    <dataValidation type="textLength" operator="lessThan" allowBlank="1" showInputMessage="1" showErrorMessage="1" sqref="E11 A6:A8" xr:uid="{25747F49-E132-44ED-80EB-FC769E4DCE18}">
      <formula1>0</formula1>
    </dataValidation>
    <dataValidation operator="lessThan" allowBlank="1" showInputMessage="1" showErrorMessage="1" sqref="A3:A5 A7:A8 A11" xr:uid="{927F2302-969B-40C6-9181-6E1FCF0F068C}"/>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8B38B-3C1E-4BCA-9DB4-0C3144EF93C0}">
  <sheetPr>
    <tabColor rgb="FF92D050"/>
    <pageSetUpPr fitToPage="1"/>
  </sheetPr>
  <dimension ref="A1:Q115"/>
  <sheetViews>
    <sheetView topLeftCell="A37" zoomScale="85" zoomScaleNormal="85" workbookViewId="0">
      <selection activeCell="J52" sqref="J5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492</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51496</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43913</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7583</v>
      </c>
      <c r="Q21" s="27"/>
    </row>
    <row r="22" spans="1:17" ht="16.5" customHeight="1" x14ac:dyDescent="0.2">
      <c r="A22" s="51"/>
      <c r="B22" s="52"/>
      <c r="C22" s="52"/>
      <c r="D22" s="52"/>
      <c r="E22" s="52"/>
      <c r="F22" s="52"/>
      <c r="G22" s="52"/>
      <c r="H22" s="52"/>
      <c r="I22" s="52"/>
      <c r="J22" s="28">
        <f>ROUND(SUM(J15:J17),2)</f>
        <v>51496</v>
      </c>
      <c r="K22" s="28">
        <f>ROUND(SUM(K18:K21),2)</f>
        <v>51496</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25748</v>
      </c>
      <c r="K45" s="32"/>
    </row>
    <row r="46" spans="1:12" ht="16.5" customHeight="1" x14ac:dyDescent="0.2">
      <c r="A46" s="51"/>
      <c r="B46" s="62"/>
      <c r="C46" s="166" t="s">
        <v>13</v>
      </c>
      <c r="D46" s="166"/>
      <c r="E46" s="166"/>
      <c r="F46" s="166"/>
      <c r="G46" s="166"/>
      <c r="H46" s="166"/>
      <c r="I46" s="166"/>
      <c r="J46" s="35"/>
      <c r="K46" s="31">
        <f>J45</f>
        <v>25748</v>
      </c>
    </row>
    <row r="47" spans="1:12" ht="16.5" customHeight="1" x14ac:dyDescent="0.2">
      <c r="A47" s="60"/>
      <c r="B47" s="52"/>
      <c r="C47" s="52"/>
      <c r="D47" s="52"/>
      <c r="E47" s="52"/>
      <c r="F47" s="52"/>
      <c r="G47" s="52"/>
      <c r="H47" s="52"/>
      <c r="I47" s="52"/>
      <c r="J47" s="38">
        <f>ROUND(SUM(J45:J45),2)</f>
        <v>25748</v>
      </c>
      <c r="K47" s="38">
        <f>ROUND(SUM(K46),2)</f>
        <v>25748</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21163</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1587</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22750</v>
      </c>
    </row>
    <row r="53" spans="1:12" ht="16.5" customHeight="1" x14ac:dyDescent="0.2">
      <c r="A53" s="60"/>
      <c r="B53" s="52"/>
      <c r="C53" s="52"/>
      <c r="D53" s="52"/>
      <c r="E53" s="52"/>
      <c r="F53" s="52"/>
      <c r="G53" s="52"/>
      <c r="H53" s="52"/>
      <c r="I53" s="52"/>
      <c r="J53" s="38">
        <f>ROUND(SUM(J50:J51),2)</f>
        <v>22750</v>
      </c>
      <c r="K53" s="38">
        <f>ROUND(SUM(K52,),2)</f>
        <v>22750</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21163</v>
      </c>
      <c r="K56" s="35"/>
    </row>
    <row r="57" spans="1:12" ht="16.5" customHeight="1" x14ac:dyDescent="0.25">
      <c r="A57" s="51"/>
      <c r="B57" s="156"/>
      <c r="C57" s="166" t="s">
        <v>32</v>
      </c>
      <c r="D57" s="166"/>
      <c r="E57" s="166"/>
      <c r="F57" s="166"/>
      <c r="G57" s="166"/>
      <c r="H57" s="166"/>
      <c r="I57" s="166"/>
      <c r="J57" s="35"/>
      <c r="K57" s="31">
        <f>J50</f>
        <v>21163</v>
      </c>
    </row>
    <row r="58" spans="1:12" ht="16.5" customHeight="1" x14ac:dyDescent="0.2">
      <c r="A58" s="60"/>
      <c r="B58" s="52"/>
      <c r="C58" s="52"/>
      <c r="D58" s="52"/>
      <c r="E58" s="52"/>
      <c r="F58" s="52"/>
      <c r="G58" s="52"/>
      <c r="H58" s="52"/>
      <c r="I58" s="52"/>
      <c r="J58" s="38">
        <f>ROUND(SUM(J56:J56),2)</f>
        <v>21163</v>
      </c>
      <c r="K58" s="38">
        <f>ROUND(SUM(K57),2)</f>
        <v>21163</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22750</v>
      </c>
      <c r="K61" s="32"/>
    </row>
    <row r="62" spans="1:12" ht="16.5" customHeight="1" x14ac:dyDescent="0.25">
      <c r="A62" s="51"/>
      <c r="B62" s="156"/>
      <c r="C62" s="166" t="s">
        <v>34</v>
      </c>
      <c r="D62" s="166"/>
      <c r="E62" s="166"/>
      <c r="F62" s="166"/>
      <c r="G62" s="166"/>
      <c r="H62" s="166"/>
      <c r="I62" s="166"/>
      <c r="J62" s="32"/>
      <c r="K62" s="31">
        <f>J61</f>
        <v>22750</v>
      </c>
    </row>
    <row r="63" spans="1:12" ht="16.5" customHeight="1" x14ac:dyDescent="0.2">
      <c r="A63" s="51"/>
      <c r="B63" s="171" t="s">
        <v>35</v>
      </c>
      <c r="C63" s="171"/>
      <c r="D63" s="171"/>
      <c r="E63" s="171"/>
      <c r="F63" s="171"/>
      <c r="G63" s="171"/>
      <c r="H63" s="171"/>
      <c r="I63" s="171"/>
      <c r="J63" s="38">
        <f>ROUND(SUM(J61:J61),2)</f>
        <v>22750</v>
      </c>
      <c r="K63" s="38">
        <f>ROUND(SUM(K62),2)</f>
        <v>22750</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51496</v>
      </c>
    </row>
    <row r="95" spans="1:12" ht="16.5" customHeight="1" x14ac:dyDescent="0.25">
      <c r="D95" s="156" t="s">
        <v>48</v>
      </c>
      <c r="E95"/>
      <c r="F95"/>
      <c r="G95"/>
      <c r="H95" s="42"/>
      <c r="I95"/>
      <c r="J95"/>
      <c r="K95" s="162">
        <f>-K18-K46+J68+J77</f>
        <v>-25748</v>
      </c>
    </row>
    <row r="96" spans="1:12" ht="16.5" customHeight="1" x14ac:dyDescent="0.25">
      <c r="D96" s="156" t="s">
        <v>49</v>
      </c>
      <c r="E96"/>
      <c r="F96"/>
      <c r="G96"/>
      <c r="H96" s="42"/>
      <c r="I96"/>
      <c r="J96"/>
      <c r="K96" s="162">
        <f>-K19-K37+J56+J61+J76-K85</f>
        <v>0</v>
      </c>
    </row>
    <row r="97" spans="1:11" ht="16.5" customHeight="1" x14ac:dyDescent="0.25">
      <c r="D97" s="156" t="s">
        <v>50</v>
      </c>
      <c r="E97"/>
      <c r="F97"/>
      <c r="G97"/>
      <c r="H97" s="42"/>
      <c r="I97"/>
      <c r="J97"/>
      <c r="K97" s="162">
        <f>-K62</f>
        <v>-22750</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ah6SYWJRJU4YeMElCoDIqwrv9UYjMOkFVyOCySCNa8i3Yi2cQ0I/2nJXXrvKVaiPyubNhp3cJKUb9hhFEWz5ew==" saltValue="Ybj/+WEtKsSNoTWmcIhp+w=="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9"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95301E2F-CE63-4633-A9B3-DD04C261403D}">
      <formula1>4</formula1>
    </dataValidation>
    <dataValidation type="textLength" operator="lessThan" allowBlank="1" showInputMessage="1" showErrorMessage="1" sqref="E11 A6:A8" xr:uid="{C3BCE3B7-65E9-4B35-8905-6DF4433D7D78}">
      <formula1>0</formula1>
    </dataValidation>
    <dataValidation operator="lessThan" allowBlank="1" showInputMessage="1" showErrorMessage="1" sqref="A3:A5 A7:A8 A11" xr:uid="{42D229A1-F4DA-4021-8B5F-A051C1BA7067}"/>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7BE80-F6C7-47FB-B130-8457068E3158}">
  <sheetPr>
    <tabColor rgb="FF92D050"/>
    <pageSetUpPr fitToPage="1"/>
  </sheetPr>
  <dimension ref="A1:Q115"/>
  <sheetViews>
    <sheetView topLeftCell="A45"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702</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69182</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58893</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10289</v>
      </c>
      <c r="Q21" s="27"/>
    </row>
    <row r="22" spans="1:17" ht="16.5" customHeight="1" x14ac:dyDescent="0.2">
      <c r="A22" s="51"/>
      <c r="B22" s="52"/>
      <c r="C22" s="52"/>
      <c r="D22" s="52"/>
      <c r="E22" s="52"/>
      <c r="F22" s="52"/>
      <c r="G22" s="52"/>
      <c r="H22" s="52"/>
      <c r="I22" s="52"/>
      <c r="J22" s="28">
        <f>ROUND(SUM(J15:J17),2)</f>
        <v>69182</v>
      </c>
      <c r="K22" s="28">
        <f>ROUND(SUM(K18:K21),2)</f>
        <v>69182</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31930</v>
      </c>
      <c r="K45" s="32"/>
    </row>
    <row r="46" spans="1:12" ht="16.5" customHeight="1" x14ac:dyDescent="0.2">
      <c r="A46" s="51"/>
      <c r="B46" s="62"/>
      <c r="C46" s="166" t="s">
        <v>13</v>
      </c>
      <c r="D46" s="166"/>
      <c r="E46" s="166"/>
      <c r="F46" s="166"/>
      <c r="G46" s="166"/>
      <c r="H46" s="166"/>
      <c r="I46" s="166"/>
      <c r="J46" s="35"/>
      <c r="K46" s="31">
        <f>J45</f>
        <v>31930</v>
      </c>
    </row>
    <row r="47" spans="1:12" ht="16.5" customHeight="1" x14ac:dyDescent="0.2">
      <c r="A47" s="60"/>
      <c r="B47" s="52"/>
      <c r="C47" s="52"/>
      <c r="D47" s="52"/>
      <c r="E47" s="52"/>
      <c r="F47" s="52"/>
      <c r="G47" s="52"/>
      <c r="H47" s="52"/>
      <c r="I47" s="52"/>
      <c r="J47" s="38">
        <f>ROUND(SUM(J45:J45),2)</f>
        <v>31930</v>
      </c>
      <c r="K47" s="38">
        <f>ROUND(SUM(K46),2)</f>
        <v>31930</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-2861</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2861</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0</v>
      </c>
    </row>
    <row r="53" spans="1:12" ht="16.5" customHeight="1" x14ac:dyDescent="0.2">
      <c r="A53" s="60"/>
      <c r="B53" s="52"/>
      <c r="C53" s="52"/>
      <c r="D53" s="52"/>
      <c r="E53" s="52"/>
      <c r="F53" s="52"/>
      <c r="G53" s="52"/>
      <c r="H53" s="52"/>
      <c r="I53" s="52"/>
      <c r="J53" s="38">
        <f>ROUND(SUM(J50:J51),2)</f>
        <v>0</v>
      </c>
      <c r="K53" s="38">
        <f>ROUND(SUM(K52,),2)</f>
        <v>0</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-2861</v>
      </c>
      <c r="K56" s="35"/>
    </row>
    <row r="57" spans="1:12" ht="16.5" customHeight="1" x14ac:dyDescent="0.25">
      <c r="A57" s="51"/>
      <c r="B57" s="156"/>
      <c r="C57" s="166" t="s">
        <v>32</v>
      </c>
      <c r="D57" s="166"/>
      <c r="E57" s="166"/>
      <c r="F57" s="166"/>
      <c r="G57" s="166"/>
      <c r="H57" s="166"/>
      <c r="I57" s="166"/>
      <c r="J57" s="35"/>
      <c r="K57" s="31">
        <f>J50</f>
        <v>-2861</v>
      </c>
    </row>
    <row r="58" spans="1:12" ht="16.5" customHeight="1" x14ac:dyDescent="0.2">
      <c r="A58" s="60"/>
      <c r="B58" s="52"/>
      <c r="C58" s="52"/>
      <c r="D58" s="52"/>
      <c r="E58" s="52"/>
      <c r="F58" s="52"/>
      <c r="G58" s="52"/>
      <c r="H58" s="52"/>
      <c r="I58" s="52"/>
      <c r="J58" s="38">
        <f>ROUND(SUM(J56:J56),2)</f>
        <v>-2861</v>
      </c>
      <c r="K58" s="38">
        <f>ROUND(SUM(K57),2)</f>
        <v>-2861</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61754</v>
      </c>
      <c r="K61" s="32"/>
    </row>
    <row r="62" spans="1:12" ht="16.5" customHeight="1" x14ac:dyDescent="0.25">
      <c r="A62" s="51"/>
      <c r="B62" s="156"/>
      <c r="C62" s="166" t="s">
        <v>34</v>
      </c>
      <c r="D62" s="166"/>
      <c r="E62" s="166"/>
      <c r="F62" s="166"/>
      <c r="G62" s="166"/>
      <c r="H62" s="166"/>
      <c r="I62" s="166"/>
      <c r="J62" s="32"/>
      <c r="K62" s="31">
        <f>J61</f>
        <v>61754</v>
      </c>
    </row>
    <row r="63" spans="1:12" ht="16.5" customHeight="1" x14ac:dyDescent="0.2">
      <c r="A63" s="51"/>
      <c r="B63" s="171" t="s">
        <v>35</v>
      </c>
      <c r="C63" s="171"/>
      <c r="D63" s="171"/>
      <c r="E63" s="171"/>
      <c r="F63" s="171"/>
      <c r="G63" s="171"/>
      <c r="H63" s="171"/>
      <c r="I63" s="171"/>
      <c r="J63" s="38">
        <f>ROUND(SUM(J61:J61),2)</f>
        <v>61754</v>
      </c>
      <c r="K63" s="38">
        <f>ROUND(SUM(K62),2)</f>
        <v>61754</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69182</v>
      </c>
    </row>
    <row r="95" spans="1:12" ht="16.5" customHeight="1" x14ac:dyDescent="0.25">
      <c r="D95" s="156" t="s">
        <v>48</v>
      </c>
      <c r="E95"/>
      <c r="F95"/>
      <c r="G95"/>
      <c r="H95" s="42"/>
      <c r="I95"/>
      <c r="J95"/>
      <c r="K95" s="162">
        <f>-K18-K46+J68+J77</f>
        <v>-31930</v>
      </c>
    </row>
    <row r="96" spans="1:12" ht="16.5" customHeight="1" x14ac:dyDescent="0.25">
      <c r="D96" s="156" t="s">
        <v>49</v>
      </c>
      <c r="E96"/>
      <c r="F96"/>
      <c r="G96"/>
      <c r="H96" s="42"/>
      <c r="I96"/>
      <c r="J96"/>
      <c r="K96" s="162">
        <f>-K19-K37+J56+J61+J76-K85</f>
        <v>0</v>
      </c>
    </row>
    <row r="97" spans="1:11" ht="16.5" customHeight="1" x14ac:dyDescent="0.25">
      <c r="D97" s="156" t="s">
        <v>50</v>
      </c>
      <c r="E97"/>
      <c r="F97"/>
      <c r="G97"/>
      <c r="H97" s="42"/>
      <c r="I97"/>
      <c r="J97"/>
      <c r="K97" s="162">
        <f>-K62</f>
        <v>-61754</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MvipwwQc0+olk3kIywWxRi82YbS7MEhXU1s7XESr9GTlOO6LfKdQ7XIbHt9F3AIaF8e827VSIuY0ngjwB49XRA==" saltValue="zh4fhis4rrJ4cF0ot8UNK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8"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93C9A115-776D-42F8-B125-2FE05C8C295A}">
      <formula1>4</formula1>
    </dataValidation>
    <dataValidation type="textLength" operator="lessThan" allowBlank="1" showInputMessage="1" showErrorMessage="1" sqref="E11 A6:A8" xr:uid="{D5FFCE48-9981-4642-B5D3-D05125BCA2C9}">
      <formula1>0</formula1>
    </dataValidation>
    <dataValidation operator="lessThan" allowBlank="1" showInputMessage="1" showErrorMessage="1" sqref="A3:A5 A7:A8 A11" xr:uid="{D75E23B4-6298-426B-BD77-5BBFDF85ED14}"/>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D5044-2E18-4BB3-86E9-EBF5D5EC9D47}">
  <sheetPr>
    <tabColor rgb="FF92D050"/>
    <pageSetUpPr fitToPage="1"/>
  </sheetPr>
  <dimension ref="A1:Q115"/>
  <sheetViews>
    <sheetView topLeftCell="A34"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706</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121462</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69633</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51829</v>
      </c>
      <c r="Q21" s="27"/>
    </row>
    <row r="22" spans="1:17" ht="16.5" customHeight="1" x14ac:dyDescent="0.2">
      <c r="A22" s="51"/>
      <c r="B22" s="52"/>
      <c r="C22" s="52"/>
      <c r="D22" s="52"/>
      <c r="E22" s="52"/>
      <c r="F22" s="52"/>
      <c r="G22" s="52"/>
      <c r="H22" s="52"/>
      <c r="I22" s="52"/>
      <c r="J22" s="28">
        <f>ROUND(SUM(J15:J17),2)</f>
        <v>121462</v>
      </c>
      <c r="K22" s="28">
        <f>ROUND(SUM(K18:K21),2)</f>
        <v>121462</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25130</v>
      </c>
      <c r="K45" s="32"/>
    </row>
    <row r="46" spans="1:12" ht="16.5" customHeight="1" x14ac:dyDescent="0.2">
      <c r="A46" s="51"/>
      <c r="B46" s="62"/>
      <c r="C46" s="166" t="s">
        <v>13</v>
      </c>
      <c r="D46" s="166"/>
      <c r="E46" s="166"/>
      <c r="F46" s="166"/>
      <c r="G46" s="166"/>
      <c r="H46" s="166"/>
      <c r="I46" s="166"/>
      <c r="J46" s="35"/>
      <c r="K46" s="31">
        <f>J45</f>
        <v>25130</v>
      </c>
    </row>
    <row r="47" spans="1:12" ht="16.5" customHeight="1" x14ac:dyDescent="0.2">
      <c r="A47" s="60"/>
      <c r="B47" s="52"/>
      <c r="C47" s="52"/>
      <c r="D47" s="52"/>
      <c r="E47" s="52"/>
      <c r="F47" s="52"/>
      <c r="G47" s="52"/>
      <c r="H47" s="52"/>
      <c r="I47" s="52"/>
      <c r="J47" s="38">
        <f>ROUND(SUM(J45:J45),2)</f>
        <v>25130</v>
      </c>
      <c r="K47" s="38">
        <f>ROUND(SUM(K46),2)</f>
        <v>25130</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15526</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2939</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18465</v>
      </c>
    </row>
    <row r="53" spans="1:12" ht="16.5" customHeight="1" x14ac:dyDescent="0.2">
      <c r="A53" s="60"/>
      <c r="B53" s="52"/>
      <c r="C53" s="52"/>
      <c r="D53" s="52"/>
      <c r="E53" s="52"/>
      <c r="F53" s="52"/>
      <c r="G53" s="52"/>
      <c r="H53" s="52"/>
      <c r="I53" s="52"/>
      <c r="J53" s="38">
        <f>ROUND(SUM(J50:J51),2)</f>
        <v>18465</v>
      </c>
      <c r="K53" s="38">
        <f>ROUND(SUM(K52,),2)</f>
        <v>18465</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15526</v>
      </c>
      <c r="K56" s="35"/>
    </row>
    <row r="57" spans="1:12" ht="16.5" customHeight="1" x14ac:dyDescent="0.25">
      <c r="A57" s="51"/>
      <c r="B57" s="156"/>
      <c r="C57" s="166" t="s">
        <v>32</v>
      </c>
      <c r="D57" s="166"/>
      <c r="E57" s="166"/>
      <c r="F57" s="166"/>
      <c r="G57" s="166"/>
      <c r="H57" s="166"/>
      <c r="I57" s="166"/>
      <c r="J57" s="35"/>
      <c r="K57" s="31">
        <f>J50</f>
        <v>15526</v>
      </c>
    </row>
    <row r="58" spans="1:12" ht="16.5" customHeight="1" x14ac:dyDescent="0.2">
      <c r="A58" s="60"/>
      <c r="B58" s="52"/>
      <c r="C58" s="52"/>
      <c r="D58" s="52"/>
      <c r="E58" s="52"/>
      <c r="F58" s="52"/>
      <c r="G58" s="52"/>
      <c r="H58" s="52"/>
      <c r="I58" s="52"/>
      <c r="J58" s="38">
        <f>ROUND(SUM(J56:J56),2)</f>
        <v>15526</v>
      </c>
      <c r="K58" s="38">
        <f>ROUND(SUM(K57),2)</f>
        <v>15526</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17610</v>
      </c>
      <c r="K61" s="32"/>
    </row>
    <row r="62" spans="1:12" ht="16.5" customHeight="1" x14ac:dyDescent="0.25">
      <c r="A62" s="51"/>
      <c r="B62" s="156"/>
      <c r="C62" s="166" t="s">
        <v>34</v>
      </c>
      <c r="D62" s="166"/>
      <c r="E62" s="166"/>
      <c r="F62" s="166"/>
      <c r="G62" s="166"/>
      <c r="H62" s="166"/>
      <c r="I62" s="166"/>
      <c r="J62" s="32"/>
      <c r="K62" s="31">
        <f>J61</f>
        <v>17610</v>
      </c>
    </row>
    <row r="63" spans="1:12" ht="16.5" customHeight="1" x14ac:dyDescent="0.2">
      <c r="A63" s="51"/>
      <c r="B63" s="171" t="s">
        <v>35</v>
      </c>
      <c r="C63" s="171"/>
      <c r="D63" s="171"/>
      <c r="E63" s="171"/>
      <c r="F63" s="171"/>
      <c r="G63" s="171"/>
      <c r="H63" s="171"/>
      <c r="I63" s="171"/>
      <c r="J63" s="38">
        <f>ROUND(SUM(J61:J61),2)</f>
        <v>17610</v>
      </c>
      <c r="K63" s="38">
        <f>ROUND(SUM(K62),2)</f>
        <v>17610</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121462</v>
      </c>
    </row>
    <row r="95" spans="1:12" ht="16.5" customHeight="1" x14ac:dyDescent="0.25">
      <c r="D95" s="156" t="s">
        <v>48</v>
      </c>
      <c r="E95"/>
      <c r="F95"/>
      <c r="G95"/>
      <c r="H95" s="42"/>
      <c r="I95"/>
      <c r="J95"/>
      <c r="K95" s="162">
        <f>-K18-K46+J68+J77</f>
        <v>-25130</v>
      </c>
    </row>
    <row r="96" spans="1:12" ht="16.5" customHeight="1" x14ac:dyDescent="0.25">
      <c r="D96" s="156" t="s">
        <v>49</v>
      </c>
      <c r="E96"/>
      <c r="F96"/>
      <c r="G96"/>
      <c r="H96" s="42"/>
      <c r="I96"/>
      <c r="J96"/>
      <c r="K96" s="162">
        <f>-K19-K37+J56+J61+J76-K85</f>
        <v>-36497</v>
      </c>
    </row>
    <row r="97" spans="1:11" ht="16.5" customHeight="1" x14ac:dyDescent="0.25">
      <c r="D97" s="156" t="s">
        <v>50</v>
      </c>
      <c r="E97"/>
      <c r="F97"/>
      <c r="G97"/>
      <c r="H97" s="42"/>
      <c r="I97"/>
      <c r="J97"/>
      <c r="K97" s="162">
        <f>-K62</f>
        <v>-17610</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TOikucvW35f2oWIER8zKcj/onfP2ciISeaThfmt8uIHpVtCHmnR/YumdwwmXwM/YLDeZWOC0RC/SL920KKTAxg==" saltValue="SVJA/iotkoTONvdyFAa3/g=="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7"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10178346-04D8-407D-B1E7-41244C89D793}">
      <formula1>4</formula1>
    </dataValidation>
    <dataValidation type="textLength" operator="lessThan" allowBlank="1" showInputMessage="1" showErrorMessage="1" sqref="E11 A6:A8" xr:uid="{C758AA86-A023-4525-BED9-EB2336ED3A78}">
      <formula1>0</formula1>
    </dataValidation>
    <dataValidation operator="lessThan" allowBlank="1" showInputMessage="1" showErrorMessage="1" sqref="A3:A5 A7:A8 A11" xr:uid="{3B5EA858-F985-451B-9035-A469DCCF4FAD}"/>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opLeftCell="A37" zoomScale="85" zoomScaleNormal="85" workbookViewId="0">
      <selection activeCell="J62" sqref="J62"/>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717</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151827</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87041</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64786</v>
      </c>
      <c r="Q21" s="27"/>
    </row>
    <row r="22" spans="1:17" ht="16.5" customHeight="1" x14ac:dyDescent="0.2">
      <c r="A22" s="51"/>
      <c r="B22" s="52"/>
      <c r="C22" s="52"/>
      <c r="D22" s="52"/>
      <c r="E22" s="52"/>
      <c r="F22" s="52"/>
      <c r="G22" s="52"/>
      <c r="H22" s="52"/>
      <c r="I22" s="52"/>
      <c r="J22" s="28">
        <f>ROUND(SUM(J15:J17),2)</f>
        <v>151827</v>
      </c>
      <c r="K22" s="28">
        <f>ROUND(SUM(K18:K21),2)</f>
        <v>151827</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31412</v>
      </c>
      <c r="K45" s="32"/>
    </row>
    <row r="46" spans="1:12" ht="16.5" customHeight="1" x14ac:dyDescent="0.2">
      <c r="A46" s="51"/>
      <c r="B46" s="62"/>
      <c r="C46" s="166" t="s">
        <v>13</v>
      </c>
      <c r="D46" s="166"/>
      <c r="E46" s="166"/>
      <c r="F46" s="166"/>
      <c r="G46" s="166"/>
      <c r="H46" s="166"/>
      <c r="I46" s="166"/>
      <c r="J46" s="35"/>
      <c r="K46" s="31">
        <f>J45</f>
        <v>31412</v>
      </c>
    </row>
    <row r="47" spans="1:12" ht="16.5" customHeight="1" x14ac:dyDescent="0.2">
      <c r="A47" s="60"/>
      <c r="B47" s="52"/>
      <c r="C47" s="52"/>
      <c r="D47" s="52"/>
      <c r="E47" s="52"/>
      <c r="F47" s="52"/>
      <c r="G47" s="52"/>
      <c r="H47" s="52"/>
      <c r="I47" s="52"/>
      <c r="J47" s="38">
        <f>ROUND(SUM(J45:J45),2)</f>
        <v>31412</v>
      </c>
      <c r="K47" s="38">
        <f>ROUND(SUM(K46),2)</f>
        <v>31412</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19407</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3674</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23081</v>
      </c>
    </row>
    <row r="53" spans="1:12" ht="16.5" customHeight="1" x14ac:dyDescent="0.2">
      <c r="A53" s="60"/>
      <c r="B53" s="52"/>
      <c r="C53" s="52"/>
      <c r="D53" s="52"/>
      <c r="E53" s="52"/>
      <c r="F53" s="52"/>
      <c r="G53" s="52"/>
      <c r="H53" s="52"/>
      <c r="I53" s="52"/>
      <c r="J53" s="38">
        <f>ROUND(SUM(J50:J51),2)</f>
        <v>23081</v>
      </c>
      <c r="K53" s="38">
        <f>ROUND(SUM(K52,),2)</f>
        <v>23081</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19407</v>
      </c>
      <c r="K56" s="35"/>
    </row>
    <row r="57" spans="1:12" ht="16.5" customHeight="1" x14ac:dyDescent="0.25">
      <c r="A57" s="51"/>
      <c r="B57" s="156"/>
      <c r="C57" s="166" t="s">
        <v>32</v>
      </c>
      <c r="D57" s="166"/>
      <c r="E57" s="166"/>
      <c r="F57" s="166"/>
      <c r="G57" s="166"/>
      <c r="H57" s="166"/>
      <c r="I57" s="166"/>
      <c r="J57" s="35"/>
      <c r="K57" s="31">
        <f>J50</f>
        <v>19407</v>
      </c>
    </row>
    <row r="58" spans="1:12" ht="16.5" customHeight="1" x14ac:dyDescent="0.2">
      <c r="A58" s="60"/>
      <c r="B58" s="52"/>
      <c r="C58" s="52"/>
      <c r="D58" s="52"/>
      <c r="E58" s="52"/>
      <c r="F58" s="52"/>
      <c r="G58" s="52"/>
      <c r="H58" s="52"/>
      <c r="I58" s="52"/>
      <c r="J58" s="38">
        <f>ROUND(SUM(J56:J56),2)</f>
        <v>19407</v>
      </c>
      <c r="K58" s="38">
        <f>ROUND(SUM(K57),2)</f>
        <v>19407</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22012</v>
      </c>
      <c r="K61" s="32"/>
    </row>
    <row r="62" spans="1:12" ht="16.5" customHeight="1" x14ac:dyDescent="0.25">
      <c r="A62" s="51"/>
      <c r="B62" s="156"/>
      <c r="C62" s="166" t="s">
        <v>34</v>
      </c>
      <c r="D62" s="166"/>
      <c r="E62" s="166"/>
      <c r="F62" s="166"/>
      <c r="G62" s="166"/>
      <c r="H62" s="166"/>
      <c r="I62" s="166"/>
      <c r="J62" s="32"/>
      <c r="K62" s="31">
        <f>J61</f>
        <v>22012</v>
      </c>
    </row>
    <row r="63" spans="1:12" ht="16.5" customHeight="1" x14ac:dyDescent="0.2">
      <c r="A63" s="51"/>
      <c r="B63" s="171" t="s">
        <v>35</v>
      </c>
      <c r="C63" s="171"/>
      <c r="D63" s="171"/>
      <c r="E63" s="171"/>
      <c r="F63" s="171"/>
      <c r="G63" s="171"/>
      <c r="H63" s="171"/>
      <c r="I63" s="171"/>
      <c r="J63" s="38">
        <f>ROUND(SUM(J61:J61),2)</f>
        <v>22012</v>
      </c>
      <c r="K63" s="38">
        <f>ROUND(SUM(K62),2)</f>
        <v>22012</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tr">
        <f>VLOOKUP($F$8,'Drop Down Menus'!$D$2:$G$10,4,FALSE)</f>
        <v>Cr: Acct 0825 - BUS, CONSUMER SERV, HOUSING</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tr">
        <f>VLOOKUP($F$8,'Drop Down Menus'!$D$2:$G$10,4,FALSE)</f>
        <v>Cr: Acct 0825 - BUS, CONSUMER SERV, HOUSING</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151827</v>
      </c>
    </row>
    <row r="95" spans="1:12" ht="16.5" customHeight="1" x14ac:dyDescent="0.25">
      <c r="D95" s="156" t="s">
        <v>48</v>
      </c>
      <c r="E95"/>
      <c r="F95"/>
      <c r="G95"/>
      <c r="H95" s="42"/>
      <c r="I95"/>
      <c r="J95"/>
      <c r="K95" s="162">
        <f>-K18-K46+J68+J77</f>
        <v>-31412</v>
      </c>
    </row>
    <row r="96" spans="1:12" ht="16.5" customHeight="1" x14ac:dyDescent="0.25">
      <c r="D96" s="156" t="s">
        <v>49</v>
      </c>
      <c r="E96"/>
      <c r="F96"/>
      <c r="G96"/>
      <c r="H96" s="42"/>
      <c r="I96"/>
      <c r="J96"/>
      <c r="K96" s="162">
        <f>-K19-K37+J56+J61+J76-K85</f>
        <v>-45622</v>
      </c>
    </row>
    <row r="97" spans="1:11" ht="16.5" customHeight="1" x14ac:dyDescent="0.25">
      <c r="D97" s="156" t="s">
        <v>50</v>
      </c>
      <c r="E97"/>
      <c r="F97"/>
      <c r="G97"/>
      <c r="H97" s="42"/>
      <c r="I97"/>
      <c r="J97"/>
      <c r="K97" s="162">
        <f>-K62</f>
        <v>-22012</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Rxm+UTwLxmttT3qjY9+xSVTUPDn4mfFGBKwtaWoqnBRryZhAdUGUBJSpZ+hlNDf2F5DBUsTz+xfKcCAqdTMqw==" saltValue="/BoHwdob8yspYcJ2bsEMdA=="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6"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F60A-3164-4C04-A9F8-9795E1EB6A6F}">
  <sheetPr>
    <tabColor rgb="FF92D050"/>
    <pageSetUpPr fitToPage="1"/>
  </sheetPr>
  <dimension ref="A1:Q115"/>
  <sheetViews>
    <sheetView topLeftCell="A34" zoomScale="85" zoomScaleNormal="85" workbookViewId="0">
      <selection activeCell="J62" sqref="J62"/>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752</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12146</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6963</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5183</v>
      </c>
      <c r="Q21" s="27"/>
    </row>
    <row r="22" spans="1:17" ht="16.5" customHeight="1" x14ac:dyDescent="0.2">
      <c r="A22" s="51"/>
      <c r="B22" s="52"/>
      <c r="C22" s="52"/>
      <c r="D22" s="52"/>
      <c r="E22" s="52"/>
      <c r="F22" s="52"/>
      <c r="G22" s="52"/>
      <c r="H22" s="52"/>
      <c r="I22" s="52"/>
      <c r="J22" s="28">
        <f>ROUND(SUM(J15:J17),2)</f>
        <v>12146</v>
      </c>
      <c r="K22" s="28">
        <f>ROUND(SUM(K18:K21),2)</f>
        <v>12146</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2513</v>
      </c>
      <c r="K45" s="32"/>
    </row>
    <row r="46" spans="1:12" ht="16.5" customHeight="1" x14ac:dyDescent="0.2">
      <c r="A46" s="51"/>
      <c r="B46" s="62"/>
      <c r="C46" s="166" t="s">
        <v>13</v>
      </c>
      <c r="D46" s="166"/>
      <c r="E46" s="166"/>
      <c r="F46" s="166"/>
      <c r="G46" s="166"/>
      <c r="H46" s="166"/>
      <c r="I46" s="166"/>
      <c r="J46" s="35"/>
      <c r="K46" s="31">
        <f>J45</f>
        <v>2513</v>
      </c>
    </row>
    <row r="47" spans="1:12" ht="16.5" customHeight="1" x14ac:dyDescent="0.2">
      <c r="A47" s="60"/>
      <c r="B47" s="52"/>
      <c r="C47" s="52"/>
      <c r="D47" s="52"/>
      <c r="E47" s="52"/>
      <c r="F47" s="52"/>
      <c r="G47" s="52"/>
      <c r="H47" s="52"/>
      <c r="I47" s="52"/>
      <c r="J47" s="38">
        <f>ROUND(SUM(J45:J45),2)</f>
        <v>2513</v>
      </c>
      <c r="K47" s="38">
        <f>ROUND(SUM(K46),2)</f>
        <v>2513</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1553</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293.93</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1846.93</v>
      </c>
    </row>
    <row r="53" spans="1:12" ht="16.5" customHeight="1" x14ac:dyDescent="0.2">
      <c r="A53" s="60"/>
      <c r="B53" s="52"/>
      <c r="C53" s="52"/>
      <c r="D53" s="52"/>
      <c r="E53" s="52"/>
      <c r="F53" s="52"/>
      <c r="G53" s="52"/>
      <c r="H53" s="52"/>
      <c r="I53" s="52"/>
      <c r="J53" s="38">
        <f>ROUND(SUM(J50:J51),2)</f>
        <v>1846.93</v>
      </c>
      <c r="K53" s="38">
        <f>ROUND(SUM(K52,),2)</f>
        <v>1846.93</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1553</v>
      </c>
      <c r="K56" s="35"/>
    </row>
    <row r="57" spans="1:12" ht="16.5" customHeight="1" x14ac:dyDescent="0.25">
      <c r="A57" s="51"/>
      <c r="B57" s="156"/>
      <c r="C57" s="166" t="s">
        <v>32</v>
      </c>
      <c r="D57" s="166"/>
      <c r="E57" s="166"/>
      <c r="F57" s="166"/>
      <c r="G57" s="166"/>
      <c r="H57" s="166"/>
      <c r="I57" s="166"/>
      <c r="J57" s="35"/>
      <c r="K57" s="31">
        <f>J50</f>
        <v>1553</v>
      </c>
    </row>
    <row r="58" spans="1:12" ht="16.5" customHeight="1" x14ac:dyDescent="0.2">
      <c r="A58" s="60"/>
      <c r="B58" s="52"/>
      <c r="C58" s="52"/>
      <c r="D58" s="52"/>
      <c r="E58" s="52"/>
      <c r="F58" s="52"/>
      <c r="G58" s="52"/>
      <c r="H58" s="52"/>
      <c r="I58" s="52"/>
      <c r="J58" s="38">
        <f>ROUND(SUM(J56:J56),2)</f>
        <v>1553</v>
      </c>
      <c r="K58" s="38">
        <f>ROUND(SUM(K57),2)</f>
        <v>1553</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1761</v>
      </c>
      <c r="K61" s="32"/>
    </row>
    <row r="62" spans="1:12" ht="16.5" customHeight="1" x14ac:dyDescent="0.25">
      <c r="A62" s="51"/>
      <c r="B62" s="156"/>
      <c r="C62" s="166" t="s">
        <v>34</v>
      </c>
      <c r="D62" s="166"/>
      <c r="E62" s="166"/>
      <c r="F62" s="166"/>
      <c r="G62" s="166"/>
      <c r="H62" s="166"/>
      <c r="I62" s="166"/>
      <c r="J62" s="32"/>
      <c r="K62" s="31">
        <f>J61</f>
        <v>1761</v>
      </c>
    </row>
    <row r="63" spans="1:12" ht="16.5" customHeight="1" x14ac:dyDescent="0.2">
      <c r="A63" s="51"/>
      <c r="B63" s="171" t="s">
        <v>35</v>
      </c>
      <c r="C63" s="171"/>
      <c r="D63" s="171"/>
      <c r="E63" s="171"/>
      <c r="F63" s="171"/>
      <c r="G63" s="171"/>
      <c r="H63" s="171"/>
      <c r="I63" s="171"/>
      <c r="J63" s="38">
        <f>ROUND(SUM(J61:J61),2)</f>
        <v>1761</v>
      </c>
      <c r="K63" s="38">
        <f>ROUND(SUM(K62),2)</f>
        <v>1761</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12146</v>
      </c>
    </row>
    <row r="95" spans="1:12" ht="16.5" customHeight="1" x14ac:dyDescent="0.25">
      <c r="D95" s="156" t="s">
        <v>48</v>
      </c>
      <c r="E95"/>
      <c r="F95"/>
      <c r="G95"/>
      <c r="H95" s="42"/>
      <c r="I95"/>
      <c r="J95"/>
      <c r="K95" s="162">
        <f>-K18-K46+J68+J77</f>
        <v>-2513</v>
      </c>
    </row>
    <row r="96" spans="1:12" ht="16.5" customHeight="1" x14ac:dyDescent="0.25">
      <c r="D96" s="156" t="s">
        <v>49</v>
      </c>
      <c r="E96"/>
      <c r="F96"/>
      <c r="G96"/>
      <c r="H96" s="42"/>
      <c r="I96"/>
      <c r="J96"/>
      <c r="K96" s="162">
        <f>-K19-K37+J56+J61+J76-K85</f>
        <v>-3649</v>
      </c>
    </row>
    <row r="97" spans="1:11" ht="16.5" customHeight="1" x14ac:dyDescent="0.25">
      <c r="D97" s="156" t="s">
        <v>50</v>
      </c>
      <c r="E97"/>
      <c r="F97"/>
      <c r="G97"/>
      <c r="H97" s="42"/>
      <c r="I97"/>
      <c r="J97"/>
      <c r="K97" s="162">
        <f>-K62</f>
        <v>-1761</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RZ16ByyYmifXU24wbDvFq03B6DiQvlB8i1VsExOnMTYR4Ju9K7K2qKyH8vtQ98UztRTNiRQavpuBC29q7pgSfA==" saltValue="i4IFbrA8GrWPay6I1KhB0w=="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5"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E3F2F4C7-E242-4A1B-BD5E-B26C93198531}">
      <formula1>4</formula1>
    </dataValidation>
    <dataValidation type="textLength" operator="lessThan" allowBlank="1" showInputMessage="1" showErrorMessage="1" sqref="E11 A6:A8" xr:uid="{7D6738F5-A849-4C46-AC70-F51C209A6C36}">
      <formula1>0</formula1>
    </dataValidation>
    <dataValidation operator="lessThan" allowBlank="1" showInputMessage="1" showErrorMessage="1" sqref="A3:A5 A7:A8 A11" xr:uid="{A29B8075-E1B8-4093-9A31-679C54F4182D}"/>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174B-66A4-47CF-98B9-DCCC909DD354}">
  <sheetPr>
    <tabColor rgb="FF92D050"/>
    <pageSetUpPr fitToPage="1"/>
  </sheetPr>
  <dimension ref="A1:Q115"/>
  <sheetViews>
    <sheetView topLeftCell="A37"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757</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30365</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17408</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12957</v>
      </c>
      <c r="Q21" s="27"/>
    </row>
    <row r="22" spans="1:17" ht="16.5" customHeight="1" x14ac:dyDescent="0.2">
      <c r="A22" s="51"/>
      <c r="B22" s="52"/>
      <c r="C22" s="52"/>
      <c r="D22" s="52"/>
      <c r="E22" s="52"/>
      <c r="F22" s="52"/>
      <c r="G22" s="52"/>
      <c r="H22" s="52"/>
      <c r="I22" s="52"/>
      <c r="J22" s="28">
        <f>ROUND(SUM(J15:J17),2)</f>
        <v>30365</v>
      </c>
      <c r="K22" s="28">
        <f>ROUND(SUM(K18:K21),2)</f>
        <v>30365</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6282</v>
      </c>
      <c r="K45" s="32"/>
    </row>
    <row r="46" spans="1:12" ht="16.5" customHeight="1" x14ac:dyDescent="0.2">
      <c r="A46" s="51"/>
      <c r="B46" s="62"/>
      <c r="C46" s="166" t="s">
        <v>13</v>
      </c>
      <c r="D46" s="166"/>
      <c r="E46" s="166"/>
      <c r="F46" s="166"/>
      <c r="G46" s="166"/>
      <c r="H46" s="166"/>
      <c r="I46" s="166"/>
      <c r="J46" s="35"/>
      <c r="K46" s="31">
        <f>J45</f>
        <v>6282</v>
      </c>
    </row>
    <row r="47" spans="1:12" ht="16.5" customHeight="1" x14ac:dyDescent="0.2">
      <c r="A47" s="60"/>
      <c r="B47" s="52"/>
      <c r="C47" s="52"/>
      <c r="D47" s="52"/>
      <c r="E47" s="52"/>
      <c r="F47" s="52"/>
      <c r="G47" s="52"/>
      <c r="H47" s="52"/>
      <c r="I47" s="52"/>
      <c r="J47" s="38">
        <f>ROUND(SUM(J45:J45),2)</f>
        <v>6282</v>
      </c>
      <c r="K47" s="38">
        <f>ROUND(SUM(K46),2)</f>
        <v>6282</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3881</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735</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4616</v>
      </c>
    </row>
    <row r="53" spans="1:12" ht="16.5" customHeight="1" x14ac:dyDescent="0.2">
      <c r="A53" s="60"/>
      <c r="B53" s="52"/>
      <c r="C53" s="52"/>
      <c r="D53" s="52"/>
      <c r="E53" s="52"/>
      <c r="F53" s="52"/>
      <c r="G53" s="52"/>
      <c r="H53" s="52"/>
      <c r="I53" s="52"/>
      <c r="J53" s="38">
        <f>ROUND(SUM(J50:J51),2)</f>
        <v>4616</v>
      </c>
      <c r="K53" s="38">
        <f>ROUND(SUM(K52,),2)</f>
        <v>4616</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3881</v>
      </c>
      <c r="K56" s="35"/>
    </row>
    <row r="57" spans="1:12" ht="16.5" customHeight="1" x14ac:dyDescent="0.25">
      <c r="A57" s="51"/>
      <c r="B57" s="156"/>
      <c r="C57" s="166" t="s">
        <v>32</v>
      </c>
      <c r="D57" s="166"/>
      <c r="E57" s="166"/>
      <c r="F57" s="166"/>
      <c r="G57" s="166"/>
      <c r="H57" s="166"/>
      <c r="I57" s="166"/>
      <c r="J57" s="35"/>
      <c r="K57" s="31">
        <f>J50</f>
        <v>3881</v>
      </c>
    </row>
    <row r="58" spans="1:12" ht="16.5" customHeight="1" x14ac:dyDescent="0.2">
      <c r="A58" s="60"/>
      <c r="B58" s="52"/>
      <c r="C58" s="52"/>
      <c r="D58" s="52"/>
      <c r="E58" s="52"/>
      <c r="F58" s="52"/>
      <c r="G58" s="52"/>
      <c r="H58" s="52"/>
      <c r="I58" s="52"/>
      <c r="J58" s="38">
        <f>ROUND(SUM(J56:J56),2)</f>
        <v>3881</v>
      </c>
      <c r="K58" s="38">
        <f>ROUND(SUM(K57),2)</f>
        <v>3881</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4402</v>
      </c>
      <c r="K61" s="32"/>
    </row>
    <row r="62" spans="1:12" ht="16.5" customHeight="1" x14ac:dyDescent="0.25">
      <c r="A62" s="51"/>
      <c r="B62" s="156"/>
      <c r="C62" s="166" t="s">
        <v>34</v>
      </c>
      <c r="D62" s="166"/>
      <c r="E62" s="166"/>
      <c r="F62" s="166"/>
      <c r="G62" s="166"/>
      <c r="H62" s="166"/>
      <c r="I62" s="166"/>
      <c r="J62" s="32"/>
      <c r="K62" s="31">
        <f>J61</f>
        <v>4402</v>
      </c>
    </row>
    <row r="63" spans="1:12" ht="16.5" customHeight="1" x14ac:dyDescent="0.2">
      <c r="A63" s="51"/>
      <c r="B63" s="171" t="s">
        <v>35</v>
      </c>
      <c r="C63" s="171"/>
      <c r="D63" s="171"/>
      <c r="E63" s="171"/>
      <c r="F63" s="171"/>
      <c r="G63" s="171"/>
      <c r="H63" s="171"/>
      <c r="I63" s="171"/>
      <c r="J63" s="38">
        <f>ROUND(SUM(J61:J61),2)</f>
        <v>4402</v>
      </c>
      <c r="K63" s="38">
        <f>ROUND(SUM(K62),2)</f>
        <v>4402</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30365</v>
      </c>
    </row>
    <row r="95" spans="1:12" ht="16.5" customHeight="1" x14ac:dyDescent="0.25">
      <c r="D95" s="156" t="s">
        <v>48</v>
      </c>
      <c r="E95"/>
      <c r="F95"/>
      <c r="G95"/>
      <c r="H95" s="42"/>
      <c r="I95"/>
      <c r="J95"/>
      <c r="K95" s="162">
        <f>-K18-K46+J68+J77</f>
        <v>-6282</v>
      </c>
    </row>
    <row r="96" spans="1:12" ht="16.5" customHeight="1" x14ac:dyDescent="0.25">
      <c r="D96" s="156" t="s">
        <v>49</v>
      </c>
      <c r="E96"/>
      <c r="F96"/>
      <c r="G96"/>
      <c r="H96" s="42"/>
      <c r="I96"/>
      <c r="J96"/>
      <c r="K96" s="162">
        <f>-K19-K37+J56+J61+J76-K85</f>
        <v>-9125</v>
      </c>
    </row>
    <row r="97" spans="1:11" ht="16.5" customHeight="1" x14ac:dyDescent="0.25">
      <c r="D97" s="156" t="s">
        <v>50</v>
      </c>
      <c r="E97"/>
      <c r="F97"/>
      <c r="G97"/>
      <c r="H97" s="42"/>
      <c r="I97"/>
      <c r="J97"/>
      <c r="K97" s="162">
        <f>-K62</f>
        <v>-4402</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bbdAzsUi3zeSYqFchT43NReJV2b2K7ya7eybSqbIUE4kk/zyxOVGldLOvDbGvkbaxUvhtoVc8OJsHhjGdqX+Cw==" saltValue="v6CBuFAPdVPCYb/TcooxV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4"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6F2F565A-8C19-4396-97D9-43D45C1D9A2C}">
      <formula1>4</formula1>
    </dataValidation>
    <dataValidation type="textLength" operator="lessThan" allowBlank="1" showInputMessage="1" showErrorMessage="1" sqref="E11 A6:A8" xr:uid="{E287A1F1-6206-4261-A7BA-C25CEBD2EBA7}">
      <formula1>0</formula1>
    </dataValidation>
    <dataValidation operator="lessThan" allowBlank="1" showInputMessage="1" showErrorMessage="1" sqref="A3:A5 A7:A8 A11" xr:uid="{0815A13C-6C27-4D1D-B155-A8183CDE1D8C}"/>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57BA-4694-4586-8FB2-D8836F5C13DE}">
  <sheetPr>
    <tabColor rgb="FF92D050"/>
    <pageSetUpPr fitToPage="1"/>
  </sheetPr>
  <dimension ref="A1:Q115"/>
  <sheetViews>
    <sheetView topLeftCell="A42" zoomScale="85" zoomScaleNormal="85" workbookViewId="0">
      <selection activeCell="J62" sqref="J62"/>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770</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46606</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41743</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4863</v>
      </c>
      <c r="Q21" s="27"/>
    </row>
    <row r="22" spans="1:17" ht="16.5" customHeight="1" x14ac:dyDescent="0.2">
      <c r="A22" s="51"/>
      <c r="B22" s="52"/>
      <c r="C22" s="52"/>
      <c r="D22" s="52"/>
      <c r="E22" s="52"/>
      <c r="F22" s="52"/>
      <c r="G22" s="52"/>
      <c r="H22" s="52"/>
      <c r="I22" s="52"/>
      <c r="J22" s="28">
        <f>ROUND(SUM(J15:J17),2)</f>
        <v>46606</v>
      </c>
      <c r="K22" s="28">
        <f>ROUND(SUM(K18:K21),2)</f>
        <v>46606</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13982</v>
      </c>
      <c r="K45" s="32"/>
    </row>
    <row r="46" spans="1:12" ht="16.5" customHeight="1" x14ac:dyDescent="0.2">
      <c r="A46" s="51"/>
      <c r="B46" s="62"/>
      <c r="C46" s="166" t="s">
        <v>13</v>
      </c>
      <c r="D46" s="166"/>
      <c r="E46" s="166"/>
      <c r="F46" s="166"/>
      <c r="G46" s="166"/>
      <c r="H46" s="166"/>
      <c r="I46" s="166"/>
      <c r="J46" s="35"/>
      <c r="K46" s="31">
        <f>J45</f>
        <v>13982</v>
      </c>
    </row>
    <row r="47" spans="1:12" ht="16.5" customHeight="1" x14ac:dyDescent="0.2">
      <c r="A47" s="60"/>
      <c r="B47" s="52"/>
      <c r="C47" s="52"/>
      <c r="D47" s="52"/>
      <c r="E47" s="52"/>
      <c r="F47" s="52"/>
      <c r="G47" s="52"/>
      <c r="H47" s="52"/>
      <c r="I47" s="52"/>
      <c r="J47" s="38">
        <f>ROUND(SUM(J45:J45),2)</f>
        <v>13982</v>
      </c>
      <c r="K47" s="38">
        <f>ROUND(SUM(K46),2)</f>
        <v>13982</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12910</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1678</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14588</v>
      </c>
    </row>
    <row r="53" spans="1:12" ht="16.5" customHeight="1" x14ac:dyDescent="0.2">
      <c r="A53" s="60"/>
      <c r="B53" s="52"/>
      <c r="C53" s="52"/>
      <c r="D53" s="52"/>
      <c r="E53" s="52"/>
      <c r="F53" s="52"/>
      <c r="G53" s="52"/>
      <c r="H53" s="52"/>
      <c r="I53" s="52"/>
      <c r="J53" s="38">
        <f>ROUND(SUM(J50:J51),2)</f>
        <v>14588</v>
      </c>
      <c r="K53" s="38">
        <f>ROUND(SUM(K52,),2)</f>
        <v>14588</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12910</v>
      </c>
      <c r="K56" s="35"/>
    </row>
    <row r="57" spans="1:12" ht="16.5" customHeight="1" x14ac:dyDescent="0.25">
      <c r="A57" s="51"/>
      <c r="B57" s="156"/>
      <c r="C57" s="166" t="s">
        <v>32</v>
      </c>
      <c r="D57" s="166"/>
      <c r="E57" s="166"/>
      <c r="F57" s="166"/>
      <c r="G57" s="166"/>
      <c r="H57" s="166"/>
      <c r="I57" s="166"/>
      <c r="J57" s="35"/>
      <c r="K57" s="31">
        <f>J50</f>
        <v>12910</v>
      </c>
    </row>
    <row r="58" spans="1:12" ht="16.5" customHeight="1" x14ac:dyDescent="0.2">
      <c r="A58" s="60"/>
      <c r="B58" s="52"/>
      <c r="C58" s="52"/>
      <c r="D58" s="52"/>
      <c r="E58" s="52"/>
      <c r="F58" s="52"/>
      <c r="G58" s="52"/>
      <c r="H58" s="52"/>
      <c r="I58" s="52"/>
      <c r="J58" s="38">
        <f>ROUND(SUM(J56:J56),2)</f>
        <v>12910</v>
      </c>
      <c r="K58" s="38">
        <f>ROUND(SUM(K57),2)</f>
        <v>12910</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14246</v>
      </c>
      <c r="K61" s="32"/>
    </row>
    <row r="62" spans="1:12" ht="16.5" customHeight="1" x14ac:dyDescent="0.25">
      <c r="A62" s="51"/>
      <c r="B62" s="156"/>
      <c r="C62" s="166" t="s">
        <v>34</v>
      </c>
      <c r="D62" s="166"/>
      <c r="E62" s="166"/>
      <c r="F62" s="166"/>
      <c r="G62" s="166"/>
      <c r="H62" s="166"/>
      <c r="I62" s="166"/>
      <c r="J62" s="32"/>
      <c r="K62" s="31">
        <f>J61</f>
        <v>14246</v>
      </c>
    </row>
    <row r="63" spans="1:12" ht="16.5" customHeight="1" x14ac:dyDescent="0.2">
      <c r="A63" s="51"/>
      <c r="B63" s="171" t="s">
        <v>35</v>
      </c>
      <c r="C63" s="171"/>
      <c r="D63" s="171"/>
      <c r="E63" s="171"/>
      <c r="F63" s="171"/>
      <c r="G63" s="171"/>
      <c r="H63" s="171"/>
      <c r="I63" s="171"/>
      <c r="J63" s="38">
        <f>ROUND(SUM(J61:J61),2)</f>
        <v>14246</v>
      </c>
      <c r="K63" s="38">
        <f>ROUND(SUM(K62),2)</f>
        <v>14246</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46606</v>
      </c>
    </row>
    <row r="95" spans="1:12" ht="16.5" customHeight="1" x14ac:dyDescent="0.25">
      <c r="D95" s="156" t="s">
        <v>48</v>
      </c>
      <c r="E95"/>
      <c r="F95"/>
      <c r="G95"/>
      <c r="H95" s="42"/>
      <c r="I95"/>
      <c r="J95"/>
      <c r="K95" s="162">
        <f>-K18-K46+J68+J77</f>
        <v>-13982</v>
      </c>
    </row>
    <row r="96" spans="1:12" ht="16.5" customHeight="1" x14ac:dyDescent="0.25">
      <c r="D96" s="156" t="s">
        <v>49</v>
      </c>
      <c r="E96"/>
      <c r="F96"/>
      <c r="G96"/>
      <c r="H96" s="42"/>
      <c r="I96"/>
      <c r="J96"/>
      <c r="K96" s="162">
        <f>-K19-K37+J56+J61+J76-K85</f>
        <v>-14587</v>
      </c>
    </row>
    <row r="97" spans="1:11" ht="16.5" customHeight="1" x14ac:dyDescent="0.25">
      <c r="D97" s="156" t="s">
        <v>50</v>
      </c>
      <c r="E97"/>
      <c r="F97"/>
      <c r="G97"/>
      <c r="H97" s="42"/>
      <c r="I97"/>
      <c r="J97"/>
      <c r="K97" s="162">
        <f>-K62</f>
        <v>-14246</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XDAoT20RK4l7q5zgW934F5kiuiuQMWZl9TkqX6cJv8ur/5P0BOxJW1LFi7gMjCYIe/4SVt7/jpDLNkIBUWDr+g==" saltValue="SVY5++GfU0oaVawwdsbVcA=="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7B54734A-4AB6-425F-95D1-5E5CC43B48FB}">
      <formula1>4</formula1>
    </dataValidation>
    <dataValidation type="textLength" operator="lessThan" allowBlank="1" showInputMessage="1" showErrorMessage="1" sqref="E11 A6:A8" xr:uid="{A980CD4A-ED1A-4261-843E-CF2E057B053F}">
      <formula1>0</formula1>
    </dataValidation>
    <dataValidation operator="lessThan" allowBlank="1" showInputMessage="1" showErrorMessage="1" sqref="A3:A5 A7:A8 A11" xr:uid="{9B9C1339-4D6A-4347-87FA-AC16E7D20F52}"/>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12CDD-B32F-4672-B226-D9E66262CA39}">
  <sheetPr>
    <tabColor rgb="FF92D050"/>
    <pageSetUpPr fitToPage="1"/>
  </sheetPr>
  <dimension ref="A1:Q115"/>
  <sheetViews>
    <sheetView topLeftCell="A39"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775</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151827</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87041</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64786</v>
      </c>
      <c r="Q21" s="27"/>
    </row>
    <row r="22" spans="1:17" ht="16.5" customHeight="1" x14ac:dyDescent="0.2">
      <c r="A22" s="51"/>
      <c r="B22" s="52"/>
      <c r="C22" s="52"/>
      <c r="D22" s="52"/>
      <c r="E22" s="52"/>
      <c r="F22" s="52"/>
      <c r="G22" s="52"/>
      <c r="H22" s="52"/>
      <c r="I22" s="52"/>
      <c r="J22" s="28">
        <f>ROUND(SUM(J15:J17),2)</f>
        <v>151827</v>
      </c>
      <c r="K22" s="28">
        <f>ROUND(SUM(K18:K21),2)</f>
        <v>151827</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31412</v>
      </c>
      <c r="K45" s="32"/>
    </row>
    <row r="46" spans="1:12" ht="16.5" customHeight="1" x14ac:dyDescent="0.2">
      <c r="A46" s="51"/>
      <c r="B46" s="62"/>
      <c r="C46" s="166" t="s">
        <v>13</v>
      </c>
      <c r="D46" s="166"/>
      <c r="E46" s="166"/>
      <c r="F46" s="166"/>
      <c r="G46" s="166"/>
      <c r="H46" s="166"/>
      <c r="I46" s="166"/>
      <c r="J46" s="35"/>
      <c r="K46" s="31">
        <f>J45</f>
        <v>31412</v>
      </c>
    </row>
    <row r="47" spans="1:12" ht="16.5" customHeight="1" x14ac:dyDescent="0.2">
      <c r="A47" s="60"/>
      <c r="B47" s="52"/>
      <c r="C47" s="52"/>
      <c r="D47" s="52"/>
      <c r="E47" s="52"/>
      <c r="F47" s="52"/>
      <c r="G47" s="52"/>
      <c r="H47" s="52"/>
      <c r="I47" s="52"/>
      <c r="J47" s="38">
        <f>ROUND(SUM(J45:J45),2)</f>
        <v>31412</v>
      </c>
      <c r="K47" s="38">
        <f>ROUND(SUM(K46),2)</f>
        <v>31412</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19407</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3674</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23081</v>
      </c>
    </row>
    <row r="53" spans="1:12" ht="16.5" customHeight="1" x14ac:dyDescent="0.2">
      <c r="A53" s="60"/>
      <c r="B53" s="52"/>
      <c r="C53" s="52"/>
      <c r="D53" s="52"/>
      <c r="E53" s="52"/>
      <c r="F53" s="52"/>
      <c r="G53" s="52"/>
      <c r="H53" s="52"/>
      <c r="I53" s="52"/>
      <c r="J53" s="38">
        <f>ROUND(SUM(J50:J51),2)</f>
        <v>23081</v>
      </c>
      <c r="K53" s="38">
        <f>ROUND(SUM(K52,),2)</f>
        <v>23081</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19407</v>
      </c>
      <c r="K56" s="35"/>
    </row>
    <row r="57" spans="1:12" ht="16.5" customHeight="1" x14ac:dyDescent="0.25">
      <c r="A57" s="51"/>
      <c r="B57" s="156"/>
      <c r="C57" s="166" t="s">
        <v>32</v>
      </c>
      <c r="D57" s="166"/>
      <c r="E57" s="166"/>
      <c r="F57" s="166"/>
      <c r="G57" s="166"/>
      <c r="H57" s="166"/>
      <c r="I57" s="166"/>
      <c r="J57" s="35"/>
      <c r="K57" s="31">
        <f>J50</f>
        <v>19407</v>
      </c>
    </row>
    <row r="58" spans="1:12" ht="16.5" customHeight="1" x14ac:dyDescent="0.2">
      <c r="A58" s="60"/>
      <c r="B58" s="52"/>
      <c r="C58" s="52"/>
      <c r="D58" s="52"/>
      <c r="E58" s="52"/>
      <c r="F58" s="52"/>
      <c r="G58" s="52"/>
      <c r="H58" s="52"/>
      <c r="I58" s="52"/>
      <c r="J58" s="38">
        <f>ROUND(SUM(J56:J56),2)</f>
        <v>19407</v>
      </c>
      <c r="K58" s="38">
        <f>ROUND(SUM(K57),2)</f>
        <v>19407</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22012</v>
      </c>
      <c r="K61" s="32"/>
    </row>
    <row r="62" spans="1:12" ht="16.5" customHeight="1" x14ac:dyDescent="0.25">
      <c r="A62" s="51"/>
      <c r="B62" s="156"/>
      <c r="C62" s="166" t="s">
        <v>34</v>
      </c>
      <c r="D62" s="166"/>
      <c r="E62" s="166"/>
      <c r="F62" s="166"/>
      <c r="G62" s="166"/>
      <c r="H62" s="166"/>
      <c r="I62" s="166"/>
      <c r="J62" s="32"/>
      <c r="K62" s="31">
        <f>J61</f>
        <v>22012</v>
      </c>
    </row>
    <row r="63" spans="1:12" ht="16.5" customHeight="1" x14ac:dyDescent="0.2">
      <c r="A63" s="51"/>
      <c r="B63" s="171" t="s">
        <v>35</v>
      </c>
      <c r="C63" s="171"/>
      <c r="D63" s="171"/>
      <c r="E63" s="171"/>
      <c r="F63" s="171"/>
      <c r="G63" s="171"/>
      <c r="H63" s="171"/>
      <c r="I63" s="171"/>
      <c r="J63" s="38">
        <f>ROUND(SUM(J61:J61),2)</f>
        <v>22012</v>
      </c>
      <c r="K63" s="38">
        <f>ROUND(SUM(K62),2)</f>
        <v>22012</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151827</v>
      </c>
    </row>
    <row r="95" spans="1:12" ht="16.5" customHeight="1" x14ac:dyDescent="0.25">
      <c r="D95" s="156" t="s">
        <v>48</v>
      </c>
      <c r="E95"/>
      <c r="F95"/>
      <c r="G95"/>
      <c r="H95" s="42"/>
      <c r="I95"/>
      <c r="J95"/>
      <c r="K95" s="162">
        <f>-K18-K46+J68+J77</f>
        <v>-31412</v>
      </c>
    </row>
    <row r="96" spans="1:12" ht="16.5" customHeight="1" x14ac:dyDescent="0.25">
      <c r="D96" s="156" t="s">
        <v>49</v>
      </c>
      <c r="E96"/>
      <c r="F96"/>
      <c r="G96"/>
      <c r="H96" s="42"/>
      <c r="I96"/>
      <c r="J96"/>
      <c r="K96" s="162">
        <f>-K19-K37+J56+J61+J76-K85</f>
        <v>-45622</v>
      </c>
    </row>
    <row r="97" spans="1:11" ht="16.5" customHeight="1" x14ac:dyDescent="0.25">
      <c r="D97" s="156" t="s">
        <v>50</v>
      </c>
      <c r="E97"/>
      <c r="F97"/>
      <c r="G97"/>
      <c r="H97" s="42"/>
      <c r="I97"/>
      <c r="J97"/>
      <c r="K97" s="162">
        <f>-K62</f>
        <v>-22012</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hGqKFAdYwEYSNXo23XA2VNDGugwLzAjGPIxy+H0GpJem3kQ3WZno8zmUxDHG6VrVkdlwlfJlupXM4PydfYWmsA==" saltValue="+6t7nFefoYuYpHNogIfpzA=="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B9A10551-1CB3-436D-8E97-D3F06559E0C2}">
      <formula1>4</formula1>
    </dataValidation>
    <dataValidation type="textLength" operator="lessThan" allowBlank="1" showInputMessage="1" showErrorMessage="1" sqref="E11 A6:A8" xr:uid="{EAD22B63-3B74-4B6B-B2E5-2F4D8EE4AF4A}">
      <formula1>0</formula1>
    </dataValidation>
    <dataValidation operator="lessThan" allowBlank="1" showInputMessage="1" showErrorMessage="1" sqref="A3:A5 A7:A8 A11" xr:uid="{920BD88E-8A71-445F-9BD4-E3FD168821BA}"/>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B54B-7C05-48DD-BDE4-4B029A2B4C80}">
  <sheetPr>
    <tabColor rgb="FF92D050"/>
    <pageSetUpPr fitToPage="1"/>
  </sheetPr>
  <dimension ref="A1:Q115"/>
  <sheetViews>
    <sheetView topLeftCell="A34" zoomScale="85" zoomScaleNormal="85" workbookViewId="0">
      <selection activeCell="J62" sqref="J62"/>
    </sheetView>
  </sheetViews>
  <sheetFormatPr defaultColWidth="0" defaultRowHeight="15" customHeight="1"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80" t="s">
        <v>0</v>
      </c>
      <c r="B1" s="180"/>
      <c r="C1" s="180"/>
      <c r="D1" s="180"/>
      <c r="E1" s="180"/>
      <c r="F1" s="180"/>
      <c r="G1" s="180"/>
      <c r="H1" s="180"/>
      <c r="I1" s="180"/>
      <c r="J1" s="180"/>
      <c r="K1" s="180"/>
      <c r="L1" s="41"/>
    </row>
    <row r="2" spans="1:17" ht="18" x14ac:dyDescent="0.25">
      <c r="A2" s="181" t="s">
        <v>1</v>
      </c>
      <c r="B2" s="181"/>
      <c r="C2" s="181"/>
      <c r="D2" s="181"/>
      <c r="E2" s="181"/>
      <c r="F2" s="181"/>
      <c r="G2" s="181"/>
      <c r="H2" s="181"/>
      <c r="I2" s="181"/>
      <c r="J2" s="181"/>
      <c r="K2" s="181"/>
      <c r="L2" s="43"/>
    </row>
    <row r="3" spans="1:17" ht="15.75" x14ac:dyDescent="0.25">
      <c r="A3" s="174" t="s">
        <v>2</v>
      </c>
      <c r="B3" s="174"/>
      <c r="C3" s="174"/>
      <c r="D3" s="174"/>
      <c r="E3" s="174"/>
      <c r="F3" s="179" t="s">
        <v>3</v>
      </c>
      <c r="G3" s="179"/>
      <c r="H3" s="179"/>
      <c r="I3" s="179"/>
    </row>
    <row r="4" spans="1:17" ht="15.75" x14ac:dyDescent="0.25">
      <c r="A4" s="174" t="s">
        <v>4</v>
      </c>
      <c r="B4" s="174"/>
      <c r="C4" s="174"/>
      <c r="D4" s="174"/>
      <c r="E4" s="174"/>
      <c r="F4" s="179" t="s">
        <v>1642</v>
      </c>
      <c r="G4" s="179"/>
      <c r="H4" s="179"/>
      <c r="I4" s="179"/>
    </row>
    <row r="5" spans="1:17" ht="15.75" x14ac:dyDescent="0.2">
      <c r="A5" s="174" t="s">
        <v>5</v>
      </c>
      <c r="B5" s="174"/>
      <c r="C5" s="174"/>
      <c r="D5" s="174"/>
      <c r="E5" s="174"/>
      <c r="F5" s="177" t="s">
        <v>513</v>
      </c>
      <c r="G5" s="177"/>
      <c r="H5" s="177"/>
      <c r="I5" s="177"/>
      <c r="J5" s="44"/>
      <c r="K5" s="44"/>
      <c r="L5" s="45"/>
      <c r="M5" s="45"/>
      <c r="N5" s="45"/>
    </row>
    <row r="6" spans="1:17" ht="15.75" x14ac:dyDescent="0.2">
      <c r="A6" s="174" t="s">
        <v>6</v>
      </c>
      <c r="B6" s="174"/>
      <c r="C6" s="174"/>
      <c r="D6" s="174"/>
      <c r="E6" s="174"/>
      <c r="F6" s="178">
        <v>3315</v>
      </c>
      <c r="G6" s="178"/>
      <c r="H6" s="178"/>
      <c r="I6" s="178"/>
      <c r="L6" s="46"/>
      <c r="M6" s="45"/>
      <c r="N6" s="45"/>
      <c r="P6" s="26"/>
    </row>
    <row r="7" spans="1:17" ht="15.75" x14ac:dyDescent="0.2">
      <c r="A7" s="174" t="s">
        <v>7</v>
      </c>
      <c r="B7" s="174"/>
      <c r="C7" s="174"/>
      <c r="D7" s="174"/>
      <c r="E7" s="174"/>
      <c r="F7" s="179" t="s">
        <v>106</v>
      </c>
      <c r="G7" s="179"/>
      <c r="H7" s="179"/>
      <c r="I7" s="179"/>
      <c r="L7" s="46"/>
      <c r="M7" s="45"/>
      <c r="N7" s="45"/>
      <c r="P7" s="26"/>
    </row>
    <row r="8" spans="1:17" ht="15.75" x14ac:dyDescent="0.2">
      <c r="A8" s="174" t="s">
        <v>8</v>
      </c>
      <c r="B8" s="174"/>
      <c r="C8" s="174"/>
      <c r="D8" s="174"/>
      <c r="E8" s="174"/>
      <c r="F8" s="175" t="str">
        <f>IF(OR($F$7='Drop Down Menus'!B2,$F$7='Drop Down Menus'!$B$3),'Drop Down Menus'!$D$9,IFERROR(VLOOKUP($F$5,GAAP02Aindex!$A$2:$D$900,4,FALSE),"Unidentified"))</f>
        <v>BUS, CONSUMER SERV, HOUSING</v>
      </c>
      <c r="G8" s="175"/>
      <c r="H8" s="175"/>
      <c r="I8" s="175"/>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5"/>
      <c r="M12" s="45"/>
    </row>
    <row r="13" spans="1:17" ht="16.5" customHeight="1" x14ac:dyDescent="0.2">
      <c r="A13" s="48" t="s">
        <v>9</v>
      </c>
      <c r="H13" s="42"/>
      <c r="L13" s="49"/>
    </row>
    <row r="14" spans="1:17" ht="16.5" customHeight="1" x14ac:dyDescent="0.3">
      <c r="A14" s="50">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49"/>
    </row>
    <row r="15" spans="1:17" ht="16.5" customHeight="1" x14ac:dyDescent="0.2">
      <c r="B15" s="166" t="s">
        <v>10</v>
      </c>
      <c r="C15" s="166"/>
      <c r="D15" s="166"/>
      <c r="E15" s="166"/>
      <c r="F15" s="166"/>
      <c r="G15" s="166"/>
      <c r="H15" s="166"/>
      <c r="I15" s="166"/>
      <c r="J15" s="31">
        <v>91096</v>
      </c>
      <c r="K15" s="32"/>
    </row>
    <row r="16" spans="1:17" ht="16.5" hidden="1" customHeight="1" x14ac:dyDescent="0.2">
      <c r="A16" s="51"/>
      <c r="B16" s="166" t="s">
        <v>11</v>
      </c>
      <c r="C16" s="166"/>
      <c r="D16" s="166"/>
      <c r="E16" s="166"/>
      <c r="F16" s="166"/>
      <c r="G16" s="166"/>
      <c r="H16" s="166"/>
      <c r="I16" s="166"/>
      <c r="J16" s="31"/>
      <c r="K16" s="32"/>
    </row>
    <row r="17" spans="1:17" ht="16.5" customHeight="1" x14ac:dyDescent="0.2">
      <c r="A17" s="51"/>
      <c r="B17" s="166" t="s">
        <v>12</v>
      </c>
      <c r="C17" s="166"/>
      <c r="D17" s="166"/>
      <c r="E17" s="166"/>
      <c r="F17" s="166"/>
      <c r="G17" s="166"/>
      <c r="H17" s="166"/>
      <c r="I17" s="166"/>
      <c r="J17" s="31"/>
      <c r="K17" s="32"/>
    </row>
    <row r="18" spans="1:17" ht="16.5" hidden="1" customHeight="1" x14ac:dyDescent="0.2">
      <c r="A18" s="51"/>
      <c r="B18" s="141"/>
      <c r="C18" s="166" t="s">
        <v>13</v>
      </c>
      <c r="D18" s="166"/>
      <c r="E18" s="166"/>
      <c r="F18" s="166"/>
      <c r="G18" s="166"/>
      <c r="H18" s="166"/>
      <c r="I18" s="166"/>
      <c r="J18" s="32"/>
      <c r="K18" s="31"/>
    </row>
    <row r="19" spans="1:17" ht="16.5" customHeight="1" x14ac:dyDescent="0.25">
      <c r="A19" s="51"/>
      <c r="B19" s="156"/>
      <c r="C19" s="166" t="s">
        <v>14</v>
      </c>
      <c r="D19" s="166"/>
      <c r="E19" s="166"/>
      <c r="F19" s="166"/>
      <c r="G19" s="166"/>
      <c r="H19" s="166"/>
      <c r="I19" s="166"/>
      <c r="J19" s="32"/>
      <c r="K19" s="31">
        <v>52224</v>
      </c>
      <c r="P19" s="26"/>
    </row>
    <row r="20" spans="1:17" ht="16.5" hidden="1" customHeight="1" x14ac:dyDescent="0.25">
      <c r="A20" s="51"/>
      <c r="B20" s="156"/>
      <c r="C20" s="166" t="s">
        <v>15</v>
      </c>
      <c r="D20" s="166"/>
      <c r="E20" s="166"/>
      <c r="F20" s="166"/>
      <c r="G20" s="166"/>
      <c r="H20" s="166"/>
      <c r="I20" s="166"/>
      <c r="K20" s="31"/>
      <c r="Q20" s="27"/>
    </row>
    <row r="21" spans="1:17" ht="16.5" customHeight="1" x14ac:dyDescent="0.25">
      <c r="A21" s="51"/>
      <c r="B21" s="156"/>
      <c r="C21" s="166" t="s">
        <v>16</v>
      </c>
      <c r="D21" s="166"/>
      <c r="E21" s="166"/>
      <c r="F21" s="166"/>
      <c r="G21" s="166"/>
      <c r="H21" s="166"/>
      <c r="I21" s="166"/>
      <c r="J21" s="32"/>
      <c r="K21" s="31">
        <v>38872</v>
      </c>
      <c r="Q21" s="27"/>
    </row>
    <row r="22" spans="1:17" ht="16.5" customHeight="1" x14ac:dyDescent="0.2">
      <c r="A22" s="51"/>
      <c r="B22" s="52"/>
      <c r="C22" s="52"/>
      <c r="D22" s="52"/>
      <c r="E22" s="52"/>
      <c r="F22" s="52"/>
      <c r="G22" s="52"/>
      <c r="H22" s="52"/>
      <c r="I22" s="52"/>
      <c r="J22" s="28">
        <f>ROUND(SUM(J15:J17),2)</f>
        <v>91096</v>
      </c>
      <c r="K22" s="28">
        <f>ROUND(SUM(K18:K21),2)</f>
        <v>91096</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7" t="s">
        <v>17</v>
      </c>
      <c r="C24" s="167"/>
      <c r="D24" s="167"/>
      <c r="E24" s="167"/>
      <c r="F24" s="167"/>
      <c r="G24" s="167"/>
      <c r="H24" s="167"/>
      <c r="I24" s="167"/>
      <c r="J24" s="167"/>
      <c r="K24" s="167"/>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4" t="s">
        <v>18</v>
      </c>
      <c r="C27" s="165"/>
      <c r="D27" s="165"/>
      <c r="E27" s="165"/>
      <c r="F27" s="165"/>
      <c r="G27" s="165"/>
      <c r="H27" s="165"/>
      <c r="I27" s="165"/>
      <c r="J27" s="165"/>
      <c r="K27" s="165"/>
      <c r="L27" s="49"/>
    </row>
    <row r="28" spans="1:17" ht="16.5" customHeight="1" x14ac:dyDescent="0.2">
      <c r="A28" s="51"/>
      <c r="B28" s="166" t="s">
        <v>19</v>
      </c>
      <c r="C28" s="166"/>
      <c r="D28" s="166"/>
      <c r="E28" s="166"/>
      <c r="F28" s="166"/>
      <c r="G28" s="166"/>
      <c r="H28" s="166"/>
      <c r="I28" s="166"/>
      <c r="J28" s="31"/>
      <c r="K28" s="32"/>
      <c r="L28" s="49"/>
    </row>
    <row r="29" spans="1:17" ht="16.5" customHeight="1" x14ac:dyDescent="0.25">
      <c r="A29" s="51"/>
      <c r="B29" s="156"/>
      <c r="C29" s="166" t="s">
        <v>20</v>
      </c>
      <c r="D29" s="166"/>
      <c r="E29" s="166"/>
      <c r="F29" s="166"/>
      <c r="G29" s="166"/>
      <c r="H29" s="166"/>
      <c r="I29" s="166"/>
      <c r="J29" s="32"/>
      <c r="K29" s="31"/>
      <c r="L29" s="49"/>
    </row>
    <row r="30" spans="1:17" ht="16.5" customHeight="1" x14ac:dyDescent="0.25">
      <c r="A30" s="51"/>
      <c r="B30" s="156"/>
      <c r="C30" s="166" t="str">
        <f>VLOOKUP($F$8,'Drop Down Menus'!$D$2:$G$10,4,FALSE)</f>
        <v>Cr: Acct 0825 - BUS, CONSUMER SERV, HOUSING</v>
      </c>
      <c r="D30" s="166"/>
      <c r="E30" s="166"/>
      <c r="F30" s="166"/>
      <c r="G30" s="166"/>
      <c r="H30" s="166"/>
      <c r="I30" s="166"/>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2" t="s">
        <v>21</v>
      </c>
      <c r="C33" s="173"/>
      <c r="D33" s="173"/>
      <c r="E33" s="173"/>
      <c r="F33" s="173"/>
      <c r="G33" s="173"/>
      <c r="H33" s="173"/>
      <c r="I33" s="173"/>
      <c r="J33" s="173"/>
      <c r="K33" s="173"/>
      <c r="L33" s="49"/>
    </row>
    <row r="34" spans="1:12" ht="16.5" customHeight="1" x14ac:dyDescent="0.3">
      <c r="A34" s="60"/>
      <c r="B34" s="166" t="s">
        <v>10</v>
      </c>
      <c r="C34" s="166"/>
      <c r="D34" s="166"/>
      <c r="E34" s="166"/>
      <c r="F34" s="166"/>
      <c r="G34" s="166"/>
      <c r="H34" s="166"/>
      <c r="I34" s="166"/>
      <c r="J34" s="31"/>
      <c r="K34" s="146"/>
      <c r="L34" s="49"/>
    </row>
    <row r="35" spans="1:12" ht="16.5" customHeight="1" x14ac:dyDescent="0.2">
      <c r="B35" s="166" t="s">
        <v>22</v>
      </c>
      <c r="C35" s="166"/>
      <c r="D35" s="166"/>
      <c r="E35" s="166"/>
      <c r="F35" s="166"/>
      <c r="G35" s="166"/>
      <c r="H35" s="166"/>
      <c r="I35" s="166"/>
      <c r="J35" s="31"/>
      <c r="K35" s="35"/>
    </row>
    <row r="36" spans="1:12" ht="16.5" customHeight="1" x14ac:dyDescent="0.2">
      <c r="A36" s="51"/>
      <c r="B36" s="62"/>
      <c r="C36" s="166" t="s">
        <v>23</v>
      </c>
      <c r="D36" s="166"/>
      <c r="E36" s="166"/>
      <c r="F36" s="166"/>
      <c r="G36" s="166"/>
      <c r="H36" s="166"/>
      <c r="I36" s="166"/>
      <c r="J36" s="35"/>
      <c r="K36" s="31"/>
    </row>
    <row r="37" spans="1:12" ht="16.5" customHeight="1" x14ac:dyDescent="0.2">
      <c r="A37" s="51"/>
      <c r="C37" s="166" t="s">
        <v>14</v>
      </c>
      <c r="D37" s="166"/>
      <c r="E37" s="166"/>
      <c r="F37" s="166"/>
      <c r="G37" s="166"/>
      <c r="H37" s="166"/>
      <c r="I37" s="166"/>
      <c r="J37" s="35"/>
      <c r="K37" s="31"/>
    </row>
    <row r="38" spans="1:12" ht="16.5" customHeight="1" x14ac:dyDescent="0.25">
      <c r="A38" s="51"/>
      <c r="B38" s="156"/>
      <c r="C38" s="166" t="str">
        <f>VLOOKUP($F$8,'Drop Down Menus'!$D$2:$G$10,4,FALSE)</f>
        <v>Cr: Acct 0825 - BUS, CONSUMER SERV, HOUSING</v>
      </c>
      <c r="D38" s="166"/>
      <c r="E38" s="166"/>
      <c r="F38" s="166"/>
      <c r="G38" s="166"/>
      <c r="H38" s="166"/>
      <c r="I38" s="166"/>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7" t="s">
        <v>24</v>
      </c>
      <c r="C41" s="167"/>
      <c r="D41" s="167"/>
      <c r="E41" s="167"/>
      <c r="F41" s="167"/>
      <c r="G41" s="167"/>
      <c r="H41" s="167"/>
      <c r="I41" s="167"/>
      <c r="J41" s="167"/>
      <c r="K41" s="167"/>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6" t="s">
        <v>27</v>
      </c>
      <c r="C45" s="166"/>
      <c r="D45" s="166"/>
      <c r="E45" s="166"/>
      <c r="F45" s="166"/>
      <c r="G45" s="166"/>
      <c r="H45" s="166"/>
      <c r="I45" s="166"/>
      <c r="J45" s="31">
        <v>18847</v>
      </c>
      <c r="K45" s="32"/>
    </row>
    <row r="46" spans="1:12" ht="16.5" customHeight="1" x14ac:dyDescent="0.2">
      <c r="A46" s="51"/>
      <c r="B46" s="62"/>
      <c r="C46" s="166" t="s">
        <v>13</v>
      </c>
      <c r="D46" s="166"/>
      <c r="E46" s="166"/>
      <c r="F46" s="166"/>
      <c r="G46" s="166"/>
      <c r="H46" s="166"/>
      <c r="I46" s="166"/>
      <c r="J46" s="35"/>
      <c r="K46" s="31">
        <f>J45</f>
        <v>18847</v>
      </c>
    </row>
    <row r="47" spans="1:12" ht="16.5" customHeight="1" x14ac:dyDescent="0.2">
      <c r="A47" s="60"/>
      <c r="B47" s="52"/>
      <c r="C47" s="52"/>
      <c r="D47" s="52"/>
      <c r="E47" s="52"/>
      <c r="F47" s="52"/>
      <c r="G47" s="52"/>
      <c r="H47" s="52"/>
      <c r="I47" s="52"/>
      <c r="J47" s="38">
        <f>ROUND(SUM(J45:J45),2)</f>
        <v>18847</v>
      </c>
      <c r="K47" s="38">
        <f>ROUND(SUM(K46),2)</f>
        <v>18847</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6" t="s">
        <v>29</v>
      </c>
      <c r="C50" s="166"/>
      <c r="D50" s="166"/>
      <c r="E50" s="166"/>
      <c r="F50" s="166"/>
      <c r="G50" s="166"/>
      <c r="H50" s="166"/>
      <c r="I50" s="166"/>
      <c r="J50" s="36">
        <v>11644</v>
      </c>
      <c r="K50" s="71"/>
    </row>
    <row r="51" spans="1:12" ht="16.5" customHeight="1" x14ac:dyDescent="0.2">
      <c r="A51" s="51"/>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6">
        <v>2204</v>
      </c>
      <c r="K51" s="71"/>
    </row>
    <row r="52" spans="1:12" ht="16.5" customHeight="1" x14ac:dyDescent="0.25">
      <c r="A52" s="51"/>
      <c r="B52" s="156"/>
      <c r="C52" s="166" t="str">
        <f>VLOOKUP($F$8,'Drop Down Menus'!$D$2:$G$10,4,FALSE)</f>
        <v>Cr: Acct 0825 - BUS, CONSUMER SERV, HOUSING</v>
      </c>
      <c r="D52" s="166"/>
      <c r="E52" s="166"/>
      <c r="F52" s="166"/>
      <c r="G52" s="166"/>
      <c r="H52" s="166"/>
      <c r="I52" s="166"/>
      <c r="J52" s="71"/>
      <c r="K52" s="37">
        <f>+J50+J51</f>
        <v>13848</v>
      </c>
    </row>
    <row r="53" spans="1:12" ht="16.5" customHeight="1" x14ac:dyDescent="0.2">
      <c r="A53" s="60"/>
      <c r="B53" s="52"/>
      <c r="C53" s="52"/>
      <c r="D53" s="52"/>
      <c r="E53" s="52"/>
      <c r="F53" s="52"/>
      <c r="G53" s="52"/>
      <c r="H53" s="52"/>
      <c r="I53" s="52"/>
      <c r="J53" s="38">
        <f>ROUND(SUM(J50:J51),2)</f>
        <v>13848</v>
      </c>
      <c r="K53" s="38">
        <f>ROUND(SUM(K52,),2)</f>
        <v>13848</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6" t="s">
        <v>31</v>
      </c>
      <c r="C56" s="166"/>
      <c r="D56" s="166"/>
      <c r="E56" s="166"/>
      <c r="F56" s="166"/>
      <c r="G56" s="166"/>
      <c r="H56" s="166"/>
      <c r="I56" s="166"/>
      <c r="J56" s="31">
        <f>K57</f>
        <v>11644</v>
      </c>
      <c r="K56" s="35"/>
    </row>
    <row r="57" spans="1:12" ht="16.5" customHeight="1" x14ac:dyDescent="0.25">
      <c r="A57" s="51"/>
      <c r="B57" s="156"/>
      <c r="C57" s="166" t="s">
        <v>32</v>
      </c>
      <c r="D57" s="166"/>
      <c r="E57" s="166"/>
      <c r="F57" s="166"/>
      <c r="G57" s="166"/>
      <c r="H57" s="166"/>
      <c r="I57" s="166"/>
      <c r="J57" s="35"/>
      <c r="K57" s="31">
        <f>J50</f>
        <v>11644</v>
      </c>
    </row>
    <row r="58" spans="1:12" ht="16.5" customHeight="1" x14ac:dyDescent="0.2">
      <c r="A58" s="60"/>
      <c r="B58" s="52"/>
      <c r="C58" s="52"/>
      <c r="D58" s="52"/>
      <c r="E58" s="52"/>
      <c r="F58" s="52"/>
      <c r="G58" s="52"/>
      <c r="H58" s="52"/>
      <c r="I58" s="52"/>
      <c r="J58" s="38">
        <f>ROUND(SUM(J56:J56),2)</f>
        <v>11644</v>
      </c>
      <c r="K58" s="38">
        <f>ROUND(SUM(K57),2)</f>
        <v>11644</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6" t="s">
        <v>31</v>
      </c>
      <c r="C61" s="166"/>
      <c r="D61" s="166"/>
      <c r="E61" s="166"/>
      <c r="F61" s="166"/>
      <c r="G61" s="166"/>
      <c r="H61" s="166"/>
      <c r="I61" s="166"/>
      <c r="J61" s="40">
        <v>13207</v>
      </c>
      <c r="K61" s="32"/>
    </row>
    <row r="62" spans="1:12" ht="16.5" customHeight="1" x14ac:dyDescent="0.25">
      <c r="A62" s="51"/>
      <c r="B62" s="156"/>
      <c r="C62" s="166" t="s">
        <v>34</v>
      </c>
      <c r="D62" s="166"/>
      <c r="E62" s="166"/>
      <c r="F62" s="166"/>
      <c r="G62" s="166"/>
      <c r="H62" s="166"/>
      <c r="I62" s="166"/>
      <c r="J62" s="32"/>
      <c r="K62" s="31">
        <f>J61</f>
        <v>13207</v>
      </c>
    </row>
    <row r="63" spans="1:12" ht="16.5" customHeight="1" x14ac:dyDescent="0.2">
      <c r="A63" s="51"/>
      <c r="B63" s="171" t="s">
        <v>35</v>
      </c>
      <c r="C63" s="171"/>
      <c r="D63" s="171"/>
      <c r="E63" s="171"/>
      <c r="F63" s="171"/>
      <c r="G63" s="171"/>
      <c r="H63" s="171"/>
      <c r="I63" s="171"/>
      <c r="J63" s="38">
        <f>ROUND(SUM(J61:J61),2)</f>
        <v>13207</v>
      </c>
      <c r="K63" s="38">
        <f>ROUND(SUM(K62),2)</f>
        <v>13207</v>
      </c>
      <c r="L63" s="49" t="str">
        <f>IF(J63=K63,"&lt;- Debits and Credits equal each other.","&lt;- Debits and Credits do not equal each other.")</f>
        <v>&lt;- Debits and Credits equal each other.</v>
      </c>
    </row>
    <row r="64" spans="1:12" ht="16.5" customHeight="1" x14ac:dyDescent="0.2">
      <c r="A64" s="51"/>
      <c r="B64" s="171"/>
      <c r="C64" s="171"/>
      <c r="D64" s="171"/>
      <c r="E64" s="171"/>
      <c r="F64" s="171"/>
      <c r="G64" s="171"/>
      <c r="H64" s="171"/>
      <c r="I64" s="171"/>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0" t="s">
        <v>38</v>
      </c>
      <c r="C68" s="170"/>
      <c r="D68" s="170"/>
      <c r="E68" s="170"/>
      <c r="F68" s="170"/>
      <c r="G68" s="170"/>
      <c r="H68" s="170"/>
      <c r="I68" s="170"/>
      <c r="J68" s="40"/>
      <c r="K68" s="33"/>
      <c r="L68" s="49"/>
    </row>
    <row r="69" spans="1:12" ht="16.5" hidden="1" customHeight="1" x14ac:dyDescent="0.2">
      <c r="A69" s="51"/>
      <c r="B69" s="74"/>
      <c r="C69" s="170" t="s">
        <v>39</v>
      </c>
      <c r="D69" s="170"/>
      <c r="E69" s="170"/>
      <c r="F69" s="170"/>
      <c r="G69" s="170"/>
      <c r="H69" s="170"/>
      <c r="I69" s="170"/>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7" t="s">
        <v>40</v>
      </c>
      <c r="C72" s="167"/>
      <c r="D72" s="167"/>
      <c r="E72" s="167"/>
      <c r="F72" s="167"/>
      <c r="G72" s="167"/>
      <c r="H72" s="167"/>
      <c r="I72" s="167"/>
      <c r="J72" s="167"/>
      <c r="K72" s="167"/>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8" t="s">
        <v>42</v>
      </c>
      <c r="C75" s="169"/>
      <c r="D75" s="169"/>
      <c r="E75" s="169"/>
      <c r="F75" s="169"/>
      <c r="G75" s="169"/>
      <c r="H75" s="169"/>
      <c r="I75" s="169"/>
      <c r="J75" s="169"/>
      <c r="K75" s="169"/>
      <c r="L75" s="49"/>
    </row>
    <row r="76" spans="1:12" ht="16.5" hidden="1" customHeight="1" x14ac:dyDescent="0.2">
      <c r="B76" s="166" t="s">
        <v>14</v>
      </c>
      <c r="C76" s="166"/>
      <c r="D76" s="166"/>
      <c r="E76" s="166"/>
      <c r="F76" s="166"/>
      <c r="G76" s="166"/>
      <c r="H76" s="166"/>
      <c r="I76" s="166"/>
      <c r="J76" s="40"/>
    </row>
    <row r="77" spans="1:12" ht="16.5" hidden="1" customHeight="1" x14ac:dyDescent="0.2">
      <c r="B77" s="170" t="s">
        <v>38</v>
      </c>
      <c r="C77" s="170"/>
      <c r="D77" s="170"/>
      <c r="E77" s="170"/>
      <c r="F77" s="170"/>
      <c r="G77" s="170"/>
      <c r="H77" s="170"/>
      <c r="I77" s="170"/>
      <c r="J77" s="40"/>
    </row>
    <row r="78" spans="1:12" ht="16.5" hidden="1" customHeight="1" x14ac:dyDescent="0.2">
      <c r="B78" s="166" t="s">
        <v>138</v>
      </c>
      <c r="C78" s="166"/>
      <c r="D78" s="166"/>
      <c r="E78" s="166"/>
      <c r="F78" s="166"/>
      <c r="G78" s="166"/>
      <c r="H78" s="166"/>
      <c r="I78" s="166"/>
      <c r="J78" s="40"/>
    </row>
    <row r="79" spans="1:12" ht="16.5" hidden="1" customHeight="1" x14ac:dyDescent="0.2">
      <c r="C79" s="170" t="s">
        <v>39</v>
      </c>
      <c r="D79" s="170"/>
      <c r="E79" s="170"/>
      <c r="F79" s="170"/>
      <c r="G79" s="170"/>
      <c r="H79" s="170"/>
      <c r="I79" s="170"/>
      <c r="K79" s="40"/>
    </row>
    <row r="80" spans="1:12" ht="16.5" hidden="1" customHeight="1" x14ac:dyDescent="0.2">
      <c r="C80" s="166" t="s">
        <v>138</v>
      </c>
      <c r="D80" s="166"/>
      <c r="E80" s="166"/>
      <c r="F80" s="166"/>
      <c r="G80" s="166"/>
      <c r="H80" s="166"/>
      <c r="I80" s="166"/>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4" t="s">
        <v>43</v>
      </c>
      <c r="C83" s="165"/>
      <c r="D83" s="165"/>
      <c r="E83" s="165"/>
      <c r="F83" s="165"/>
      <c r="G83" s="165"/>
      <c r="H83" s="165"/>
      <c r="I83" s="165"/>
      <c r="J83" s="165"/>
      <c r="K83" s="165"/>
    </row>
    <row r="84" spans="1:12" ht="16.5" hidden="1" customHeight="1" x14ac:dyDescent="0.2">
      <c r="B84" s="166" t="s">
        <v>10</v>
      </c>
      <c r="C84" s="166"/>
      <c r="D84" s="166"/>
      <c r="E84" s="166"/>
      <c r="F84" s="166"/>
      <c r="G84" s="166"/>
      <c r="H84" s="166"/>
      <c r="I84" s="166"/>
      <c r="J84" s="40"/>
    </row>
    <row r="85" spans="1:12" ht="16.5" hidden="1" customHeight="1" x14ac:dyDescent="0.2">
      <c r="C85" s="166" t="s">
        <v>14</v>
      </c>
      <c r="D85" s="166"/>
      <c r="E85" s="166"/>
      <c r="F85" s="166"/>
      <c r="G85" s="166"/>
      <c r="H85" s="166"/>
      <c r="I85" s="166"/>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7" t="s">
        <v>44</v>
      </c>
      <c r="C88" s="167"/>
      <c r="D88" s="167"/>
      <c r="E88" s="167"/>
      <c r="F88" s="167"/>
      <c r="G88" s="167"/>
      <c r="H88" s="167"/>
      <c r="I88" s="167"/>
      <c r="J88" s="167"/>
      <c r="K88" s="167"/>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91096</v>
      </c>
    </row>
    <row r="95" spans="1:12" ht="16.5" customHeight="1" x14ac:dyDescent="0.25">
      <c r="D95" s="156" t="s">
        <v>48</v>
      </c>
      <c r="E95"/>
      <c r="F95"/>
      <c r="G95"/>
      <c r="H95" s="42"/>
      <c r="I95"/>
      <c r="J95"/>
      <c r="K95" s="162">
        <f>-K18-K46+J68+J77</f>
        <v>-18847</v>
      </c>
    </row>
    <row r="96" spans="1:12" ht="16.5" customHeight="1" x14ac:dyDescent="0.25">
      <c r="D96" s="156" t="s">
        <v>49</v>
      </c>
      <c r="E96"/>
      <c r="F96"/>
      <c r="G96"/>
      <c r="H96" s="42"/>
      <c r="I96"/>
      <c r="J96"/>
      <c r="K96" s="162">
        <f>-K19-K37+J56+J61+J76-K85</f>
        <v>-27373</v>
      </c>
    </row>
    <row r="97" spans="1:11" ht="16.5" customHeight="1" x14ac:dyDescent="0.25">
      <c r="D97" s="156" t="s">
        <v>50</v>
      </c>
      <c r="E97"/>
      <c r="F97"/>
      <c r="G97"/>
      <c r="H97" s="42"/>
      <c r="I97"/>
      <c r="J97"/>
      <c r="K97" s="162">
        <f>-K62</f>
        <v>-13207</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0Lz3dQ72i35kK0u17WHr4Bobd+jA7ZUNZBU79OX8gJn1OzXYBAAwzlZiWX84HVjqtxXK2J3l4vfB+PD8iyIWRw==" saltValue="KTI647nm6McKFAtB7ZdKq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5F7AF074-7DBD-4F50-AD74-BDF7935A12FB}">
      <formula1>4</formula1>
    </dataValidation>
    <dataValidation type="textLength" operator="lessThan" allowBlank="1" showInputMessage="1" showErrorMessage="1" sqref="E11 A6:A8" xr:uid="{A7C2939E-CCBF-400B-8144-C596EA9C776B}">
      <formula1>0</formula1>
    </dataValidation>
    <dataValidation operator="lessThan" allowBlank="1" showInputMessage="1" showErrorMessage="1" sqref="A3:A5 A7:A8 A11" xr:uid="{74332921-E809-4957-8FBF-EA36D886C5C2}"/>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9" sqref="B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51</v>
      </c>
      <c r="B1" s="188"/>
      <c r="C1" s="188"/>
      <c r="D1" s="188"/>
    </row>
    <row r="2" spans="1:11" ht="21.75" customHeight="1" x14ac:dyDescent="0.2">
      <c r="A2" s="188"/>
      <c r="B2" s="188"/>
      <c r="C2" s="188"/>
      <c r="D2" s="188"/>
      <c r="E2" s="41"/>
      <c r="F2" s="41"/>
      <c r="G2" s="41"/>
      <c r="H2" s="41"/>
      <c r="I2" s="41"/>
      <c r="J2" s="41"/>
    </row>
    <row r="3" spans="1:11" ht="32.25" customHeight="1" x14ac:dyDescent="0.25">
      <c r="A3" s="192" t="s">
        <v>52</v>
      </c>
      <c r="B3" s="192"/>
      <c r="C3" s="192"/>
      <c r="D3" s="192"/>
      <c r="E3" s="79"/>
      <c r="F3" s="79"/>
      <c r="G3" s="79"/>
      <c r="H3" s="79"/>
      <c r="I3" s="79"/>
      <c r="J3" s="79"/>
      <c r="K3" s="79"/>
    </row>
    <row r="4" spans="1:11" ht="15.75" customHeight="1" x14ac:dyDescent="0.25">
      <c r="A4" s="183" t="s">
        <v>53</v>
      </c>
      <c r="B4" s="183"/>
      <c r="C4" s="183"/>
      <c r="D4" s="183"/>
      <c r="E4" s="79"/>
      <c r="F4" s="79"/>
      <c r="G4" s="79"/>
      <c r="H4" s="79"/>
      <c r="I4" s="79"/>
      <c r="J4" s="79"/>
      <c r="K4" s="79"/>
    </row>
    <row r="5" spans="1:11" ht="15.75" customHeight="1" x14ac:dyDescent="0.25">
      <c r="A5" s="184" t="s">
        <v>54</v>
      </c>
      <c r="B5" s="184"/>
      <c r="C5" s="184"/>
      <c r="D5" s="150"/>
      <c r="E5" s="79"/>
      <c r="F5" s="79"/>
      <c r="G5" s="79"/>
      <c r="H5" s="79"/>
      <c r="I5" s="79"/>
      <c r="J5" s="79"/>
      <c r="K5" s="79"/>
    </row>
    <row r="6" spans="1:11" ht="15.75" customHeight="1" x14ac:dyDescent="0.25">
      <c r="A6" s="184"/>
      <c r="B6" s="184"/>
      <c r="C6" s="184"/>
      <c r="D6" s="150"/>
      <c r="E6" s="79"/>
      <c r="F6" s="79"/>
      <c r="G6" s="79"/>
      <c r="H6" s="79"/>
      <c r="I6" s="79"/>
      <c r="J6" s="79"/>
      <c r="K6" s="79"/>
    </row>
    <row r="7" spans="1:11" ht="15.75" customHeight="1" x14ac:dyDescent="0.25">
      <c r="A7" s="184" t="s">
        <v>55</v>
      </c>
      <c r="B7" s="184"/>
      <c r="C7" s="184"/>
      <c r="D7" s="150"/>
      <c r="E7" s="79"/>
      <c r="F7" s="79"/>
      <c r="G7" s="79"/>
      <c r="H7" s="79"/>
      <c r="I7" s="79"/>
      <c r="J7" s="79"/>
      <c r="K7" s="79"/>
    </row>
    <row r="8" spans="1:11" ht="15.75" customHeight="1" x14ac:dyDescent="0.25">
      <c r="A8" s="184"/>
      <c r="B8" s="184"/>
      <c r="C8" s="184"/>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86" t="s">
        <v>3</v>
      </c>
      <c r="C11" s="186"/>
    </row>
    <row r="12" spans="1:11" ht="15" customHeight="1" x14ac:dyDescent="0.25">
      <c r="A12" s="81" t="s">
        <v>58</v>
      </c>
      <c r="B12" s="187">
        <v>1111</v>
      </c>
      <c r="C12" s="187"/>
    </row>
    <row r="13" spans="1:11" ht="15.75" x14ac:dyDescent="0.25">
      <c r="A13" s="81" t="s">
        <v>59</v>
      </c>
      <c r="B13" s="191" t="s">
        <v>1642</v>
      </c>
      <c r="C13" s="191"/>
      <c r="E13" s="149"/>
      <c r="F13" s="149"/>
      <c r="G13" s="149"/>
      <c r="H13" s="149"/>
      <c r="I13" s="149"/>
      <c r="J13" s="149"/>
      <c r="K13" s="149"/>
    </row>
    <row r="14" spans="1:11" ht="23.25" customHeight="1" x14ac:dyDescent="0.2">
      <c r="A14" s="185" t="s">
        <v>60</v>
      </c>
      <c r="B14" s="185"/>
      <c r="C14" s="185"/>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v>394571</v>
      </c>
      <c r="C16" s="2">
        <v>9605</v>
      </c>
      <c r="D16" s="193" t="s">
        <v>63</v>
      </c>
      <c r="E16" s="84"/>
      <c r="F16" s="84"/>
      <c r="G16" s="84"/>
      <c r="H16" s="84"/>
      <c r="I16" s="84"/>
      <c r="J16" s="84"/>
      <c r="K16" s="84"/>
    </row>
    <row r="17" spans="1:11" ht="15" customHeight="1" x14ac:dyDescent="0.2">
      <c r="A17" s="82" t="str">
        <f>LEFT(A16,4)+1&amp;"–"&amp;RIGHT(A16,4)+1</f>
        <v>2024–2025</v>
      </c>
      <c r="B17" s="2">
        <v>317508</v>
      </c>
      <c r="C17" s="2">
        <v>2164</v>
      </c>
      <c r="D17" s="193"/>
      <c r="E17" s="84"/>
      <c r="F17" s="84"/>
      <c r="G17" s="84"/>
      <c r="H17" s="84"/>
      <c r="I17" s="84"/>
      <c r="J17" s="84"/>
      <c r="K17" s="84"/>
    </row>
    <row r="18" spans="1:11" ht="15" customHeight="1" x14ac:dyDescent="0.2">
      <c r="A18" s="82" t="str">
        <f>LEFT(A17,4)+1&amp;"–"&amp;RIGHT(A17,4)+1</f>
        <v>2025–2026</v>
      </c>
      <c r="B18" s="2">
        <v>92326</v>
      </c>
      <c r="C18" s="2">
        <v>0</v>
      </c>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v>0</v>
      </c>
      <c r="E20" s="84"/>
      <c r="F20" s="84"/>
      <c r="G20" s="84"/>
      <c r="H20" s="84"/>
      <c r="I20" s="84"/>
      <c r="J20" s="84"/>
      <c r="K20" s="84"/>
    </row>
    <row r="21" spans="1:11" ht="15" customHeight="1" x14ac:dyDescent="0.25">
      <c r="A21" s="82"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2"/>
      <c r="E22" s="83"/>
      <c r="F22" s="83"/>
      <c r="G22" s="83"/>
      <c r="H22" s="83"/>
      <c r="I22" s="83"/>
      <c r="J22" s="83"/>
      <c r="K22" s="83"/>
    </row>
    <row r="23" spans="1:11" ht="15" customHeight="1" x14ac:dyDescent="0.25">
      <c r="A23" s="82" t="str">
        <f t="shared" si="0"/>
        <v>2038–2043</v>
      </c>
      <c r="B23" s="2"/>
      <c r="C23" s="2"/>
      <c r="D23" s="23" t="s">
        <v>1643</v>
      </c>
      <c r="E23" s="83"/>
      <c r="F23" s="83"/>
      <c r="G23" s="83"/>
      <c r="H23" s="83"/>
      <c r="I23" s="83"/>
      <c r="J23" s="83"/>
      <c r="K23" s="83"/>
    </row>
    <row r="24" spans="1:11" ht="15" customHeight="1" x14ac:dyDescent="0.2">
      <c r="A24" s="82"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2"/>
      <c r="E25" s="85"/>
      <c r="F25" s="85"/>
      <c r="G25" s="85"/>
      <c r="H25" s="85"/>
      <c r="I25" s="85"/>
      <c r="J25" s="85"/>
      <c r="K25" s="85"/>
    </row>
    <row r="26" spans="1:11" ht="15" customHeight="1" x14ac:dyDescent="0.2">
      <c r="A26" s="82" t="str">
        <f t="shared" si="0"/>
        <v>2053–2058</v>
      </c>
      <c r="B26" s="2"/>
      <c r="C26" s="2"/>
      <c r="D26" s="23" t="s">
        <v>113</v>
      </c>
      <c r="E26" s="86"/>
      <c r="F26" s="86"/>
      <c r="G26" s="86"/>
      <c r="H26" s="86"/>
      <c r="I26" s="86"/>
    </row>
    <row r="27" spans="1:11" ht="15" customHeight="1" x14ac:dyDescent="0.2">
      <c r="A27" s="82" t="str">
        <f t="shared" si="0"/>
        <v>2058–2063</v>
      </c>
      <c r="B27" s="2"/>
      <c r="C27" s="2"/>
      <c r="D27" s="182"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2"/>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2"/>
    </row>
    <row r="32" spans="1:11" ht="15" customHeight="1" x14ac:dyDescent="0.2">
      <c r="A32" s="82" t="str">
        <f t="shared" si="0"/>
        <v>2083–2088</v>
      </c>
      <c r="B32" s="2"/>
      <c r="C32" s="2"/>
      <c r="D32" s="23">
        <v>0</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90" t="str">
        <f>B11</f>
        <v>2022–2023</v>
      </c>
      <c r="C42" s="190"/>
    </row>
    <row r="43" spans="1:11" ht="15.75" customHeight="1" x14ac:dyDescent="0.25">
      <c r="A43" s="81" t="s">
        <v>58</v>
      </c>
      <c r="B43" s="189">
        <f>B12</f>
        <v>1111</v>
      </c>
      <c r="C43" s="189"/>
    </row>
    <row r="44" spans="1:11" ht="15.75" x14ac:dyDescent="0.25">
      <c r="A44" s="81" t="s">
        <v>59</v>
      </c>
      <c r="B44" s="190" t="str">
        <f>B13</f>
        <v>Department of Consumer Affairs</v>
      </c>
      <c r="C44" s="190"/>
    </row>
    <row r="45" spans="1:11" x14ac:dyDescent="0.2">
      <c r="A45" s="185" t="s">
        <v>60</v>
      </c>
      <c r="B45" s="185"/>
      <c r="C45" s="185"/>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2" t="s">
        <v>63</v>
      </c>
    </row>
    <row r="48" spans="1:11" ht="15" customHeight="1" x14ac:dyDescent="0.2">
      <c r="A48" s="82" t="str">
        <f>LEFT(A47,4)+1&amp;"–"&amp;RIGHT(A47,4)+1</f>
        <v>2024–2025</v>
      </c>
      <c r="B48" s="2"/>
      <c r="C48" s="2"/>
      <c r="D48" s="182"/>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x14ac:dyDescent="0.2">
      <c r="A52" s="82"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2"/>
    </row>
    <row r="54" spans="1:4" ht="15" customHeight="1" x14ac:dyDescent="0.2">
      <c r="A54" s="82" t="str">
        <f t="shared" si="1"/>
        <v>2038–2043</v>
      </c>
      <c r="B54" s="2"/>
      <c r="C54" s="2"/>
      <c r="D54" s="23"/>
    </row>
    <row r="55" spans="1:4" ht="15" customHeight="1" x14ac:dyDescent="0.2">
      <c r="A55" s="82"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2"/>
    </row>
    <row r="57" spans="1:4" ht="15.75" customHeight="1" x14ac:dyDescent="0.2">
      <c r="A57" s="82" t="str">
        <f t="shared" si="1"/>
        <v>2053–2058</v>
      </c>
      <c r="B57" s="2"/>
      <c r="C57" s="2"/>
      <c r="D57" s="23"/>
    </row>
    <row r="58" spans="1:4" ht="15.75" customHeight="1" x14ac:dyDescent="0.2">
      <c r="A58" s="82"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2"/>
    </row>
    <row r="60" spans="1:4" x14ac:dyDescent="0.2">
      <c r="A60" s="82" t="str">
        <f t="shared" si="1"/>
        <v>2068–2073</v>
      </c>
      <c r="B60" s="2"/>
      <c r="C60" s="2"/>
      <c r="D60" s="148"/>
    </row>
    <row r="61" spans="1:4" ht="15" customHeight="1" x14ac:dyDescent="0.2">
      <c r="A61" s="82"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2"/>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90" t="str">
        <f>B11</f>
        <v>2022–2023</v>
      </c>
      <c r="C73" s="190"/>
    </row>
    <row r="74" spans="1:4" ht="15.75" customHeight="1" x14ac:dyDescent="0.25">
      <c r="A74" s="81" t="s">
        <v>58</v>
      </c>
      <c r="B74" s="189">
        <f>B12</f>
        <v>1111</v>
      </c>
      <c r="C74" s="189"/>
    </row>
    <row r="75" spans="1:4" ht="15.75" x14ac:dyDescent="0.25">
      <c r="A75" s="81" t="s">
        <v>59</v>
      </c>
      <c r="B75" s="190" t="str">
        <f>B13</f>
        <v>Department of Consumer Affairs</v>
      </c>
      <c r="C75" s="190"/>
    </row>
    <row r="76" spans="1:4" x14ac:dyDescent="0.2">
      <c r="A76" s="185" t="s">
        <v>60</v>
      </c>
      <c r="B76" s="185"/>
      <c r="C76" s="185"/>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93" t="s">
        <v>63</v>
      </c>
    </row>
    <row r="79" spans="1:4" ht="15" customHeight="1" x14ac:dyDescent="0.2">
      <c r="A79" s="82" t="str">
        <f>LEFT(A78,4)+1&amp;"–"&amp;RIGHT(A78,4)+1</f>
        <v>2024–2025</v>
      </c>
      <c r="B79" s="2"/>
      <c r="C79" s="2"/>
      <c r="D79" s="193"/>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2"/>
    </row>
    <row r="85" spans="1:4" x14ac:dyDescent="0.2">
      <c r="A85" s="82" t="str">
        <f t="shared" si="2"/>
        <v>2038–2043</v>
      </c>
      <c r="B85" s="2"/>
      <c r="C85" s="2"/>
      <c r="D85" s="23"/>
    </row>
    <row r="86" spans="1:4" ht="15" customHeight="1" x14ac:dyDescent="0.2">
      <c r="A86" s="82"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2"/>
    </row>
    <row r="88" spans="1:4" ht="15" customHeight="1" x14ac:dyDescent="0.2">
      <c r="A88" s="82" t="str">
        <f t="shared" si="2"/>
        <v>2053–2058</v>
      </c>
      <c r="B88" s="2"/>
      <c r="C88" s="2"/>
      <c r="D88" s="23"/>
    </row>
    <row r="89" spans="1:4" ht="15.75" customHeight="1" x14ac:dyDescent="0.2">
      <c r="A89" s="82"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2"/>
    </row>
    <row r="91" spans="1:4" x14ac:dyDescent="0.2">
      <c r="A91" s="82" t="str">
        <f t="shared" si="2"/>
        <v>2068–2073</v>
      </c>
      <c r="B91" s="2"/>
      <c r="C91" s="2"/>
      <c r="D91" s="148"/>
    </row>
    <row r="92" spans="1:4" ht="15" customHeight="1" x14ac:dyDescent="0.2">
      <c r="A92" s="82"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2"/>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zOsRRmuho8nyMZSSJXwnEC2EzpoD1j6pJur/0zMwkW2JqcJpiYhNA9MEI4GaMT/bem7sQO5J55BRelVoXDP3gQ==" saltValue="TcdKjLzxztEPu2Z44apjGQ=="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ColWidth="9.140625"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6" t="s">
        <v>66</v>
      </c>
      <c r="H3" s="196"/>
      <c r="I3" s="196"/>
      <c r="J3" s="196"/>
      <c r="K3" s="196"/>
      <c r="L3" s="196"/>
      <c r="M3" s="196"/>
      <c r="N3" s="95"/>
      <c r="O3" s="95"/>
      <c r="P3" s="95"/>
      <c r="Q3" s="96"/>
    </row>
    <row r="4" spans="2:17" ht="20.25" x14ac:dyDescent="0.3">
      <c r="B4" s="94"/>
      <c r="D4" s="95"/>
      <c r="E4" s="95"/>
      <c r="F4" s="95"/>
      <c r="G4" s="196" t="str">
        <f>"FY "&amp;'Department Note Disclosure'!$B$11</f>
        <v>FY 2022–2023</v>
      </c>
      <c r="H4" s="196"/>
      <c r="I4" s="196"/>
      <c r="J4" s="196"/>
      <c r="K4" s="196"/>
      <c r="L4" s="196"/>
      <c r="M4" s="196"/>
      <c r="N4" s="95"/>
      <c r="O4" s="95"/>
      <c r="P4" s="95"/>
      <c r="Q4" s="96"/>
    </row>
    <row r="5" spans="2:17" ht="20.25" x14ac:dyDescent="0.3">
      <c r="B5" s="94"/>
      <c r="D5" s="95"/>
      <c r="E5" s="95"/>
      <c r="F5" s="95"/>
      <c r="G5" s="197" t="str">
        <f>"Business Unit " &amp;'Fund 0717 Journal Entries'!$F$5&amp;" "&amp;'Fund 0717 Journal Entries'!$F$4</f>
        <v>Business Unit 1111 Department of Consumer Affairs</v>
      </c>
      <c r="H5" s="197"/>
      <c r="I5" s="197"/>
      <c r="J5" s="197"/>
      <c r="K5" s="197"/>
      <c r="L5" s="197"/>
      <c r="M5" s="197"/>
      <c r="N5" s="95"/>
      <c r="O5" s="95"/>
      <c r="P5" s="95"/>
      <c r="Q5" s="96"/>
    </row>
    <row r="6" spans="2:17" x14ac:dyDescent="0.25">
      <c r="B6" s="94"/>
      <c r="Q6" s="96"/>
    </row>
    <row r="7" spans="2:17" x14ac:dyDescent="0.25">
      <c r="B7" s="94"/>
      <c r="C7" s="198" t="s">
        <v>67</v>
      </c>
      <c r="D7" s="198"/>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0717 Journal Entries'!$F$3,4)</f>
        <v>Balance
July 1, 2022</v>
      </c>
      <c r="G8" s="103"/>
      <c r="H8" s="104" t="s">
        <v>72</v>
      </c>
      <c r="I8" s="103"/>
      <c r="J8" s="104" t="s">
        <v>73</v>
      </c>
      <c r="K8" s="103"/>
      <c r="L8" s="102" t="str">
        <f>"Balance
June 30, "&amp;RIGHT('Fund 0717 Journal Entries'!$F$3,4)</f>
        <v>Balance
June 30, 2023</v>
      </c>
      <c r="M8" s="103"/>
      <c r="N8" s="102" t="s">
        <v>74</v>
      </c>
      <c r="O8" s="103"/>
      <c r="P8" s="102" t="s">
        <v>75</v>
      </c>
      <c r="Q8" s="96"/>
    </row>
    <row r="9" spans="2:17" x14ac:dyDescent="0.25">
      <c r="B9" s="94"/>
      <c r="C9" s="195" t="s">
        <v>76</v>
      </c>
      <c r="D9" s="195"/>
      <c r="Q9" s="96"/>
    </row>
    <row r="10" spans="2:17" ht="18.75" thickBot="1" x14ac:dyDescent="0.3">
      <c r="B10" s="94"/>
      <c r="D10" s="88" t="s">
        <v>77</v>
      </c>
      <c r="F10" s="3">
        <f>+'Fund 0108 Journal Entries'!K19+'Fund 0152 Journal Entries'!K19+'Fund 0305 Journal Entries'!K19+'Fund 0325 Journal Entries'!K19+'Fund 0492 Journal Entries'!K19+'Fund 0702 Journal Entries'!K19+'Fund 0706 Journal Entries'!K19+'Fund 0717 Journal Entries'!K19+'Fund 0752 Journal Entries'!K19+'Fund 0757 Journal Entries'!K19+'Fund 0770 Journal Entries'!K19+'Fund 0775 Journal Entries'!K19+'Fund 3315 Journal Entries'!K19</f>
        <v>1101536</v>
      </c>
      <c r="H10" s="3">
        <f>+'Fund 0108 Journal Entries'!K37+'Fund 0152 Journal Entries'!K37+'Fund 0305 Journal Entries'!K37+'Fund 0325 Journal Entries'!K37+'Fund 0492 Journal Entries'!K37+'Fund 0702 Journal Entries'!K37+'Fund 0706 Journal Entries'!K37+'Fund 0717 Journal Entries'!K37+'Fund 0752 Journal Entries'!K37+'Fund 0757 Journal Entries'!K37+'Fund 0770 Journal Entries'!K37+'Fund 0775 Journal Entries'!K37+'Fund 3315 Journal Entries'!K37-'Fund 0702 Journal Entries'!J56</f>
        <v>2861</v>
      </c>
      <c r="J10" s="3">
        <f>+'Fund 0108 Journal Entries'!J56+'Fund 0152 Journal Entries'!J56+'Fund 0305 Journal Entries'!J56+'Fund 0325 Journal Entries'!J56+'Fund 0492 Journal Entries'!J56+'Fund 0706 Journal Entries'!J56+'Fund 0717 Journal Entries'!J56+'Fund 0752 Journal Entries'!J56+'Fund 0757 Journal Entries'!J56+'Fund 0770 Journal Entries'!J56+'Fund 0775 Journal Entries'!J56+'Fund 3315 Journal Entries'!J56</f>
        <v>299992</v>
      </c>
      <c r="L10" s="105">
        <f>SUM(F10+H10-J10)</f>
        <v>804405</v>
      </c>
      <c r="N10" s="3">
        <f>+'Fund 0108 Journal Entries'!J61+'Fund 0152 Journal Entries'!J61+'Fund 0305 Journal Entries'!J61+'Fund 0325 Journal Entries'!J61+'Fund 0492 Journal Entries'!J61+'Fund 0702 Journal Entries'!J61+'Fund 0706 Journal Entries'!J61+'Fund 0717 Journal Entries'!J61+'Fund 0752 Journal Entries'!J61+'Fund 0757 Journal Entries'!J61+'Fund 0770 Journal Entries'!J61+'Fund 0775 Journal Entries'!J61+'Fund 3315 Journal Entries'!J61</f>
        <v>394571</v>
      </c>
      <c r="P10" s="105">
        <f>L10-N10</f>
        <v>409834</v>
      </c>
      <c r="Q10" s="96"/>
    </row>
    <row r="11" spans="2:17" ht="19.5" thickTop="1" thickBot="1" x14ac:dyDescent="0.3">
      <c r="B11" s="94"/>
      <c r="C11" s="195" t="s">
        <v>78</v>
      </c>
      <c r="D11" s="195"/>
      <c r="F11" s="106">
        <f>SUM(F10:F10)</f>
        <v>1101536</v>
      </c>
      <c r="H11" s="106">
        <f>SUM(H10:H10)</f>
        <v>2861</v>
      </c>
      <c r="J11" s="106">
        <f>SUM(J10:J10)</f>
        <v>299992</v>
      </c>
      <c r="L11" s="106">
        <f>SUM(L10:L10)</f>
        <v>804405</v>
      </c>
      <c r="N11" s="106">
        <f>SUM(N10:N10)</f>
        <v>394571</v>
      </c>
      <c r="P11" s="106">
        <f>SUM(P10:P10)</f>
        <v>409834</v>
      </c>
      <c r="Q11" s="96"/>
    </row>
    <row r="12" spans="2:17" ht="18.75" thickTop="1" x14ac:dyDescent="0.25">
      <c r="B12" s="94"/>
      <c r="G12" s="107"/>
      <c r="Q12" s="96"/>
    </row>
    <row r="13" spans="2:17" x14ac:dyDescent="0.25">
      <c r="B13" s="94"/>
      <c r="C13" s="195" t="s">
        <v>79</v>
      </c>
      <c r="D13" s="195"/>
      <c r="Q13" s="96"/>
    </row>
    <row r="14" spans="2:17" ht="18.75" thickBot="1" x14ac:dyDescent="0.3">
      <c r="B14" s="94"/>
      <c r="D14" s="88" t="s">
        <v>77</v>
      </c>
      <c r="F14" s="3">
        <f>IF('Fund 0717 Journal Entries'!$F$7="Proprietary - Internal Service Fund",'Fund 0717 Journal Entries'!$K$19,0)</f>
        <v>0</v>
      </c>
      <c r="H14" s="3">
        <f>IF('Fund 0717 Journal Entries'!$F$7="Proprietary - Internal Service Fund",'Fund 0717 Journal Entries'!$K$37,0)</f>
        <v>0</v>
      </c>
      <c r="J14" s="3">
        <f>IF('Fund 0717 Journal Entries'!$F$7="Proprietary - Internal Service Fund",'Fund 0717 Journal Entries'!$J$56,0)</f>
        <v>0</v>
      </c>
      <c r="L14" s="105">
        <f>SUM(F14+H14-J14)</f>
        <v>0</v>
      </c>
      <c r="N14" s="3">
        <f>IF('Fund 0717 Journal Entries'!$F$7="Proprietary - Internal Service Fund",'Fund 0717 Journal Entries'!$J$61,0)</f>
        <v>0</v>
      </c>
      <c r="P14" s="105">
        <f>L14-N14</f>
        <v>0</v>
      </c>
      <c r="Q14" s="96"/>
    </row>
    <row r="15" spans="2:17" ht="19.5" thickTop="1" thickBot="1" x14ac:dyDescent="0.3">
      <c r="B15" s="94"/>
      <c r="C15" s="195" t="s">
        <v>80</v>
      </c>
      <c r="D15" s="195"/>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5" t="s">
        <v>81</v>
      </c>
      <c r="D17" s="195"/>
      <c r="Q17" s="96"/>
    </row>
    <row r="18" spans="1:17" ht="18.75" thickBot="1" x14ac:dyDescent="0.3">
      <c r="B18" s="94"/>
      <c r="D18" s="88" t="s">
        <v>77</v>
      </c>
      <c r="F18" s="3">
        <f>IF('Fund 0717 Journal Entries'!$F$7="Proprietary - Enterprise Fund",'Fund 0717 Journal Entries'!$K$19,0)</f>
        <v>0</v>
      </c>
      <c r="H18" s="3">
        <f>IF('Fund 0717 Journal Entries'!$F$7="Proprietary - Enterprise Fund",'Fund 0717 Journal Entries'!$K$37,0)</f>
        <v>0</v>
      </c>
      <c r="J18" s="3">
        <f>IF('Fund 0717 Journal Entries'!$F$7="Proprietary - Enterprise Fund",'Fund 0717 Journal Entries'!$J$56,0)</f>
        <v>0</v>
      </c>
      <c r="L18" s="105">
        <f>SUM(F18+H18-J18)</f>
        <v>0</v>
      </c>
      <c r="N18" s="3">
        <f>IF('Fund 0717 Journal Entries'!$F$7="Proprietary - Enterprise Fund",'Fund 0717 Journal Entries'!$J$61,0)</f>
        <v>0</v>
      </c>
      <c r="P18" s="105">
        <f>L18-N18</f>
        <v>0</v>
      </c>
      <c r="Q18" s="96"/>
    </row>
    <row r="19" spans="1:17" ht="19.5" thickTop="1" thickBot="1" x14ac:dyDescent="0.3">
      <c r="B19" s="94"/>
      <c r="C19" s="195" t="s">
        <v>82</v>
      </c>
      <c r="D19" s="195"/>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4" t="s">
        <v>83</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DQrrLz+t4R93MmhBosDvL2+DqSBjz43ww/1rX309j+2iEHz97M/kb4NkR2jPJNarUo4uMNXwtPGiZ+gXLdA2eQ==" saltValue="C0ja8fy11OjqUDYiNCTOXQ=="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23" zoomScale="112" zoomScaleNormal="112" workbookViewId="0">
      <selection activeCell="F16" sqref="F16"/>
    </sheetView>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204" t="s">
        <v>87</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88</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19" t="s">
        <v>89</v>
      </c>
      <c r="B11" s="120"/>
      <c r="C11" s="121"/>
      <c r="D11" s="120"/>
      <c r="E11" s="121"/>
      <c r="F11" s="120"/>
      <c r="G11" s="121"/>
      <c r="H11" s="120"/>
      <c r="I11" s="121"/>
      <c r="J11" s="120"/>
      <c r="K11" s="120"/>
      <c r="L11" s="120"/>
      <c r="M11" s="120"/>
    </row>
    <row r="12" spans="1:13" x14ac:dyDescent="0.25">
      <c r="A12" s="155"/>
      <c r="B12" s="202" t="s">
        <v>90</v>
      </c>
      <c r="C12" s="202"/>
      <c r="D12" s="202"/>
      <c r="E12" s="202"/>
      <c r="F12" s="202"/>
      <c r="G12" s="202"/>
      <c r="H12" s="202"/>
      <c r="I12" s="202"/>
      <c r="J12" s="202"/>
      <c r="K12" s="202"/>
      <c r="L12" s="202"/>
      <c r="M12" s="202"/>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3" t="s">
        <v>91</v>
      </c>
      <c r="C14" s="203"/>
      <c r="D14" s="203"/>
      <c r="E14" s="203"/>
      <c r="F14" s="203"/>
      <c r="G14" s="203"/>
      <c r="H14" s="203"/>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+'Fund 0108 Journal Entries'!K19+'Fund 0152 Journal Entries'!K19+'Fund 0305 Journal Entries'!K19+'Fund 0325 Journal Entries'!K19+'Fund 0492 Journal Entries'!K19+'Fund 0702 Journal Entries'!K19+'Fund 0706 Journal Entries'!K19+'Fund 0717 Journal Entries'!K19+'Fund 0752 Journal Entries'!K19+'Fund 0757 Journal Entries'!K19+'Fund 0770 Journal Entries'!K19+'Fund 0775 Journal Entries'!K19+'Fund 3315 Journal Entries'!K19</f>
        <v>1101536</v>
      </c>
      <c r="C16" s="15" t="s">
        <v>94</v>
      </c>
      <c r="D16" s="14">
        <f>+'Fund 0108 Journal Entries'!K37+'Fund 0152 Journal Entries'!K37+'Fund 0305 Journal Entries'!K37+'Fund 0325 Journal Entries'!K37+'Fund 0492 Journal Entries'!K37+'Fund 0702 Journal Entries'!K37+'Fund 0706 Journal Entries'!K37+'Fund 0717 Journal Entries'!K37+'Fund 0752 Journal Entries'!K37+'Fund 0757 Journal Entries'!K37+'Fund 0770 Journal Entries'!K37+'Fund 0775 Journal Entries'!K37+'Fund 3315 Journal Entries'!K37</f>
        <v>0</v>
      </c>
      <c r="E16" s="16" t="s">
        <v>96</v>
      </c>
      <c r="F16" s="14">
        <f>+'Fund 0108 Journal Entries'!J56+'Fund 0152 Journal Entries'!J56+'Fund 0305 Journal Entries'!J56+'Fund 0325 Journal Entries'!J56+'Fund 0492 Journal Entries'!J56+'Fund 0702 Journal Entries'!J56+'Fund 0706 Journal Entries'!J56+'Fund 0717 Journal Entries'!J56+'Fund 0752 Journal Entries'!J56+'Fund 0757 Journal Entries'!J56+'Fund 0770 Journal Entries'!J56+'Fund 0775 Journal Entries'!J56+'Fund 3315 Journal Entries'!J56</f>
        <v>297131</v>
      </c>
      <c r="G16" s="16" t="s">
        <v>100</v>
      </c>
      <c r="H16" s="17">
        <f>+B16+D16-F16</f>
        <v>804405</v>
      </c>
      <c r="I16" s="16"/>
      <c r="J16" s="18">
        <f>ROUND(SUM('Department Note Disclosure'!$B$16:$B$39),0)</f>
        <v>804405</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2" t="s">
        <v>101</v>
      </c>
      <c r="C19" s="202"/>
      <c r="D19" s="202"/>
      <c r="E19" s="202"/>
      <c r="F19" s="202"/>
      <c r="G19" s="202"/>
      <c r="H19" s="202"/>
      <c r="I19" s="202"/>
      <c r="J19" s="202"/>
      <c r="K19" s="202"/>
      <c r="L19" s="202"/>
      <c r="M19" s="202"/>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3" t="s">
        <v>91</v>
      </c>
      <c r="C21" s="203"/>
      <c r="D21" s="203"/>
      <c r="E21" s="203"/>
      <c r="F21" s="203"/>
      <c r="G21" s="203"/>
      <c r="H21" s="203"/>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0717 Journal Entries'!$F$7="Proprietary - Internal Service Fund",ROUND('Fund 0717 Journal Entries'!$K$19,0),0)</f>
        <v>0</v>
      </c>
      <c r="C23" s="15" t="s">
        <v>94</v>
      </c>
      <c r="D23" s="14">
        <f>IF('Fund 0717 Journal Entries'!$F$7="Proprietary - Internal Service Fund",ROUND('Fund 0717 Journal Entries'!$K$37,0),0)</f>
        <v>0</v>
      </c>
      <c r="E23" s="16" t="s">
        <v>96</v>
      </c>
      <c r="F23" s="14">
        <f>IF('Fund 0717 Journal Entries'!$F$7="Proprietary - Internal Service Fund",ROUND('Fund 0717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2" t="s">
        <v>102</v>
      </c>
      <c r="C27" s="202"/>
      <c r="D27" s="202"/>
      <c r="E27" s="202"/>
      <c r="F27" s="202"/>
      <c r="G27" s="202"/>
      <c r="H27" s="202"/>
      <c r="I27" s="202"/>
      <c r="J27" s="202"/>
      <c r="K27" s="202"/>
      <c r="L27" s="202"/>
      <c r="M27" s="202"/>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3" t="s">
        <v>91</v>
      </c>
      <c r="C29" s="203"/>
      <c r="D29" s="203"/>
      <c r="E29" s="203"/>
      <c r="F29" s="203"/>
      <c r="G29" s="203"/>
      <c r="H29" s="203"/>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0717 Journal Entries'!$F$7="Proprietary - Enterprise Fund",ROUND('Fund 0717 Journal Entries'!$K$19,0),0)</f>
        <v>0</v>
      </c>
      <c r="C31" s="15" t="s">
        <v>94</v>
      </c>
      <c r="D31" s="14">
        <f>IF('Fund 0717 Journal Entries'!$F$7="Proprietary - Enterprise Fund",ROUND('Fund 0717 Journal Entries'!$K$37,0),0)</f>
        <v>0</v>
      </c>
      <c r="E31" s="16" t="s">
        <v>96</v>
      </c>
      <c r="F31" s="14">
        <f>IF('Fund 0717 Journal Entries'!$F$7="Proprietary - Enterprise Fund",ROUND('Fund 0717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2" t="s">
        <v>90</v>
      </c>
      <c r="C35" s="202"/>
      <c r="D35" s="202"/>
      <c r="E35" s="202"/>
      <c r="F35" s="202"/>
      <c r="G35" s="202"/>
      <c r="H35" s="202"/>
      <c r="I35" s="202"/>
      <c r="J35" s="202"/>
      <c r="K35" s="202"/>
      <c r="L35" s="202"/>
      <c r="M35" s="202"/>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3" t="s">
        <v>91</v>
      </c>
      <c r="C37" s="203"/>
      <c r="D37" s="203"/>
      <c r="E37" s="203"/>
      <c r="F37" s="203"/>
      <c r="G37" s="203"/>
      <c r="H37" s="203"/>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+'Fund 0108 Journal Entries'!J61+'Fund 0152 Journal Entries'!J61+'Fund 0305 Journal Entries'!J61+'Fund 0325 Journal Entries'!J61+'Fund 0492 Journal Entries'!J61+'Fund 0702 Journal Entries'!J61+'Fund 0706 Journal Entries'!J61+'Fund 0717 Journal Entries'!J61+'Fund 0752 Journal Entries'!J61+'Fund 0757 Journal Entries'!J61+'Fund 0770 Journal Entries'!J61+'Fund 0775 Journal Entries'!J61+'Fund 3315 Journal Entries'!J61</f>
        <v>394571</v>
      </c>
      <c r="G39" s="134"/>
      <c r="H39" s="134"/>
      <c r="I39" s="20"/>
      <c r="J39" s="18">
        <f>ROUND('Department Note Disclosure'!$B$16,0)</f>
        <v>394571</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2" t="s">
        <v>101</v>
      </c>
      <c r="C42" s="202"/>
      <c r="D42" s="202"/>
      <c r="E42" s="202"/>
      <c r="F42" s="202"/>
      <c r="G42" s="202"/>
      <c r="H42" s="202"/>
      <c r="I42" s="202"/>
      <c r="J42" s="202"/>
      <c r="K42" s="202"/>
      <c r="L42" s="202"/>
      <c r="M42" s="202"/>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3" t="s">
        <v>91</v>
      </c>
      <c r="C44" s="203"/>
      <c r="D44" s="203"/>
      <c r="E44" s="203"/>
      <c r="F44" s="203"/>
      <c r="G44" s="203"/>
      <c r="H44" s="203"/>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0717 Journal Entries'!$F$7="Proprietary - Internal Service Fund",ROUND('Fund 0717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2" t="s">
        <v>102</v>
      </c>
      <c r="C49" s="202"/>
      <c r="D49" s="202"/>
      <c r="E49" s="202"/>
      <c r="F49" s="202"/>
      <c r="G49" s="202"/>
      <c r="H49" s="202"/>
      <c r="I49" s="202"/>
      <c r="J49" s="202"/>
      <c r="K49" s="202"/>
      <c r="L49" s="202"/>
      <c r="M49" s="202"/>
    </row>
    <row r="50" spans="1:13" x14ac:dyDescent="0.25">
      <c r="A50" s="155"/>
      <c r="B50" s="155"/>
      <c r="C50" s="123"/>
      <c r="D50" s="155"/>
      <c r="E50" s="123"/>
      <c r="F50" s="155"/>
      <c r="G50" s="123"/>
      <c r="H50" s="155"/>
      <c r="I50" s="123"/>
      <c r="J50" s="155"/>
      <c r="K50" s="155"/>
      <c r="L50" s="155"/>
      <c r="M50" s="155"/>
    </row>
    <row r="51" spans="1:13" x14ac:dyDescent="0.25">
      <c r="A51" s="155"/>
      <c r="B51" s="203" t="s">
        <v>91</v>
      </c>
      <c r="C51" s="203"/>
      <c r="D51" s="203"/>
      <c r="E51" s="203"/>
      <c r="F51" s="203"/>
      <c r="G51" s="203"/>
      <c r="H51" s="203"/>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0717 Journal Entries'!$F$7="Proprietary - Enterprise Fund",ROUND('Fund 0717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0" t="s">
        <v>90</v>
      </c>
      <c r="C57" s="200"/>
      <c r="D57" s="200"/>
      <c r="E57" s="200"/>
      <c r="F57" s="200"/>
      <c r="G57" s="200"/>
      <c r="H57" s="200"/>
      <c r="I57" s="200"/>
      <c r="J57" s="200"/>
      <c r="K57" s="200"/>
      <c r="L57" s="200"/>
      <c r="M57" s="200"/>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199" t="s">
        <v>91</v>
      </c>
      <c r="C59" s="199"/>
      <c r="D59" s="199"/>
      <c r="E59" s="199"/>
      <c r="F59" s="199"/>
      <c r="G59" s="154"/>
      <c r="H59" s="199" t="s">
        <v>66</v>
      </c>
      <c r="I59" s="199"/>
      <c r="J59" s="199"/>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1101536</v>
      </c>
      <c r="H61" s="137" t="str">
        <f>"Balance July 1, "&amp;LEFT('Fund 0717 Journal Entries'!$F$3,4)</f>
        <v>Balance July 1, 2022</v>
      </c>
      <c r="J61" s="22">
        <f>ROUND('SBITA Liabilities'!$F$10,0)</f>
        <v>1101536</v>
      </c>
      <c r="L61" s="19">
        <f>D61-J61</f>
        <v>0</v>
      </c>
    </row>
    <row r="62" spans="1:13" x14ac:dyDescent="0.25">
      <c r="B62" s="135" t="s">
        <v>95</v>
      </c>
      <c r="D62" s="22">
        <f>$D$16</f>
        <v>0</v>
      </c>
      <c r="H62" s="137" t="s">
        <v>72</v>
      </c>
      <c r="J62" s="22">
        <f>ROUND('SBITA Liabilities'!$H$10,0)</f>
        <v>2861</v>
      </c>
      <c r="L62" s="19">
        <f>D62-J62</f>
        <v>-2861</v>
      </c>
    </row>
    <row r="63" spans="1:13" x14ac:dyDescent="0.25">
      <c r="B63" s="135" t="s">
        <v>97</v>
      </c>
      <c r="D63" s="22">
        <f>$F$16</f>
        <v>297131</v>
      </c>
      <c r="H63" s="137" t="s">
        <v>73</v>
      </c>
      <c r="J63" s="22">
        <f>ROUND('SBITA Liabilities'!$J$10,0)</f>
        <v>299992</v>
      </c>
      <c r="L63" s="19">
        <f>D63-J63</f>
        <v>-2861</v>
      </c>
    </row>
    <row r="64" spans="1:13" x14ac:dyDescent="0.25">
      <c r="B64" s="135" t="s">
        <v>104</v>
      </c>
      <c r="D64" s="22">
        <f>$F$39</f>
        <v>394571</v>
      </c>
      <c r="H64" s="137" t="s">
        <v>74</v>
      </c>
      <c r="J64" s="22">
        <f>ROUND('SBITA Liabilities'!$N$10,0)</f>
        <v>394571</v>
      </c>
      <c r="L64" s="19">
        <f>D64-J64</f>
        <v>0</v>
      </c>
    </row>
    <row r="65" spans="1:13" ht="15.95" customHeight="1" x14ac:dyDescent="0.25">
      <c r="D65" s="133" t="str">
        <f>IF(OR(L61&gt;0, (L61&lt;0),L62&gt;0,L62&lt;0,L63&gt;0,L63&lt;0,L64&gt;0,L64&lt;0), "Please review and correct the variance.","")</f>
        <v>Please review and correct the variance.</v>
      </c>
    </row>
    <row r="66" spans="1:13" ht="6" customHeight="1" x14ac:dyDescent="0.25">
      <c r="D66" s="138"/>
    </row>
    <row r="67" spans="1:13" s="201" customFormat="1" x14ac:dyDescent="0.25">
      <c r="A67" s="122"/>
      <c r="B67" s="201" t="s">
        <v>101</v>
      </c>
    </row>
    <row r="68" spans="1:13" ht="6" customHeight="1" x14ac:dyDescent="0.25">
      <c r="B68" s="139"/>
    </row>
    <row r="69" spans="1:13" ht="15" customHeight="1" x14ac:dyDescent="0.25">
      <c r="B69" s="199" t="s">
        <v>91</v>
      </c>
      <c r="C69" s="199"/>
      <c r="D69" s="199"/>
      <c r="E69" s="199"/>
      <c r="F69" s="199"/>
      <c r="G69" s="154"/>
      <c r="H69" s="199" t="s">
        <v>66</v>
      </c>
      <c r="I69" s="199"/>
      <c r="J69" s="199"/>
    </row>
    <row r="70" spans="1:13" x14ac:dyDescent="0.25">
      <c r="H70" s="155"/>
      <c r="I70" s="155"/>
      <c r="J70" s="155"/>
      <c r="K70" s="155"/>
      <c r="L70" s="130" t="s">
        <v>99</v>
      </c>
    </row>
    <row r="71" spans="1:13" x14ac:dyDescent="0.25">
      <c r="B71" s="135" t="s">
        <v>93</v>
      </c>
      <c r="D71" s="22">
        <f>$B$23</f>
        <v>0</v>
      </c>
      <c r="H71" s="137" t="str">
        <f>"Balance July 1, "&amp;LEFT('Fund 0717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1" t="s">
        <v>102</v>
      </c>
      <c r="C77" s="201"/>
      <c r="D77" s="201"/>
      <c r="E77" s="201"/>
      <c r="F77" s="201"/>
      <c r="G77" s="201"/>
      <c r="H77" s="201"/>
      <c r="I77" s="201"/>
      <c r="J77" s="201"/>
      <c r="K77" s="201"/>
      <c r="L77" s="201"/>
      <c r="M77" s="201"/>
    </row>
    <row r="78" spans="1:13" ht="6" customHeight="1" x14ac:dyDescent="0.25">
      <c r="B78" s="139"/>
    </row>
    <row r="79" spans="1:13" ht="15" customHeight="1" x14ac:dyDescent="0.25">
      <c r="B79" s="199" t="s">
        <v>91</v>
      </c>
      <c r="C79" s="199"/>
      <c r="D79" s="199"/>
      <c r="E79" s="199"/>
      <c r="F79" s="199"/>
      <c r="G79" s="154"/>
      <c r="H79" s="199" t="s">
        <v>66</v>
      </c>
      <c r="I79" s="199"/>
      <c r="J79" s="199"/>
    </row>
    <row r="80" spans="1:13" x14ac:dyDescent="0.25">
      <c r="H80" s="155"/>
      <c r="I80" s="155"/>
      <c r="J80" s="155"/>
      <c r="K80" s="155"/>
      <c r="L80" s="130" t="s">
        <v>99</v>
      </c>
    </row>
    <row r="81" spans="1:13" x14ac:dyDescent="0.25">
      <c r="B81" s="135" t="s">
        <v>93</v>
      </c>
      <c r="D81" s="22">
        <f>$B$31</f>
        <v>0</v>
      </c>
      <c r="H81" s="137" t="str">
        <f>"Balance July 1, "&amp;LEFT('Fund 0717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UaV2Ge2GAO4mbNvXA4nP6tHBUHXg6do7pU1eySlq23Gy+bu0ZrSqYZRokHSc2LjxtJSbhsKOUv2I5J+CGsQShQ==" saltValue="XQxvX32dhvYOM1etwHVmS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7B7780E-153D-4CC5-932B-5736B23B2E85}"/>
</file>

<file path=customXml/itemProps2.xml><?xml version="1.0" encoding="utf-8"?>
<ds:datastoreItem xmlns:ds="http://schemas.openxmlformats.org/officeDocument/2006/customXml" ds:itemID="{94D17F64-B453-4DB4-A2BA-A5E7C279E2A8}"/>
</file>

<file path=customXml/itemProps3.xml><?xml version="1.0" encoding="utf-8"?>
<ds:datastoreItem xmlns:ds="http://schemas.openxmlformats.org/officeDocument/2006/customXml" ds:itemID="{1E398CDE-5D2C-4F3C-88C9-B0DA57B3A5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Fund 0108 Journal Entries</vt:lpstr>
      <vt:lpstr>Fund 0152 Journal Entries</vt:lpstr>
      <vt:lpstr>Fund 0305 Journal Entries</vt:lpstr>
      <vt:lpstr>Fund 0325 Journal Entries</vt:lpstr>
      <vt:lpstr>Fund 0492 Journal Entries</vt:lpstr>
      <vt:lpstr>Fund 0702 Journal Entries</vt:lpstr>
      <vt:lpstr>Fund 0706 Journal Entries</vt:lpstr>
      <vt:lpstr>Fund 0717 Journal Entries</vt:lpstr>
      <vt:lpstr>Fund 0752 Journal Entries</vt:lpstr>
      <vt:lpstr>Fund 0757 Journal Entries</vt:lpstr>
      <vt:lpstr>Fund 0770 Journal Entries</vt:lpstr>
      <vt:lpstr>Fund 0775 Journal Entries</vt:lpstr>
      <vt:lpstr>Fund 3315 Journal Entries</vt:lpstr>
      <vt:lpstr>Department Note Disclosure</vt:lpstr>
      <vt:lpstr>SBITA Liabilities</vt:lpstr>
      <vt:lpstr>Check Figures </vt:lpstr>
      <vt:lpstr>Drop Down Menus</vt:lpstr>
      <vt:lpstr>GAAP02Aindex</vt:lpstr>
      <vt:lpstr>'Department Note Disclosure'!Print_Area</vt:lpstr>
      <vt:lpstr>'Fund 0108 Journal Entries'!Print_Area</vt:lpstr>
      <vt:lpstr>'Fund 0152 Journal Entries'!Print_Area</vt:lpstr>
      <vt:lpstr>'Fund 0305 Journal Entries'!Print_Area</vt:lpstr>
      <vt:lpstr>'Fund 0325 Journal Entries'!Print_Area</vt:lpstr>
      <vt:lpstr>'Fund 0492 Journal Entries'!Print_Area</vt:lpstr>
      <vt:lpstr>'Fund 0702 Journal Entries'!Print_Area</vt:lpstr>
      <vt:lpstr>'Fund 0706 Journal Entries'!Print_Area</vt:lpstr>
      <vt:lpstr>'Fund 0717 Journal Entries'!Print_Area</vt:lpstr>
      <vt:lpstr>'Fund 0752 Journal Entries'!Print_Area</vt:lpstr>
      <vt:lpstr>'Fund 0757 Journal Entries'!Print_Area</vt:lpstr>
      <vt:lpstr>'Fund 0770 Journal Entries'!Print_Area</vt:lpstr>
      <vt:lpstr>'Fund 0775 Journal Entries'!Print_Area</vt:lpstr>
      <vt:lpstr>'Fund 3315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2024-06-13T00:48:59Z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3303200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