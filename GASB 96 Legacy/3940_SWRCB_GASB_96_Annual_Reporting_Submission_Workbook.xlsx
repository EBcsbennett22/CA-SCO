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sconet\data\SARD\Users\slam\Data\Desktop\SWRCB\"/>
    </mc:Choice>
  </mc:AlternateContent>
  <xr:revisionPtr revIDLastSave="0" documentId="13_ncr:1_{C2246E33-4A87-4F12-8419-32820EFA1BF6}" xr6:coauthVersionLast="47" xr6:coauthVersionMax="47" xr10:uidLastSave="{00000000-0000-0000-0000-000000000000}"/>
  <bookViews>
    <workbookView xWindow="20370" yWindow="-120" windowWidth="38640" windowHeight="15840" xr2:uid="{00000000-000D-0000-FFFF-FFFF00000000}"/>
  </bookViews>
  <sheets>
    <sheet name="Fund 0001 Journal Entries" sheetId="2" r:id="rId1"/>
    <sheet name="Fund 0193 Journal Entries" sheetId="10" r:id="rId2"/>
    <sheet name="Fund 0439 Journal Entries" sheetId="11" r:id="rId3"/>
    <sheet name="Fund 3339 Journal Entries" sheetId="12" r:id="rId4"/>
    <sheet name="Department Note Disclosure" sheetId="3" r:id="rId5"/>
    <sheet name="SBITA Liabilities" sheetId="4" r:id="rId6"/>
    <sheet name="Check Figures " sheetId="9" r:id="rId7"/>
    <sheet name="Drop Down Menus" sheetId="1" state="hidden" r:id="rId8"/>
    <sheet name="GAAP02Aindex" sheetId="7" state="hidden"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'Department Note Disclosure'!$A$3:$D$101</definedName>
    <definedName name="_xlnm.Print_Area" localSheetId="0">'Fund 0001 Journal Entries'!$A$3:$K$70</definedName>
    <definedName name="_xlnm.Print_Area" localSheetId="1">'Fund 0193 Journal Entries'!$A$3:$K$70</definedName>
    <definedName name="_xlnm.Print_Area" localSheetId="2">'Fund 0439 Journal Entries'!$A$3:$K$70</definedName>
    <definedName name="_xlnm.Print_Area" localSheetId="3">'Fund 3339 Journal Entries'!$A$3:$K$70</definedName>
    <definedName name="_xlnm.Print_Area" localSheetId="5">'SBITA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9" l="1"/>
  <c r="J10" i="4"/>
  <c r="D16" i="9"/>
  <c r="H10" i="4"/>
  <c r="B16" i="9"/>
  <c r="F10" i="4"/>
  <c r="K57" i="2"/>
  <c r="J56" i="2"/>
  <c r="N10" i="4" l="1"/>
  <c r="K52" i="12" l="1"/>
  <c r="K86" i="12"/>
  <c r="J86" i="12"/>
  <c r="L86" i="12" s="1"/>
  <c r="L81" i="12"/>
  <c r="K81" i="12"/>
  <c r="J81" i="12"/>
  <c r="J70" i="12"/>
  <c r="K69" i="12"/>
  <c r="K94" i="12" s="1"/>
  <c r="J63" i="12"/>
  <c r="K62" i="12"/>
  <c r="K97" i="12" s="1"/>
  <c r="K57" i="12"/>
  <c r="J56" i="12" s="1"/>
  <c r="K53" i="12"/>
  <c r="J53" i="12"/>
  <c r="B51" i="12"/>
  <c r="J47" i="12"/>
  <c r="K46" i="12"/>
  <c r="K95" i="12" s="1"/>
  <c r="K39" i="12"/>
  <c r="J39" i="12"/>
  <c r="K31" i="12"/>
  <c r="J31" i="12"/>
  <c r="A26" i="12"/>
  <c r="K22" i="12"/>
  <c r="J22" i="12"/>
  <c r="L22" i="12" s="1"/>
  <c r="B14" i="12"/>
  <c r="A12" i="12"/>
  <c r="F8" i="12"/>
  <c r="C80" i="12" s="1"/>
  <c r="L86" i="11"/>
  <c r="K86" i="11"/>
  <c r="J86" i="11"/>
  <c r="L81" i="11"/>
  <c r="K81" i="11"/>
  <c r="J81" i="11"/>
  <c r="J70" i="11"/>
  <c r="K69" i="11"/>
  <c r="K94" i="11" s="1"/>
  <c r="J63" i="11"/>
  <c r="K62" i="11"/>
  <c r="K97" i="11" s="1"/>
  <c r="K57" i="11"/>
  <c r="J56" i="11" s="1"/>
  <c r="J53" i="11"/>
  <c r="K52" i="11"/>
  <c r="K53" i="11" s="1"/>
  <c r="L53" i="11" s="1"/>
  <c r="B51" i="11"/>
  <c r="J47" i="11"/>
  <c r="K46" i="11"/>
  <c r="K47" i="11" s="1"/>
  <c r="K39" i="11"/>
  <c r="J39" i="11"/>
  <c r="K31" i="11"/>
  <c r="J31" i="11"/>
  <c r="A26" i="11"/>
  <c r="K22" i="11"/>
  <c r="J22" i="11"/>
  <c r="B14" i="11"/>
  <c r="A12" i="11"/>
  <c r="F8" i="11"/>
  <c r="C80" i="11" s="1"/>
  <c r="K86" i="10"/>
  <c r="J86" i="10"/>
  <c r="L86" i="10" s="1"/>
  <c r="K81" i="10"/>
  <c r="J81" i="10"/>
  <c r="L81" i="10" s="1"/>
  <c r="J70" i="10"/>
  <c r="K69" i="10"/>
  <c r="K94" i="10" s="1"/>
  <c r="J63" i="10"/>
  <c r="K62" i="10"/>
  <c r="K97" i="10" s="1"/>
  <c r="K57" i="10"/>
  <c r="K58" i="10" s="1"/>
  <c r="J53" i="10"/>
  <c r="K52" i="10"/>
  <c r="K53" i="10" s="1"/>
  <c r="B51" i="10"/>
  <c r="J47" i="10"/>
  <c r="K46" i="10"/>
  <c r="K95" i="10" s="1"/>
  <c r="K39" i="10"/>
  <c r="J39" i="10"/>
  <c r="K31" i="10"/>
  <c r="J31" i="10"/>
  <c r="A26" i="10"/>
  <c r="K22" i="10"/>
  <c r="J22" i="10"/>
  <c r="B14" i="10"/>
  <c r="A12" i="10"/>
  <c r="F8" i="10"/>
  <c r="C30" i="10" s="1"/>
  <c r="K63" i="11" l="1"/>
  <c r="L63" i="11" s="1"/>
  <c r="J56" i="10"/>
  <c r="L39" i="10"/>
  <c r="K63" i="12"/>
  <c r="L63" i="12" s="1"/>
  <c r="K63" i="10"/>
  <c r="L63" i="10" s="1"/>
  <c r="L53" i="12"/>
  <c r="L53" i="10"/>
  <c r="L39" i="12"/>
  <c r="L39" i="11"/>
  <c r="K47" i="12"/>
  <c r="L47" i="12" s="1"/>
  <c r="L31" i="12"/>
  <c r="L47" i="11"/>
  <c r="L31" i="11"/>
  <c r="L22" i="11"/>
  <c r="L31" i="10"/>
  <c r="L22" i="10"/>
  <c r="K96" i="12"/>
  <c r="J58" i="12"/>
  <c r="C52" i="12"/>
  <c r="K58" i="12"/>
  <c r="K70" i="12"/>
  <c r="L70" i="12" s="1"/>
  <c r="C38" i="12"/>
  <c r="B78" i="12"/>
  <c r="C30" i="12"/>
  <c r="K96" i="11"/>
  <c r="J58" i="11"/>
  <c r="C38" i="11"/>
  <c r="C52" i="11"/>
  <c r="K58" i="11"/>
  <c r="K70" i="11"/>
  <c r="L70" i="11" s="1"/>
  <c r="B78" i="11"/>
  <c r="C30" i="11"/>
  <c r="K95" i="11"/>
  <c r="K47" i="10"/>
  <c r="L47" i="10" s="1"/>
  <c r="C38" i="10"/>
  <c r="C52" i="10"/>
  <c r="K70" i="10"/>
  <c r="L70" i="10" s="1"/>
  <c r="B78" i="10"/>
  <c r="C80" i="10"/>
  <c r="D92" i="3"/>
  <c r="D61" i="3"/>
  <c r="D89" i="3"/>
  <c r="D58" i="3"/>
  <c r="L58" i="11" l="1"/>
  <c r="K96" i="10"/>
  <c r="J58" i="10"/>
  <c r="L58" i="10" s="1"/>
  <c r="L58" i="12"/>
  <c r="D30" i="3"/>
  <c r="D27" i="3"/>
  <c r="B23" i="9" l="1"/>
  <c r="D23" i="9"/>
  <c r="F23" i="9"/>
  <c r="B31" i="9"/>
  <c r="D31" i="9"/>
  <c r="F31" i="9"/>
  <c r="F46" i="9"/>
  <c r="F53" i="9"/>
  <c r="N14" i="4"/>
  <c r="J14" i="4"/>
  <c r="H14" i="4"/>
  <c r="F14" i="4"/>
  <c r="F18" i="4"/>
  <c r="H18" i="4"/>
  <c r="J18" i="4"/>
  <c r="N18" i="4"/>
  <c r="K46" i="2"/>
  <c r="K52" i="2"/>
  <c r="G5" i="4" l="1"/>
  <c r="K62" i="2"/>
  <c r="D86" i="3"/>
  <c r="D55" i="3"/>
  <c r="D24" i="3"/>
  <c r="K97" i="2" l="1"/>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l="1"/>
  <c r="D17" i="9" s="1"/>
  <c r="D65" i="9"/>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<sst xmlns="http://schemas.openxmlformats.org/spreadsheetml/2006/main" count="7741" uniqueCount="1643">
  <si>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</si>
  <si>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</si>
  <si>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</si>
  <si>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</si>
  <si>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</si>
  <si>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</si>
  <si>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</si>
  <si>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</si>
  <si>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</si>
  <si>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</si>
  <si>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</si>
  <si>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</si>
  <si>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</si>
  <si>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</si>
  <si>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</si>
  <si>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</si>
  <si>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</si>
  <si>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</si>
  <si>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</si>
  <si>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</si>
  <si>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</si>
  <si>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</si>
  <si>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</si>
  <si>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</si>
  <si>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</si>
  <si>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</si>
  <si>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</si>
  <si>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</si>
  <si>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</si>
  <si>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</si>
  <si>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</si>
  <si>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</si>
  <si>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</si>
  <si>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</si>
  <si>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</si>
  <si>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</si>
  <si>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</si>
  <si>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</si>
  <si>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</si>
  <si>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</si>
  <si>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</si>
  <si>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</si>
  <si>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</si>
  <si>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</si>
  <si>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</si>
  <si>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</si>
  <si>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</si>
  <si>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</si>
  <si>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</si>
  <si>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</si>
  <si>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</si>
  <si>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</si>
  <si>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</si>
  <si>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</si>
  <si>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</si>
  <si>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</si>
  <si>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</si>
  <si>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</si>
  <si>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</si>
  <si>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</si>
  <si>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</si>
  <si>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</si>
  <si>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</si>
  <si>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</si>
  <si>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</si>
  <si>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</si>
  <si>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</si>
  <si>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</si>
  <si>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</si>
  <si>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</si>
  <si>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</si>
  <si>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</si>
  <si>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</si>
  <si>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</si>
  <si>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</si>
  <si>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</si>
  <si>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</si>
  <si>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</si>
  <si>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</si>
  <si>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</si>
  <si>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</si>
  <si>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</si>
  <si>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</si>
  <si>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</si>
  <si>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</si>
  <si>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</si>
  <si>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</si>
  <si>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</si>
  <si>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</si>
  <si>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</si>
  <si>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</si>
  <si>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</si>
  <si>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</si>
  <si>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</si>
  <si>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</si>
  <si>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</si>
  <si>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</si>
  <si>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</si>
  <si>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</si>
  <si>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</si>
  <si>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</si>
  <si>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</si>
  <si>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</si>
  <si>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</si>
  <si>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</si>
  <si>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</si>
  <si>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</si>
  <si>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</si>
  <si>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</si>
  <si>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</si>
  <si>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</si>
  <si>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</si>
  <si>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</si>
  <si>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</si>
  <si>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</si>
  <si>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</si>
  <si>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</si>
  <si>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</si>
  <si>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</si>
  <si>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</si>
  <si>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</si>
  <si>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</si>
  <si>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</si>
  <si>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</si>
  <si>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</si>
  <si>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</si>
  <si>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</si>
  <si>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</si>
  <si>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</si>
  <si>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</si>
  <si>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</si>
  <si>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</si>
  <si>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</si>
  <si>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</si>
  <si>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</si>
  <si>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</si>
  <si>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</si>
  <si>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</si>
  <si>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</si>
  <si>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</si>
  <si>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</si>
  <si>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</si>
  <si>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</si>
  <si>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</si>
  <si>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</si>
  <si>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</si>
  <si>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</si>
  <si>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</si>
  <si>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</si>
  <si>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</si>
  <si>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</si>
  <si>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</si>
  <si>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</si>
  <si>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</si>
  <si>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</si>
  <si>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</si>
  <si>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</si>
  <si>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</si>
  <si>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</si>
  <si>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</si>
  <si>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</si>
  <si>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</si>
  <si>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</si>
  <si>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</si>
  <si>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</si>
  <si>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</si>
  <si>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</si>
  <si>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</si>
  <si>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</si>
  <si>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</si>
  <si>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</si>
  <si>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</si>
  <si>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</si>
  <si>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</si>
  <si>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</si>
  <si>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</si>
  <si>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</si>
  <si>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</si>
  <si>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</si>
  <si>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</si>
  <si>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</si>
  <si>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</si>
  <si>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</si>
  <si>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</si>
  <si>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</si>
  <si>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</si>
  <si>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</si>
  <si>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</si>
  <si>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</si>
  <si>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</si>
  <si>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</si>
  <si>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</si>
  <si>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</si>
  <si>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</si>
  <si>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</si>
  <si>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</si>
  <si>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</si>
  <si>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</si>
  <si>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</si>
  <si>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</si>
  <si>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</si>
  <si>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</si>
  <si>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</si>
  <si>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</si>
  <si>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</si>
  <si>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</si>
  <si>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</si>
  <si>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</si>
  <si>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</si>
  <si>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</si>
  <si>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</si>
  <si>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</si>
  <si>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</si>
  <si>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</si>
  <si>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</si>
  <si>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</si>
  <si>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</si>
  <si>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</si>
  <si>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</si>
  <si>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</si>
  <si>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</si>
  <si>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</si>
  <si>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</si>
  <si>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</si>
  <si>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</si>
  <si>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</si>
  <si>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</si>
  <si>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</si>
  <si>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</si>
  <si>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</si>
  <si>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</si>
  <si>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</si>
  <si>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</si>
  <si>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</si>
  <si>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</si>
  <si>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</si>
  <si>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</si>
  <si>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</si>
  <si>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</si>
  <si>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</si>
  <si>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</si>
  <si>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</si>
  <si>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</si>
  <si>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</si>
  <si>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</si>
  <si>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</si>
  <si>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</si>
  <si>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</si>
  <si>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</si>
  <si>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</si>
  <si>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</si>
  <si>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</si>
  <si>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</si>
  <si>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</si>
  <si>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</si>
  <si>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</si>
  <si>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</si>
  <si>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</si>
  <si>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</si>
  <si>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</si>
  <si>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</si>
  <si>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</si>
  <si>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</si>
  <si>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</si>
  <si>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</si>
  <si>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</si>
  <si>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</si>
  <si>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</si>
  <si>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</si>
  <si>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</si>
  <si>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</si>
  <si>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</si>
  <si>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</si>
  <si>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</si>
  <si>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</si>
  <si>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</si>
  <si>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</si>
  <si>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</si>
  <si>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</si>
  <si>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</si>
  <si>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</si>
  <si>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</si>
  <si>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</si>
  <si>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</si>
  <si>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</si>
  <si>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</si>
  <si>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</si>
  <si>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</si>
  <si>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</si>
  <si>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</si>
  <si>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</si>
  <si>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</si>
  <si>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</si>
  <si>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</si>
  <si>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</si>
  <si>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</si>
  <si>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</si>
  <si>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</si>
  <si>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</si>
  <si>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</si>
  <si>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</si>
  <si>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</si>
  <si>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</si>
  <si>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</si>
  <si>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</si>
  <si>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</si>
  <si>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</si>
  <si>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</si>
  <si>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</si>
  <si>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</si>
  <si>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</si>
  <si>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</si>
  <si>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</si>
  <si>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</si>
  <si>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</si>
  <si>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</si>
  <si>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</si>
  <si>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</si>
  <si>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</si>
  <si>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</si>
  <si>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</si>
  <si>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</si>
  <si>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</si>
  <si>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</si>
  <si>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</si>
  <si>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</si>
  <si>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</si>
  <si>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</si>
  <si>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</si>
  <si>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</si>
  <si>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</si>
  <si>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</si>
  <si>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</si>
  <si>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</si>
  <si>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</si>
  <si>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</si>
  <si>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</si>
  <si>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</si>
  <si>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</si>
  <si>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</si>
  <si>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</si>
  <si>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</si>
  <si>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</si>
  <si>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</si>
  <si>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</si>
  <si>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</si>
  <si>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</si>
  <si>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</si>
  <si>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</si>
  <si>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</si>
  <si>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</si>
  <si>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</si>
  <si>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</si>
  <si>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</si>
  <si>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</si>
  <si>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</si>
  <si>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</si>
  <si>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</si>
  <si>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</si>
  <si>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</si>
  <si>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</si>
  <si>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</si>
  <si>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</si>
  <si>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</si>
  <si>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</si>
  <si>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</si>
  <si>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</si>
  <si>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</si>
  <si>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</si>
  <si>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</si>
  <si>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</si>
  <si>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</si>
  <si>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</si>
  <si>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</si>
  <si>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</si>
  <si>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</si>
  <si>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</si>
  <si>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</si>
  <si>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</si>
  <si>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</si>
  <si>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</si>
  <si>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</si>
  <si>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</si>
  <si>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</si>
  <si>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</si>
  <si>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</si>
  <si>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</si>
  <si>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</si>
  <si>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</si>
  <si>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</si>
  <si>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</si>
  <si>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</si>
  <si>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</si>
  <si>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</si>
  <si>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</si>
  <si>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</si>
  <si>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</si>
  <si>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</si>
  <si>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</si>
  <si>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</si>
  <si>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</si>
  <si>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</si>
  <si>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</si>
  <si>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</si>
  <si>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</si>
  <si>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</si>
  <si>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</si>
  <si>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</si>
  <si>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</si>
  <si>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</si>
  <si>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</si>
  <si>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</si>
  <si>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</si>
  <si>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</si>
  <si>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</si>
  <si>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</si>
  <si>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</si>
  <si>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</si>
  <si>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</si>
  <si>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</si>
  <si>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</si>
  <si>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</si>
  <si>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</si>
  <si>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</si>
  <si>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</si>
  <si>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</si>
  <si>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</si>
  <si>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</si>
  <si>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</si>
  <si>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</si>
  <si>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</si>
  <si>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</si>
  <si>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</si>
  <si>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</si>
  <si>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</si>
  <si>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</si>
  <si>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</si>
  <si>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</si>
  <si>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</si>
  <si>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</si>
  <si>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</si>
  <si>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</si>
  <si>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</si>
  <si>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</si>
  <si>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</si>
  <si>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</si>
  <si>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</si>
  <si>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</si>
  <si>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</si>
  <si>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</si>
  <si>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</si>
  <si>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</si>
  <si>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</si>
  <si>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</si>
  <si>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</si>
  <si>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</si>
  <si>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</si>
  <si>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</si>
  <si>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</si>
  <si>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</si>
  <si>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</si>
  <si>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</si>
  <si>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</si>
  <si>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</si>
  <si>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</si>
  <si>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</si>
  <si>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</si>
  <si>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</si>
  <si>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</si>
  <si>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</si>
  <si>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</si>
  <si>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</si>
  <si>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</si>
  <si>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</si>
  <si>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</si>
  <si>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</si>
  <si>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</si>
  <si>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</si>
  <si>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</si>
  <si>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</si>
  <si>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</si>
  <si>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</si>
  <si>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</si>
  <si>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</si>
  <si>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</si>
  <si>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</si>
  <si>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</si>
  <si>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</si>
  <si>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</si>
  <si>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</si>
  <si>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</si>
  <si>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</si>
  <si>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</si>
  <si>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</si>
  <si>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</si>
  <si>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</si>
  <si>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</si>
  <si>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</si>
  <si>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</si>
  <si>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</si>
  <si>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</si>
  <si>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</si>
  <si>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</si>
  <si>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</si>
  <si>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</si>
  <si>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</si>
  <si>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</si>
  <si>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</si>
  <si>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</si>
  <si>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</si>
  <si>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</si>
  <si>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</si>
  <si>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</si>
  <si>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</si>
  <si>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</si>
  <si>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</si>
  <si>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</si>
  <si>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</si>
  <si>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</si>
  <si>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</si>
  <si>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</si>
  <si>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</si>
  <si>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</si>
  <si>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</si>
  <si>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</si>
  <si>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</si>
  <si>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</si>
  <si>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</si>
  <si>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</si>
  <si>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</si>
  <si>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</si>
  <si>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</si>
  <si>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</si>
  <si>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</si>
  <si>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</si>
  <si>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</si>
  <si>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</si>
  <si>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</si>
  <si>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</si>
  <si>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</si>
  <si>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</si>
  <si>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</si>
  <si>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</si>
  <si>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</si>
  <si>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</si>
  <si>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</si>
  <si>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</si>
  <si>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</si>
  <si>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</si>
  <si>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</si>
  <si>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</si>
  <si>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</si>
  <si>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</si>
  <si>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</si>
  <si>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</si>
  <si>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</si>
  <si>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</si>
  <si>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</si>
  <si>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</si>
  <si>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</si>
  <si>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</si>
  <si>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</si>
  <si>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</si>
  <si>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</si>
  <si>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</si>
  <si>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</si>
  <si>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</si>
  <si>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</si>
  <si>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</si>
  <si>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</si>
  <si>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</si>
  <si>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</si>
  <si>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</si>
  <si>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</si>
  <si>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</si>
  <si>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</si>
  <si>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</si>
  <si>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</si>
  <si>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</si>
  <si>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</si>
  <si>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</si>
  <si>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</si>
  <si>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</si>
  <si>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</si>
  <si>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</si>
  <si>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</si>
  <si>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</si>
  <si>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</si>
  <si>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</si>
  <si>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</si>
  <si>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</si>
  <si>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</si>
  <si>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</si>
  <si>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</si>
  <si>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</si>
  <si>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</si>
  <si>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</si>
  <si>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</si>
  <si>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</si>
  <si>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</si>
  <si>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</si>
  <si>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</si>
  <si>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</si>
  <si>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</si>
  <si>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</si>
  <si>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</si>
  <si>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</si>
  <si>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</si>
  <si>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</si>
  <si>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</si>
  <si>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</si>
  <si>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</si>
  <si>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</si>
  <si>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</si>
  <si>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</si>
  <si>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</si>
  <si>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</si>
  <si>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</si>
  <si>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</si>
  <si>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</si>
  <si>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</si>
  <si>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</si>
  <si>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</si>
  <si>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</si>
  <si>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</si>
  <si>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</si>
  <si>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</si>
  <si>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</si>
  <si>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</si>
  <si>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</si>
  <si>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</si>
  <si>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</si>
  <si>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</si>
  <si>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</si>
  <si>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</si>
  <si>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</si>
  <si>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</si>
  <si>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</si>
  <si>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</si>
  <si>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</si>
  <si>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</si>
  <si>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</si>
  <si>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</si>
  <si>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</si>
  <si>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</si>
  <si>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</si>
  <si>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</si>
  <si>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</si>
  <si>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</si>
  <si>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</si>
  <si>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</si>
  <si>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</si>
  <si>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</si>
  <si>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</si>
  <si>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</si>
  <si>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</si>
  <si>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</si>
  <si>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</si>
  <si>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</si>
  <si>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</si>
  <si>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</si>
  <si>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</si>
  <si>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</si>
  <si>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</si>
  <si>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</si>
  <si>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</si>
  <si>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</si>
  <si>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</si>
  <si>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</si>
  <si>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</si>
  <si>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</si>
  <si>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</si>
  <si>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</si>
  <si>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</si>
  <si>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</si>
  <si>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</si>
  <si>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</si>
  <si>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</si>
  <si>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</si>
  <si>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</si>
  <si>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</si>
  <si>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</si>
  <si>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</si>
  <si>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</si>
  <si>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</si>
  <si>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</si>
  <si>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</si>
  <si>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</si>
  <si>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</si>
  <si>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</si>
  <si>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</si>
  <si>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</si>
  <si>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</si>
  <si>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</si>
  <si>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</si>
  <si>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</si>
  <si>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</si>
  <si>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</si>
  <si>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</si>
  <si>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</si>
  <si>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</si>
  <si>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</si>
  <si>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</si>
  <si>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</si>
  <si>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</si>
  <si>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</si>
  <si>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</si>
  <si>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</si>
  <si>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</si>
  <si>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</si>
  <si>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</si>
  <si>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</si>
  <si>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</si>
  <si>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</si>
  <si>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</si>
  <si>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</si>
  <si>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</si>
  <si>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</si>
  <si>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</si>
  <si>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</si>
  <si>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</si>
  <si>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</si>
  <si>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</si>
  <si>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</si>
  <si>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</si>
  <si>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</si>
  <si>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</si>
  <si>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</si>
  <si>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</si>
  <si>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</si>
  <si>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</si>
  <si>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</si>
  <si>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</si>
  <si>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</si>
  <si>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</si>
  <si>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</si>
  <si>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</si>
  <si>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</si>
  <si>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</si>
  <si>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</si>
  <si>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</si>
  <si>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</si>
  <si>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</si>
  <si>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</si>
  <si>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</si>
  <si>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</si>
  <si>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</si>
  <si>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</si>
  <si>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</si>
  <si>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</si>
  <si>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</si>
  <si>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</si>
  <si>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</si>
  <si>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</si>
  <si>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</si>
  <si>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</si>
  <si>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</si>
  <si>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</si>
  <si>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</si>
  <si>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</si>
  <si>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</si>
  <si>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</si>
  <si>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</si>
  <si>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</si>
  <si>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</si>
  <si>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</si>
  <si>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</si>
  <si>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</si>
  <si>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</si>
  <si>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</si>
  <si>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</si>
  <si>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</si>
  <si>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</si>
  <si>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</si>
  <si>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</si>
  <si>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</si>
  <si>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</si>
  <si>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</si>
  <si>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</si>
  <si>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</si>
  <si>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</si>
  <si>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</si>
  <si>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</si>
  <si>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</si>
  <si>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</si>
  <si>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</si>
  <si>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</si>
  <si>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</si>
  <si>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</si>
  <si>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</si>
  <si>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</si>
  <si>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</si>
  <si>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</si>
  <si>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</si>
  <si>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</si>
  <si>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</si>
  <si>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</si>
  <si>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</si>
  <si>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</si>
  <si>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</si>
  <si>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</si>
  <si>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</si>
  <si>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</si>
  <si>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</si>
  <si>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</si>
  <si>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</si>
  <si>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</si>
  <si>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</si>
  <si>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</si>
  <si>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</si>
  <si>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</si>
  <si>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</si>
  <si>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</si>
  <si>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</si>
  <si>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</si>
  <si>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</si>
  <si>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</si>
  <si>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</si>
  <si>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</si>
  <si>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</si>
  <si>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</si>
  <si>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</si>
  <si>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</si>
  <si>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</si>
  <si>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</si>
  <si>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</si>
  <si>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</si>
  <si>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</si>
  <si>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</si>
  <si>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</si>
  <si>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</si>
  <si>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</si>
  <si>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</si>
  <si>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</si>
  <si>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</si>
  <si>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</si>
  <si>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</si>
  <si>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</si>
  <si>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</si>
  <si>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</si>
  <si>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</si>
  <si>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</si>
  <si>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</si>
  <si>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</si>
  <si>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</si>
  <si>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</si>
  <si>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</si>
  <si>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</si>
  <si>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</si>
  <si>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</si>
  <si>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</si>
  <si>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</si>
  <si>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</si>
  <si>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</si>
  <si>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</si>
  <si>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</si>
  <si>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</si>
  <si>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</si>
  <si>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</si>
  <si>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</si>
  <si>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</si>
  <si>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</si>
  <si>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</si>
  <si>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</si>
  <si>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</si>
  <si>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</si>
  <si>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</si>
  <si>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</si>
  <si>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</si>
  <si>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</si>
  <si>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</si>
  <si>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</si>
  <si>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</si>
  <si>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</si>
  <si>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</si>
  <si>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</si>
  <si>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</si>
  <si>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</si>
  <si>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</si>
  <si>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</si>
  <si>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</si>
  <si>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</si>
  <si>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</si>
  <si>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</si>
  <si>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</si>
  <si>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</si>
  <si>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</si>
  <si>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</si>
  <si>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</si>
  <si>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</si>
  <si>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</si>
  <si>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</si>
  <si>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</si>
  <si>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</si>
  <si>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</si>
  <si>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</si>
  <si>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</si>
  <si>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</si>
  <si>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</si>
  <si>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</si>
  <si>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</si>
  <si>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</si>
  <si>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</si>
  <si>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</si>
  <si>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</si>
  <si>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</si>
  <si>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</si>
  <si>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</si>
  <si>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</si>
  <si>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</si>
  <si>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</si>
  <si>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</si>
  <si>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</si>
  <si>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</si>
  <si>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</si>
  <si>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</si>
  <si>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</si>
  <si>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</si>
  <si>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</si>
  <si>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</si>
  <si>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</si>
  <si>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</si>
  <si>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</si>
  <si>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</si>
  <si>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</si>
  <si>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</si>
  <si>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</si>
  <si>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</si>
  <si>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</si>
  <si>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</si>
  <si>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</si>
  <si>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</si>
  <si>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</si>
  <si>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</si>
  <si>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</si>
  <si>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</si>
  <si>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</si>
  <si>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</si>
  <si>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</si>
  <si>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</si>
  <si>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</si>
  <si>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</si>
  <si>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</si>
  <si>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</si>
  <si>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</si>
  <si>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</si>
  <si>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</si>
  <si>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</si>
  <si>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</si>
  <si>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</si>
  <si>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</si>
  <si>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</si>
  <si>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</si>
  <si>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</si>
  <si>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</si>
  <si>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</si>
  <si>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</si>
  <si>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</si>
  <si>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</si>
  <si>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</si>
  <si>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</si>
  <si>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</si>
  <si>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</si>
  <si>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</si>
  <si>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</si>
  <si>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</si>
  <si>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</si>
  <si>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</si>
  <si>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</si>
  <si>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</si>
  <si>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</si>
  <si>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</si>
  <si>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</si>
  <si>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</si>
  <si>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</si>
  <si>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</si>
  <si>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</si>
  <si>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</si>
  <si>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</si>
  <si>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</si>
  <si>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</si>
  <si>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</si>
  <si>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</si>
  <si>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</si>
  <si>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</si>
  <si>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</si>
  <si>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</si>
  <si>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</si>
  <si>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</si>
  <si>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</si>
  <si>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</si>
  <si>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</si>
  <si>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</si>
  <si>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</si>
  <si>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</si>
  <si>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</si>
  <si>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</si>
  <si>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</si>
  <si>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</si>
  <si>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</si>
  <si>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</si>
  <si>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</si>
  <si>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</si>
  <si>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</si>
  <si>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</si>
  <si>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</si>
  <si>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</si>
  <si>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</si>
  <si>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</si>
  <si>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</si>
  <si>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</si>
  <si>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</si>
  <si>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</si>
  <si>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</si>
  <si>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</si>
  <si>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</si>
  <si>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</si>
  <si>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</si>
  <si>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</si>
  <si>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</si>
  <si>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</si>
  <si>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</si>
  <si>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</si>
  <si>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</si>
  <si>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</si>
  <si>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</si>
  <si>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</si>
  <si>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</si>
  <si>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</si>
  <si>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</si>
  <si>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</si>
  <si>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</si>
  <si>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</si>
  <si>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</si>
  <si>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</si>
  <si>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</si>
  <si>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</si>
  <si>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</si>
  <si>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</si>
  <si>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</si>
  <si>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</si>
  <si>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</si>
  <si>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</si>
  <si>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</si>
  <si>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</si>
  <si>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</si>
  <si>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</si>
  <si>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</si>
  <si>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</si>
  <si>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</si>
  <si>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</si>
  <si>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</si>
  <si>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</si>
  <si>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</si>
  <si>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</si>
  <si>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</si>
  <si>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</si>
  <si>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</si>
  <si>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</si>
  <si>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</si>
  <si>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</si>
  <si>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</si>
  <si>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</si>
  <si>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</si>
  <si>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</si>
  <si>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</si>
  <si>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</si>
  <si>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</si>
  <si>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</si>
  <si>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</si>
  <si>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</si>
  <si>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</si>
  <si>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</si>
  <si>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</si>
  <si>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</si>
  <si>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</si>
  <si>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</si>
  <si>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</si>
  <si>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</si>
  <si>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</si>
  <si>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</si>
  <si>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</si>
  <si>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</si>
  <si>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</si>
  <si>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</si>
  <si>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</si>
  <si>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</si>
  <si>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</si>
  <si>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</si>
  <si>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</si>
  <si>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</si>
  <si>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</si>
  <si>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</si>
  <si>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</si>
  <si>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</si>
  <si>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</si>
  <si>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</si>
  <si>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</si>
  <si>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</si>
  <si>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</si>
  <si>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</si>
  <si>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</si>
  <si>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</si>
  <si>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</si>
  <si>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</si>
  <si>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</si>
  <si>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</si>
  <si>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</si>
  <si>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</si>
  <si>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</si>
  <si>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</si>
  <si>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</si>
  <si>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</si>
  <si>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</si>
  <si>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</si>
  <si>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</si>
  <si>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</si>
  <si>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</si>
  <si>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</si>
  <si>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</si>
  <si>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</si>
  <si>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</si>
  <si>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</si>
  <si>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</si>
  <si>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</si>
  <si>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</si>
  <si>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</si>
  <si>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</si>
  <si>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</si>
  <si>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</si>
  <si>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</si>
  <si>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</si>
  <si>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</si>
  <si>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</si>
  <si>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</si>
  <si>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</si>
  <si>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</si>
  <si>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</si>
  <si>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</si>
  <si>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</si>
  <si>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</si>
  <si>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</si>
  <si>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</si>
  <si>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</si>
  <si>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</si>
  <si>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</si>
  <si>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</si>
  <si>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</si>
  <si>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</si>
  <si>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</si>
  <si>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</si>
  <si>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</si>
  <si>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</si>
  <si>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</si>
  <si>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</si>
  <si>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</si>
  <si>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</si>
  <si>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</si>
  <si>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</si>
  <si>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</si>
  <si>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</si>
  <si>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</si>
  <si>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</si>
  <si>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</si>
  <si>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</si>
  <si>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</si>
  <si>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</si>
  <si>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</si>
  <si>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</si>
  <si>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</si>
  <si>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</si>
  <si>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</si>
  <si>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</si>
  <si>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</si>
  <si>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</si>
  <si>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</si>
  <si>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</si>
  <si>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</si>
  <si>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</si>
  <si>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</si>
  <si>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</si>
  <si>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</si>
  <si>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</si>
  <si>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</si>
  <si>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</si>
  <si>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</si>
  <si>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</si>
  <si>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</si>
  <si>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</si>
  <si>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</si>
  <si>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</si>
  <si>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</si>
  <si>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</si>
  <si>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</si>
  <si>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</si>
  <si>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</si>
  <si>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</si>
  <si>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</si>
  <si>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</si>
  <si>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</si>
  <si>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</si>
  <si>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</si>
  <si>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</si>
  <si>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</si>
  <si>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</si>
  <si>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</si>
  <si>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</si>
  <si>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</si>
  <si>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</si>
  <si>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</si>
  <si>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</si>
  <si>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</si>
  <si>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</si>
  <si>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</si>
  <si>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</si>
  <si>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</si>
  <si>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</si>
  <si>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</si>
  <si>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</si>
  <si>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</si>
  <si>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</si>
  <si>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</si>
  <si>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</si>
  <si>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</si>
  <si>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</si>
  <si>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</si>
  <si>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</si>
  <si>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</si>
  <si>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</si>
  <si>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</si>
  <si>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</si>
  <si>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</si>
  <si>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</si>
  <si>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</si>
  <si>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</si>
  <si>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</si>
  <si>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</si>
  <si>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</si>
  <si>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</si>
  <si>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</si>
  <si>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</si>
  <si>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</si>
  <si>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</si>
  <si>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</si>
  <si>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</si>
  <si>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</si>
  <si>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</si>
  <si>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</si>
  <si>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</si>
  <si>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</si>
  <si>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</si>
  <si>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</si>
  <si>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</si>
  <si>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</si>
  <si>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</si>
  <si>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</si>
  <si>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</si>
  <si>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</si>
  <si>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</si>
  <si>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</si>
  <si>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</si>
  <si>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</si>
  <si>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</si>
  <si>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</si>
  <si>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</si>
  <si>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</si>
  <si>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</si>
  <si>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</si>
  <si>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</si>
  <si>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</si>
  <si>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</si>
  <si>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</si>
  <si>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</si>
  <si>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</si>
  <si>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</si>
  <si>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</si>
  <si>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</si>
  <si>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</si>
  <si>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</si>
  <si>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</si>
  <si>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</si>
  <si>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</si>
  <si>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</si>
  <si>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</si>
  <si>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</si>
  <si>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</si>
  <si>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</si>
  <si>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</si>
  <si>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</si>
  <si>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</si>
  <si>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</si>
  <si>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</si>
  <si>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</si>
  <si>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</si>
  <si>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</si>
  <si>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</si>
  <si>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</si>
  <si>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</si>
  <si>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</si>
  <si>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</si>
  <si>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</si>
  <si>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</si>
  <si>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</si>
  <si>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</si>
  <si>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</si>
  <si>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</si>
  <si>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</si>
  <si>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</si>
  <si>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</si>
  <si>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</si>
  <si>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</si>
  <si>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</si>
  <si>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</si>
  <si>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</si>
  <si>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</si>
  <si>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</si>
  <si>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</si>
  <si>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</si>
  <si>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</si>
  <si>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</si>
  <si>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</si>
  <si>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</si>
  <si>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</si>
  <si>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</si>
  <si>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</si>
  <si>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</si>
  <si>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</si>
  <si>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</si>
  <si>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</si>
  <si>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</si>
  <si>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</si>
  <si>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</si>
  <si>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</si>
  <si>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</si>
  <si>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</si>
  <si>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</si>
  <si>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</si>
  <si>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</si>
  <si>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</si>
  <si>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</si>
  <si>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</si>
  <si>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</si>
  <si>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</si>
  <si>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</si>
  <si>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</si>
  <si>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</si>
  <si>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</si>
  <si>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</si>
  <si>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</si>
  <si>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</si>
  <si>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</si>
  <si>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</si>
  <si>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</si>
  <si>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</si>
  <si>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</si>
  <si>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</si>
  <si>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</si>
  <si>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</si>
  <si>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</si>
  <si>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</si>
  <si>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</si>
  <si>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</si>
  <si>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</si>
  <si>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</si>
  <si>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</si>
  <si>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</si>
  <si>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</si>
  <si>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</si>
  <si>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</si>
  <si>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</si>
  <si>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</si>
  <si>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</si>
  <si>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</si>
  <si>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</si>
  <si>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</si>
  <si>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</si>
  <si>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</si>
  <si>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</si>
  <si>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</si>
  <si>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</si>
  <si>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</si>
  <si>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</si>
  <si>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</si>
  <si>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</si>
  <si>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</si>
  <si>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</si>
  <si>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</si>
  <si>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</si>
  <si>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</si>
  <si>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</si>
  <si>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</si>
  <si>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</si>
  <si>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</si>
  <si>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</si>
  <si>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</si>
  <si>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</si>
  <si>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</si>
  <si>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</si>
  <si>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</si>
  <si>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</si>
  <si>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</si>
  <si>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</si>
  <si>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</si>
  <si>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</si>
  <si>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</si>
  <si>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</si>
  <si>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</si>
  <si>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</si>
  <si>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</si>
  <si>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</si>
  <si>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</si>
  <si>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</si>
  <si>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</si>
  <si>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</si>
  <si>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</si>
  <si>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</si>
  <si>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</si>
  <si>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</si>
  <si>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</si>
  <si>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</si>
  <si>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</si>
  <si>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</si>
  <si>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</si>
  <si>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</si>
  <si>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</si>
  <si>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</si>
  <si>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</si>
  <si>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</si>
  <si>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</si>
  <si>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</si>
  <si>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</si>
  <si>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</si>
  <si>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</si>
  <si>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</si>
  <si>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</si>
  <si>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</si>
  <si>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</si>
  <si>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</si>
  <si>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</si>
  <si>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</si>
  <si>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</si>
  <si>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</si>
  <si>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</si>
  <si>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</si>
  <si>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</si>
  <si>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</si>
  <si>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</si>
  <si>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</si>
  <si>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</si>
  <si>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</si>
  <si>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</si>
  <si>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</si>
  <si>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</si>
  <si>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</si>
  <si>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</si>
  <si>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</si>
  <si>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</si>
  <si>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</si>
  <si>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</si>
  <si>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</si>
  <si>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</si>
  <si>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</si>
  <si>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</si>
  <si>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</si>
  <si>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</si>
  <si>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</si>
  <si>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</si>
  <si>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</si>
  <si>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</si>
  <si>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</si>
  <si>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</si>
  <si>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</si>
  <si>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</si>
  <si>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</si>
  <si>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</si>
  <si>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</si>
  <si>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</si>
  <si>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</si>
  <si>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</si>
  <si>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</si>
  <si>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</si>
  <si>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</si>
  <si>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</si>
  <si>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</si>
  <si>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</si>
  <si>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</si>
  <si>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</si>
  <si>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</si>
  <si>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</si>
  <si>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</si>
  <si>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</si>
  <si>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</si>
  <si>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</si>
  <si>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</si>
  <si>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</si>
  <si>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</si>
  <si>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</si>
  <si>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</si>
  <si>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</si>
  <si>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</si>
  <si>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</si>
  <si>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</si>
  <si>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</si>
  <si>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</si>
  <si>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</si>
  <si>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</si>
  <si>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</si>
  <si>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</si>
  <si>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</si>
  <si>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</si>
  <si>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</si>
  <si>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</si>
  <si>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</si>
  <si>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</si>
  <si>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</si>
  <si>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</si>
  <si>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</si>
  <si>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</si>
  <si>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</si>
  <si>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</si>
  <si>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</si>
  <si>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</si>
  <si>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</si>
  <si>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</si>
  <si>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</si>
  <si>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</si>
  <si>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</si>
  <si>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</si>
  <si>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</si>
  <si>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</si>
  <si>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</si>
  <si>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</si>
  <si>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</si>
  <si>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</si>
  <si>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</si>
  <si>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</si>
  <si>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</si>
  <si>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</si>
  <si>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</si>
  <si>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</si>
  <si>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</si>
  <si>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</si>
  <si>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</si>
  <si>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</si>
  <si>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</si>
  <si>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</si>
  <si>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</si>
  <si>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</si>
  <si>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</si>
  <si>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</si>
  <si>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</si>
  <si>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</si>
  <si>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</si>
  <si>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</si>
  <si>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</si>
  <si>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</si>
  <si>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</si>
  <si>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</si>
  <si>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</si>
  <si>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</si>
  <si>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</si>
  <si>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</si>
  <si>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</si>
  <si>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</si>
  <si>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</si>
  <si>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</si>
  <si>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</si>
  <si>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</si>
  <si>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</si>
  <si>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</si>
  <si>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</si>
  <si>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</si>
  <si>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</si>
  <si>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</si>
  <si>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</si>
  <si>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</si>
  <si>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</si>
  <si>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</si>
  <si>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</si>
  <si>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</si>
  <si>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</si>
  <si>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</si>
  <si>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</si>
  <si>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</si>
  <si>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</si>
  <si>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</si>
  <si>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</si>
  <si>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</si>
  <si>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</si>
  <si>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</si>
  <si>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</si>
  <si>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</si>
  <si>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</si>
  <si>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</si>
  <si>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</si>
  <si>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</si>
  <si>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</si>
  <si>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</si>
  <si>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</si>
  <si>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</si>
  <si>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</si>
  <si>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</si>
  <si>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</si>
  <si>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</si>
  <si>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</si>
  <si>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</si>
  <si>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</si>
  <si>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</si>
  <si>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</si>
  <si>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</si>
  <si>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</si>
  <si>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</si>
  <si>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</si>
  <si>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</si>
  <si>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</si>
  <si>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</si>
  <si>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</si>
  <si>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</si>
  <si>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</si>
  <si>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</si>
  <si>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</si>
  <si>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</si>
  <si>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</si>
  <si>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</si>
  <si>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</si>
  <si>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</si>
  <si>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</si>
  <si>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</si>
  <si>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</si>
  <si>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</si>
  <si>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</si>
  <si>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</si>
  <si>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</si>
  <si>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</si>
  <si>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</si>
  <si>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</si>
  <si>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</si>
  <si>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</si>
  <si>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</si>
  <si>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</si>
  <si>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</si>
  <si>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</si>
  <si>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State Water Resources Control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</si>
</sst>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17" sqref="J17"/>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711</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8493742.4499999993</v>
      </c>
      <c r="K28" s="33"/>
      <c r="L28" s="54"/>
    </row>
    <row r="29" spans="1:17" ht="16.5" customHeight="1" x14ac:dyDescent="0.25">
      <c r="A29" s="56"/>
      <c r="B29" s="57"/>
      <c r="C29" s="165" t="s">
        <v>1578</v>
      </c>
      <c r="D29" s="165"/>
      <c r="E29" s="165"/>
      <c r="F29" s="165"/>
      <c r="G29" s="165"/>
      <c r="H29" s="165"/>
      <c r="I29" s="165"/>
      <c r="J29" s="33"/>
      <c r="K29" s="32">
        <v>8399164.4199999999</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94578.03</v>
      </c>
    </row>
    <row r="31" spans="1:17" ht="16.5" customHeight="1" x14ac:dyDescent="0.2">
      <c r="A31" s="68"/>
      <c r="B31" s="58"/>
      <c r="C31" s="58"/>
      <c r="D31" s="58"/>
      <c r="E31" s="58"/>
      <c r="F31" s="58"/>
      <c r="G31" s="58"/>
      <c r="H31" s="58"/>
      <c r="I31" s="58"/>
      <c r="J31" s="29">
        <f>ROUND(SUM(J28:J30),2)</f>
        <v>8493742.4499999993</v>
      </c>
      <c r="K31" s="29">
        <f>ROUND(SUM(K28:K30),2)</f>
        <v>8493742.4499999993</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8493742.4499999993</v>
      </c>
      <c r="K34" s="70"/>
      <c r="L34" s="54"/>
    </row>
    <row r="35" spans="1:12" ht="16.5" customHeight="1" x14ac:dyDescent="0.2">
      <c r="B35" s="165" t="s">
        <v>1579</v>
      </c>
      <c r="C35" s="165"/>
      <c r="D35" s="165"/>
      <c r="E35" s="165"/>
      <c r="F35" s="165"/>
      <c r="G35" s="165"/>
      <c r="H35" s="165"/>
      <c r="I35" s="165"/>
      <c r="J35" s="32">
        <v>8399164.4199999999</v>
      </c>
      <c r="K35" s="36"/>
    </row>
    <row r="36" spans="1:12" ht="16.5" customHeight="1" x14ac:dyDescent="0.2">
      <c r="A36" s="56"/>
      <c r="B36" s="71"/>
      <c r="C36" s="165" t="s">
        <v>1581</v>
      </c>
      <c r="D36" s="165"/>
      <c r="E36" s="165"/>
      <c r="F36" s="165"/>
      <c r="G36" s="165"/>
      <c r="H36" s="165"/>
      <c r="I36" s="165"/>
      <c r="J36" s="36"/>
      <c r="K36" s="32">
        <v>8493742.4499999993</v>
      </c>
    </row>
    <row r="37" spans="1:12" ht="16.5" customHeight="1" x14ac:dyDescent="0.2">
      <c r="A37" s="56"/>
      <c r="C37" s="165" t="s">
        <v>1626</v>
      </c>
      <c r="D37" s="165"/>
      <c r="E37" s="165"/>
      <c r="F37" s="165"/>
      <c r="G37" s="165"/>
      <c r="H37" s="165"/>
      <c r="I37" s="165"/>
      <c r="J37" s="36"/>
      <c r="K37" s="32">
        <v>8399164.4199999999</v>
      </c>
    </row>
    <row r="38" spans="1:12" ht="16.5" customHeight="1" x14ac:dyDescent="0.25">
      <c r="A38" s="56"/>
      <c r="B38" s="57"/>
      <c r="C38" s="165" t="str">
        <f>VLOOKUP($F$8,'Drop Down Menus'!$D$2:$G$10,4,FALSE)</f>
        <v>Cr: Acct 0820 - NAT RES &amp; ENVIRON (GAAP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16892906.870000001</v>
      </c>
      <c r="K39" s="29">
        <f>ROUND(SUM(K36:K38),2)</f>
        <v>16892906.870000001</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1620172.46</v>
      </c>
      <c r="K45" s="33"/>
    </row>
    <row r="46" spans="1:12" ht="16.5" customHeight="1" x14ac:dyDescent="0.2">
      <c r="A46" s="56"/>
      <c r="B46" s="71"/>
      <c r="C46" s="165" t="s">
        <v>1587</v>
      </c>
      <c r="D46" s="165"/>
      <c r="E46" s="165"/>
      <c r="F46" s="165"/>
      <c r="G46" s="165"/>
      <c r="H46" s="165"/>
      <c r="I46" s="165"/>
      <c r="J46" s="36"/>
      <c r="K46" s="32">
        <f>J45</f>
        <v>1620172.46</v>
      </c>
    </row>
    <row r="47" spans="1:12" ht="16.5" customHeight="1" x14ac:dyDescent="0.2">
      <c r="A47" s="68"/>
      <c r="B47" s="58"/>
      <c r="C47" s="58"/>
      <c r="D47" s="58"/>
      <c r="E47" s="58"/>
      <c r="F47" s="58"/>
      <c r="G47" s="58"/>
      <c r="H47" s="58"/>
      <c r="I47" s="58"/>
      <c r="J47" s="39">
        <f>ROUND(SUM(J45:J45),2)</f>
        <v>1620172.46</v>
      </c>
      <c r="K47" s="39">
        <f>ROUND(SUM(K46),2)</f>
        <v>1620172.46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20177.91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25422.04</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45599.95</v>
      </c>
    </row>
    <row r="53" spans="1:12" ht="16.5" customHeight="1" x14ac:dyDescent="0.2">
      <c r="A53" s="68"/>
      <c r="B53" s="58"/>
      <c r="C53" s="58"/>
      <c r="D53" s="58"/>
      <c r="E53" s="58"/>
      <c r="F53" s="58"/>
      <c r="G53" s="58"/>
      <c r="H53" s="58"/>
      <c r="I53" s="58"/>
      <c r="J53" s="39">
        <f>ROUND(SUM(J50:J51),2)</f>
        <v>45599.95</v>
      </c>
      <c r="K53" s="39">
        <f>ROUND(SUM(K52,),2)</f>
        <v>45599.95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J50</f>
        <v>20177.91</v>
      </c>
      <c r="K56" s="36"/>
    </row>
    <row r="57" spans="1:12" ht="16.5" customHeight="1" x14ac:dyDescent="0.25">
      <c r="A57" s="56"/>
      <c r="B57" s="57"/>
      <c r="C57" s="165" t="s">
        <v>1613</v>
      </c>
      <c r="D57" s="165"/>
      <c r="E57" s="165"/>
      <c r="F57" s="165"/>
      <c r="G57" s="165"/>
      <c r="H57" s="165"/>
      <c r="I57" s="165"/>
      <c r="J57" s="36"/>
      <c r="K57" s="32">
        <f>J56</f>
        <v>20177.91</v>
      </c>
    </row>
    <row r="58" spans="1:12" ht="16.5" customHeight="1" x14ac:dyDescent="0.2">
      <c r="A58" s="68"/>
      <c r="B58" s="58"/>
      <c r="C58" s="58"/>
      <c r="D58" s="58"/>
      <c r="E58" s="58"/>
      <c r="F58" s="58"/>
      <c r="G58" s="58"/>
      <c r="H58" s="58"/>
      <c r="I58" s="58"/>
      <c r="J58" s="39">
        <f>ROUND(SUM(J56:J56),2)</f>
        <v>20177.91</v>
      </c>
      <c r="K58" s="39">
        <f>ROUND(SUM(K57),2)</f>
        <v>20177.91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2734621.92</v>
      </c>
      <c r="K61" s="33"/>
    </row>
    <row r="62" spans="1:12" ht="16.5" customHeight="1" x14ac:dyDescent="0.25">
      <c r="A62" s="56"/>
      <c r="B62" s="57"/>
      <c r="C62" s="165" t="s">
        <v>1623</v>
      </c>
      <c r="D62" s="165"/>
      <c r="E62" s="165"/>
      <c r="F62" s="165"/>
      <c r="G62" s="165"/>
      <c r="H62" s="165"/>
      <c r="I62" s="165"/>
      <c r="J62" s="33"/>
      <c r="K62" s="32">
        <f>J61</f>
        <v>2734621.92</v>
      </c>
    </row>
    <row r="63" spans="1:12" ht="16.5" customHeight="1" x14ac:dyDescent="0.2">
      <c r="A63" s="56"/>
      <c r="B63" s="179" t="s">
        <v>1622</v>
      </c>
      <c r="C63" s="179"/>
      <c r="D63" s="179"/>
      <c r="E63" s="179"/>
      <c r="F63" s="179"/>
      <c r="G63" s="179"/>
      <c r="H63" s="179"/>
      <c r="I63" s="179"/>
      <c r="J63" s="39">
        <f>ROUND(SUM(J61:J61),2)</f>
        <v>2734621.92</v>
      </c>
      <c r="K63" s="39">
        <f>ROUND(SUM(K62),2)</f>
        <v>2734621.92</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8493742.4499999993</v>
      </c>
    </row>
    <row r="95" spans="1:12" ht="16.5" customHeight="1" x14ac:dyDescent="0.25">
      <c r="D95" s="57" t="s">
        <v>1641</v>
      </c>
      <c r="E95"/>
      <c r="F95"/>
      <c r="G95"/>
      <c r="H95" s="44"/>
      <c r="I95"/>
      <c r="J95"/>
      <c r="K95" s="162">
        <f>-K18-K46+J68+J77</f>
        <v>-1620172.46</v>
      </c>
    </row>
    <row r="96" spans="1:12" ht="16.5" customHeight="1" x14ac:dyDescent="0.25">
      <c r="D96" s="57" t="s">
        <v>1639</v>
      </c>
      <c r="E96"/>
      <c r="F96"/>
      <c r="G96"/>
      <c r="H96" s="44"/>
      <c r="I96"/>
      <c r="J96"/>
      <c r="K96" s="162">
        <f>-K19-K37+J56+J61+J76-K85</f>
        <v>-5644364.5899999999</v>
      </c>
    </row>
    <row r="97" spans="1:11" ht="16.5" customHeight="1" x14ac:dyDescent="0.25">
      <c r="D97" s="57" t="s">
        <v>1640</v>
      </c>
      <c r="E97"/>
      <c r="F97"/>
      <c r="G97"/>
      <c r="H97" s="44"/>
      <c r="I97"/>
      <c r="J97"/>
      <c r="K97" s="162">
        <f>-K62</f>
        <v>-2734621.92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4"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1826-BE95-417E-A54E-CA86F091B1DA}">
  <sheetPr>
    <tabColor rgb="FF92D050"/>
    <pageSetUpPr fitToPage="1"/>
  </sheetPr>
  <dimension ref="A1:Q115"/>
  <sheetViews>
    <sheetView topLeftCell="A39" zoomScale="85" zoomScaleNormal="85" workbookViewId="0">
      <selection activeCell="J45" sqref="J4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711</v>
      </c>
      <c r="G5" s="170"/>
      <c r="H5" s="170"/>
      <c r="I5" s="170"/>
      <c r="J5" s="47"/>
      <c r="K5" s="47"/>
      <c r="L5" s="48"/>
      <c r="M5" s="48"/>
      <c r="N5" s="48"/>
    </row>
    <row r="6" spans="1:17" ht="15.75" x14ac:dyDescent="0.2">
      <c r="A6" s="169" t="s">
        <v>1</v>
      </c>
      <c r="B6" s="169"/>
      <c r="C6" s="169"/>
      <c r="D6" s="169"/>
      <c r="E6" s="169"/>
      <c r="F6" s="171">
        <v>193</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586047.36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386047.36</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200000</v>
      </c>
      <c r="Q21" s="28"/>
    </row>
    <row r="22" spans="1:17" ht="16.5" customHeight="1" x14ac:dyDescent="0.2">
      <c r="A22" s="56"/>
      <c r="B22" s="58"/>
      <c r="C22" s="58"/>
      <c r="D22" s="58"/>
      <c r="E22" s="58"/>
      <c r="F22" s="58"/>
      <c r="G22" s="58"/>
      <c r="H22" s="58"/>
      <c r="I22" s="58"/>
      <c r="J22" s="29">
        <f>ROUND(SUM(J15:J17),2)</f>
        <v>586047.36</v>
      </c>
      <c r="K22" s="29">
        <f>ROUND(SUM(K18:K21),2)</f>
        <v>586047.36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163451.93</v>
      </c>
      <c r="K28" s="33"/>
      <c r="L28" s="54"/>
    </row>
    <row r="29" spans="1:17" ht="16.5" customHeight="1" x14ac:dyDescent="0.25">
      <c r="A29" s="56"/>
      <c r="B29" s="57"/>
      <c r="C29" s="165" t="s">
        <v>1578</v>
      </c>
      <c r="D29" s="165"/>
      <c r="E29" s="165"/>
      <c r="F29" s="165"/>
      <c r="G29" s="165"/>
      <c r="H29" s="165"/>
      <c r="I29" s="165"/>
      <c r="J29" s="33"/>
      <c r="K29" s="32">
        <v>21747.83</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141704.1</v>
      </c>
    </row>
    <row r="31" spans="1:17" ht="16.5" customHeight="1" x14ac:dyDescent="0.2">
      <c r="A31" s="68"/>
      <c r="B31" s="58"/>
      <c r="C31" s="58"/>
      <c r="D31" s="58"/>
      <c r="E31" s="58"/>
      <c r="F31" s="58"/>
      <c r="G31" s="58"/>
      <c r="H31" s="58"/>
      <c r="I31" s="58"/>
      <c r="J31" s="29">
        <f>ROUND(SUM(J28:J30),2)</f>
        <v>163451.93</v>
      </c>
      <c r="K31" s="29">
        <f>ROUND(SUM(K28:K30),2)</f>
        <v>163451.93</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163451.93</v>
      </c>
      <c r="K34" s="70"/>
      <c r="L34" s="54"/>
    </row>
    <row r="35" spans="1:12" ht="16.5" customHeight="1" x14ac:dyDescent="0.2">
      <c r="B35" s="165" t="s">
        <v>1579</v>
      </c>
      <c r="C35" s="165"/>
      <c r="D35" s="165"/>
      <c r="E35" s="165"/>
      <c r="F35" s="165"/>
      <c r="G35" s="165"/>
      <c r="H35" s="165"/>
      <c r="I35" s="165"/>
      <c r="J35" s="32">
        <v>21747.83</v>
      </c>
      <c r="K35" s="36"/>
    </row>
    <row r="36" spans="1:12" ht="16.5" customHeight="1" x14ac:dyDescent="0.2">
      <c r="A36" s="56"/>
      <c r="B36" s="71"/>
      <c r="C36" s="165" t="s">
        <v>1581</v>
      </c>
      <c r="D36" s="165"/>
      <c r="E36" s="165"/>
      <c r="F36" s="165"/>
      <c r="G36" s="165"/>
      <c r="H36" s="165"/>
      <c r="I36" s="165"/>
      <c r="J36" s="36"/>
      <c r="K36" s="32">
        <v>163451.93</v>
      </c>
    </row>
    <row r="37" spans="1:12" ht="16.5" customHeight="1" x14ac:dyDescent="0.2">
      <c r="A37" s="56"/>
      <c r="C37" s="165" t="s">
        <v>1626</v>
      </c>
      <c r="D37" s="165"/>
      <c r="E37" s="165"/>
      <c r="F37" s="165"/>
      <c r="G37" s="165"/>
      <c r="H37" s="165"/>
      <c r="I37" s="165"/>
      <c r="J37" s="36"/>
      <c r="K37" s="32">
        <v>21747.83</v>
      </c>
    </row>
    <row r="38" spans="1:12" ht="16.5" customHeight="1" x14ac:dyDescent="0.25">
      <c r="A38" s="56"/>
      <c r="B38" s="57"/>
      <c r="C38" s="165" t="str">
        <f>VLOOKUP($F$8,'Drop Down Menus'!$D$2:$G$10,4,FALSE)</f>
        <v>Cr: Acct 0820 - NAT RES &amp; ENVIRON (GAAP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185199.76</v>
      </c>
      <c r="K39" s="29">
        <f>ROUND(SUM(K36:K38),2)</f>
        <v>185199.76</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349978.01</v>
      </c>
      <c r="K45" s="33"/>
    </row>
    <row r="46" spans="1:12" ht="16.5" customHeight="1" x14ac:dyDescent="0.2">
      <c r="A46" s="56"/>
      <c r="B46" s="71"/>
      <c r="C46" s="165" t="s">
        <v>1587</v>
      </c>
      <c r="D46" s="165"/>
      <c r="E46" s="165"/>
      <c r="F46" s="165"/>
      <c r="G46" s="165"/>
      <c r="H46" s="165"/>
      <c r="I46" s="165"/>
      <c r="J46" s="36"/>
      <c r="K46" s="32">
        <f>J45</f>
        <v>349978.01</v>
      </c>
    </row>
    <row r="47" spans="1:12" ht="16.5" customHeight="1" x14ac:dyDescent="0.2">
      <c r="A47" s="68"/>
      <c r="B47" s="58"/>
      <c r="C47" s="58"/>
      <c r="D47" s="58"/>
      <c r="E47" s="58"/>
      <c r="F47" s="58"/>
      <c r="G47" s="58"/>
      <c r="H47" s="58"/>
      <c r="I47" s="58"/>
      <c r="J47" s="39">
        <f>ROUND(SUM(J45:J45),2)</f>
        <v>349978.01</v>
      </c>
      <c r="K47" s="39">
        <f>ROUND(SUM(K46),2)</f>
        <v>349978.01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192773.33</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222426.65</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415199.98</v>
      </c>
    </row>
    <row r="53" spans="1:12" ht="16.5" customHeight="1" x14ac:dyDescent="0.2">
      <c r="A53" s="68"/>
      <c r="B53" s="58"/>
      <c r="C53" s="58"/>
      <c r="D53" s="58"/>
      <c r="E53" s="58"/>
      <c r="F53" s="58"/>
      <c r="G53" s="58"/>
      <c r="H53" s="58"/>
      <c r="I53" s="58"/>
      <c r="J53" s="39">
        <f>ROUND(SUM(J50:J51),2)</f>
        <v>415199.98</v>
      </c>
      <c r="K53" s="39">
        <f>ROUND(SUM(K52,),2)</f>
        <v>415199.98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192773.33</v>
      </c>
      <c r="K56" s="36"/>
    </row>
    <row r="57" spans="1:12" ht="16.5" customHeight="1" x14ac:dyDescent="0.25">
      <c r="A57" s="56"/>
      <c r="B57" s="57"/>
      <c r="C57" s="165" t="s">
        <v>1613</v>
      </c>
      <c r="D57" s="165"/>
      <c r="E57" s="165"/>
      <c r="F57" s="165"/>
      <c r="G57" s="165"/>
      <c r="H57" s="165"/>
      <c r="I57" s="165"/>
      <c r="J57" s="36"/>
      <c r="K57" s="32">
        <f>J50</f>
        <v>192773.33</v>
      </c>
    </row>
    <row r="58" spans="1:12" ht="16.5" customHeight="1" x14ac:dyDescent="0.2">
      <c r="A58" s="68"/>
      <c r="B58" s="58"/>
      <c r="C58" s="58"/>
      <c r="D58" s="58"/>
      <c r="E58" s="58"/>
      <c r="F58" s="58"/>
      <c r="G58" s="58"/>
      <c r="H58" s="58"/>
      <c r="I58" s="58"/>
      <c r="J58" s="39">
        <f>ROUND(SUM(J56:J56),2)</f>
        <v>192773.33</v>
      </c>
      <c r="K58" s="39">
        <f>ROUND(SUM(K57),2)</f>
        <v>192773.33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207421.87</v>
      </c>
      <c r="K61" s="33"/>
    </row>
    <row r="62" spans="1:12" ht="16.5" customHeight="1" x14ac:dyDescent="0.25">
      <c r="A62" s="56"/>
      <c r="B62" s="57"/>
      <c r="C62" s="165" t="s">
        <v>1623</v>
      </c>
      <c r="D62" s="165"/>
      <c r="E62" s="165"/>
      <c r="F62" s="165"/>
      <c r="G62" s="165"/>
      <c r="H62" s="165"/>
      <c r="I62" s="165"/>
      <c r="J62" s="33"/>
      <c r="K62" s="32">
        <f>J61</f>
        <v>207421.87</v>
      </c>
    </row>
    <row r="63" spans="1:12" ht="16.5" customHeight="1" x14ac:dyDescent="0.2">
      <c r="A63" s="56"/>
      <c r="B63" s="179" t="s">
        <v>1622</v>
      </c>
      <c r="C63" s="179"/>
      <c r="D63" s="179"/>
      <c r="E63" s="179"/>
      <c r="F63" s="179"/>
      <c r="G63" s="179"/>
      <c r="H63" s="179"/>
      <c r="I63" s="179"/>
      <c r="J63" s="39">
        <f>ROUND(SUM(J61:J61),2)</f>
        <v>207421.87</v>
      </c>
      <c r="K63" s="39">
        <f>ROUND(SUM(K62),2)</f>
        <v>207421.87</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749499.29</v>
      </c>
    </row>
    <row r="95" spans="1:12" ht="16.5" customHeight="1" x14ac:dyDescent="0.25">
      <c r="D95" s="57" t="s">
        <v>1641</v>
      </c>
      <c r="E95"/>
      <c r="F95"/>
      <c r="G95"/>
      <c r="H95" s="44"/>
      <c r="I95"/>
      <c r="J95"/>
      <c r="K95" s="162">
        <f>-K18-K46+J68+J77</f>
        <v>-349978.01</v>
      </c>
    </row>
    <row r="96" spans="1:12" ht="16.5" customHeight="1" x14ac:dyDescent="0.25">
      <c r="D96" s="57" t="s">
        <v>1639</v>
      </c>
      <c r="E96"/>
      <c r="F96"/>
      <c r="G96"/>
      <c r="H96" s="44"/>
      <c r="I96"/>
      <c r="J96"/>
      <c r="K96" s="162">
        <f>-K19-K37+J56+J61+J76-K85</f>
        <v>-7599.9900000000198</v>
      </c>
    </row>
    <row r="97" spans="1:11" ht="16.5" customHeight="1" x14ac:dyDescent="0.25">
      <c r="D97" s="57" t="s">
        <v>1640</v>
      </c>
      <c r="E97"/>
      <c r="F97"/>
      <c r="G97"/>
      <c r="H97" s="44"/>
      <c r="I97"/>
      <c r="J97"/>
      <c r="K97" s="162">
        <f>-K62</f>
        <v>-207421.87</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F789C576-D6F6-4F96-A17A-08A8882CA49E}">
      <formula1>4</formula1>
    </dataValidation>
    <dataValidation type="textLength" operator="lessThan" allowBlank="1" showInputMessage="1" showErrorMessage="1" sqref="E11 A6:A8" xr:uid="{7011E4B5-5C95-49A6-A074-5D1ADB842357}">
      <formula1>0</formula1>
    </dataValidation>
    <dataValidation operator="lessThan" allowBlank="1" showInputMessage="1" showErrorMessage="1" sqref="A3:A5 A7:A8 A11" xr:uid="{40F3EE61-A291-46B6-BE9A-EDEF6C65684C}"/>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22FEBE7-09D6-4106-8E97-49287595E01E}">
          <x14:formula1>
            <xm:f>'Drop Down Menus'!$B$1:$B$3</xm:f>
          </x14:formula1>
          <xm:sqref>F7</xm:sqref>
        </x14:dataValidation>
        <x14:dataValidation type="list" allowBlank="1" showInputMessage="1" showErrorMessage="1" xr:uid="{A7210097-A2FF-4131-ACA8-FE148193B89D}">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DDD2-6B13-4F28-8983-522A6717912B}">
  <sheetPr>
    <tabColor rgb="FF92D050"/>
    <pageSetUpPr fitToPage="1"/>
  </sheetPr>
  <dimension ref="A1:Q115"/>
  <sheetViews>
    <sheetView topLeftCell="A21" zoomScale="85" zoomScaleNormal="85" workbookViewId="0">
      <selection activeCell="K37" sqref="K37"/>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711</v>
      </c>
      <c r="G5" s="170"/>
      <c r="H5" s="170"/>
      <c r="I5" s="170"/>
      <c r="J5" s="47"/>
      <c r="K5" s="47"/>
      <c r="L5" s="48"/>
      <c r="M5" s="48"/>
      <c r="N5" s="48"/>
    </row>
    <row r="6" spans="1:17" ht="15.75" x14ac:dyDescent="0.2">
      <c r="A6" s="169" t="s">
        <v>1</v>
      </c>
      <c r="B6" s="169"/>
      <c r="C6" s="169"/>
      <c r="D6" s="169"/>
      <c r="E6" s="169"/>
      <c r="F6" s="171">
        <v>439</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53273.84</v>
      </c>
      <c r="K28" s="33"/>
      <c r="L28" s="54"/>
    </row>
    <row r="29" spans="1:17" ht="16.5" customHeight="1" x14ac:dyDescent="0.25">
      <c r="A29" s="56"/>
      <c r="B29" s="57"/>
      <c r="C29" s="165" t="s">
        <v>1578</v>
      </c>
      <c r="D29" s="165"/>
      <c r="E29" s="165"/>
      <c r="F29" s="165"/>
      <c r="G29" s="165"/>
      <c r="H29" s="165"/>
      <c r="I29" s="165"/>
      <c r="J29" s="33"/>
      <c r="K29" s="32">
        <v>21747.83</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31526.01</v>
      </c>
    </row>
    <row r="31" spans="1:17" ht="16.5" customHeight="1" x14ac:dyDescent="0.2">
      <c r="A31" s="68"/>
      <c r="B31" s="58"/>
      <c r="C31" s="58"/>
      <c r="D31" s="58"/>
      <c r="E31" s="58"/>
      <c r="F31" s="58"/>
      <c r="G31" s="58"/>
      <c r="H31" s="58"/>
      <c r="I31" s="58"/>
      <c r="J31" s="29">
        <f>ROUND(SUM(J28:J30),2)</f>
        <v>53273.84</v>
      </c>
      <c r="K31" s="29">
        <f>ROUND(SUM(K28:K30),2)</f>
        <v>53273.84</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53273.84</v>
      </c>
      <c r="K34" s="70"/>
      <c r="L34" s="54"/>
    </row>
    <row r="35" spans="1:12" ht="16.5" customHeight="1" x14ac:dyDescent="0.2">
      <c r="B35" s="165" t="s">
        <v>1579</v>
      </c>
      <c r="C35" s="165"/>
      <c r="D35" s="165"/>
      <c r="E35" s="165"/>
      <c r="F35" s="165"/>
      <c r="G35" s="165"/>
      <c r="H35" s="165"/>
      <c r="I35" s="165"/>
      <c r="J35" s="32">
        <v>21747.83</v>
      </c>
      <c r="K35" s="36"/>
    </row>
    <row r="36" spans="1:12" ht="16.5" customHeight="1" x14ac:dyDescent="0.2">
      <c r="A36" s="56"/>
      <c r="B36" s="71"/>
      <c r="C36" s="165" t="s">
        <v>1581</v>
      </c>
      <c r="D36" s="165"/>
      <c r="E36" s="165"/>
      <c r="F36" s="165"/>
      <c r="G36" s="165"/>
      <c r="H36" s="165"/>
      <c r="I36" s="165"/>
      <c r="J36" s="36"/>
      <c r="K36" s="32">
        <v>53273.84</v>
      </c>
    </row>
    <row r="37" spans="1:12" ht="16.5" customHeight="1" x14ac:dyDescent="0.2">
      <c r="A37" s="56"/>
      <c r="C37" s="165" t="s">
        <v>1626</v>
      </c>
      <c r="D37" s="165"/>
      <c r="E37" s="165"/>
      <c r="F37" s="165"/>
      <c r="G37" s="165"/>
      <c r="H37" s="165"/>
      <c r="I37" s="165"/>
      <c r="J37" s="36"/>
      <c r="K37" s="32">
        <v>21747.83</v>
      </c>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75021.67</v>
      </c>
      <c r="K39" s="29">
        <f>ROUND(SUM(K36:K38),2)</f>
        <v>75021.67</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5831.79</v>
      </c>
      <c r="K45" s="33"/>
    </row>
    <row r="46" spans="1:12" ht="16.5" customHeight="1" x14ac:dyDescent="0.2">
      <c r="A46" s="56"/>
      <c r="B46" s="71"/>
      <c r="C46" s="165" t="s">
        <v>1587</v>
      </c>
      <c r="D46" s="165"/>
      <c r="E46" s="165"/>
      <c r="F46" s="165"/>
      <c r="G46" s="165"/>
      <c r="H46" s="165"/>
      <c r="I46" s="165"/>
      <c r="J46" s="36"/>
      <c r="K46" s="32">
        <f>J45</f>
        <v>5831.79</v>
      </c>
    </row>
    <row r="47" spans="1:12" ht="16.5" customHeight="1" x14ac:dyDescent="0.2">
      <c r="A47" s="68"/>
      <c r="B47" s="58"/>
      <c r="C47" s="58"/>
      <c r="D47" s="58"/>
      <c r="E47" s="58"/>
      <c r="F47" s="58"/>
      <c r="G47" s="58"/>
      <c r="H47" s="58"/>
      <c r="I47" s="58"/>
      <c r="J47" s="39">
        <f>ROUND(SUM(J45:J45),2)</f>
        <v>5831.79</v>
      </c>
      <c r="K47" s="39">
        <f>ROUND(SUM(K46),2)</f>
        <v>5831.79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6725.97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8474.01</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15199.98</v>
      </c>
    </row>
    <row r="53" spans="1:12" ht="16.5" customHeight="1" x14ac:dyDescent="0.2">
      <c r="A53" s="68"/>
      <c r="B53" s="58"/>
      <c r="C53" s="58"/>
      <c r="D53" s="58"/>
      <c r="E53" s="58"/>
      <c r="F53" s="58"/>
      <c r="G53" s="58"/>
      <c r="H53" s="58"/>
      <c r="I53" s="58"/>
      <c r="J53" s="39">
        <f>ROUND(SUM(J50:J51),2)</f>
        <v>15199.98</v>
      </c>
      <c r="K53" s="39">
        <f>ROUND(SUM(K52,),2)</f>
        <v>15199.98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6725.97</v>
      </c>
      <c r="K56" s="36"/>
    </row>
    <row r="57" spans="1:12" ht="16.5" customHeight="1" x14ac:dyDescent="0.25">
      <c r="A57" s="56"/>
      <c r="B57" s="57"/>
      <c r="C57" s="165" t="s">
        <v>1613</v>
      </c>
      <c r="D57" s="165"/>
      <c r="E57" s="165"/>
      <c r="F57" s="165"/>
      <c r="G57" s="165"/>
      <c r="H57" s="165"/>
      <c r="I57" s="165"/>
      <c r="J57" s="36"/>
      <c r="K57" s="32">
        <f>J50</f>
        <v>6725.97</v>
      </c>
    </row>
    <row r="58" spans="1:12" ht="16.5" customHeight="1" x14ac:dyDescent="0.2">
      <c r="A58" s="68"/>
      <c r="B58" s="58"/>
      <c r="C58" s="58"/>
      <c r="D58" s="58"/>
      <c r="E58" s="58"/>
      <c r="F58" s="58"/>
      <c r="G58" s="58"/>
      <c r="H58" s="58"/>
      <c r="I58" s="58"/>
      <c r="J58" s="39">
        <f>ROUND(SUM(J56:J56),2)</f>
        <v>6725.97</v>
      </c>
      <c r="K58" s="39">
        <f>ROUND(SUM(K57),2)</f>
        <v>6725.97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7421.87</v>
      </c>
      <c r="K61" s="33"/>
    </row>
    <row r="62" spans="1:12" ht="16.5" customHeight="1" x14ac:dyDescent="0.25">
      <c r="A62" s="56"/>
      <c r="B62" s="57"/>
      <c r="C62" s="165" t="s">
        <v>1623</v>
      </c>
      <c r="D62" s="165"/>
      <c r="E62" s="165"/>
      <c r="F62" s="165"/>
      <c r="G62" s="165"/>
      <c r="H62" s="165"/>
      <c r="I62" s="165"/>
      <c r="J62" s="33"/>
      <c r="K62" s="32">
        <f>J61</f>
        <v>7421.87</v>
      </c>
    </row>
    <row r="63" spans="1:12" ht="16.5" customHeight="1" x14ac:dyDescent="0.2">
      <c r="A63" s="56"/>
      <c r="B63" s="179" t="s">
        <v>1622</v>
      </c>
      <c r="C63" s="179"/>
      <c r="D63" s="179"/>
      <c r="E63" s="179"/>
      <c r="F63" s="179"/>
      <c r="G63" s="179"/>
      <c r="H63" s="179"/>
      <c r="I63" s="179"/>
      <c r="J63" s="39">
        <f>ROUND(SUM(J61:J61),2)</f>
        <v>7421.87</v>
      </c>
      <c r="K63" s="39">
        <f>ROUND(SUM(K62),2)</f>
        <v>7421.87</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53273.84</v>
      </c>
    </row>
    <row r="95" spans="1:12" ht="16.5" customHeight="1" x14ac:dyDescent="0.25">
      <c r="D95" s="57" t="s">
        <v>1641</v>
      </c>
      <c r="E95"/>
      <c r="F95"/>
      <c r="G95"/>
      <c r="H95" s="44"/>
      <c r="I95"/>
      <c r="J95"/>
      <c r="K95" s="162">
        <f>-K18-K46+J68+J77</f>
        <v>-5831.79</v>
      </c>
    </row>
    <row r="96" spans="1:12" ht="16.5" customHeight="1" x14ac:dyDescent="0.25">
      <c r="D96" s="57" t="s">
        <v>1639</v>
      </c>
      <c r="E96"/>
      <c r="F96"/>
      <c r="G96"/>
      <c r="H96" s="44"/>
      <c r="I96"/>
      <c r="J96"/>
      <c r="K96" s="162">
        <f>-K19-K37+J56+J61+J76-K85</f>
        <v>-7599.9900000000007</v>
      </c>
    </row>
    <row r="97" spans="1:11" ht="16.5" customHeight="1" x14ac:dyDescent="0.25">
      <c r="D97" s="57" t="s">
        <v>1640</v>
      </c>
      <c r="E97"/>
      <c r="F97"/>
      <c r="G97"/>
      <c r="H97" s="44"/>
      <c r="I97"/>
      <c r="J97"/>
      <c r="K97" s="162">
        <f>-K62</f>
        <v>-7421.87</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3">
    <dataValidation operator="lessThan" allowBlank="1" showInputMessage="1" showErrorMessage="1" sqref="A3:A5 A7:A8 A11" xr:uid="{FA01C1E3-B990-4C6C-B39F-9193152DFCA5}"/>
    <dataValidation type="textLength" operator="lessThan" allowBlank="1" showInputMessage="1" showErrorMessage="1" sqref="E11 A6:A8" xr:uid="{DE431D73-10F6-4C4E-ADCB-CD0F72AD3032}">
      <formula1>0</formula1>
    </dataValidation>
    <dataValidation type="textLength" operator="equal" allowBlank="1" showInputMessage="1" showErrorMessage="1" errorTitle="4-Digit Org Code" error="Enter the Org Code/BU as 4 digits." sqref="F5" xr:uid="{3F7F8B0F-D588-4EF2-B4B5-BDC341C90CB2}">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20783D7-BF3E-4C5A-902F-0F349432A573}">
          <x14:formula1>
            <xm:f>'Drop Down Menus'!$A$1:$A$101</xm:f>
          </x14:formula1>
          <xm:sqref>F3</xm:sqref>
        </x14:dataValidation>
        <x14:dataValidation type="list" allowBlank="1" showInputMessage="1" showErrorMessage="1" xr:uid="{4662C33A-B89D-44B0-A959-DFD77E836496}">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47B4-01A4-4BC5-994D-AA1EE37387F6}">
  <sheetPr>
    <tabColor rgb="FF92D050"/>
    <pageSetUpPr fitToPage="1"/>
  </sheetPr>
  <dimension ref="A1:Q115"/>
  <sheetViews>
    <sheetView topLeftCell="A45" zoomScale="85" zoomScaleNormal="85" workbookViewId="0">
      <selection activeCell="B35" sqref="B35:I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711</v>
      </c>
      <c r="G5" s="170"/>
      <c r="H5" s="170"/>
      <c r="I5" s="170"/>
      <c r="J5" s="47"/>
      <c r="K5" s="47"/>
      <c r="L5" s="48"/>
      <c r="M5" s="48"/>
      <c r="N5" s="48"/>
    </row>
    <row r="6" spans="1:17" ht="15.75" x14ac:dyDescent="0.2">
      <c r="A6" s="169" t="s">
        <v>1</v>
      </c>
      <c r="B6" s="169"/>
      <c r="C6" s="169"/>
      <c r="D6" s="169"/>
      <c r="E6" s="169"/>
      <c r="F6" s="171">
        <v>3339</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508799.92</v>
      </c>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v>508799.92</v>
      </c>
    </row>
    <row r="31" spans="1:17" ht="16.5" customHeight="1" x14ac:dyDescent="0.2">
      <c r="A31" s="68"/>
      <c r="B31" s="58"/>
      <c r="C31" s="58"/>
      <c r="D31" s="58"/>
      <c r="E31" s="58"/>
      <c r="F31" s="58"/>
      <c r="G31" s="58"/>
      <c r="H31" s="58"/>
      <c r="I31" s="58"/>
      <c r="J31" s="29">
        <f>ROUND(SUM(J28:J30),2)</f>
        <v>508799.92</v>
      </c>
      <c r="K31" s="29">
        <f>ROUND(SUM(K28:K30),2)</f>
        <v>508799.92</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508799.92</v>
      </c>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v>508799.92</v>
      </c>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508799.92</v>
      </c>
      <c r="K39" s="29">
        <f>ROUND(SUM(K36:K38),2)</f>
        <v>508799.92</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113066.65</v>
      </c>
      <c r="K45" s="33"/>
    </row>
    <row r="46" spans="1:12" ht="16.5" customHeight="1" x14ac:dyDescent="0.2">
      <c r="A46" s="56"/>
      <c r="B46" s="71"/>
      <c r="C46" s="165" t="s">
        <v>1587</v>
      </c>
      <c r="D46" s="165"/>
      <c r="E46" s="165"/>
      <c r="F46" s="165"/>
      <c r="G46" s="165"/>
      <c r="H46" s="165"/>
      <c r="I46" s="165"/>
      <c r="J46" s="36"/>
      <c r="K46" s="32">
        <f>J45</f>
        <v>113066.65</v>
      </c>
    </row>
    <row r="47" spans="1:12" ht="16.5" customHeight="1" x14ac:dyDescent="0.2">
      <c r="A47" s="68"/>
      <c r="B47" s="58"/>
      <c r="C47" s="58"/>
      <c r="D47" s="58"/>
      <c r="E47" s="58"/>
      <c r="F47" s="58"/>
      <c r="G47" s="58"/>
      <c r="H47" s="58"/>
      <c r="I47" s="58"/>
      <c r="J47" s="39">
        <f>ROUND(SUM(J45:J45),2)</f>
        <v>113066.65</v>
      </c>
      <c r="K47" s="39">
        <f>ROUND(SUM(K46),2)</f>
        <v>113066.65</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0</v>
      </c>
    </row>
    <row r="53" spans="1:12" ht="16.5" customHeight="1" x14ac:dyDescent="0.2">
      <c r="A53" s="68"/>
      <c r="B53" s="58"/>
      <c r="C53" s="58"/>
      <c r="D53" s="58"/>
      <c r="E53" s="58"/>
      <c r="F53" s="58"/>
      <c r="G53" s="58"/>
      <c r="H53" s="58"/>
      <c r="I53" s="58"/>
      <c r="J53" s="39">
        <f>ROUND(SUM(J50:J51),2)</f>
        <v>0</v>
      </c>
      <c r="K53" s="39">
        <f>ROUND(SUM(K52,),2)</f>
        <v>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0</v>
      </c>
      <c r="K56" s="36"/>
    </row>
    <row r="57" spans="1:12" ht="16.5" customHeight="1" x14ac:dyDescent="0.25">
      <c r="A57" s="56"/>
      <c r="B57" s="57"/>
      <c r="C57" s="165" t="s">
        <v>1613</v>
      </c>
      <c r="D57" s="165"/>
      <c r="E57" s="165"/>
      <c r="F57" s="165"/>
      <c r="G57" s="165"/>
      <c r="H57" s="165"/>
      <c r="I57" s="165"/>
      <c r="J57" s="36"/>
      <c r="K57" s="32">
        <f>J50</f>
        <v>0</v>
      </c>
    </row>
    <row r="58" spans="1:12" ht="16.5" customHeight="1" x14ac:dyDescent="0.2">
      <c r="A58" s="68"/>
      <c r="B58" s="58"/>
      <c r="C58" s="58"/>
      <c r="D58" s="58"/>
      <c r="E58" s="58"/>
      <c r="F58" s="58"/>
      <c r="G58" s="58"/>
      <c r="H58" s="58"/>
      <c r="I58" s="58"/>
      <c r="J58" s="39">
        <f>ROUND(SUM(J56:J56),2)</f>
        <v>0</v>
      </c>
      <c r="K58" s="39">
        <f>ROUND(SUM(K57),2)</f>
        <v>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c r="K61" s="33"/>
    </row>
    <row r="62" spans="1:12" ht="16.5" customHeight="1" x14ac:dyDescent="0.25">
      <c r="A62" s="56"/>
      <c r="B62" s="57"/>
      <c r="C62" s="165" t="s">
        <v>1623</v>
      </c>
      <c r="D62" s="165"/>
      <c r="E62" s="165"/>
      <c r="F62" s="165"/>
      <c r="G62" s="165"/>
      <c r="H62" s="165"/>
      <c r="I62" s="165"/>
      <c r="J62" s="33"/>
      <c r="K62" s="32">
        <f>J61</f>
        <v>0</v>
      </c>
    </row>
    <row r="63" spans="1:12" ht="16.5" customHeight="1" x14ac:dyDescent="0.2">
      <c r="A63" s="56"/>
      <c r="B63" s="179" t="s">
        <v>1622</v>
      </c>
      <c r="C63" s="179"/>
      <c r="D63" s="179"/>
      <c r="E63" s="179"/>
      <c r="F63" s="179"/>
      <c r="G63" s="179"/>
      <c r="H63" s="179"/>
      <c r="I63" s="179"/>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508799.92</v>
      </c>
    </row>
    <row r="95" spans="1:12" ht="16.5" customHeight="1" x14ac:dyDescent="0.25">
      <c r="D95" s="57" t="s">
        <v>1641</v>
      </c>
      <c r="E95"/>
      <c r="F95"/>
      <c r="G95"/>
      <c r="H95" s="44"/>
      <c r="I95"/>
      <c r="J95"/>
      <c r="K95" s="162">
        <f>-K18-K46+J68+J77</f>
        <v>-113066.65</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F80172C9-E64B-4B2B-8348-52B4DC890903}">
      <formula1>4</formula1>
    </dataValidation>
    <dataValidation type="textLength" operator="lessThan" allowBlank="1" showInputMessage="1" showErrorMessage="1" sqref="E11 A6:A8" xr:uid="{5BD296ED-966D-4ECA-919E-0A6298F56B1A}">
      <formula1>0</formula1>
    </dataValidation>
    <dataValidation operator="lessThan" allowBlank="1" showInputMessage="1" showErrorMessage="1" sqref="A3:A5 A7:A8 A11" xr:uid="{1F63EE29-7CDB-4B97-98E4-70DB413DFD44}"/>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CB239C1-154D-4AF8-BC4A-B716241A062B}">
          <x14:formula1>
            <xm:f>'Drop Down Menus'!$B$1:$B$3</xm:f>
          </x14:formula1>
          <xm:sqref>F7</xm:sqref>
        </x14:dataValidation>
        <x14:dataValidation type="list" allowBlank="1" showInputMessage="1" showErrorMessage="1" xr:uid="{495959AC-7335-4010-B943-BCEC4C3A13A9}">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20" sqref="B2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3940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2949465.6599999997</v>
      </c>
      <c r="C16" s="2">
        <v>200904.72</v>
      </c>
      <c r="D16" s="193" t="s">
        <v>1537</v>
      </c>
      <c r="E16" s="97"/>
      <c r="F16" s="97"/>
      <c r="G16" s="97"/>
      <c r="H16" s="97"/>
      <c r="I16" s="97"/>
      <c r="J16" s="97"/>
      <c r="K16" s="97"/>
    </row>
    <row r="17" spans="1:11" ht="15" customHeight="1" x14ac:dyDescent="0.2">
      <c r="A17" s="94" t="str">
        <f>LEFT(A16,4)+1&amp;"–"&amp;RIGHT(A16,4)+1</f>
        <v>2024–2025</v>
      </c>
      <c r="B17" s="2">
        <v>5659564.5700000003</v>
      </c>
      <c r="C17" s="2">
        <v>203176.22999999998</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3940</v>
      </c>
      <c r="C43" s="189"/>
    </row>
    <row r="44" spans="1:11" ht="15.75" x14ac:dyDescent="0.25">
      <c r="A44" s="92" t="s">
        <v>1600</v>
      </c>
      <c r="B44" s="190" t="str">
        <f>B13</f>
        <v>State Water Resources Control Board</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3940</v>
      </c>
      <c r="C74" s="189"/>
    </row>
    <row r="75" spans="1:4" ht="15.75" x14ac:dyDescent="0.25">
      <c r="A75" s="92" t="s">
        <v>1600</v>
      </c>
      <c r="B75" s="190" t="str">
        <f>B13</f>
        <v>State Water Resources Control Board</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11" sqref="J11"/>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3940 State Water Resources Control Board</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+'Fund 0001 Journal Entries'!K19+'Fund 0193 Journal Entries'!K19+'Fund 0439 Journal Entries'!K19+'Fund 3339 Journal Entries'!K19</f>
        <v>386047.36</v>
      </c>
      <c r="H10" s="3">
        <f>+'Fund 0001 Journal Entries'!K37+'Fund 0193 Journal Entries'!K37+'Fund 0439 Journal Entries'!K37+'Fund 3339 Journal Entries'!K37</f>
        <v>8442660.0800000001</v>
      </c>
      <c r="J10" s="3">
        <f>+'Fund 0001 Journal Entries'!J56+'Fund 0193 Journal Entries'!J56+'Fund 0439 Journal Entries'!J56+'Fund 3339 Journal Entries'!J56</f>
        <v>219677.21</v>
      </c>
      <c r="L10" s="119">
        <f>SUM(F10+H10-J10)</f>
        <v>8609030.2299999986</v>
      </c>
      <c r="N10" s="3">
        <f>'Fund 0001 Journal Entries'!J61+'Fund 0193 Journal Entries'!J61+'Fund 0439 Journal Entries'!J61+'Fund 3339 Journal Entries'!J61</f>
        <v>2949465.66</v>
      </c>
      <c r="P10" s="119">
        <f>L10-N10</f>
        <v>5659564.5699999984</v>
      </c>
      <c r="Q10" s="109"/>
    </row>
    <row r="11" spans="2:17" ht="19.5" thickTop="1" thickBot="1" x14ac:dyDescent="0.3">
      <c r="B11" s="107"/>
      <c r="C11" s="195" t="s">
        <v>15</v>
      </c>
      <c r="D11" s="195"/>
      <c r="F11" s="120">
        <f>SUM(F10:F10)</f>
        <v>386047.36</v>
      </c>
      <c r="H11" s="120">
        <f>SUM(H10:H10)</f>
        <v>8442660.0800000001</v>
      </c>
      <c r="J11" s="120">
        <f>SUM(J10:J10)</f>
        <v>219677.21</v>
      </c>
      <c r="L11" s="120">
        <f>SUM(L10:L10)</f>
        <v>8609030.2299999986</v>
      </c>
      <c r="N11" s="120">
        <f>SUM(N10:N10)</f>
        <v>2949465.66</v>
      </c>
      <c r="P11" s="120">
        <f>SUM(P10:P10)</f>
        <v>5659564.5699999984</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J18" sqref="J18"/>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0193 Journal Entries'!K19+'Fund 0439 Journal Entries'!K19+'Fund 3339 Journal Entries'!K19</f>
        <v>386047.36</v>
      </c>
      <c r="C16" s="15" t="s">
        <v>1552</v>
      </c>
      <c r="D16" s="14">
        <f>+'Fund 0001 Journal Entries'!K37+'Fund 0193 Journal Entries'!K37+'Fund 0439 Journal Entries'!K37+'Fund 3339 Journal Entries'!K37</f>
        <v>8442660.0800000001</v>
      </c>
      <c r="E16" s="16" t="s">
        <v>1554</v>
      </c>
      <c r="F16" s="14">
        <f>+'Fund 0001 Journal Entries'!J56+'Fund 0193 Journal Entries'!J56+'Fund 0439 Journal Entries'!J56+'Fund 3339 Journal Entries'!J56</f>
        <v>219677.21</v>
      </c>
      <c r="G16" s="16" t="s">
        <v>1556</v>
      </c>
      <c r="H16" s="17">
        <f>+B16+D16-F16</f>
        <v>8609030.2299999986</v>
      </c>
      <c r="I16" s="16"/>
      <c r="J16" s="18">
        <f>ROUND(SUM('Department Note Disclosure'!$B$16:$B$39),0)</f>
        <v>8609030</v>
      </c>
      <c r="K16" s="15"/>
      <c r="L16" s="19">
        <f>H16-J16</f>
        <v>0.22999999858438969</v>
      </c>
      <c r="M16" s="137"/>
    </row>
    <row r="17" spans="1:13" ht="15" customHeight="1" x14ac:dyDescent="0.25">
      <c r="A17" s="147"/>
      <c r="B17" s="147"/>
      <c r="C17" s="148"/>
      <c r="D17" s="149" t="str">
        <f>IF(OR(L16&gt;0.99, (L16&lt;(-0.99))),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IF(OR(L23&gt;0.99, (L23&lt;(-0.99))),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IF(OR(L31&gt;0.99, (L31&lt;(-0.99))),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v>2949465.94</v>
      </c>
      <c r="G39" s="150"/>
      <c r="H39" s="150"/>
      <c r="I39" s="20"/>
      <c r="J39" s="18">
        <f>ROUND('Department Note Disclosure'!$B$16,0)</f>
        <v>2949466</v>
      </c>
      <c r="K39" s="21"/>
      <c r="L39" s="19">
        <f>F39-J39</f>
        <v>-6.0000000055879354E-2</v>
      </c>
      <c r="M39" s="137"/>
    </row>
    <row r="40" spans="1:13" ht="17.25" x14ac:dyDescent="0.25">
      <c r="A40" s="137"/>
      <c r="B40" s="147"/>
      <c r="C40" s="148"/>
      <c r="D40" s="149" t="str">
        <f>IF(OR(L39&gt;0.99, (L39&lt;(-0.99))),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IF(OR(L46&gt;0.99, (L46&lt;(-0.99))),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IF(OR(L53&gt;0.99, (L53&lt;(-0.99))),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386047.36</v>
      </c>
      <c r="H61" s="154" t="str">
        <f>"Balance July 1, "&amp;LEFT('Fund 0001 Journal Entries'!$F$3,4)</f>
        <v>Balance July 1, 2022</v>
      </c>
      <c r="J61" s="22">
        <f>ROUND('SBITA Liabilities'!$F$10,0)</f>
        <v>386047</v>
      </c>
      <c r="L61" s="19">
        <f>D61-J61</f>
        <v>0.35999999998603016</v>
      </c>
    </row>
    <row r="62" spans="1:13" x14ac:dyDescent="0.25">
      <c r="B62" s="152" t="s">
        <v>1630</v>
      </c>
      <c r="D62" s="22">
        <f>$D$16</f>
        <v>8442660.0800000001</v>
      </c>
      <c r="H62" s="154" t="s">
        <v>10</v>
      </c>
      <c r="J62" s="22">
        <f>ROUND('SBITA Liabilities'!$H$10,0)</f>
        <v>8442660</v>
      </c>
      <c r="L62" s="19">
        <f>D62-J62</f>
        <v>8.0000000074505806E-2</v>
      </c>
    </row>
    <row r="63" spans="1:13" x14ac:dyDescent="0.25">
      <c r="B63" s="152" t="s">
        <v>1555</v>
      </c>
      <c r="D63" s="22">
        <f>$F$16</f>
        <v>219677.21</v>
      </c>
      <c r="H63" s="154" t="s">
        <v>11</v>
      </c>
      <c r="J63" s="22">
        <f>ROUND('SBITA Liabilities'!$J$10,0)</f>
        <v>219677</v>
      </c>
      <c r="L63" s="19">
        <f>D63-J63</f>
        <v>0.20999999999185093</v>
      </c>
    </row>
    <row r="64" spans="1:13" x14ac:dyDescent="0.25">
      <c r="B64" s="152" t="s">
        <v>1559</v>
      </c>
      <c r="D64" s="22">
        <f>$F$39</f>
        <v>2949465.94</v>
      </c>
      <c r="H64" s="154" t="s">
        <v>12</v>
      </c>
      <c r="J64" s="22">
        <f>ROUND('SBITA Liabilities'!$N$10,0)</f>
        <v>2949466</v>
      </c>
      <c r="L64" s="19">
        <f>D64-J64</f>
        <v>-6.0000000055879354E-2</v>
      </c>
    </row>
    <row r="65" spans="1:13" ht="15.95" customHeight="1" x14ac:dyDescent="0.25">
      <c r="D65" s="149" t="str">
        <f>IF(OR(L61&gt;0.99, L61&lt;(-0.99),L62&gt;0.99,L62&lt;(-0.99),L63&gt;0.99,L63&lt;(-0.99),L64&gt;0.99,L64&lt;(-0.99)),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IF(OR(L71&gt;0.99, L71&lt;(-0.99),L72&gt;0.99,L72&lt;(-0.99),L73&gt;0.99,L73&lt;(-0.99),L74&gt;0.99,L74&lt;(-0.99)),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IF(OR(L81&gt;0.99, L81&lt;(-0.99),L82&gt;0.99,L82&lt;(-0.99),L83&gt;0.99,L83&lt;(-0.99),L84&gt;0.99,L84&lt;(-0.99)),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BC63HAkYa0ZgviEfOK76pZaUB6zG1WbHMxDfcdcsfWoHqbTbsF5Rr2/B7L/vKt29JDudUrHonBtiq5Uo0VkkjA==" saltValue="6oiQwkavuLHOt6KZCuWgD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1632BD9-B3D0-428E-9643-B75C7CAADBDD}"/>
</file>

<file path=customXml/itemProps2.xml><?xml version="1.0" encoding="utf-8"?>
<ds:datastoreItem xmlns:ds="http://schemas.openxmlformats.org/officeDocument/2006/customXml" ds:itemID="{2A218332-F550-4C31-893F-5EC4DCD5487B}"/>
</file>

<file path=customXml/itemProps3.xml><?xml version="1.0" encoding="utf-8"?>
<ds:datastoreItem xmlns:ds="http://schemas.openxmlformats.org/officeDocument/2006/customXml" ds:itemID="{C249D89E-98EF-48D1-8BAE-73C55AD4EE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Fund 0001 Journal Entries</vt:lpstr>
      <vt:lpstr>Fund 0193 Journal Entries</vt:lpstr>
      <vt:lpstr>Fund 0439 Journal Entries</vt:lpstr>
      <vt:lpstr>Fund 3339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0193 Journal Entries'!Print_Area</vt:lpstr>
      <vt:lpstr>'Fund 0439 Journal Entries'!Print_Area</vt:lpstr>
      <vt:lpstr>'Fund 3339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2024-06-26T15:48:12Z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3412500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