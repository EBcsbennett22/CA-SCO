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1C3CECD1-9105-4181-8677-C39D57615047}"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Fund 0890 Journal Entries" sheetId="10" r:id="rId2"/>
    <sheet name="Department Note Disclosure" sheetId="3" r:id="rId3"/>
    <sheet name="SBITA Liabilities" sheetId="4" r:id="rId4"/>
    <sheet name="Check Figures " sheetId="9" r:id="rId5"/>
    <sheet name="Drop Down Menus" sheetId="1" state="hidden" r:id="rId6"/>
    <sheet name="GAAP02Aindex" sheetId="7" state="hidden" r:id="rId7"/>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2">'Department Note Disclosure'!$A$3:$D$101</definedName>
    <definedName name="_xlnm.Print_Area" localSheetId="0">'Fund 0001 Journal Entries'!$A$3:$K$70</definedName>
    <definedName name="_xlnm.Print_Area" localSheetId="1">'Fund 0890 Journal Entries'!$A$3:$K$70</definedName>
    <definedName name="_xlnm.Print_Area" localSheetId="3">'SBITA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C52" i="10"/>
  <c r="C52" i="2"/>
  <c r="C38" i="10"/>
  <c r="C38" i="2"/>
  <c r="C30" i="10"/>
  <c r="C30" i="2"/>
  <c r="F8" i="10"/>
  <c r="F8" i="2"/>
  <c r="B16" i="9"/>
  <c r="F10" i="4"/>
  <c r="L86" i="10" l="1"/>
  <c r="K86" i="10"/>
  <c r="J86" i="10"/>
  <c r="K81" i="10"/>
  <c r="J81" i="10"/>
  <c r="L81" i="10" s="1"/>
  <c r="J70" i="10"/>
  <c r="K69" i="10"/>
  <c r="K94" i="10" s="1"/>
  <c r="J63" i="10"/>
  <c r="K62" i="10"/>
  <c r="K97" i="10" s="1"/>
  <c r="K57" i="10"/>
  <c r="K58" i="10" s="1"/>
  <c r="J53" i="10"/>
  <c r="K52" i="10"/>
  <c r="K53" i="10" s="1"/>
  <c r="L53" i="10" s="1"/>
  <c r="B51" i="10"/>
  <c r="J47" i="10"/>
  <c r="K46" i="10"/>
  <c r="K95" i="10" s="1"/>
  <c r="K39" i="10"/>
  <c r="J39" i="10"/>
  <c r="L39" i="10" s="1"/>
  <c r="K31" i="10"/>
  <c r="J31" i="10"/>
  <c r="L31" i="10" s="1"/>
  <c r="A26" i="10"/>
  <c r="K22" i="10"/>
  <c r="J22" i="10"/>
  <c r="B14" i="10"/>
  <c r="A12" i="10"/>
  <c r="K63" i="10" l="1"/>
  <c r="L63" i="10" s="1"/>
  <c r="J56" i="10"/>
  <c r="L22" i="10"/>
  <c r="K47" i="10"/>
  <c r="L47" i="10" s="1"/>
  <c r="K70" i="10"/>
  <c r="L70" i="10" s="1"/>
  <c r="J58" i="10" l="1"/>
  <c r="L58" i="10" s="1"/>
  <c r="K96" i="10"/>
  <c r="D16" i="9"/>
  <c r="B23" i="9"/>
  <c r="D23" i="9"/>
  <c r="F23" i="9"/>
  <c r="B31" i="9"/>
  <c r="D31" i="9"/>
  <c r="F31" i="9"/>
  <c r="F46" i="9"/>
  <c r="F53" i="9"/>
  <c r="H10" i="4"/>
  <c r="N14" i="4"/>
  <c r="J14" i="4"/>
  <c r="H14" i="4"/>
  <c r="F14" i="4"/>
  <c r="F18" i="4"/>
  <c r="H18" i="4"/>
  <c r="J18" i="4"/>
  <c r="N18" i="4"/>
  <c r="K46" i="2"/>
  <c r="K52" i="2"/>
  <c r="G5" i="4" l="1"/>
  <c r="K62" i="2"/>
  <c r="K57" i="2"/>
  <c r="J56" i="2" s="1"/>
  <c r="D86" i="3"/>
  <c r="D55" i="3"/>
  <c r="D24" i="3"/>
  <c r="J10" i="4" l="1"/>
  <c r="F16" i="9"/>
  <c r="K97" i="2"/>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<sst xmlns="http://schemas.openxmlformats.org/spreadsheetml/2006/main" count="7616" uniqueCount="1643">
  <si>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</si>
  <si>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</si>
  <si>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</si>
  <si>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</si>
  <si>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</si>
  <si>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</si>
  <si>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</si>
  <si>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</si>
  <si>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</si>
  <si>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</si>
  <si>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</si>
  <si>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</si>
  <si>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</si>
  <si>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</si>
  <si>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</si>
  <si>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</si>
  <si>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</si>
  <si>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</si>
  <si>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</si>
  <si>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</si>
  <si>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</si>
  <si>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</si>
  <si>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</si>
  <si>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</si>
  <si>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</si>
  <si>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</si>
  <si>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</si>
  <si>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</si>
  <si>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</si>
  <si>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</si>
  <si>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</si>
  <si>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</si>
  <si>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</si>
  <si>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</si>
  <si>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</si>
  <si>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</si>
  <si>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</si>
  <si>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</si>
  <si>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</si>
  <si>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</si>
  <si>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</si>
  <si>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</si>
  <si>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</si>
  <si>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</si>
  <si>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</si>
  <si>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</si>
  <si>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</si>
  <si>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</si>
  <si>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</si>
  <si>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</si>
  <si>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</si>
  <si>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</si>
  <si>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</si>
  <si>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</si>
  <si>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</si>
  <si>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</si>
  <si>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</si>
  <si>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</si>
  <si>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</si>
  <si>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</si>
  <si>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</si>
  <si>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</si>
  <si>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</si>
  <si>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</si>
  <si>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</si>
  <si>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</si>
  <si>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</si>
  <si>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</si>
  <si>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</si>
  <si>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</si>
  <si>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</si>
  <si>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</si>
  <si>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</si>
  <si>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</si>
  <si>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</si>
  <si>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</si>
  <si>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</si>
  <si>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</si>
  <si>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</si>
  <si>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</si>
  <si>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</si>
  <si>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</si>
  <si>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</si>
  <si>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</si>
  <si>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</si>
  <si>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</si>
  <si>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</si>
  <si>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</si>
  <si>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</si>
  <si>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</si>
  <si>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</si>
  <si>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</si>
  <si>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</si>
  <si>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</si>
  <si>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</si>
  <si>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</si>
  <si>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</si>
  <si>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</si>
  <si>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</si>
  <si>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</si>
  <si>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</si>
  <si>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</si>
  <si>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</si>
  <si>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</si>
  <si>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</si>
  <si>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</si>
  <si>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</si>
  <si>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</si>
  <si>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</si>
  <si>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</si>
  <si>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</si>
  <si>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</si>
  <si>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</si>
  <si>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</si>
  <si>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</si>
  <si>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</si>
  <si>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</si>
  <si>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</si>
  <si>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</si>
  <si>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</si>
  <si>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</si>
  <si>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</si>
  <si>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</si>
  <si>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</si>
  <si>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</si>
  <si>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</si>
  <si>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</si>
  <si>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</si>
  <si>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</si>
  <si>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</si>
  <si>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</si>
  <si>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</si>
  <si>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</si>
  <si>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</si>
  <si>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</si>
  <si>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</si>
  <si>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</si>
  <si>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</si>
  <si>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</si>
  <si>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</si>
  <si>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</si>
  <si>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</si>
  <si>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</si>
  <si>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</si>
  <si>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</si>
  <si>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</si>
  <si>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</si>
  <si>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</si>
  <si>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</si>
  <si>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</si>
  <si>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</si>
  <si>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</si>
  <si>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</si>
  <si>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</si>
  <si>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</si>
  <si>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</si>
  <si>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</si>
  <si>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</si>
  <si>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</si>
  <si>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</si>
  <si>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</si>
  <si>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</si>
  <si>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</si>
  <si>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</si>
  <si>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</si>
  <si>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</si>
  <si>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</si>
  <si>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</si>
  <si>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</si>
  <si>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</si>
  <si>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</si>
  <si>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</si>
  <si>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</si>
  <si>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</si>
  <si>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</si>
  <si>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</si>
  <si>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</si>
  <si>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</si>
  <si>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</si>
  <si>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</si>
  <si>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</si>
  <si>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</si>
  <si>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</si>
  <si>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</si>
  <si>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</si>
  <si>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</si>
  <si>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</si>
  <si>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</si>
  <si>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</si>
  <si>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</si>
  <si>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</si>
  <si>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</si>
  <si>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</si>
  <si>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</si>
  <si>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</si>
  <si>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</si>
  <si>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</si>
  <si>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</si>
  <si>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</si>
  <si>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</si>
  <si>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</si>
  <si>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</si>
  <si>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</si>
  <si>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</si>
  <si>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</si>
  <si>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</si>
  <si>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</si>
  <si>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</si>
  <si>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</si>
  <si>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</si>
  <si>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</si>
  <si>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</si>
  <si>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</si>
  <si>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</si>
  <si>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</si>
  <si>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</si>
  <si>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</si>
  <si>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</si>
  <si>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</si>
  <si>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</si>
  <si>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</si>
  <si>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</si>
  <si>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</si>
  <si>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</si>
  <si>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</si>
  <si>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</si>
  <si>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</si>
  <si>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</si>
  <si>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</si>
  <si>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</si>
  <si>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</si>
  <si>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</si>
  <si>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</si>
  <si>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</si>
  <si>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</si>
  <si>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</si>
  <si>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</si>
  <si>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</si>
  <si>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</si>
  <si>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</si>
  <si>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</si>
  <si>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</si>
  <si>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</si>
  <si>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</si>
  <si>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</si>
  <si>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</si>
  <si>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</si>
  <si>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</si>
  <si>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</si>
  <si>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</si>
  <si>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</si>
  <si>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</si>
  <si>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</si>
  <si>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</si>
  <si>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</si>
  <si>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</si>
  <si>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</si>
  <si>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</si>
  <si>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</si>
  <si>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</si>
  <si>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</si>
  <si>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</si>
  <si>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</si>
  <si>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</si>
  <si>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</si>
  <si>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</si>
  <si>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</si>
  <si>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</si>
  <si>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</si>
  <si>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</si>
  <si>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</si>
  <si>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</si>
  <si>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</si>
  <si>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</si>
  <si>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</si>
  <si>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</si>
  <si>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</si>
  <si>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</si>
  <si>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</si>
  <si>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</si>
  <si>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</si>
  <si>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</si>
  <si>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</si>
  <si>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</si>
  <si>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</si>
  <si>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</si>
  <si>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</si>
  <si>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</si>
  <si>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</si>
  <si>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</si>
  <si>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</si>
  <si>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</si>
  <si>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</si>
  <si>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</si>
  <si>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</si>
  <si>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</si>
  <si>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</si>
  <si>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</si>
  <si>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</si>
  <si>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</si>
  <si>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</si>
  <si>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</si>
  <si>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</si>
  <si>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</si>
  <si>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</si>
  <si>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</si>
  <si>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</si>
  <si>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</si>
  <si>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</si>
  <si>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</si>
  <si>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</si>
  <si>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</si>
  <si>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</si>
  <si>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</si>
  <si>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</si>
  <si>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</si>
  <si>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</si>
  <si>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</si>
  <si>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</si>
  <si>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</si>
  <si>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</si>
  <si>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</si>
  <si>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</si>
  <si>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</si>
  <si>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</si>
  <si>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</si>
  <si>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</si>
  <si>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</si>
  <si>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</si>
  <si>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</si>
  <si>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</si>
  <si>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</si>
  <si>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</si>
  <si>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</si>
  <si>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</si>
  <si>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</si>
  <si>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</si>
  <si>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</si>
  <si>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</si>
  <si>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</si>
  <si>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</si>
  <si>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</si>
  <si>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</si>
  <si>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</si>
  <si>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</si>
  <si>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</si>
  <si>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</si>
  <si>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</si>
  <si>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</si>
  <si>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</si>
  <si>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</si>
  <si>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</si>
  <si>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</si>
  <si>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</si>
  <si>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</si>
  <si>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</si>
  <si>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</si>
  <si>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</si>
  <si>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</si>
  <si>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</si>
  <si>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</si>
  <si>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</si>
  <si>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</si>
  <si>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</si>
  <si>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</si>
  <si>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</si>
  <si>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</si>
  <si>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</si>
  <si>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</si>
  <si>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</si>
  <si>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</si>
  <si>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</si>
  <si>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</si>
  <si>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</si>
  <si>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</si>
  <si>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</si>
  <si>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</si>
  <si>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</si>
  <si>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</si>
  <si>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</si>
  <si>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</si>
  <si>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</si>
  <si>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</si>
  <si>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</si>
  <si>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</si>
  <si>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</si>
  <si>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</si>
  <si>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</si>
  <si>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</si>
  <si>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</si>
  <si>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</si>
  <si>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</si>
  <si>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</si>
  <si>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</si>
  <si>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</si>
  <si>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</si>
  <si>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</si>
  <si>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</si>
  <si>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</si>
  <si>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</si>
  <si>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</si>
  <si>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</si>
  <si>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</si>
  <si>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</si>
  <si>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</si>
  <si>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</si>
  <si>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</si>
  <si>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</si>
  <si>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</si>
  <si>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</si>
  <si>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</si>
  <si>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</si>
  <si>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</si>
  <si>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</si>
  <si>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</si>
  <si>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</si>
  <si>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</si>
  <si>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</si>
  <si>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</si>
  <si>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</si>
  <si>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</si>
  <si>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</si>
  <si>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</si>
  <si>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</si>
  <si>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</si>
  <si>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</si>
  <si>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</si>
  <si>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</si>
  <si>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</si>
  <si>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</si>
  <si>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</si>
  <si>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</si>
  <si>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</si>
  <si>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</si>
  <si>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</si>
  <si>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</si>
  <si>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</si>
  <si>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</si>
  <si>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</si>
  <si>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</si>
  <si>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</si>
  <si>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</si>
  <si>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</si>
  <si>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</si>
  <si>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</si>
  <si>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</si>
  <si>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</si>
  <si>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</si>
  <si>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</si>
  <si>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</si>
  <si>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</si>
  <si>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</si>
  <si>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</si>
  <si>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</si>
  <si>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</si>
  <si>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</si>
  <si>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</si>
  <si>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</si>
  <si>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</si>
  <si>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</si>
  <si>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</si>
  <si>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</si>
  <si>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</si>
  <si>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</si>
  <si>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</si>
  <si>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</si>
  <si>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</si>
  <si>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</si>
  <si>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</si>
  <si>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</si>
  <si>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</si>
  <si>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</si>
  <si>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</si>
  <si>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</si>
  <si>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</si>
  <si>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</si>
  <si>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</si>
  <si>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</si>
  <si>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</si>
  <si>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</si>
  <si>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</si>
  <si>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</si>
  <si>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</si>
  <si>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</si>
  <si>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</si>
  <si>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</si>
  <si>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</si>
  <si>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</si>
  <si>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</si>
  <si>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</si>
  <si>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</si>
  <si>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</si>
  <si>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</si>
  <si>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</si>
  <si>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</si>
  <si>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</si>
  <si>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</si>
  <si>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</si>
  <si>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</si>
  <si>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</si>
  <si>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</si>
  <si>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</si>
  <si>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</si>
  <si>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</si>
  <si>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</si>
  <si>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</si>
  <si>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</si>
  <si>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</si>
  <si>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</si>
  <si>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</si>
  <si>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</si>
  <si>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</si>
  <si>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</si>
  <si>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</si>
  <si>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</si>
  <si>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</si>
  <si>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</si>
  <si>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</si>
  <si>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</si>
  <si>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</si>
  <si>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</si>
  <si>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</si>
  <si>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</si>
  <si>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</si>
  <si>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</si>
  <si>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</si>
  <si>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</si>
  <si>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</si>
  <si>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</si>
  <si>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</si>
  <si>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</si>
  <si>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</si>
  <si>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</si>
  <si>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</si>
  <si>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</si>
  <si>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</si>
  <si>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</si>
  <si>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</si>
  <si>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</si>
  <si>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</si>
  <si>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</si>
  <si>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</si>
  <si>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</si>
  <si>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</si>
  <si>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</si>
  <si>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</si>
  <si>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</si>
  <si>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</si>
  <si>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</si>
  <si>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</si>
  <si>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</si>
  <si>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</si>
  <si>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</si>
  <si>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</si>
  <si>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</si>
  <si>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</si>
  <si>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</si>
  <si>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</si>
  <si>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</si>
  <si>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</si>
  <si>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</si>
  <si>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</si>
  <si>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</si>
  <si>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</si>
  <si>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</si>
  <si>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</si>
  <si>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</si>
  <si>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</si>
  <si>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</si>
  <si>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</si>
  <si>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</si>
  <si>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</si>
  <si>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</si>
  <si>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</si>
  <si>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</si>
  <si>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</si>
  <si>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</si>
  <si>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</si>
  <si>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</si>
  <si>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</si>
  <si>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</si>
  <si>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</si>
  <si>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</si>
  <si>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</si>
  <si>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</si>
  <si>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</si>
  <si>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</si>
  <si>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</si>
  <si>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</si>
  <si>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</si>
  <si>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</si>
  <si>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</si>
  <si>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</si>
  <si>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</si>
  <si>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</si>
  <si>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</si>
  <si>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</si>
  <si>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</si>
  <si>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</si>
  <si>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</si>
  <si>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</si>
  <si>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</si>
  <si>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</si>
  <si>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</si>
  <si>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</si>
  <si>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</si>
  <si>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</si>
  <si>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</si>
  <si>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</si>
  <si>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</si>
  <si>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</si>
  <si>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</si>
  <si>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</si>
  <si>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</si>
  <si>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</si>
  <si>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</si>
  <si>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</si>
  <si>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</si>
  <si>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</si>
  <si>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</si>
  <si>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</si>
  <si>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</si>
  <si>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</si>
  <si>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</si>
  <si>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</si>
  <si>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</si>
  <si>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</si>
  <si>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</si>
  <si>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</si>
  <si>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</si>
  <si>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</si>
  <si>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</si>
  <si>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</si>
  <si>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</si>
  <si>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</si>
  <si>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</si>
  <si>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</si>
  <si>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</si>
  <si>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</si>
  <si>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</si>
  <si>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</si>
  <si>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</si>
  <si>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</si>
  <si>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</si>
  <si>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</si>
  <si>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</si>
  <si>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</si>
  <si>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</si>
  <si>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</si>
  <si>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</si>
  <si>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</si>
  <si>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</si>
  <si>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</si>
  <si>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</si>
  <si>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</si>
  <si>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</si>
  <si>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</si>
  <si>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</si>
  <si>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</si>
  <si>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</si>
  <si>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</si>
  <si>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</si>
  <si>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</si>
  <si>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</si>
  <si>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</si>
  <si>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</si>
  <si>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</si>
  <si>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</si>
  <si>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</si>
  <si>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</si>
  <si>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</si>
  <si>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</si>
  <si>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</si>
  <si>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</si>
  <si>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</si>
  <si>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</si>
  <si>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</si>
  <si>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</si>
  <si>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</si>
  <si>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</si>
  <si>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</si>
  <si>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</si>
  <si>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</si>
  <si>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</si>
  <si>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</si>
  <si>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</si>
  <si>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</si>
  <si>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</si>
  <si>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</si>
  <si>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</si>
  <si>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</si>
  <si>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</si>
  <si>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</si>
  <si>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</si>
  <si>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</si>
  <si>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</si>
  <si>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</si>
  <si>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</si>
  <si>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</si>
  <si>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</si>
  <si>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</si>
  <si>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</si>
  <si>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</si>
  <si>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</si>
  <si>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</si>
  <si>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</si>
  <si>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</si>
  <si>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</si>
  <si>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</si>
  <si>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</si>
  <si>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</si>
  <si>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</si>
  <si>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</si>
  <si>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</si>
  <si>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</si>
  <si>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</si>
  <si>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</si>
  <si>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</si>
  <si>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</si>
  <si>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</si>
  <si>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</si>
  <si>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</si>
  <si>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</si>
  <si>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</si>
  <si>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</si>
  <si>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</si>
  <si>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</si>
  <si>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</si>
  <si>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</si>
  <si>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</si>
  <si>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</si>
  <si>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</si>
  <si>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</si>
  <si>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</si>
  <si>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</si>
  <si>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</si>
  <si>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</si>
  <si>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</si>
  <si>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</si>
  <si>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</si>
  <si>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</si>
  <si>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</si>
  <si>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</si>
  <si>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</si>
  <si>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</si>
  <si>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</si>
  <si>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</si>
  <si>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</si>
  <si>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</si>
  <si>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</si>
  <si>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</si>
  <si>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</si>
  <si>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</si>
  <si>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</si>
  <si>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</si>
  <si>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</si>
  <si>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</si>
  <si>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</si>
  <si>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</si>
  <si>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</si>
  <si>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</si>
  <si>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</si>
  <si>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</si>
  <si>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</si>
  <si>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</si>
  <si>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</si>
  <si>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</si>
  <si>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</si>
  <si>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</si>
  <si>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</si>
  <si>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</si>
  <si>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</si>
  <si>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</si>
  <si>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</si>
  <si>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</si>
  <si>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</si>
  <si>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</si>
  <si>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</si>
  <si>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</si>
  <si>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</si>
  <si>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</si>
  <si>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</si>
  <si>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</si>
  <si>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</si>
  <si>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</si>
  <si>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</si>
  <si>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</si>
  <si>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</si>
  <si>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</si>
  <si>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</si>
  <si>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</si>
  <si>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</si>
  <si>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</si>
  <si>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</si>
  <si>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</si>
  <si>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</si>
  <si>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</si>
  <si>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</si>
  <si>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</si>
  <si>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</si>
  <si>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</si>
  <si>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</si>
  <si>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</si>
  <si>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</si>
  <si>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</si>
  <si>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</si>
  <si>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</si>
  <si>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</si>
  <si>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</si>
  <si>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</si>
  <si>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</si>
  <si>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</si>
  <si>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</si>
  <si>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</si>
  <si>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</si>
  <si>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</si>
  <si>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</si>
  <si>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</si>
  <si>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</si>
  <si>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</si>
  <si>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</si>
  <si>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</si>
  <si>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</si>
  <si>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</si>
  <si>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</si>
  <si>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</si>
  <si>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</si>
  <si>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</si>
  <si>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</si>
  <si>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</si>
  <si>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</si>
  <si>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</si>
  <si>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</si>
  <si>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</si>
  <si>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</si>
  <si>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</si>
  <si>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</si>
  <si>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</si>
  <si>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</si>
  <si>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</si>
  <si>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</si>
  <si>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</si>
  <si>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</si>
  <si>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</si>
  <si>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</si>
  <si>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</si>
  <si>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</si>
  <si>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</si>
  <si>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</si>
  <si>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</si>
  <si>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</si>
  <si>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</si>
  <si>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</si>
  <si>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</si>
  <si>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</si>
  <si>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</si>
  <si>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</si>
  <si>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</si>
  <si>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</si>
  <si>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</si>
  <si>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</si>
  <si>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</si>
  <si>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</si>
  <si>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</si>
  <si>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</si>
  <si>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</si>
  <si>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</si>
  <si>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</si>
  <si>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</si>
  <si>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</si>
  <si>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</si>
  <si>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</si>
  <si>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</si>
  <si>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</si>
  <si>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</si>
  <si>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</si>
  <si>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</si>
  <si>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</si>
  <si>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</si>
  <si>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</si>
  <si>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</si>
  <si>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</si>
  <si>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</si>
  <si>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</si>
  <si>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</si>
  <si>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</si>
  <si>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</si>
  <si>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</si>
  <si>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</si>
  <si>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</si>
  <si>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</si>
  <si>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</si>
  <si>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</si>
  <si>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</si>
  <si>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</si>
  <si>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</si>
  <si>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</si>
  <si>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</si>
  <si>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</si>
  <si>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</si>
  <si>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</si>
  <si>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</si>
  <si>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</si>
  <si>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</si>
  <si>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</si>
  <si>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</si>
  <si>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</si>
  <si>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</si>
  <si>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</si>
  <si>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</si>
  <si>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</si>
  <si>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</si>
  <si>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</si>
  <si>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</si>
  <si>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</si>
  <si>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</si>
  <si>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</si>
  <si>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</si>
  <si>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</si>
  <si>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</si>
  <si>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</si>
  <si>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</si>
  <si>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</si>
  <si>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</si>
  <si>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</si>
  <si>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</si>
  <si>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</si>
  <si>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</si>
  <si>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</si>
  <si>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</si>
  <si>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</si>
  <si>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</si>
  <si>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</si>
  <si>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</si>
  <si>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</si>
  <si>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</si>
  <si>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</si>
  <si>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</si>
  <si>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</si>
  <si>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</si>
  <si>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</si>
  <si>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</si>
  <si>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</si>
  <si>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</si>
  <si>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</si>
  <si>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</si>
  <si>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</si>
  <si>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</si>
  <si>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</si>
  <si>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</si>
  <si>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</si>
  <si>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</si>
  <si>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</si>
  <si>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</si>
  <si>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</si>
  <si>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</si>
  <si>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</si>
  <si>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</si>
  <si>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</si>
  <si>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</si>
  <si>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</si>
  <si>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</si>
  <si>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</si>
  <si>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</si>
  <si>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</si>
  <si>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</si>
  <si>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</si>
  <si>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</si>
  <si>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</si>
  <si>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</si>
  <si>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</si>
  <si>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</si>
  <si>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</si>
  <si>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</si>
  <si>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</si>
  <si>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</si>
  <si>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</si>
  <si>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</si>
  <si>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</si>
  <si>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</si>
  <si>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</si>
  <si>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</si>
  <si>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</si>
  <si>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</si>
  <si>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</si>
  <si>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</si>
  <si>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</si>
  <si>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</si>
  <si>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</si>
  <si>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</si>
  <si>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</si>
  <si>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</si>
  <si>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</si>
  <si>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</si>
  <si>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</si>
  <si>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</si>
  <si>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</si>
  <si>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</si>
  <si>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</si>
  <si>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</si>
  <si>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</si>
  <si>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</si>
  <si>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</si>
  <si>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</si>
  <si>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</si>
  <si>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</si>
  <si>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</si>
  <si>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</si>
  <si>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</si>
  <si>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</si>
  <si>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</si>
  <si>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</si>
  <si>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</si>
  <si>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</si>
  <si>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</si>
  <si>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</si>
  <si>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</si>
  <si>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</si>
  <si>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</si>
  <si>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</si>
  <si>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</si>
  <si>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</si>
  <si>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</si>
  <si>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</si>
  <si>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</si>
  <si>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</si>
  <si>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</si>
  <si>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</si>
  <si>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</si>
  <si>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</si>
  <si>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</si>
  <si>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</si>
  <si>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</si>
  <si>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</si>
  <si>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</si>
  <si>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</si>
  <si>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</si>
  <si>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</si>
  <si>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</si>
  <si>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</si>
  <si>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</si>
  <si>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</si>
  <si>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</si>
  <si>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</si>
  <si>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</si>
  <si>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</si>
  <si>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</si>
  <si>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</si>
  <si>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</si>
  <si>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</si>
  <si>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</si>
  <si>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</si>
  <si>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</si>
  <si>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</si>
  <si>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</si>
  <si>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</si>
  <si>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</si>
  <si>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</si>
  <si>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</si>
  <si>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</si>
  <si>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</si>
  <si>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</si>
  <si>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</si>
  <si>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</si>
  <si>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</si>
  <si>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</si>
  <si>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</si>
  <si>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</si>
  <si>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</si>
  <si>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</si>
  <si>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</si>
  <si>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</si>
  <si>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</si>
  <si>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</si>
  <si>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</si>
  <si>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</si>
  <si>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</si>
  <si>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</si>
  <si>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</si>
  <si>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</si>
  <si>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</si>
  <si>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</si>
  <si>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</si>
  <si>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</si>
  <si>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</si>
  <si>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</si>
  <si>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</si>
  <si>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</si>
  <si>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</si>
  <si>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</si>
  <si>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</si>
  <si>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</si>
  <si>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</si>
  <si>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</si>
  <si>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</si>
  <si>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</si>
  <si>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</si>
  <si>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</si>
  <si>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</si>
  <si>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</si>
  <si>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</si>
  <si>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</si>
  <si>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</si>
  <si>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</si>
  <si>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</si>
  <si>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</si>
  <si>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</si>
  <si>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</si>
  <si>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</si>
  <si>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</si>
  <si>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</si>
  <si>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</si>
  <si>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</si>
  <si>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</si>
  <si>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</si>
  <si>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</si>
  <si>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</si>
  <si>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</si>
  <si>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</si>
  <si>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</si>
  <si>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</si>
  <si>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</si>
  <si>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</si>
  <si>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</si>
  <si>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</si>
  <si>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</si>
  <si>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</si>
  <si>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</si>
  <si>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</si>
  <si>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</si>
  <si>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</si>
  <si>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</si>
  <si>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</si>
  <si>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</si>
  <si>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</si>
  <si>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</si>
  <si>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</si>
  <si>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</si>
  <si>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</si>
  <si>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</si>
  <si>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</si>
  <si>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</si>
  <si>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</si>
  <si>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</si>
  <si>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</si>
  <si>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</si>
  <si>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</si>
  <si>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</si>
  <si>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</si>
  <si>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</si>
  <si>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</si>
  <si>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</si>
  <si>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</si>
  <si>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</si>
  <si>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</si>
  <si>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</si>
  <si>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</si>
  <si>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</si>
  <si>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</si>
  <si>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</si>
  <si>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</si>
  <si>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</si>
  <si>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</si>
  <si>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</si>
  <si>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</si>
  <si>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</si>
  <si>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</si>
  <si>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</si>
  <si>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</si>
  <si>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</si>
  <si>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</si>
  <si>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</si>
  <si>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</si>
  <si>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</si>
  <si>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</si>
  <si>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</si>
  <si>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</si>
  <si>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</si>
  <si>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</si>
  <si>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</si>
  <si>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</si>
  <si>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</si>
  <si>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</si>
  <si>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</si>
  <si>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</si>
  <si>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</si>
  <si>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</si>
  <si>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</si>
  <si>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</si>
  <si>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</si>
  <si>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</si>
  <si>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</si>
  <si>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</si>
  <si>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</si>
  <si>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</si>
  <si>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</si>
  <si>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</si>
  <si>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</si>
  <si>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</si>
  <si>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</si>
  <si>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</si>
  <si>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</si>
  <si>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</si>
  <si>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</si>
  <si>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</si>
  <si>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</si>
  <si>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</si>
  <si>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</si>
  <si>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</si>
  <si>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</si>
  <si>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</si>
  <si>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</si>
  <si>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</si>
  <si>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</si>
  <si>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</si>
  <si>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</si>
  <si>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</si>
  <si>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</si>
  <si>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</si>
  <si>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</si>
  <si>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</si>
  <si>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</si>
  <si>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</si>
  <si>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</si>
  <si>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</si>
  <si>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</si>
  <si>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</si>
  <si>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</si>
  <si>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</si>
  <si>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</si>
  <si>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</si>
  <si>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</si>
  <si>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</si>
  <si>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</si>
  <si>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</si>
  <si>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</si>
  <si>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</si>
  <si>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</si>
  <si>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</si>
  <si>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</si>
  <si>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</si>
  <si>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</si>
  <si>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</si>
  <si>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</si>
  <si>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</si>
  <si>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</si>
  <si>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</si>
  <si>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</si>
  <si>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</si>
  <si>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</si>
  <si>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</si>
  <si>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</si>
  <si>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</si>
  <si>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</si>
  <si>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</si>
  <si>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</si>
  <si>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</si>
  <si>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</si>
  <si>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</si>
  <si>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</si>
  <si>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</si>
  <si>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</si>
  <si>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</si>
  <si>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</si>
  <si>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</si>
  <si>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</si>
  <si>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</si>
  <si>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</si>
  <si>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</si>
  <si>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</si>
  <si>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</si>
  <si>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</si>
  <si>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</si>
  <si>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</si>
  <si>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</si>
  <si>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</si>
  <si>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</si>
  <si>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</si>
  <si>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</si>
  <si>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</si>
  <si>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</si>
  <si>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</si>
  <si>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</si>
  <si>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</si>
  <si>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</si>
  <si>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</si>
  <si>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</si>
  <si>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</si>
  <si>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</si>
  <si>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</si>
  <si>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</si>
  <si>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</si>
  <si>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</si>
  <si>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</si>
  <si>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</si>
  <si>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</si>
  <si>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</si>
  <si>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</si>
  <si>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</si>
  <si>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</si>
  <si>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</si>
  <si>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</si>
  <si>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</si>
  <si>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</si>
  <si>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</si>
  <si>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</si>
  <si>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</si>
  <si>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</si>
  <si>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</si>
  <si>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</si>
  <si>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</si>
  <si>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</si>
  <si>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</si>
  <si>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</si>
  <si>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</si>
  <si>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</si>
  <si>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</si>
  <si>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</si>
  <si>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</si>
  <si>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</si>
  <si>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</si>
  <si>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</si>
  <si>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</si>
  <si>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</si>
  <si>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</si>
  <si>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</si>
  <si>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</si>
  <si>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</si>
  <si>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</si>
  <si>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</si>
  <si>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</si>
  <si>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</si>
  <si>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</si>
  <si>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</si>
  <si>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</si>
  <si>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</si>
  <si>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</si>
  <si>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</si>
  <si>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</si>
  <si>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</si>
  <si>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</si>
  <si>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</si>
  <si>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</si>
  <si>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</si>
  <si>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</si>
  <si>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</si>
  <si>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</si>
  <si>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</si>
  <si>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</si>
  <si>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</si>
  <si>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</si>
  <si>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</si>
  <si>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</si>
  <si>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</si>
  <si>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</si>
  <si>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</si>
  <si>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</si>
  <si>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</si>
  <si>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</si>
  <si>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</si>
  <si>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</si>
  <si>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</si>
  <si>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</si>
  <si>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</si>
  <si>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</si>
  <si>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</si>
  <si>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</si>
  <si>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</si>
  <si>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</si>
  <si>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</si>
  <si>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</si>
  <si>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</si>
  <si>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</si>
  <si>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</si>
  <si>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</si>
  <si>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</si>
  <si>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</si>
  <si>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</si>
  <si>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</si>
  <si>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</si>
  <si>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</si>
  <si>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</si>
  <si>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</si>
  <si>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</si>
  <si>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</si>
  <si>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</si>
  <si>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</si>
  <si>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</si>
  <si>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</si>
  <si>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</si>
  <si>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</si>
  <si>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</si>
  <si>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</si>
  <si>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</si>
  <si>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</si>
  <si>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</si>
  <si>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</si>
  <si>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</si>
  <si>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</si>
  <si>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</si>
  <si>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</si>
  <si>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</si>
  <si>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</si>
  <si>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</si>
  <si>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</si>
  <si>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</si>
  <si>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</si>
  <si>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</si>
  <si>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</si>
  <si>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</si>
  <si>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</si>
  <si>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</si>
  <si>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</si>
  <si>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</si>
  <si>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</si>
  <si>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</si>
  <si>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</si>
  <si>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</si>
  <si>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</si>
  <si>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</si>
  <si>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</si>
  <si>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</si>
  <si>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</si>
  <si>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</si>
  <si>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</si>
  <si>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</si>
  <si>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</si>
  <si>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</si>
  <si>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</si>
  <si>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</si>
  <si>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</si>
  <si>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</si>
  <si>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</si>
  <si>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</si>
  <si>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</si>
  <si>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</si>
  <si>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</si>
  <si>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</si>
  <si>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</si>
  <si>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</si>
  <si>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</si>
  <si>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</si>
  <si>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</si>
  <si>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</si>
  <si>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</si>
  <si>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</si>
  <si>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</si>
  <si>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</si>
  <si>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</si>
  <si>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</si>
  <si>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</si>
  <si>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</si>
  <si>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</si>
  <si>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</si>
  <si>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</si>
  <si>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</si>
  <si>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</si>
  <si>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</si>
  <si>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</si>
  <si>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</si>
  <si>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</si>
  <si>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</si>
  <si>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</si>
  <si>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</si>
  <si>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</si>
  <si>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</si>
  <si>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</si>
  <si>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</si>
  <si>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</si>
  <si>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</si>
  <si>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</si>
  <si>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</si>
  <si>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</si>
  <si>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</si>
  <si>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</si>
  <si>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</si>
  <si>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</si>
  <si>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</si>
  <si>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</si>
  <si>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</si>
  <si>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</si>
  <si>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</si>
  <si>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</si>
  <si>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</si>
  <si>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</si>
  <si>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</si>
  <si>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</si>
  <si>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</si>
  <si>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</si>
  <si>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</si>
  <si>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</si>
  <si>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</si>
  <si>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</si>
  <si>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</si>
  <si>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</si>
  <si>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</si>
  <si>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</si>
  <si>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</si>
  <si>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</si>
  <si>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</si>
  <si>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</si>
  <si>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</si>
  <si>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</si>
  <si>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</si>
  <si>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</si>
  <si>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</si>
  <si>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</si>
  <si>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</si>
  <si>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</si>
  <si>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</si>
  <si>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</si>
  <si>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</si>
  <si>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</si>
  <si>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</si>
  <si>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</si>
  <si>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</si>
  <si>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</si>
  <si>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</si>
  <si>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</si>
  <si>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</si>
  <si>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</si>
  <si>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</si>
  <si>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</si>
  <si>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</si>
  <si>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</si>
  <si>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</si>
  <si>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</si>
  <si>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</si>
  <si>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</si>
  <si>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</si>
  <si>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</si>
  <si>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</si>
  <si>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</si>
  <si>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</si>
  <si>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</si>
  <si>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</si>
  <si>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</si>
  <si>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</si>
  <si>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</si>
  <si>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</si>
  <si>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</si>
  <si>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</si>
  <si>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</si>
  <si>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</si>
  <si>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</si>
  <si>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</si>
  <si>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</si>
  <si>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</si>
  <si>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</si>
  <si>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</si>
  <si>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</si>
  <si>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</si>
  <si>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</si>
  <si>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</si>
  <si>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</si>
  <si>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</si>
  <si>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</si>
  <si>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</si>
  <si>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</si>
  <si>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</si>
  <si>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</si>
  <si>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</si>
  <si>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</si>
  <si>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</si>
  <si>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</si>
  <si>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</si>
  <si>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</si>
  <si>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</si>
  <si>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</si>
  <si>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</si>
  <si>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</si>
  <si>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</si>
  <si>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</si>
  <si>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</si>
  <si>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</si>
  <si>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</si>
  <si>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</si>
  <si>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</si>
  <si>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</si>
  <si>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</si>
  <si>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</si>
  <si>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</si>
  <si>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</si>
  <si>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</si>
  <si>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</si>
  <si>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</si>
  <si>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</si>
  <si>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</si>
  <si>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</si>
  <si>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</si>
  <si>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</si>
  <si>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</si>
  <si>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</si>
  <si>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</si>
  <si>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</si>
  <si>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</si>
  <si>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</si>
  <si>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</si>
  <si>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</si>
  <si>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</si>
  <si>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</si>
  <si>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</si>
  <si>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</si>
  <si>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</si>
  <si>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</si>
  <si>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</si>
  <si>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</si>
  <si>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</si>
  <si>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</si>
  <si>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</si>
  <si>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</si>
  <si>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</si>
  <si>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</si>
  <si>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</si>
  <si>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</si>
  <si>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</si>
  <si>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</si>
  <si>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</si>
  <si>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</si>
  <si>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</si>
  <si>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</si>
  <si>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</si>
  <si>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</si>
  <si>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</si>
  <si>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</si>
  <si>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</si>
  <si>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</si>
  <si>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</si>
  <si>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</si>
  <si>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</si>
  <si>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</si>
  <si>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</si>
  <si>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</si>
  <si>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</si>
  <si>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</si>
  <si>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</si>
  <si>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</si>
  <si>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</si>
  <si>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</si>
  <si>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</si>
  <si>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</si>
  <si>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</si>
  <si>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California State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</si>
</sst>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7" zoomScale="85" zoomScaleNormal="85" workbookViewId="0">
      <selection activeCell="J51" sqref="J51"/>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1001</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EDUCATION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91153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51025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40128</v>
      </c>
      <c r="Q21" s="28"/>
    </row>
    <row r="22" spans="1:17" ht="16.5" customHeight="1" x14ac:dyDescent="0.2">
      <c r="A22" s="56"/>
      <c r="B22" s="58"/>
      <c r="C22" s="58"/>
      <c r="D22" s="58"/>
      <c r="E22" s="58"/>
      <c r="F22" s="58"/>
      <c r="G22" s="58"/>
      <c r="H22" s="58"/>
      <c r="I22" s="58"/>
      <c r="J22" s="29">
        <f>ROUND(SUM(J15:J17),2)</f>
        <v>91153</v>
      </c>
      <c r="K22" s="29">
        <f>ROUND(SUM(K18:K21),2)</f>
        <v>91153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0810 - EDUCATION EXP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0810 - EDUCATION EXP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85454</v>
      </c>
      <c r="K45" s="33"/>
    </row>
    <row r="46" spans="1:12" ht="16.5" customHeight="1" x14ac:dyDescent="0.2">
      <c r="A46" s="56"/>
      <c r="B46" s="71"/>
      <c r="C46" s="165" t="s">
        <v>1587</v>
      </c>
      <c r="D46" s="165"/>
      <c r="E46" s="165"/>
      <c r="F46" s="165"/>
      <c r="G46" s="165"/>
      <c r="H46" s="165"/>
      <c r="I46" s="165"/>
      <c r="J46" s="36"/>
      <c r="K46" s="32">
        <f>J45</f>
        <v>85454</v>
      </c>
    </row>
    <row r="47" spans="1:12" ht="16.5" customHeight="1" x14ac:dyDescent="0.2">
      <c r="A47" s="68"/>
      <c r="B47" s="58"/>
      <c r="C47" s="58"/>
      <c r="D47" s="58"/>
      <c r="E47" s="58"/>
      <c r="F47" s="58"/>
      <c r="G47" s="58"/>
      <c r="H47" s="58"/>
      <c r="I47" s="58"/>
      <c r="J47" s="39">
        <f>ROUND(SUM(J45:J45),2)</f>
        <v>85454</v>
      </c>
      <c r="K47" s="39">
        <f>ROUND(SUM(K46),2)</f>
        <v>85454</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51025</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2479</v>
      </c>
      <c r="K51" s="81"/>
    </row>
    <row r="52" spans="1:12" ht="16.5" customHeight="1" x14ac:dyDescent="0.25">
      <c r="A52" s="56"/>
      <c r="B52" s="57"/>
      <c r="C52" s="165" t="str">
        <f>VLOOKUP($F$8,'Drop Down Menus'!$D$2:$G$10,4,FALSE)</f>
        <v>Cr: Acct 0810 - EDUCATION EXP (GAAP ADJ)</v>
      </c>
      <c r="D52" s="165"/>
      <c r="E52" s="165"/>
      <c r="F52" s="165"/>
      <c r="G52" s="165"/>
      <c r="H52" s="165"/>
      <c r="I52" s="165"/>
      <c r="J52" s="81"/>
      <c r="K52" s="38">
        <f>+J50+J51</f>
        <v>53504</v>
      </c>
    </row>
    <row r="53" spans="1:12" ht="16.5" customHeight="1" x14ac:dyDescent="0.2">
      <c r="A53" s="68"/>
      <c r="B53" s="58"/>
      <c r="C53" s="58"/>
      <c r="D53" s="58"/>
      <c r="E53" s="58"/>
      <c r="F53" s="58"/>
      <c r="G53" s="58"/>
      <c r="H53" s="58"/>
      <c r="I53" s="58"/>
      <c r="J53" s="39">
        <f>ROUND(SUM(J50:J51),2)</f>
        <v>53504</v>
      </c>
      <c r="K53" s="39">
        <f>ROUND(SUM(K52,),2)</f>
        <v>53504</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51025</v>
      </c>
      <c r="K56" s="36"/>
    </row>
    <row r="57" spans="1:12" ht="16.5" customHeight="1" x14ac:dyDescent="0.25">
      <c r="A57" s="56"/>
      <c r="B57" s="57"/>
      <c r="C57" s="165" t="s">
        <v>1613</v>
      </c>
      <c r="D57" s="165"/>
      <c r="E57" s="165"/>
      <c r="F57" s="165"/>
      <c r="G57" s="165"/>
      <c r="H57" s="165"/>
      <c r="I57" s="165"/>
      <c r="J57" s="36"/>
      <c r="K57" s="32">
        <f>J50</f>
        <v>51025</v>
      </c>
    </row>
    <row r="58" spans="1:12" ht="16.5" customHeight="1" x14ac:dyDescent="0.2">
      <c r="A58" s="68"/>
      <c r="B58" s="58"/>
      <c r="C58" s="58"/>
      <c r="D58" s="58"/>
      <c r="E58" s="58"/>
      <c r="F58" s="58"/>
      <c r="G58" s="58"/>
      <c r="H58" s="58"/>
      <c r="I58" s="58"/>
      <c r="J58" s="39">
        <f>ROUND(SUM(J56:J56),2)</f>
        <v>51025</v>
      </c>
      <c r="K58" s="39">
        <f>ROUND(SUM(K57),2)</f>
        <v>51025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c r="K61" s="33"/>
    </row>
    <row r="62" spans="1:12" ht="16.5" customHeight="1" x14ac:dyDescent="0.25">
      <c r="A62" s="56"/>
      <c r="B62" s="57"/>
      <c r="C62" s="165" t="s">
        <v>1623</v>
      </c>
      <c r="D62" s="165"/>
      <c r="E62" s="165"/>
      <c r="F62" s="165"/>
      <c r="G62" s="165"/>
      <c r="H62" s="165"/>
      <c r="I62" s="165"/>
      <c r="J62" s="33"/>
      <c r="K62" s="32">
        <f>J61</f>
        <v>0</v>
      </c>
    </row>
    <row r="63" spans="1:12" ht="16.5" customHeight="1" x14ac:dyDescent="0.2">
      <c r="A63" s="56"/>
      <c r="B63" s="179" t="s">
        <v>1622</v>
      </c>
      <c r="C63" s="179"/>
      <c r="D63" s="179"/>
      <c r="E63" s="179"/>
      <c r="F63" s="179"/>
      <c r="G63" s="179"/>
      <c r="H63" s="179"/>
      <c r="I63" s="179"/>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0810 - EDUCATION EXP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0810 - EDUCATION EXP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91153</v>
      </c>
    </row>
    <row r="95" spans="1:12" ht="16.5" customHeight="1" x14ac:dyDescent="0.25">
      <c r="D95" s="57" t="s">
        <v>1641</v>
      </c>
      <c r="E95"/>
      <c r="F95"/>
      <c r="G95"/>
      <c r="H95" s="44"/>
      <c r="I95"/>
      <c r="J95"/>
      <c r="K95" s="162">
        <f>-K18-K46+J68+J77</f>
        <v>-85454</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2"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3477-8CA8-4753-96B5-6C3FBCD5C64D}">
  <sheetPr>
    <tabColor rgb="FF92D050"/>
    <pageSetUpPr fitToPage="1"/>
  </sheetPr>
  <dimension ref="A1:Q115"/>
  <sheetViews>
    <sheetView topLeftCell="A21" zoomScale="85" zoomScaleNormal="85" workbookViewId="0">
      <selection activeCell="J62" sqref="J62"/>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1001</v>
      </c>
      <c r="G5" s="170"/>
      <c r="H5" s="170"/>
      <c r="I5" s="170"/>
      <c r="J5" s="47"/>
      <c r="K5" s="47"/>
      <c r="L5" s="48"/>
      <c r="M5" s="48"/>
      <c r="N5" s="48"/>
    </row>
    <row r="6" spans="1:17" ht="15.75" x14ac:dyDescent="0.2">
      <c r="A6" s="169" t="s">
        <v>1</v>
      </c>
      <c r="B6" s="169"/>
      <c r="C6" s="169"/>
      <c r="D6" s="169"/>
      <c r="E6" s="169"/>
      <c r="F6" s="171">
        <v>890</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EDUCATION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53115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53115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53115</v>
      </c>
      <c r="K22" s="29">
        <f>ROUND(SUM(K18:K21),2)</f>
        <v>53115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0810 - EDUCATION EXP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0810 - EDUCATION EXP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26558</v>
      </c>
      <c r="K45" s="33"/>
    </row>
    <row r="46" spans="1:12" ht="16.5" customHeight="1" x14ac:dyDescent="0.2">
      <c r="A46" s="56"/>
      <c r="B46" s="71"/>
      <c r="C46" s="165" t="s">
        <v>1587</v>
      </c>
      <c r="D46" s="165"/>
      <c r="E46" s="165"/>
      <c r="F46" s="165"/>
      <c r="G46" s="165"/>
      <c r="H46" s="165"/>
      <c r="I46" s="165"/>
      <c r="J46" s="36"/>
      <c r="K46" s="32">
        <f>J45</f>
        <v>26558</v>
      </c>
    </row>
    <row r="47" spans="1:12" ht="16.5" customHeight="1" x14ac:dyDescent="0.2">
      <c r="A47" s="68"/>
      <c r="B47" s="58"/>
      <c r="C47" s="58"/>
      <c r="D47" s="58"/>
      <c r="E47" s="58"/>
      <c r="F47" s="58"/>
      <c r="G47" s="58"/>
      <c r="H47" s="58"/>
      <c r="I47" s="58"/>
      <c r="J47" s="39">
        <f>ROUND(SUM(J45:J45),2)</f>
        <v>26558</v>
      </c>
      <c r="K47" s="39">
        <f>ROUND(SUM(K46),2)</f>
        <v>26558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26239</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987</v>
      </c>
      <c r="K51" s="81"/>
    </row>
    <row r="52" spans="1:12" ht="16.5" customHeight="1" x14ac:dyDescent="0.25">
      <c r="A52" s="56"/>
      <c r="B52" s="57"/>
      <c r="C52" s="165" t="str">
        <f>VLOOKUP($F$8,'Drop Down Menus'!$D$2:$G$10,4,FALSE)</f>
        <v>Cr: Acct 0810 - EDUCATION EXP (GAAP ADJ)</v>
      </c>
      <c r="D52" s="165"/>
      <c r="E52" s="165"/>
      <c r="F52" s="165"/>
      <c r="G52" s="165"/>
      <c r="H52" s="165"/>
      <c r="I52" s="165"/>
      <c r="J52" s="81"/>
      <c r="K52" s="38">
        <f>+J50+J51</f>
        <v>27226</v>
      </c>
    </row>
    <row r="53" spans="1:12" ht="16.5" customHeight="1" x14ac:dyDescent="0.2">
      <c r="A53" s="68"/>
      <c r="B53" s="58"/>
      <c r="C53" s="58"/>
      <c r="D53" s="58"/>
      <c r="E53" s="58"/>
      <c r="F53" s="58"/>
      <c r="G53" s="58"/>
      <c r="H53" s="58"/>
      <c r="I53" s="58"/>
      <c r="J53" s="39">
        <f>ROUND(SUM(J50:J51),2)</f>
        <v>27226</v>
      </c>
      <c r="K53" s="39">
        <f>ROUND(SUM(K52,),2)</f>
        <v>27226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26239</v>
      </c>
      <c r="K56" s="36"/>
    </row>
    <row r="57" spans="1:12" ht="16.5" customHeight="1" x14ac:dyDescent="0.25">
      <c r="A57" s="56"/>
      <c r="B57" s="57"/>
      <c r="C57" s="165" t="s">
        <v>1613</v>
      </c>
      <c r="D57" s="165"/>
      <c r="E57" s="165"/>
      <c r="F57" s="165"/>
      <c r="G57" s="165"/>
      <c r="H57" s="165"/>
      <c r="I57" s="165"/>
      <c r="J57" s="36"/>
      <c r="K57" s="32">
        <f>J50</f>
        <v>26239</v>
      </c>
    </row>
    <row r="58" spans="1:12" ht="16.5" customHeight="1" x14ac:dyDescent="0.2">
      <c r="A58" s="68"/>
      <c r="B58" s="58"/>
      <c r="C58" s="58"/>
      <c r="D58" s="58"/>
      <c r="E58" s="58"/>
      <c r="F58" s="58"/>
      <c r="G58" s="58"/>
      <c r="H58" s="58"/>
      <c r="I58" s="58"/>
      <c r="J58" s="39">
        <f>ROUND(SUM(J56:J56),2)</f>
        <v>26239</v>
      </c>
      <c r="K58" s="39">
        <f>ROUND(SUM(K57),2)</f>
        <v>26239</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26876</v>
      </c>
      <c r="K61" s="33"/>
    </row>
    <row r="62" spans="1:12" ht="16.5" customHeight="1" x14ac:dyDescent="0.25">
      <c r="A62" s="56"/>
      <c r="B62" s="57"/>
      <c r="C62" s="165" t="s">
        <v>1623</v>
      </c>
      <c r="D62" s="165"/>
      <c r="E62" s="165"/>
      <c r="F62" s="165"/>
      <c r="G62" s="165"/>
      <c r="H62" s="165"/>
      <c r="I62" s="165"/>
      <c r="J62" s="33"/>
      <c r="K62" s="32">
        <f>J61</f>
        <v>26876</v>
      </c>
    </row>
    <row r="63" spans="1:12" ht="16.5" customHeight="1" x14ac:dyDescent="0.2">
      <c r="A63" s="56"/>
      <c r="B63" s="179" t="s">
        <v>1622</v>
      </c>
      <c r="C63" s="179"/>
      <c r="D63" s="179"/>
      <c r="E63" s="179"/>
      <c r="F63" s="179"/>
      <c r="G63" s="179"/>
      <c r="H63" s="179"/>
      <c r="I63" s="179"/>
      <c r="J63" s="39">
        <f>ROUND(SUM(J61:J61),2)</f>
        <v>26876</v>
      </c>
      <c r="K63" s="39">
        <f>ROUND(SUM(K62),2)</f>
        <v>26876</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
        <v>1520</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
        <v>1520</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53115</v>
      </c>
    </row>
    <row r="95" spans="1:12" ht="16.5" customHeight="1" x14ac:dyDescent="0.25">
      <c r="D95" s="57" t="s">
        <v>1641</v>
      </c>
      <c r="E95"/>
      <c r="F95"/>
      <c r="G95"/>
      <c r="H95" s="44"/>
      <c r="I95"/>
      <c r="J95"/>
      <c r="K95" s="162">
        <f>-K18-K46+J68+J77</f>
        <v>-26558</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-26876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formatColumns="0" formatRows="0"/>
  <mergeCells count="58">
    <mergeCell ref="B83:K83"/>
    <mergeCell ref="B84:I84"/>
    <mergeCell ref="C85:I85"/>
    <mergeCell ref="B88:K88"/>
    <mergeCell ref="B75:K75"/>
    <mergeCell ref="B76:I76"/>
    <mergeCell ref="B77:I77"/>
    <mergeCell ref="B78:I78"/>
    <mergeCell ref="C79:I79"/>
    <mergeCell ref="C80:I80"/>
    <mergeCell ref="B72:K72"/>
    <mergeCell ref="C46:I46"/>
    <mergeCell ref="B50:I50"/>
    <mergeCell ref="B51:I51"/>
    <mergeCell ref="C52:I52"/>
    <mergeCell ref="B56:I56"/>
    <mergeCell ref="C57:I57"/>
    <mergeCell ref="B61:I61"/>
    <mergeCell ref="C62:I62"/>
    <mergeCell ref="B63:I64"/>
    <mergeCell ref="B68:I68"/>
    <mergeCell ref="C69:I69"/>
    <mergeCell ref="B45:I45"/>
    <mergeCell ref="B27:K27"/>
    <mergeCell ref="B28:I28"/>
    <mergeCell ref="C29:I29"/>
    <mergeCell ref="C30:I30"/>
    <mergeCell ref="B33:K33"/>
    <mergeCell ref="B34:I34"/>
    <mergeCell ref="B35:I35"/>
    <mergeCell ref="C36:I36"/>
    <mergeCell ref="C37:I37"/>
    <mergeCell ref="C38:I38"/>
    <mergeCell ref="B41:K41"/>
    <mergeCell ref="B24:K24"/>
    <mergeCell ref="A8:E8"/>
    <mergeCell ref="F8:I8"/>
    <mergeCell ref="A12:K12"/>
    <mergeCell ref="B14:K14"/>
    <mergeCell ref="B15:I15"/>
    <mergeCell ref="B16:I16"/>
    <mergeCell ref="B17:I17"/>
    <mergeCell ref="C18:I18"/>
    <mergeCell ref="C19:I19"/>
    <mergeCell ref="C20:I20"/>
    <mergeCell ref="C21:I21"/>
    <mergeCell ref="A5:E5"/>
    <mergeCell ref="F5:I5"/>
    <mergeCell ref="A6:E6"/>
    <mergeCell ref="F6:I6"/>
    <mergeCell ref="A7:E7"/>
    <mergeCell ref="F7:I7"/>
    <mergeCell ref="A1:K1"/>
    <mergeCell ref="A2:K2"/>
    <mergeCell ref="A3:E3"/>
    <mergeCell ref="F3:I3"/>
    <mergeCell ref="A4:E4"/>
    <mergeCell ref="F4:I4"/>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C68424C1-2286-43D0-99A2-EA9F25DCEFEE}">
      <formula1>4</formula1>
    </dataValidation>
    <dataValidation type="textLength" operator="lessThan" allowBlank="1" showInputMessage="1" showErrorMessage="1" sqref="E11 A6:A8" xr:uid="{97C72ADA-9782-444C-8DB6-C0BFABE02F9C}">
      <formula1>0</formula1>
    </dataValidation>
    <dataValidation operator="lessThan" allowBlank="1" showInputMessage="1" showErrorMessage="1" sqref="A3:A5 A7:A8 A11" xr:uid="{A33EC821-2BEC-4C1D-9721-F819BC56DB0E}"/>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6" sqref="C1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6120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26876</v>
      </c>
      <c r="C16" s="2">
        <v>351</v>
      </c>
      <c r="D16" s="193" t="s">
        <v>1537</v>
      </c>
      <c r="E16" s="97"/>
      <c r="F16" s="97"/>
      <c r="G16" s="97"/>
      <c r="H16" s="97"/>
      <c r="I16" s="97"/>
      <c r="J16" s="97"/>
      <c r="K16" s="97"/>
    </row>
    <row r="17" spans="1:11" ht="15" customHeight="1" x14ac:dyDescent="0.2">
      <c r="A17" s="94" t="str">
        <f>LEFT(A16,4)+1&amp;"–"&amp;RIGHT(A16,4)+1</f>
        <v>2024–2025</v>
      </c>
      <c r="B17" s="2"/>
      <c r="C17" s="2"/>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6120</v>
      </c>
      <c r="C43" s="189"/>
    </row>
    <row r="44" spans="1:11" ht="15.75" x14ac:dyDescent="0.25">
      <c r="A44" s="92" t="s">
        <v>1600</v>
      </c>
      <c r="B44" s="190" t="str">
        <f>B13</f>
        <v>California State Library</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6120</v>
      </c>
      <c r="C74" s="189"/>
    </row>
    <row r="75" spans="1:4" ht="15.75" x14ac:dyDescent="0.25">
      <c r="A75" s="92" t="s">
        <v>1600</v>
      </c>
      <c r="B75" s="190" t="str">
        <f>B13</f>
        <v>California State Library</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A3" zoomScaleNormal="100" workbookViewId="0">
      <selection activeCell="U18" sqref="U18"/>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6120 California State Library</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Entries'!$K$19,0)+53115</f>
        <v>104140</v>
      </c>
      <c r="H10" s="3">
        <f>IF('Fund 0001 Journal Entries'!$F$7="Governmental Fund",'Fund 0001 Journal Entries'!$K$37,0)</f>
        <v>0</v>
      </c>
      <c r="J10" s="3">
        <f>IF('Fund 0001 Journal Entries'!$F$7="Governmental Fund",'Fund 0001 Journal Entries'!$J$56,0)+26239</f>
        <v>77264</v>
      </c>
      <c r="L10" s="119">
        <f>SUM(F10+H10-J10)</f>
        <v>26876</v>
      </c>
      <c r="N10" s="3">
        <v>26876</v>
      </c>
      <c r="P10" s="119">
        <f>L10-N10</f>
        <v>0</v>
      </c>
      <c r="Q10" s="109"/>
    </row>
    <row r="11" spans="2:17" ht="19.5" thickTop="1" thickBot="1" x14ac:dyDescent="0.3">
      <c r="B11" s="107"/>
      <c r="C11" s="195" t="s">
        <v>15</v>
      </c>
      <c r="D11" s="195"/>
      <c r="F11" s="120">
        <f>SUM(F10:F10)</f>
        <v>104140</v>
      </c>
      <c r="H11" s="120">
        <f>SUM(H10:H10)</f>
        <v>0</v>
      </c>
      <c r="J11" s="120">
        <f>SUM(J10:J10)</f>
        <v>77264</v>
      </c>
      <c r="L11" s="120">
        <f>SUM(L10:L10)</f>
        <v>26876</v>
      </c>
      <c r="N11" s="120">
        <f>SUM(N10:N10)</f>
        <v>26876</v>
      </c>
      <c r="P11" s="120">
        <f>SUM(P10:P10)</f>
        <v>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F40" sqref="F40"/>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Entries'!$K$19,0),0)+53115</f>
        <v>104140</v>
      </c>
      <c r="C16" s="15" t="s">
        <v>1552</v>
      </c>
      <c r="D16" s="14">
        <f>IF('Fund 0001 Journal Entries'!$F$7="Governmental Fund",ROUND('Fund 0001 Journal Entries'!$K$37,0),0)</f>
        <v>0</v>
      </c>
      <c r="E16" s="16" t="s">
        <v>1554</v>
      </c>
      <c r="F16" s="14">
        <f>IF('Fund 0001 Journal Entries'!$F$7="Governmental Fund",ROUND('Fund 0001 Journal Entries'!$J$56,0),0)+26239</f>
        <v>77264</v>
      </c>
      <c r="G16" s="16" t="s">
        <v>1556</v>
      </c>
      <c r="H16" s="17">
        <f>+B16+D16-F16</f>
        <v>26876</v>
      </c>
      <c r="I16" s="16"/>
      <c r="J16" s="18">
        <f>ROUND(SUM('Department Note Disclosure'!$B$16:$B$39),0)</f>
        <v>26876</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v>26876</v>
      </c>
      <c r="G39" s="150"/>
      <c r="H39" s="150"/>
      <c r="I39" s="20"/>
      <c r="J39" s="18">
        <f>ROUND('Department Note Disclosure'!$B$16,0)</f>
        <v>26876</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104140</v>
      </c>
      <c r="H61" s="154" t="str">
        <f>"Balance July 1, "&amp;LEFT('Fund 0001 Journal Entries'!$F$3,4)</f>
        <v>Balance July 1, 2022</v>
      </c>
      <c r="J61" s="22">
        <f>ROUND('SBITA Liabilities'!$F$10,0)</f>
        <v>104140</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77264</v>
      </c>
      <c r="H63" s="154" t="s">
        <v>11</v>
      </c>
      <c r="J63" s="22">
        <f>ROUND('SBITA Liabilities'!$J$10,0)</f>
        <v>77264</v>
      </c>
      <c r="L63" s="19">
        <f>D63-J63</f>
        <v>0</v>
      </c>
    </row>
    <row r="64" spans="1:13" x14ac:dyDescent="0.25">
      <c r="B64" s="152" t="s">
        <v>1559</v>
      </c>
      <c r="D64" s="22">
        <f>$F$39</f>
        <v>26876</v>
      </c>
      <c r="H64" s="154" t="s">
        <v>12</v>
      </c>
      <c r="J64" s="22">
        <f>ROUND('SBITA Liabilities'!$N$10,0)</f>
        <v>26876</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1CDE1454-C384-4C81-94F3-ED727B294904}"/>
</file>

<file path=customXml/itemProps2.xml><?xml version="1.0" encoding="utf-8"?>
<ds:datastoreItem xmlns:ds="http://schemas.openxmlformats.org/officeDocument/2006/customXml" ds:itemID="{759BAD54-F638-4A72-B202-84E0532FF661}"/>
</file>

<file path=customXml/itemProps3.xml><?xml version="1.0" encoding="utf-8"?>
<ds:datastoreItem xmlns:ds="http://schemas.openxmlformats.org/officeDocument/2006/customXml" ds:itemID="{4AAF7C82-80FA-4E3E-888B-2EF9D26DDF1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0890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0890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