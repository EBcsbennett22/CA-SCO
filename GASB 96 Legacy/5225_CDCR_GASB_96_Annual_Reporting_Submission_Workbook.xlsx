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D0423AD1-CA67-4A02-B248-72E861653242}" xr6:coauthVersionLast="47" xr6:coauthVersionMax="47" xr10:uidLastSave="{00000000-0000-0000-0000-000000000000}"/>
  <bookViews>
    <workbookView xWindow="39150" yWindow="-110" windowWidth="38620" windowHeight="21220" tabRatio="747" xr2:uid="{00000000-000D-0000-FFFF-FFFF00000000}"/>
  </bookViews>
  <sheets>
    <sheet name="Fund 0001 Journal Entries" sheetId="2" r:id="rId1"/>
    <sheet name="Fund 0917 Journal Entries" sheetId="10"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0001 Journal Entries'!$A$3:$K$70</definedName>
    <definedName name="_xlnm.Print_Area" localSheetId="1">'Fund 0917 Journal Entries'!$A$3:$K$70</definedName>
    <definedName name="_xlnm.Print_Area" localSheetId="3">'SBITA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7" i="10" l="1"/>
  <c r="D92" i="3"/>
  <c r="D61" i="3"/>
  <c r="D27" i="3"/>
  <c r="D30" i="3"/>
  <c r="D89" i="3"/>
  <c r="D58" i="3"/>
  <c r="F31" i="9"/>
  <c r="D31" i="9"/>
  <c r="F16" i="9"/>
  <c r="J18" i="4"/>
  <c r="H18" i="4"/>
  <c r="J10" i="4"/>
  <c r="K96" i="10"/>
  <c r="N18" i="4"/>
  <c r="F18" i="4"/>
  <c r="B31" i="9"/>
  <c r="D16" i="9" l="1"/>
  <c r="H10" i="4"/>
  <c r="K96" i="2"/>
  <c r="K86" i="10"/>
  <c r="J86" i="10"/>
  <c r="L86" i="10" s="1"/>
  <c r="K81" i="10"/>
  <c r="J81" i="10"/>
  <c r="J70" i="10"/>
  <c r="K69" i="10"/>
  <c r="K94" i="10" s="1"/>
  <c r="J63" i="10"/>
  <c r="K62" i="10"/>
  <c r="J58" i="10"/>
  <c r="K58" i="10"/>
  <c r="J53" i="10"/>
  <c r="K52" i="10"/>
  <c r="K53" i="10" s="1"/>
  <c r="B51" i="10"/>
  <c r="J47" i="10"/>
  <c r="K46" i="10"/>
  <c r="K95" i="10" s="1"/>
  <c r="K39" i="10"/>
  <c r="J39" i="10"/>
  <c r="K31" i="10"/>
  <c r="J31" i="10"/>
  <c r="A26" i="10"/>
  <c r="K22" i="10"/>
  <c r="J22" i="10"/>
  <c r="B14" i="10"/>
  <c r="A12" i="10"/>
  <c r="F8" i="10"/>
  <c r="C30" i="10" s="1"/>
  <c r="K97" i="10" l="1"/>
  <c r="F53" i="9"/>
  <c r="K63" i="10"/>
  <c r="L63" i="10" s="1"/>
  <c r="L81" i="10"/>
  <c r="L53" i="10"/>
  <c r="L39" i="10"/>
  <c r="L31" i="10"/>
  <c r="L22" i="10"/>
  <c r="L58" i="10"/>
  <c r="K70" i="10"/>
  <c r="L70" i="10" s="1"/>
  <c r="C52" i="10"/>
  <c r="K47" i="10"/>
  <c r="L47" i="10" s="1"/>
  <c r="C38" i="10"/>
  <c r="B78" i="10"/>
  <c r="C80" i="10"/>
  <c r="B16" i="9" l="1"/>
  <c r="B23" i="9"/>
  <c r="D23" i="9"/>
  <c r="F23" i="9"/>
  <c r="F46" i="9"/>
  <c r="F10" i="4"/>
  <c r="N10" i="4"/>
  <c r="N14" i="4"/>
  <c r="J14" i="4"/>
  <c r="H14" i="4"/>
  <c r="F14" i="4"/>
  <c r="K46" i="2"/>
  <c r="K95" i="2" s="1"/>
  <c r="K52" i="2"/>
  <c r="G5" i="4" l="1"/>
  <c r="K62" i="2"/>
  <c r="K97" i="2" s="1"/>
  <c r="K57" i="2"/>
  <c r="D86" i="3"/>
  <c r="D55" i="3"/>
  <c r="D24" i="3"/>
  <c r="F39" i="9" l="1"/>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<sst xmlns="http://schemas.openxmlformats.org/spreadsheetml/2006/main" count="7624" uniqueCount="1644">
  <si>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</si>
  <si>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</si>
  <si>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</si>
  <si>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</si>
  <si>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</si>
  <si>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</si>
  <si>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</si>
  <si>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</si>
  <si>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</si>
  <si>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</si>
  <si>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</si>
  <si>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</si>
  <si>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</si>
  <si>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</si>
  <si>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</si>
  <si>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</si>
  <si>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</si>
  <si>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</si>
  <si>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</si>
  <si>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</si>
  <si>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</si>
  <si>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</si>
  <si>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</si>
  <si>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</si>
  <si>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</si>
  <si>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</si>
  <si>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</si>
  <si>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</si>
  <si>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</si>
  <si>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</si>
  <si>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</si>
  <si>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</si>
  <si>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</si>
  <si>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</si>
  <si>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</si>
  <si>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</si>
  <si>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</si>
  <si>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</si>
  <si>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</si>
  <si>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</si>
  <si>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</si>
  <si>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</si>
  <si>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</si>
  <si>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</si>
  <si>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</si>
  <si>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</si>
  <si>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</si>
  <si>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</si>
  <si>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</si>
  <si>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</si>
  <si>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</si>
  <si>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</si>
  <si>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</si>
  <si>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</si>
  <si>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</si>
  <si>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</si>
  <si>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</si>
  <si>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</si>
  <si>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</si>
  <si>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</si>
  <si>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</si>
  <si>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</si>
  <si>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</si>
  <si>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</si>
  <si>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</si>
  <si>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</si>
  <si>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</si>
  <si>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</si>
  <si>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</si>
  <si>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</si>
  <si>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</si>
  <si>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</si>
  <si>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</si>
  <si>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</si>
  <si>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</si>
  <si>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</si>
  <si>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</si>
  <si>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</si>
  <si>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</si>
  <si>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</si>
  <si>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</si>
  <si>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</si>
  <si>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</si>
  <si>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</si>
  <si>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</si>
  <si>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</si>
  <si>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</si>
  <si>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</si>
  <si>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</si>
  <si>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</si>
  <si>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</si>
  <si>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</si>
  <si>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</si>
  <si>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</si>
  <si>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</si>
  <si>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</si>
  <si>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</si>
  <si>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</si>
  <si>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</si>
  <si>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</si>
  <si>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</si>
  <si>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</si>
  <si>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</si>
  <si>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</si>
  <si>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</si>
  <si>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</si>
  <si>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</si>
  <si>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</si>
  <si>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</si>
  <si>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</si>
  <si>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</si>
  <si>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</si>
  <si>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</si>
  <si>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</si>
  <si>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</si>
  <si>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</si>
  <si>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</si>
  <si>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</si>
  <si>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</si>
  <si>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</si>
  <si>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</si>
  <si>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</si>
  <si>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</si>
  <si>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</si>
  <si>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</si>
  <si>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</si>
  <si>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</si>
  <si>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</si>
  <si>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</si>
  <si>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</si>
  <si>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</si>
  <si>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</si>
  <si>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</si>
  <si>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</si>
  <si>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</si>
  <si>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</si>
  <si>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</si>
  <si>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</si>
  <si>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</si>
  <si>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</si>
  <si>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</si>
  <si>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</si>
  <si>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</si>
  <si>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</si>
  <si>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</si>
  <si>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</si>
  <si>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</si>
  <si>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</si>
  <si>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</si>
  <si>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</si>
  <si>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</si>
  <si>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</si>
  <si>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</si>
  <si>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</si>
  <si>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</si>
  <si>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</si>
  <si>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</si>
  <si>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</si>
  <si>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</si>
  <si>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</si>
  <si>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</si>
  <si>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</si>
  <si>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</si>
  <si>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</si>
  <si>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</si>
  <si>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</si>
  <si>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</si>
  <si>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</si>
  <si>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</si>
  <si>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</si>
  <si>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</si>
  <si>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</si>
  <si>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</si>
  <si>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</si>
  <si>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</si>
  <si>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</si>
  <si>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</si>
  <si>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</si>
  <si>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</si>
  <si>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</si>
  <si>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</si>
  <si>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</si>
  <si>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</si>
  <si>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</si>
  <si>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</si>
  <si>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</si>
  <si>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</si>
  <si>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</si>
  <si>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</si>
  <si>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</si>
  <si>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</si>
  <si>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</si>
  <si>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</si>
  <si>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</si>
  <si>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</si>
  <si>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</si>
  <si>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</si>
  <si>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</si>
  <si>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</si>
  <si>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</si>
  <si>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</si>
  <si>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</si>
  <si>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</si>
  <si>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</si>
  <si>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</si>
  <si>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</si>
  <si>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</si>
  <si>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</si>
  <si>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</si>
  <si>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</si>
  <si>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</si>
  <si>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</si>
  <si>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</si>
  <si>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</si>
  <si>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</si>
  <si>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</si>
  <si>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</si>
  <si>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</si>
  <si>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</si>
  <si>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</si>
  <si>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</si>
  <si>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</si>
  <si>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</si>
  <si>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</si>
  <si>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</si>
  <si>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</si>
  <si>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</si>
  <si>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</si>
  <si>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</si>
  <si>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</si>
  <si>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</si>
  <si>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</si>
  <si>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</si>
  <si>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</si>
  <si>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</si>
  <si>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</si>
  <si>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</si>
  <si>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</si>
  <si>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</si>
  <si>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</si>
  <si>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</si>
  <si>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</si>
  <si>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</si>
  <si>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</si>
  <si>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</si>
  <si>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</si>
  <si>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</si>
  <si>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</si>
  <si>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</si>
  <si>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</si>
  <si>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</si>
  <si>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</si>
  <si>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</si>
  <si>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</si>
  <si>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</si>
  <si>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</si>
  <si>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</si>
  <si>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</si>
  <si>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</si>
  <si>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</si>
  <si>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</si>
  <si>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</si>
  <si>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</si>
  <si>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</si>
  <si>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</si>
  <si>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</si>
  <si>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</si>
  <si>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</si>
  <si>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</si>
  <si>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</si>
  <si>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</si>
  <si>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</si>
  <si>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</si>
  <si>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</si>
  <si>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</si>
  <si>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</si>
  <si>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</si>
  <si>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</si>
  <si>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</si>
  <si>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</si>
  <si>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</si>
  <si>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</si>
  <si>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</si>
  <si>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</si>
  <si>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</si>
  <si>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</si>
  <si>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</si>
  <si>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</si>
  <si>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</si>
  <si>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</si>
  <si>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</si>
  <si>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</si>
  <si>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</si>
  <si>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</si>
  <si>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</si>
  <si>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</si>
  <si>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</si>
  <si>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</si>
  <si>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</si>
  <si>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</si>
  <si>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</si>
  <si>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</si>
  <si>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</si>
  <si>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</si>
  <si>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</si>
  <si>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</si>
  <si>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</si>
  <si>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</si>
  <si>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</si>
  <si>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</si>
  <si>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</si>
  <si>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</si>
  <si>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</si>
  <si>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</si>
  <si>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</si>
  <si>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</si>
  <si>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</si>
  <si>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</si>
  <si>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</si>
  <si>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</si>
  <si>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</si>
  <si>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</si>
  <si>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</si>
  <si>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</si>
  <si>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</si>
  <si>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</si>
  <si>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</si>
  <si>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</si>
  <si>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</si>
  <si>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</si>
  <si>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</si>
  <si>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</si>
  <si>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</si>
  <si>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</si>
  <si>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</si>
  <si>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</si>
  <si>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</si>
  <si>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</si>
  <si>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</si>
  <si>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</si>
  <si>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</si>
  <si>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</si>
  <si>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</si>
  <si>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</si>
  <si>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</si>
  <si>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</si>
  <si>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</si>
  <si>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</si>
  <si>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</si>
  <si>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</si>
  <si>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</si>
  <si>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</si>
  <si>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</si>
  <si>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</si>
  <si>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</si>
  <si>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</si>
  <si>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</si>
  <si>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</si>
  <si>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</si>
  <si>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</si>
  <si>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</si>
  <si>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</si>
  <si>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</si>
  <si>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</si>
  <si>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</si>
  <si>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</si>
  <si>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</si>
  <si>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</si>
  <si>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</si>
  <si>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</si>
  <si>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</si>
  <si>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</si>
  <si>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</si>
  <si>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</si>
  <si>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</si>
  <si>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</si>
  <si>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</si>
  <si>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</si>
  <si>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</si>
  <si>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</si>
  <si>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</si>
  <si>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</si>
  <si>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</si>
  <si>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</si>
  <si>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</si>
  <si>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</si>
  <si>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</si>
  <si>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</si>
  <si>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</si>
  <si>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</si>
  <si>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</si>
  <si>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</si>
  <si>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</si>
  <si>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</si>
  <si>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</si>
  <si>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</si>
  <si>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</si>
  <si>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</si>
  <si>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</si>
  <si>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</si>
  <si>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</si>
  <si>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</si>
  <si>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</si>
  <si>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</si>
  <si>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</si>
  <si>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</si>
  <si>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</si>
  <si>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</si>
  <si>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</si>
  <si>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</si>
  <si>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</si>
  <si>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</si>
  <si>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</si>
  <si>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</si>
  <si>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</si>
  <si>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</si>
  <si>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</si>
  <si>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</si>
  <si>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</si>
  <si>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</si>
  <si>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</si>
  <si>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</si>
  <si>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</si>
  <si>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</si>
  <si>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</si>
  <si>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</si>
  <si>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</si>
  <si>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</si>
  <si>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</si>
  <si>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</si>
  <si>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</si>
  <si>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</si>
  <si>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</si>
  <si>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</si>
  <si>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</si>
  <si>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</si>
  <si>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</si>
  <si>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</si>
  <si>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</si>
  <si>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</si>
  <si>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</si>
  <si>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</si>
  <si>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</si>
  <si>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</si>
  <si>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</si>
  <si>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</si>
  <si>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</si>
  <si>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</si>
  <si>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</si>
  <si>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</si>
  <si>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</si>
  <si>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</si>
  <si>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</si>
  <si>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</si>
  <si>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</si>
  <si>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</si>
  <si>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</si>
  <si>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</si>
  <si>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</si>
  <si>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</si>
  <si>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</si>
  <si>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</si>
  <si>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</si>
  <si>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</si>
  <si>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</si>
  <si>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</si>
  <si>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</si>
  <si>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</si>
  <si>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</si>
  <si>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</si>
  <si>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</si>
  <si>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</si>
  <si>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</si>
  <si>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</si>
  <si>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</si>
  <si>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</si>
  <si>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</si>
  <si>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</si>
  <si>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</si>
  <si>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</si>
  <si>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</si>
  <si>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</si>
  <si>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</si>
  <si>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</si>
  <si>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</si>
  <si>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</si>
  <si>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</si>
  <si>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</si>
  <si>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</si>
  <si>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</si>
  <si>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</si>
  <si>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</si>
  <si>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</si>
  <si>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</si>
  <si>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</si>
  <si>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</si>
  <si>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</si>
  <si>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</si>
  <si>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</si>
  <si>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</si>
  <si>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</si>
  <si>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</si>
  <si>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</si>
  <si>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</si>
  <si>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</si>
  <si>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</si>
  <si>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</si>
  <si>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</si>
  <si>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</si>
  <si>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</si>
  <si>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</si>
  <si>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</si>
  <si>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</si>
  <si>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</si>
  <si>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</si>
  <si>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</si>
  <si>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</si>
  <si>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</si>
  <si>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</si>
  <si>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</si>
  <si>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</si>
  <si>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</si>
  <si>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</si>
  <si>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</si>
  <si>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</si>
  <si>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</si>
  <si>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</si>
  <si>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</si>
  <si>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</si>
  <si>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</si>
  <si>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</si>
  <si>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</si>
  <si>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</si>
  <si>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</si>
  <si>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</si>
  <si>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</si>
  <si>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</si>
  <si>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</si>
  <si>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</si>
  <si>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</si>
  <si>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</si>
  <si>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</si>
  <si>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</si>
  <si>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</si>
  <si>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</si>
  <si>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</si>
  <si>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</si>
  <si>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</si>
  <si>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</si>
  <si>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</si>
  <si>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</si>
  <si>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</si>
  <si>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</si>
  <si>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</si>
  <si>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</si>
  <si>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</si>
  <si>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</si>
  <si>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</si>
  <si>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</si>
  <si>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</si>
  <si>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</si>
  <si>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</si>
  <si>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</si>
  <si>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</si>
  <si>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</si>
  <si>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</si>
  <si>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</si>
  <si>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</si>
  <si>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</si>
  <si>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</si>
  <si>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</si>
  <si>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</si>
  <si>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</si>
  <si>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</si>
  <si>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</si>
  <si>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</si>
  <si>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</si>
  <si>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</si>
  <si>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</si>
  <si>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</si>
  <si>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</si>
  <si>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</si>
  <si>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</si>
  <si>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</si>
  <si>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</si>
  <si>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</si>
  <si>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</si>
  <si>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</si>
  <si>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</si>
  <si>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</si>
  <si>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</si>
  <si>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</si>
  <si>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</si>
  <si>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</si>
  <si>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</si>
  <si>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</si>
  <si>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</si>
  <si>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</si>
  <si>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</si>
  <si>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</si>
  <si>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</si>
  <si>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</si>
  <si>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</si>
  <si>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</si>
  <si>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</si>
  <si>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</si>
  <si>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</si>
  <si>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</si>
  <si>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</si>
  <si>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</si>
  <si>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</si>
  <si>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</si>
  <si>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</si>
  <si>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</si>
  <si>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</si>
  <si>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</si>
  <si>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</si>
  <si>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</si>
  <si>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</si>
  <si>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</si>
  <si>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</si>
  <si>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</si>
  <si>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</si>
  <si>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</si>
  <si>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</si>
  <si>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</si>
  <si>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</si>
  <si>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</si>
  <si>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</si>
  <si>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</si>
  <si>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</si>
  <si>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</si>
  <si>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</si>
  <si>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</si>
  <si>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</si>
  <si>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</si>
  <si>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</si>
  <si>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</si>
  <si>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</si>
  <si>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</si>
  <si>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</si>
  <si>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</si>
  <si>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</si>
  <si>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</si>
  <si>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</si>
  <si>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</si>
  <si>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</si>
  <si>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</si>
  <si>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</si>
  <si>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</si>
  <si>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</si>
  <si>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</si>
  <si>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</si>
  <si>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</si>
  <si>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</si>
  <si>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</si>
  <si>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</si>
  <si>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</si>
  <si>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</si>
  <si>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</si>
  <si>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</si>
  <si>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</si>
  <si>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</si>
  <si>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</si>
  <si>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</si>
  <si>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</si>
  <si>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</si>
  <si>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</si>
  <si>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</si>
  <si>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</si>
  <si>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</si>
  <si>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</si>
  <si>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</si>
  <si>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</si>
  <si>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</si>
  <si>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</si>
  <si>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</si>
  <si>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</si>
  <si>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</si>
  <si>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</si>
  <si>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</si>
  <si>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</si>
  <si>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</si>
  <si>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</si>
  <si>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</si>
  <si>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</si>
  <si>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</si>
  <si>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</si>
  <si>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</si>
  <si>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</si>
  <si>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</si>
  <si>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</si>
  <si>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</si>
  <si>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</si>
  <si>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</si>
  <si>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</si>
  <si>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</si>
  <si>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</si>
  <si>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</si>
  <si>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</si>
  <si>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</si>
  <si>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</si>
  <si>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</si>
  <si>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</si>
  <si>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</si>
  <si>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</si>
  <si>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</si>
  <si>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</si>
  <si>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</si>
  <si>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</si>
  <si>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</si>
  <si>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</si>
  <si>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</si>
  <si>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</si>
  <si>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</si>
  <si>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</si>
  <si>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</si>
  <si>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</si>
  <si>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</si>
  <si>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</si>
  <si>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</si>
  <si>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</si>
  <si>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</si>
  <si>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</si>
  <si>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</si>
  <si>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</si>
  <si>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</si>
  <si>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</si>
  <si>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</si>
  <si>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</si>
  <si>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</si>
  <si>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</si>
  <si>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</si>
  <si>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</si>
  <si>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</si>
  <si>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</si>
  <si>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</si>
  <si>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</si>
  <si>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</si>
  <si>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</si>
  <si>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</si>
  <si>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</si>
  <si>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</si>
  <si>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</si>
  <si>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</si>
  <si>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</si>
  <si>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</si>
  <si>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</si>
  <si>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</si>
  <si>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</si>
  <si>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</si>
  <si>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</si>
  <si>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</si>
  <si>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</si>
  <si>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</si>
  <si>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</si>
  <si>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</si>
  <si>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</si>
  <si>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</si>
  <si>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</si>
  <si>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</si>
  <si>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</si>
  <si>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</si>
  <si>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</si>
  <si>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</si>
  <si>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</si>
  <si>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</si>
  <si>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</si>
  <si>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</si>
  <si>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</si>
  <si>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</si>
  <si>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</si>
  <si>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</si>
  <si>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</si>
  <si>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</si>
  <si>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</si>
  <si>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</si>
  <si>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</si>
  <si>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</si>
  <si>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</si>
  <si>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</si>
  <si>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</si>
  <si>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</si>
  <si>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</si>
  <si>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</si>
  <si>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</si>
  <si>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</si>
  <si>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</si>
  <si>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</si>
  <si>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</si>
  <si>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</si>
  <si>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</si>
  <si>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</si>
  <si>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</si>
  <si>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</si>
  <si>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</si>
  <si>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</si>
  <si>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</si>
  <si>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</si>
  <si>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</si>
  <si>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</si>
  <si>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</si>
  <si>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</si>
  <si>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</si>
  <si>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</si>
  <si>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</si>
  <si>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</si>
  <si>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</si>
  <si>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</si>
  <si>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</si>
  <si>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</si>
  <si>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</si>
  <si>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</si>
  <si>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</si>
  <si>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</si>
  <si>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</si>
  <si>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</si>
  <si>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</si>
  <si>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</si>
  <si>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</si>
  <si>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</si>
  <si>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</si>
  <si>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</si>
  <si>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</si>
  <si>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</si>
  <si>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</si>
  <si>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</si>
  <si>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</si>
  <si>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</si>
  <si>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</si>
  <si>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</si>
  <si>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</si>
  <si>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</si>
  <si>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</si>
  <si>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</si>
  <si>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</si>
  <si>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</si>
  <si>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</si>
  <si>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</si>
  <si>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</si>
  <si>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</si>
  <si>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</si>
  <si>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</si>
  <si>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</si>
  <si>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</si>
  <si>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</si>
  <si>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</si>
  <si>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</si>
  <si>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</si>
  <si>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</si>
  <si>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</si>
  <si>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</si>
  <si>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</si>
  <si>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</si>
  <si>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</si>
  <si>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</si>
  <si>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</si>
  <si>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</si>
  <si>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</si>
  <si>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</si>
  <si>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</si>
  <si>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</si>
  <si>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</si>
  <si>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</si>
  <si>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</si>
  <si>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</si>
  <si>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</si>
  <si>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</si>
  <si>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</si>
  <si>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</si>
  <si>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</si>
  <si>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</si>
  <si>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</si>
  <si>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</si>
  <si>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</si>
  <si>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</si>
  <si>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</si>
  <si>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</si>
  <si>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</si>
  <si>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</si>
  <si>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</si>
  <si>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</si>
  <si>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</si>
  <si>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</si>
  <si>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</si>
  <si>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</si>
  <si>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</si>
  <si>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</si>
  <si>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</si>
  <si>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</si>
  <si>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</si>
  <si>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</si>
  <si>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</si>
  <si>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</si>
  <si>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</si>
  <si>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</si>
  <si>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</si>
  <si>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</si>
  <si>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</si>
  <si>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</si>
  <si>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</si>
  <si>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</si>
  <si>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</si>
  <si>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</si>
  <si>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</si>
  <si>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</si>
  <si>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</si>
  <si>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</si>
  <si>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</si>
  <si>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</si>
  <si>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</si>
  <si>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</si>
  <si>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</si>
  <si>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</si>
  <si>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</si>
  <si>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</si>
  <si>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</si>
  <si>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</si>
  <si>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</si>
  <si>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</si>
  <si>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</si>
  <si>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</si>
  <si>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</si>
  <si>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</si>
  <si>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</si>
  <si>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</si>
  <si>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</si>
  <si>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</si>
  <si>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</si>
  <si>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</si>
  <si>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</si>
  <si>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</si>
  <si>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</si>
  <si>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</si>
  <si>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</si>
  <si>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</si>
  <si>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</si>
  <si>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</si>
  <si>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</si>
  <si>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</si>
  <si>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</si>
  <si>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</si>
  <si>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</si>
  <si>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</si>
  <si>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</si>
  <si>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</si>
  <si>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</si>
  <si>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</si>
  <si>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</si>
  <si>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</si>
  <si>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</si>
  <si>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</si>
  <si>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</si>
  <si>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</si>
  <si>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</si>
  <si>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</si>
  <si>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</si>
  <si>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</si>
  <si>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</si>
  <si>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</si>
  <si>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</si>
  <si>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</si>
  <si>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</si>
  <si>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</si>
  <si>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</si>
  <si>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</si>
  <si>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</si>
  <si>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</si>
  <si>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</si>
  <si>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</si>
  <si>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</si>
  <si>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</si>
  <si>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</si>
  <si>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</si>
  <si>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</si>
  <si>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</si>
  <si>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</si>
  <si>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</si>
  <si>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</si>
  <si>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</si>
  <si>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</si>
  <si>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</si>
  <si>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</si>
  <si>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</si>
  <si>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</si>
  <si>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</si>
  <si>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</si>
  <si>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</si>
  <si>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</si>
  <si>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</si>
  <si>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</si>
  <si>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</si>
  <si>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</si>
  <si>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</si>
  <si>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</si>
  <si>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</si>
  <si>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</si>
  <si>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</si>
  <si>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</si>
  <si>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</si>
  <si>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</si>
  <si>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</si>
  <si>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</si>
  <si>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</si>
  <si>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</si>
  <si>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</si>
  <si>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</si>
  <si>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</si>
  <si>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</si>
  <si>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</si>
  <si>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</si>
  <si>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</si>
  <si>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</si>
  <si>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</si>
  <si>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</si>
  <si>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</si>
  <si>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</si>
  <si>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</si>
  <si>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</si>
  <si>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</si>
  <si>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</si>
  <si>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</si>
  <si>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</si>
  <si>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</si>
  <si>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</si>
  <si>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</si>
  <si>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</si>
  <si>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</si>
  <si>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</si>
  <si>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</si>
  <si>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</si>
  <si>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</si>
  <si>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</si>
  <si>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</si>
  <si>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</si>
  <si>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</si>
  <si>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</si>
  <si>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</si>
  <si>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</si>
  <si>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</si>
  <si>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</si>
  <si>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</si>
  <si>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</si>
  <si>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</si>
  <si>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</si>
  <si>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</si>
  <si>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</si>
  <si>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</si>
  <si>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</si>
  <si>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</si>
  <si>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</si>
  <si>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</si>
  <si>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</si>
  <si>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</si>
  <si>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</si>
  <si>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</si>
  <si>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</si>
  <si>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</si>
  <si>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</si>
  <si>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</si>
  <si>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</si>
  <si>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</si>
  <si>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</si>
  <si>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</si>
  <si>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</si>
  <si>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</si>
  <si>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</si>
  <si>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</si>
  <si>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</si>
  <si>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</si>
  <si>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</si>
  <si>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</si>
  <si>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</si>
  <si>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</si>
  <si>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</si>
  <si>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</si>
  <si>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</si>
  <si>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</si>
  <si>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</si>
  <si>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</si>
  <si>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</si>
  <si>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</si>
  <si>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</si>
  <si>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</si>
  <si>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</si>
  <si>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</si>
  <si>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</si>
  <si>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</si>
  <si>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</si>
  <si>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</si>
  <si>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</si>
  <si>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</si>
  <si>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</si>
  <si>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</si>
  <si>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</si>
  <si>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</si>
  <si>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</si>
  <si>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</si>
  <si>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</si>
  <si>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</si>
  <si>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</si>
  <si>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</si>
  <si>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</si>
  <si>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</si>
  <si>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</si>
  <si>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</si>
  <si>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</si>
  <si>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</si>
  <si>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</si>
  <si>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</si>
  <si>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</si>
  <si>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</si>
  <si>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</si>
  <si>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</si>
  <si>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</si>
  <si>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</si>
  <si>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</si>
  <si>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</si>
  <si>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</si>
  <si>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</si>
  <si>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</si>
  <si>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</si>
  <si>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</si>
  <si>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</si>
  <si>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</si>
  <si>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</si>
  <si>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</si>
  <si>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</si>
  <si>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</si>
  <si>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</si>
  <si>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</si>
  <si>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</si>
  <si>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</si>
  <si>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</si>
  <si>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</si>
  <si>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</si>
  <si>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</si>
  <si>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</si>
  <si>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</si>
  <si>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</si>
  <si>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</si>
  <si>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</si>
  <si>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</si>
  <si>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</si>
  <si>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</si>
  <si>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</si>
  <si>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</si>
  <si>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</si>
  <si>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</si>
  <si>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</si>
  <si>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</si>
  <si>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</si>
  <si>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</si>
  <si>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</si>
  <si>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</si>
  <si>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</si>
  <si>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</si>
  <si>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</si>
  <si>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</si>
  <si>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</si>
  <si>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</si>
  <si>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</si>
  <si>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</si>
  <si>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</si>
  <si>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</si>
  <si>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</si>
  <si>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</si>
  <si>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</si>
  <si>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</si>
  <si>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</si>
  <si>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</si>
  <si>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</si>
  <si>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</si>
  <si>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</si>
  <si>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</si>
  <si>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</si>
  <si>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</si>
  <si>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</si>
  <si>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</si>
  <si>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</si>
  <si>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</si>
  <si>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</si>
  <si>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</si>
  <si>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</si>
  <si>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</si>
  <si>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</si>
  <si>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</si>
  <si>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</si>
  <si>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</si>
  <si>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</si>
  <si>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</si>
  <si>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</si>
  <si>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</si>
  <si>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</si>
  <si>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</si>
  <si>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</si>
  <si>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</si>
  <si>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</si>
  <si>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</si>
  <si>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</si>
  <si>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</si>
  <si>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</si>
  <si>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</si>
  <si>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</si>
  <si>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</si>
  <si>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</si>
  <si>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</si>
  <si>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</si>
  <si>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</si>
  <si>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</si>
  <si>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</si>
  <si>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</si>
  <si>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</si>
  <si>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</si>
  <si>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</si>
  <si>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</si>
  <si>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</si>
  <si>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</si>
  <si>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</si>
  <si>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</si>
  <si>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</si>
  <si>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</si>
  <si>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</si>
  <si>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</si>
  <si>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</si>
  <si>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</si>
  <si>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</si>
  <si>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</si>
  <si>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</si>
  <si>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</si>
  <si>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</si>
  <si>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</si>
  <si>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</si>
  <si>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</si>
  <si>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</si>
  <si>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</si>
  <si>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</si>
  <si>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</si>
  <si>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</si>
  <si>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</si>
  <si>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</si>
  <si>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</si>
  <si>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</si>
  <si>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</si>
  <si>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</si>
  <si>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</si>
  <si>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</si>
  <si>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</si>
  <si>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</si>
  <si>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</si>
  <si>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</si>
  <si>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</si>
  <si>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</si>
  <si>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</si>
  <si>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</si>
  <si>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</si>
  <si>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</si>
  <si>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</si>
  <si>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</si>
  <si>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</si>
  <si>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</si>
  <si>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</si>
  <si>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</si>
  <si>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</si>
  <si>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</si>
  <si>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</si>
  <si>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</si>
  <si>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</si>
  <si>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</si>
  <si>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</si>
  <si>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</si>
  <si>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</si>
  <si>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</si>
  <si>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</si>
  <si>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</si>
  <si>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</si>
  <si>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</si>
  <si>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</si>
  <si>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</si>
  <si>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</si>
  <si>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</si>
  <si>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</si>
  <si>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</si>
  <si>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</si>
  <si>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</si>
  <si>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</si>
  <si>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</si>
  <si>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</si>
  <si>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</si>
  <si>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</si>
  <si>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</si>
  <si>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</si>
  <si>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</si>
  <si>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</si>
  <si>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</si>
  <si>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</si>
  <si>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</si>
  <si>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</si>
  <si>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</si>
  <si>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</si>
  <si>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</si>
  <si>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</si>
  <si>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</si>
  <si>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</si>
  <si>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</si>
  <si>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</si>
  <si>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</si>
  <si>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</si>
  <si>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</si>
  <si>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</si>
  <si>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</si>
  <si>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</si>
  <si>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</si>
  <si>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</si>
  <si>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</si>
  <si>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</si>
  <si>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</si>
  <si>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</si>
  <si>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</si>
  <si>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</si>
  <si>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</si>
  <si>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</si>
  <si>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</si>
  <si>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</si>
  <si>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</si>
  <si>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</si>
  <si>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</si>
  <si>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</si>
  <si>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</si>
  <si>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</si>
  <si>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</si>
  <si>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</si>
  <si>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</si>
  <si>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</si>
  <si>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</si>
  <si>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</si>
  <si>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</si>
  <si>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</si>
  <si>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</si>
  <si>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</si>
  <si>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</si>
  <si>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</si>
  <si>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</si>
  <si>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</si>
  <si>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</si>
  <si>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</si>
  <si>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</si>
  <si>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</si>
  <si>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</si>
  <si>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</si>
  <si>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</si>
  <si>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</si>
  <si>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</si>
  <si>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</si>
  <si>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</si>
  <si>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</si>
  <si>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</si>
  <si>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</si>
  <si>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</si>
  <si>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</si>
  <si>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</si>
  <si>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</si>
  <si>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</si>
  <si>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</si>
  <si>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</si>
  <si>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</si>
  <si>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</si>
  <si>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</si>
  <si>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</si>
  <si>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</si>
  <si>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</si>
  <si>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</si>
  <si>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</si>
  <si>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</si>
  <si>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</si>
  <si>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</si>
  <si>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</si>
  <si>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</si>
  <si>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</si>
  <si>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</si>
  <si>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</si>
  <si>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</si>
  <si>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</si>
  <si>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</si>
  <si>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</si>
  <si>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</si>
  <si>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</si>
  <si>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</si>
  <si>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</si>
  <si>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</si>
  <si>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</si>
  <si>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</si>
  <si>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</si>
  <si>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</si>
  <si>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</si>
  <si>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</si>
  <si>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</si>
  <si>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</si>
  <si>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</si>
  <si>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</si>
  <si>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</si>
  <si>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</si>
  <si>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</si>
  <si>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</si>
  <si>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</si>
  <si>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</si>
  <si>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</si>
  <si>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</si>
  <si>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</si>
  <si>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</si>
  <si>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</si>
  <si>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</si>
  <si>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</si>
  <si>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</si>
  <si>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</si>
  <si>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</si>
  <si>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</si>
  <si>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</si>
  <si>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</si>
  <si>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</si>
  <si>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</si>
  <si>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</si>
  <si>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</si>
  <si>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</si>
  <si>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</si>
  <si>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</si>
  <si>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</si>
  <si>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</si>
  <si>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</si>
  <si>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</si>
  <si>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</si>
  <si>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</si>
  <si>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</si>
  <si>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</si>
  <si>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</si>
  <si>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</si>
  <si>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</si>
  <si>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</si>
  <si>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</si>
  <si>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</si>
  <si>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</si>
  <si>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</si>
  <si>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</si>
  <si>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</si>
  <si>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</si>
  <si>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</si>
  <si>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</si>
  <si>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</si>
  <si>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</si>
  <si>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</si>
  <si>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</si>
  <si>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</si>
  <si>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</si>
  <si>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</si>
  <si>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</si>
  <si>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</si>
  <si>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</si>
  <si>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</si>
  <si>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</si>
  <si>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</si>
  <si>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</si>
  <si>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</si>
  <si>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</si>
  <si>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</si>
  <si>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</si>
  <si>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</si>
  <si>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</si>
  <si>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</si>
  <si>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</si>
  <si>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</si>
  <si>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</si>
  <si>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</si>
  <si>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</si>
  <si>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</si>
  <si>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</si>
  <si>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</si>
  <si>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</si>
  <si>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</si>
  <si>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</si>
  <si>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</si>
  <si>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</si>
  <si>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</si>
  <si>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</si>
  <si>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</si>
  <si>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</si>
  <si>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</si>
  <si>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</si>
  <si>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</si>
  <si>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</si>
  <si>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</si>
  <si>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</si>
  <si>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</si>
  <si>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</si>
  <si>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</si>
  <si>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</si>
  <si>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</si>
  <si>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</si>
  <si>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</si>
  <si>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</si>
  <si>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</si>
  <si>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</si>
  <si>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</si>
  <si>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</si>
  <si>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</si>
  <si>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</si>
  <si>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</si>
  <si>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</si>
  <si>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</si>
  <si>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</si>
  <si>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</si>
  <si>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</si>
  <si>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</si>
  <si>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</si>
  <si>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</si>
  <si>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</si>
  <si>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</si>
  <si>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</si>
  <si>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</si>
  <si>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</si>
  <si>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</si>
  <si>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</si>
  <si>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</si>
  <si>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</si>
  <si>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</si>
  <si>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</si>
  <si>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</si>
  <si>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</si>
  <si>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</si>
  <si>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</si>
  <si>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</si>
  <si>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</si>
  <si>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</si>
  <si>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</si>
  <si>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</si>
  <si>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</si>
  <si>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</si>
  <si>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</si>
  <si>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</si>
  <si>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</si>
  <si>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</si>
  <si>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</si>
  <si>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</si>
  <si>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</si>
  <si>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</si>
  <si>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</si>
  <si>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</si>
  <si>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</si>
  <si>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</si>
  <si>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</si>
  <si>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</si>
  <si>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</si>
  <si>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</si>
  <si>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</si>
  <si>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</si>
  <si>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</si>
  <si>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</si>
  <si>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</si>
  <si>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</si>
  <si>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</si>
  <si>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</si>
  <si>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</si>
  <si>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</si>
  <si>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</si>
  <si>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</si>
  <si>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</si>
  <si>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</si>
  <si>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</si>
  <si>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</si>
  <si>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</si>
  <si>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</si>
  <si>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</si>
  <si>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</si>
  <si>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</si>
  <si>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</si>
  <si>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</si>
  <si>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</si>
  <si>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</si>
  <si>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</si>
  <si>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</si>
  <si>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</si>
  <si>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</si>
  <si>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</si>
  <si>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</si>
  <si>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</si>
  <si>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</si>
  <si>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</si>
  <si>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</si>
  <si>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</si>
  <si>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</si>
  <si>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</si>
  <si>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</si>
  <si>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</si>
  <si>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</si>
  <si>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</si>
  <si>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</si>
  <si>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</si>
  <si>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</si>
  <si>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</si>
  <si>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</si>
  <si>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</si>
  <si>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</si>
  <si>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</si>
  <si>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</si>
  <si>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</si>
  <si>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</si>
  <si>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</si>
  <si>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</si>
  <si>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</si>
  <si>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</si>
  <si>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</si>
  <si>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</si>
  <si>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</si>
  <si>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</si>
  <si>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</si>
  <si>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</si>
  <si>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</si>
  <si>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</si>
  <si>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</si>
  <si>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</si>
  <si>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</si>
  <si>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</si>
  <si>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</si>
  <si>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</si>
  <si>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</si>
  <si>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</si>
  <si>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</si>
  <si>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</si>
  <si>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</si>
  <si>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</si>
  <si>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</si>
  <si>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</si>
  <si>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</si>
  <si>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</si>
  <si>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</si>
  <si>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</si>
  <si>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</si>
  <si>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</si>
  <si>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</si>
  <si>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Corrections and Rehabilitation</t>
  </si>
  <si>
    <t>N/A</t>
  </si>
  <si>
    <t xml:space="preserve">ENTRY #2 </t>
  </si>
  <si>
    <t xml:space="preserve">ENTRY #5 </t>
  </si>
  <si>
    <t xml:space="preserve">Entry #2 </t>
  </si>
  <si>
    <t xml:space="preserve">Entry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</si>
</sst>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13" zoomScale="85" zoomScaleNormal="85" workbookViewId="0">
      <selection activeCell="J51" sqref="J51"/>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1607</v>
      </c>
      <c r="B1" s="166"/>
      <c r="C1" s="166"/>
      <c r="D1" s="166"/>
      <c r="E1" s="166"/>
      <c r="F1" s="166"/>
      <c r="G1" s="166"/>
      <c r="H1" s="166"/>
      <c r="I1" s="166"/>
      <c r="J1" s="166"/>
      <c r="K1" s="166"/>
      <c r="L1" s="43"/>
    </row>
    <row r="2" spans="1:17" ht="18" x14ac:dyDescent="0.25">
      <c r="A2" s="167" t="s">
        <v>1564</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1585</v>
      </c>
      <c r="B4" s="169"/>
      <c r="C4" s="169"/>
      <c r="D4" s="169"/>
      <c r="E4" s="169"/>
      <c r="F4" s="168" t="s">
        <v>1638</v>
      </c>
      <c r="G4" s="168"/>
      <c r="H4" s="168"/>
      <c r="I4" s="168"/>
    </row>
    <row r="5" spans="1:17" ht="15.75" x14ac:dyDescent="0.2">
      <c r="A5" s="169" t="s">
        <v>1601</v>
      </c>
      <c r="B5" s="169"/>
      <c r="C5" s="169"/>
      <c r="D5" s="169"/>
      <c r="E5" s="169"/>
      <c r="F5" s="170" t="s">
        <v>821</v>
      </c>
      <c r="G5" s="170"/>
      <c r="H5" s="170"/>
      <c r="I5" s="170"/>
      <c r="J5" s="47"/>
      <c r="K5" s="47"/>
      <c r="L5" s="48"/>
      <c r="M5" s="48"/>
      <c r="N5" s="48"/>
    </row>
    <row r="6" spans="1:17" ht="15.75" x14ac:dyDescent="0.2">
      <c r="A6" s="169" t="s">
        <v>1</v>
      </c>
      <c r="B6" s="169"/>
      <c r="C6" s="169"/>
      <c r="D6" s="169"/>
      <c r="E6" s="169"/>
      <c r="F6" s="171">
        <v>1</v>
      </c>
      <c r="G6" s="171"/>
      <c r="H6" s="171"/>
      <c r="I6" s="171"/>
      <c r="L6" s="49"/>
      <c r="M6" s="48"/>
      <c r="N6" s="48"/>
      <c r="P6" s="27"/>
    </row>
    <row r="7" spans="1:17" ht="15.75" x14ac:dyDescent="0.2">
      <c r="A7" s="169" t="s">
        <v>1570</v>
      </c>
      <c r="B7" s="169"/>
      <c r="C7" s="169"/>
      <c r="D7" s="169"/>
      <c r="E7" s="169"/>
      <c r="F7" s="168" t="s">
        <v>1567</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CORRECTIONS AND REHABILITATION</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1579</v>
      </c>
      <c r="C15" s="165"/>
      <c r="D15" s="165"/>
      <c r="E15" s="165"/>
      <c r="F15" s="165"/>
      <c r="G15" s="165"/>
      <c r="H15" s="165"/>
      <c r="I15" s="165"/>
      <c r="J15" s="32">
        <v>46818068</v>
      </c>
      <c r="K15" s="33"/>
    </row>
    <row r="16" spans="1:17" ht="16.5" hidden="1" customHeight="1" x14ac:dyDescent="0.2">
      <c r="A16" s="56"/>
      <c r="B16" s="165" t="s">
        <v>1587</v>
      </c>
      <c r="C16" s="165"/>
      <c r="D16" s="165"/>
      <c r="E16" s="165"/>
      <c r="F16" s="165"/>
      <c r="G16" s="165"/>
      <c r="H16" s="165"/>
      <c r="I16" s="165"/>
      <c r="J16" s="32"/>
      <c r="K16" s="33"/>
    </row>
    <row r="17" spans="1:17" ht="16.5" customHeight="1" x14ac:dyDescent="0.2">
      <c r="A17" s="56"/>
      <c r="B17" s="165" t="s">
        <v>1588</v>
      </c>
      <c r="C17" s="165"/>
      <c r="D17" s="165"/>
      <c r="E17" s="165"/>
      <c r="F17" s="165"/>
      <c r="G17" s="165"/>
      <c r="H17" s="165"/>
      <c r="I17" s="165"/>
      <c r="J17" s="32"/>
      <c r="K17" s="33"/>
    </row>
    <row r="18" spans="1:17" ht="16.5" hidden="1" customHeight="1" x14ac:dyDescent="0.2">
      <c r="A18" s="56"/>
      <c r="B18" s="42"/>
      <c r="C18" s="165" t="s">
        <v>1586</v>
      </c>
      <c r="D18" s="165"/>
      <c r="E18" s="165"/>
      <c r="F18" s="165"/>
      <c r="G18" s="165"/>
      <c r="H18" s="165"/>
      <c r="I18" s="165"/>
      <c r="J18" s="33"/>
      <c r="K18" s="32"/>
    </row>
    <row r="19" spans="1:17" ht="16.5" customHeight="1" x14ac:dyDescent="0.25">
      <c r="A19" s="56"/>
      <c r="B19" s="57"/>
      <c r="C19" s="165" t="s">
        <v>1625</v>
      </c>
      <c r="D19" s="165"/>
      <c r="E19" s="165"/>
      <c r="F19" s="165"/>
      <c r="G19" s="165"/>
      <c r="H19" s="165"/>
      <c r="I19" s="165"/>
      <c r="J19" s="33"/>
      <c r="K19" s="32">
        <v>43884167</v>
      </c>
      <c r="P19" s="27"/>
    </row>
    <row r="20" spans="1:17" ht="16.5" hidden="1" customHeight="1" x14ac:dyDescent="0.25">
      <c r="A20" s="56"/>
      <c r="B20" s="57"/>
      <c r="C20" s="165" t="s">
        <v>1589</v>
      </c>
      <c r="D20" s="165"/>
      <c r="E20" s="165"/>
      <c r="F20" s="165"/>
      <c r="G20" s="165"/>
      <c r="H20" s="165"/>
      <c r="I20" s="165"/>
      <c r="K20" s="32"/>
      <c r="Q20" s="28"/>
    </row>
    <row r="21" spans="1:17" ht="16.5" customHeight="1" x14ac:dyDescent="0.25">
      <c r="A21" s="56"/>
      <c r="B21" s="57"/>
      <c r="C21" s="165" t="s">
        <v>1590</v>
      </c>
      <c r="D21" s="165"/>
      <c r="E21" s="165"/>
      <c r="F21" s="165"/>
      <c r="G21" s="165"/>
      <c r="H21" s="165"/>
      <c r="I21" s="165"/>
      <c r="J21" s="33"/>
      <c r="K21" s="32">
        <v>2933901</v>
      </c>
      <c r="Q21" s="28"/>
    </row>
    <row r="22" spans="1:17" ht="16.5" customHeight="1" x14ac:dyDescent="0.2">
      <c r="A22" s="56"/>
      <c r="B22" s="58"/>
      <c r="C22" s="58"/>
      <c r="D22" s="58"/>
      <c r="E22" s="58"/>
      <c r="F22" s="58"/>
      <c r="G22" s="58"/>
      <c r="H22" s="58"/>
      <c r="I22" s="58"/>
      <c r="J22" s="29">
        <f>ROUND(SUM(J15:J17),2)</f>
        <v>46818068</v>
      </c>
      <c r="K22" s="29">
        <f>ROUND(SUM(K18:K21),2)</f>
        <v>46818068</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1604</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1605</v>
      </c>
      <c r="C27" s="175"/>
      <c r="D27" s="175"/>
      <c r="E27" s="175"/>
      <c r="F27" s="175"/>
      <c r="G27" s="175"/>
      <c r="H27" s="175"/>
      <c r="I27" s="175"/>
      <c r="J27" s="175"/>
      <c r="K27" s="175"/>
      <c r="L27" s="54"/>
    </row>
    <row r="28" spans="1:17" ht="16.5" customHeight="1" x14ac:dyDescent="0.2">
      <c r="A28" s="56"/>
      <c r="B28" s="165" t="s">
        <v>1576</v>
      </c>
      <c r="C28" s="165"/>
      <c r="D28" s="165"/>
      <c r="E28" s="165"/>
      <c r="F28" s="165"/>
      <c r="G28" s="165"/>
      <c r="H28" s="165"/>
      <c r="I28" s="165"/>
      <c r="J28" s="32">
        <v>3087522</v>
      </c>
      <c r="K28" s="33"/>
      <c r="L28" s="54"/>
    </row>
    <row r="29" spans="1:17" ht="16.5" customHeight="1" x14ac:dyDescent="0.25">
      <c r="A29" s="56"/>
      <c r="B29" s="57"/>
      <c r="C29" s="165" t="s">
        <v>1577</v>
      </c>
      <c r="D29" s="165"/>
      <c r="E29" s="165"/>
      <c r="F29" s="165"/>
      <c r="G29" s="165"/>
      <c r="H29" s="165"/>
      <c r="I29" s="165"/>
      <c r="J29" s="33"/>
      <c r="K29" s="32">
        <v>3087522</v>
      </c>
      <c r="L29" s="54"/>
    </row>
    <row r="30" spans="1:17" ht="16.5" customHeight="1" x14ac:dyDescent="0.25">
      <c r="A30" s="56"/>
      <c r="B30" s="57"/>
      <c r="C30" s="165" t="str">
        <f>VLOOKUP($F$8,'Drop Down Menus'!$D$2:$G$10,4,FALSE)</f>
        <v>Cr: Acct 0835 - CORRECTIONS AND REHABILITATION</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3087522</v>
      </c>
      <c r="K31" s="29">
        <f>ROUND(SUM(K28:K30),2)</f>
        <v>3087522</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1606</v>
      </c>
      <c r="C33" s="178"/>
      <c r="D33" s="178"/>
      <c r="E33" s="178"/>
      <c r="F33" s="178"/>
      <c r="G33" s="178"/>
      <c r="H33" s="178"/>
      <c r="I33" s="178"/>
      <c r="J33" s="178"/>
      <c r="K33" s="178"/>
      <c r="L33" s="54"/>
    </row>
    <row r="34" spans="1:12" ht="16.5" customHeight="1" x14ac:dyDescent="0.3">
      <c r="A34" s="68"/>
      <c r="B34" s="165" t="s">
        <v>1579</v>
      </c>
      <c r="C34" s="165"/>
      <c r="D34" s="165"/>
      <c r="E34" s="165"/>
      <c r="F34" s="165"/>
      <c r="G34" s="165"/>
      <c r="H34" s="165"/>
      <c r="I34" s="165"/>
      <c r="J34" s="32">
        <v>3087522</v>
      </c>
      <c r="K34" s="70"/>
      <c r="L34" s="54"/>
    </row>
    <row r="35" spans="1:12" ht="16.5" customHeight="1" x14ac:dyDescent="0.2">
      <c r="B35" s="165" t="s">
        <v>1578</v>
      </c>
      <c r="C35" s="165"/>
      <c r="D35" s="165"/>
      <c r="E35" s="165"/>
      <c r="F35" s="165"/>
      <c r="G35" s="165"/>
      <c r="H35" s="165"/>
      <c r="I35" s="165"/>
      <c r="J35" s="32">
        <v>3087522</v>
      </c>
      <c r="K35" s="36"/>
    </row>
    <row r="36" spans="1:12" ht="16.5" customHeight="1" x14ac:dyDescent="0.2">
      <c r="A36" s="56"/>
      <c r="B36" s="71"/>
      <c r="C36" s="165" t="s">
        <v>1580</v>
      </c>
      <c r="D36" s="165"/>
      <c r="E36" s="165"/>
      <c r="F36" s="165"/>
      <c r="G36" s="165"/>
      <c r="H36" s="165"/>
      <c r="I36" s="165"/>
      <c r="J36" s="36"/>
      <c r="K36" s="32">
        <v>3087522</v>
      </c>
    </row>
    <row r="37" spans="1:12" ht="16.5" customHeight="1" x14ac:dyDescent="0.2">
      <c r="A37" s="56"/>
      <c r="C37" s="165" t="s">
        <v>1625</v>
      </c>
      <c r="D37" s="165"/>
      <c r="E37" s="165"/>
      <c r="F37" s="165"/>
      <c r="G37" s="165"/>
      <c r="H37" s="165"/>
      <c r="I37" s="165"/>
      <c r="J37" s="36"/>
      <c r="K37" s="32">
        <v>3087522</v>
      </c>
    </row>
    <row r="38" spans="1:12" ht="16.5" customHeight="1" x14ac:dyDescent="0.25">
      <c r="A38" s="56"/>
      <c r="B38" s="57"/>
      <c r="C38" s="165" t="str">
        <f>VLOOKUP($F$8,'Drop Down Menus'!$D$2:$G$10,4,FALSE)</f>
        <v>Cr: Acct 0835 - CORRECTIONS AND REHABILITATION</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6175044</v>
      </c>
      <c r="K39" s="29">
        <f>ROUND(SUM(K36:K38),2)</f>
        <v>6175044</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1608</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1591</v>
      </c>
      <c r="B43" s="74"/>
      <c r="C43" s="75"/>
      <c r="D43" s="75"/>
      <c r="E43" s="75"/>
      <c r="F43" s="26"/>
      <c r="G43" s="26"/>
      <c r="H43" s="76"/>
      <c r="I43" s="76"/>
      <c r="J43" s="26"/>
      <c r="K43" s="26"/>
      <c r="L43" s="54"/>
    </row>
    <row r="44" spans="1:12" ht="16.5" customHeight="1" x14ac:dyDescent="0.3">
      <c r="A44" s="55">
        <v>3</v>
      </c>
      <c r="B44" s="77" t="s">
        <v>1627</v>
      </c>
      <c r="C44" s="78"/>
      <c r="D44" s="78"/>
      <c r="E44" s="78"/>
      <c r="F44" s="31"/>
      <c r="G44" s="31"/>
      <c r="H44" s="79"/>
      <c r="I44" s="79"/>
      <c r="J44" s="31"/>
      <c r="K44" s="31"/>
      <c r="L44" s="54"/>
    </row>
    <row r="45" spans="1:12" ht="16.5" customHeight="1" x14ac:dyDescent="0.2">
      <c r="A45" s="56"/>
      <c r="B45" s="165" t="s">
        <v>1581</v>
      </c>
      <c r="C45" s="165"/>
      <c r="D45" s="165"/>
      <c r="E45" s="165"/>
      <c r="F45" s="165"/>
      <c r="G45" s="165"/>
      <c r="H45" s="165"/>
      <c r="I45" s="165"/>
      <c r="J45" s="32">
        <v>19616824</v>
      </c>
      <c r="K45" s="33"/>
    </row>
    <row r="46" spans="1:12" ht="16.5" customHeight="1" x14ac:dyDescent="0.2">
      <c r="A46" s="56"/>
      <c r="B46" s="71"/>
      <c r="C46" s="165" t="s">
        <v>1586</v>
      </c>
      <c r="D46" s="165"/>
      <c r="E46" s="165"/>
      <c r="F46" s="165"/>
      <c r="G46" s="165"/>
      <c r="H46" s="165"/>
      <c r="I46" s="165"/>
      <c r="J46" s="36"/>
      <c r="K46" s="32">
        <f>J45</f>
        <v>19616824</v>
      </c>
    </row>
    <row r="47" spans="1:12" ht="16.5" customHeight="1" x14ac:dyDescent="0.2">
      <c r="A47" s="68"/>
      <c r="B47" s="58"/>
      <c r="C47" s="58"/>
      <c r="D47" s="58"/>
      <c r="E47" s="58"/>
      <c r="F47" s="58"/>
      <c r="G47" s="58"/>
      <c r="H47" s="58"/>
      <c r="I47" s="58"/>
      <c r="J47" s="39">
        <f>ROUND(SUM(J45:J45),2)</f>
        <v>19616824</v>
      </c>
      <c r="K47" s="39">
        <f>ROUND(SUM(K46),2)</f>
        <v>19616824</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1628</v>
      </c>
      <c r="C49" s="63"/>
      <c r="D49" s="63"/>
      <c r="E49" s="63"/>
      <c r="F49" s="6"/>
      <c r="G49" s="6"/>
      <c r="H49" s="64"/>
      <c r="I49" s="64"/>
      <c r="J49" s="5"/>
      <c r="K49" s="5"/>
      <c r="L49" s="54"/>
    </row>
    <row r="50" spans="1:12" ht="16.5" customHeight="1" x14ac:dyDescent="0.2">
      <c r="A50" s="56"/>
      <c r="B50" s="165" t="s">
        <v>1610</v>
      </c>
      <c r="C50" s="165"/>
      <c r="D50" s="165"/>
      <c r="E50" s="165"/>
      <c r="F50" s="165"/>
      <c r="G50" s="165"/>
      <c r="H50" s="165"/>
      <c r="I50" s="165"/>
      <c r="J50" s="37">
        <v>18973772</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914803</v>
      </c>
      <c r="K51" s="81"/>
    </row>
    <row r="52" spans="1:12" ht="16.5" customHeight="1" x14ac:dyDescent="0.25">
      <c r="A52" s="56"/>
      <c r="B52" s="57"/>
      <c r="C52" s="165" t="str">
        <f>VLOOKUP($F$8,'Drop Down Menus'!$D$2:$G$10,4,FALSE)</f>
        <v>Cr: Acct 0835 - CORRECTIONS AND REHABILITATION</v>
      </c>
      <c r="D52" s="165"/>
      <c r="E52" s="165"/>
      <c r="F52" s="165"/>
      <c r="G52" s="165"/>
      <c r="H52" s="165"/>
      <c r="I52" s="165"/>
      <c r="J52" s="81"/>
      <c r="K52" s="38">
        <f>+J50+J51</f>
        <v>19888575</v>
      </c>
    </row>
    <row r="53" spans="1:12" ht="16.5" customHeight="1" x14ac:dyDescent="0.2">
      <c r="A53" s="68"/>
      <c r="B53" s="58"/>
      <c r="C53" s="58"/>
      <c r="D53" s="58"/>
      <c r="E53" s="58"/>
      <c r="F53" s="58"/>
      <c r="G53" s="58"/>
      <c r="H53" s="58"/>
      <c r="I53" s="58"/>
      <c r="J53" s="39">
        <f>ROUND(SUM(J50:J51),2)</f>
        <v>19888575</v>
      </c>
      <c r="K53" s="39">
        <f>ROUND(SUM(K52,),2)</f>
        <v>19888575</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1629</v>
      </c>
      <c r="C55" s="82"/>
      <c r="D55" s="82"/>
      <c r="E55" s="82"/>
      <c r="F55" s="4"/>
      <c r="G55" s="4"/>
      <c r="H55" s="83"/>
      <c r="I55" s="83"/>
      <c r="J55" s="5"/>
      <c r="K55" s="5"/>
      <c r="L55" s="54"/>
    </row>
    <row r="56" spans="1:12" ht="16.5" customHeight="1" x14ac:dyDescent="0.2">
      <c r="A56" s="56"/>
      <c r="B56" s="165" t="s">
        <v>1626</v>
      </c>
      <c r="C56" s="165"/>
      <c r="D56" s="165"/>
      <c r="E56" s="165"/>
      <c r="F56" s="165"/>
      <c r="G56" s="165"/>
      <c r="H56" s="165"/>
      <c r="I56" s="165"/>
      <c r="J56" s="32">
        <v>18973772</v>
      </c>
      <c r="K56" s="36"/>
    </row>
    <row r="57" spans="1:12" ht="16.5" customHeight="1" x14ac:dyDescent="0.25">
      <c r="A57" s="56"/>
      <c r="B57" s="57"/>
      <c r="C57" s="165" t="s">
        <v>1612</v>
      </c>
      <c r="D57" s="165"/>
      <c r="E57" s="165"/>
      <c r="F57" s="165"/>
      <c r="G57" s="165"/>
      <c r="H57" s="165"/>
      <c r="I57" s="165"/>
      <c r="J57" s="36"/>
      <c r="K57" s="32">
        <f>J50</f>
        <v>18973772</v>
      </c>
    </row>
    <row r="58" spans="1:12" ht="16.5" customHeight="1" x14ac:dyDescent="0.2">
      <c r="A58" s="68"/>
      <c r="B58" s="58"/>
      <c r="C58" s="58"/>
      <c r="D58" s="58"/>
      <c r="E58" s="58"/>
      <c r="F58" s="58"/>
      <c r="G58" s="58"/>
      <c r="H58" s="58"/>
      <c r="I58" s="58"/>
      <c r="J58" s="39">
        <f>ROUND(SUM(J56:J56),2)</f>
        <v>18973772</v>
      </c>
      <c r="K58" s="39">
        <f>ROUND(SUM(K57),2)</f>
        <v>18973772</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1630</v>
      </c>
      <c r="C60" s="82"/>
      <c r="D60" s="82"/>
      <c r="E60" s="82"/>
      <c r="F60" s="4"/>
      <c r="G60" s="4"/>
      <c r="H60" s="83"/>
      <c r="I60" s="83"/>
      <c r="J60" s="5"/>
      <c r="K60" s="5"/>
      <c r="L60" s="54"/>
    </row>
    <row r="61" spans="1:12" ht="16.5" customHeight="1" x14ac:dyDescent="0.2">
      <c r="B61" s="165" t="s">
        <v>1626</v>
      </c>
      <c r="C61" s="165"/>
      <c r="D61" s="165"/>
      <c r="E61" s="165"/>
      <c r="F61" s="165"/>
      <c r="G61" s="165"/>
      <c r="H61" s="165"/>
      <c r="I61" s="165"/>
      <c r="J61" s="41">
        <v>18970973</v>
      </c>
      <c r="K61" s="33"/>
    </row>
    <row r="62" spans="1:12" ht="16.5" customHeight="1" x14ac:dyDescent="0.25">
      <c r="A62" s="56"/>
      <c r="B62" s="57"/>
      <c r="C62" s="165" t="s">
        <v>1622</v>
      </c>
      <c r="D62" s="165"/>
      <c r="E62" s="165"/>
      <c r="F62" s="165"/>
      <c r="G62" s="165"/>
      <c r="H62" s="165"/>
      <c r="I62" s="165"/>
      <c r="J62" s="33"/>
      <c r="K62" s="32">
        <f>J61</f>
        <v>18970973</v>
      </c>
    </row>
    <row r="63" spans="1:12" ht="16.5" customHeight="1" x14ac:dyDescent="0.2">
      <c r="A63" s="56"/>
      <c r="B63" s="179" t="s">
        <v>1621</v>
      </c>
      <c r="C63" s="179"/>
      <c r="D63" s="179"/>
      <c r="E63" s="179"/>
      <c r="F63" s="179"/>
      <c r="G63" s="179"/>
      <c r="H63" s="179"/>
      <c r="I63" s="179"/>
      <c r="J63" s="39">
        <f>ROUND(SUM(J61:J61),2)</f>
        <v>18970973</v>
      </c>
      <c r="K63" s="39">
        <f>ROUND(SUM(K62),2)</f>
        <v>18970973</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1592</v>
      </c>
      <c r="B66" s="65"/>
      <c r="C66" s="66"/>
      <c r="D66" s="66"/>
      <c r="E66" s="66"/>
      <c r="F66" s="30"/>
      <c r="G66" s="30"/>
      <c r="H66" s="67"/>
      <c r="I66" s="67"/>
      <c r="J66" s="30"/>
      <c r="K66" s="30"/>
      <c r="L66" s="54"/>
    </row>
    <row r="67" spans="1:12" ht="16.5" hidden="1" customHeight="1" x14ac:dyDescent="0.3">
      <c r="A67" s="55">
        <v>7</v>
      </c>
      <c r="B67" s="77" t="s">
        <v>1595</v>
      </c>
    </row>
    <row r="68" spans="1:12" ht="16.5" hidden="1" customHeight="1" x14ac:dyDescent="0.2">
      <c r="B68" s="164" t="s">
        <v>1593</v>
      </c>
      <c r="C68" s="164"/>
      <c r="D68" s="164"/>
      <c r="E68" s="164"/>
      <c r="F68" s="164"/>
      <c r="G68" s="164"/>
      <c r="H68" s="164"/>
      <c r="I68" s="164"/>
      <c r="J68" s="41"/>
      <c r="K68" s="34"/>
      <c r="L68" s="54"/>
    </row>
    <row r="69" spans="1:12" ht="16.5" hidden="1" customHeight="1" x14ac:dyDescent="0.2">
      <c r="A69" s="56"/>
      <c r="B69" s="84"/>
      <c r="C69" s="164" t="s">
        <v>1594</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1609</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1617</v>
      </c>
      <c r="B74" s="86"/>
      <c r="C74" s="87"/>
      <c r="D74" s="87"/>
      <c r="E74" s="87"/>
      <c r="F74" s="40"/>
      <c r="G74" s="40"/>
      <c r="H74" s="88"/>
      <c r="I74" s="88"/>
      <c r="J74" s="40"/>
      <c r="K74" s="40"/>
      <c r="L74" s="54"/>
    </row>
    <row r="75" spans="1:12" ht="16.5" hidden="1" customHeight="1" x14ac:dyDescent="0.3">
      <c r="A75" s="55">
        <v>8</v>
      </c>
      <c r="B75" s="180" t="s">
        <v>1611</v>
      </c>
      <c r="C75" s="181"/>
      <c r="D75" s="181"/>
      <c r="E75" s="181"/>
      <c r="F75" s="181"/>
      <c r="G75" s="181"/>
      <c r="H75" s="181"/>
      <c r="I75" s="181"/>
      <c r="J75" s="181"/>
      <c r="K75" s="181"/>
      <c r="L75" s="54"/>
    </row>
    <row r="76" spans="1:12" ht="16.5" hidden="1" customHeight="1" x14ac:dyDescent="0.2">
      <c r="B76" s="165" t="s">
        <v>1625</v>
      </c>
      <c r="C76" s="165"/>
      <c r="D76" s="165"/>
      <c r="E76" s="165"/>
      <c r="F76" s="165"/>
      <c r="G76" s="165"/>
      <c r="H76" s="165"/>
      <c r="I76" s="165"/>
      <c r="J76" s="41"/>
    </row>
    <row r="77" spans="1:12" ht="16.5" hidden="1" customHeight="1" x14ac:dyDescent="0.2">
      <c r="B77" s="164" t="s">
        <v>1593</v>
      </c>
      <c r="C77" s="164"/>
      <c r="D77" s="164"/>
      <c r="E77" s="164"/>
      <c r="F77" s="164"/>
      <c r="G77" s="164"/>
      <c r="H77" s="164"/>
      <c r="I77" s="164"/>
      <c r="J77" s="41"/>
    </row>
    <row r="78" spans="1:12" ht="16.5" hidden="1" customHeight="1" x14ac:dyDescent="0.2">
      <c r="B78" s="165" t="str">
        <f>VLOOKUP($F$8,'Drop Down Menus'!$D$2:$G$10,4,FALSE)</f>
        <v>Cr: Acct 0835 - CORRECTIONS AND REHABILITATION</v>
      </c>
      <c r="C78" s="165"/>
      <c r="D78" s="165"/>
      <c r="E78" s="165"/>
      <c r="F78" s="165"/>
      <c r="G78" s="165"/>
      <c r="H78" s="165"/>
      <c r="I78" s="165"/>
      <c r="J78" s="41"/>
    </row>
    <row r="79" spans="1:12" ht="16.5" hidden="1" customHeight="1" x14ac:dyDescent="0.2">
      <c r="C79" s="164" t="s">
        <v>1594</v>
      </c>
      <c r="D79" s="164"/>
      <c r="E79" s="164"/>
      <c r="F79" s="164"/>
      <c r="G79" s="164"/>
      <c r="H79" s="164"/>
      <c r="I79" s="164"/>
      <c r="K79" s="41"/>
    </row>
    <row r="80" spans="1:12" ht="16.5" hidden="1" customHeight="1" x14ac:dyDescent="0.2">
      <c r="C80" s="165" t="str">
        <f>VLOOKUP($F$8,'Drop Down Menus'!$D$2:$G$10,4,FALSE)</f>
        <v>Cr: Acct 0835 - CORRECTIONS AND REHABILITATION</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1613</v>
      </c>
      <c r="C83" s="175"/>
      <c r="D83" s="175"/>
      <c r="E83" s="175"/>
      <c r="F83" s="175"/>
      <c r="G83" s="175"/>
      <c r="H83" s="175"/>
      <c r="I83" s="175"/>
      <c r="J83" s="175"/>
      <c r="K83" s="175"/>
    </row>
    <row r="84" spans="1:12" ht="16.5" hidden="1" customHeight="1" x14ac:dyDescent="0.2">
      <c r="B84" s="165" t="s">
        <v>1579</v>
      </c>
      <c r="C84" s="165"/>
      <c r="D84" s="165"/>
      <c r="E84" s="165"/>
      <c r="F84" s="165"/>
      <c r="G84" s="165"/>
      <c r="H84" s="165"/>
      <c r="I84" s="165"/>
      <c r="J84" s="41"/>
    </row>
    <row r="85" spans="1:12" ht="16.5" hidden="1" customHeight="1" x14ac:dyDescent="0.2">
      <c r="C85" s="165" t="s">
        <v>1625</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1618</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1632</v>
      </c>
      <c r="E92" s="158"/>
      <c r="F92" s="159"/>
      <c r="G92" s="159"/>
      <c r="H92" s="159"/>
      <c r="I92" s="160"/>
      <c r="J92" s="160"/>
      <c r="K92" s="161"/>
    </row>
    <row r="93" spans="1:12" ht="16.5" customHeight="1" x14ac:dyDescent="0.25">
      <c r="D93"/>
      <c r="E93"/>
      <c r="F93"/>
      <c r="G93"/>
      <c r="H93" s="44"/>
      <c r="I93"/>
      <c r="J93"/>
      <c r="K93" s="163" t="s">
        <v>1633</v>
      </c>
    </row>
    <row r="94" spans="1:12" ht="16.5" customHeight="1" x14ac:dyDescent="0.25">
      <c r="D94" s="57" t="s">
        <v>1634</v>
      </c>
      <c r="E94"/>
      <c r="F94"/>
      <c r="G94"/>
      <c r="H94" s="44"/>
      <c r="I94"/>
      <c r="J94"/>
      <c r="K94" s="162">
        <f>+J15+J34-K69-K79+J84</f>
        <v>49905590</v>
      </c>
    </row>
    <row r="95" spans="1:12" ht="16.5" customHeight="1" x14ac:dyDescent="0.25">
      <c r="D95" s="57" t="s">
        <v>1637</v>
      </c>
      <c r="E95"/>
      <c r="F95"/>
      <c r="G95"/>
      <c r="H95" s="44"/>
      <c r="I95"/>
      <c r="J95"/>
      <c r="K95" s="162">
        <f>-K18-K46+J68+J77</f>
        <v>-19616824</v>
      </c>
    </row>
    <row r="96" spans="1:12" ht="16.5" customHeight="1" x14ac:dyDescent="0.25">
      <c r="D96" s="57" t="s">
        <v>1635</v>
      </c>
      <c r="E96"/>
      <c r="F96"/>
      <c r="G96"/>
      <c r="H96" s="44"/>
      <c r="I96"/>
      <c r="J96"/>
      <c r="K96" s="162">
        <f>-K19-K37+J56+J61+J76-K85</f>
        <v>-9026944</v>
      </c>
    </row>
    <row r="97" spans="1:11" ht="16.5" customHeight="1" x14ac:dyDescent="0.25">
      <c r="D97" s="57" t="s">
        <v>1636</v>
      </c>
      <c r="E97"/>
      <c r="F97"/>
      <c r="G97"/>
      <c r="H97" s="44"/>
      <c r="I97"/>
      <c r="J97"/>
      <c r="K97" s="162">
        <f>-K62</f>
        <v>-18970973</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6QQkpFRAEujHIZ35t2W+cCsNPm3SPfaYc42Pxw6oZwP0EYG6tzvuHvm3ul/zE4vu6G6GYtyPrK8/pB0n9wMm4Q==" saltValue="CQF+elii6hPG1cOSLoc7Vg=="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2"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1BA7D-3EE2-4F4A-A40F-13F328B83493}">
  <sheetPr>
    <tabColor rgb="FF92D050"/>
    <pageSetUpPr fitToPage="1"/>
  </sheetPr>
  <dimension ref="A1:Q115"/>
  <sheetViews>
    <sheetView topLeftCell="A17" zoomScale="85" zoomScaleNormal="85" workbookViewId="0">
      <selection activeCell="J54" sqref="J54"/>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1607</v>
      </c>
      <c r="B1" s="166"/>
      <c r="C1" s="166"/>
      <c r="D1" s="166"/>
      <c r="E1" s="166"/>
      <c r="F1" s="166"/>
      <c r="G1" s="166"/>
      <c r="H1" s="166"/>
      <c r="I1" s="166"/>
      <c r="J1" s="166"/>
      <c r="K1" s="166"/>
      <c r="L1" s="43"/>
    </row>
    <row r="2" spans="1:17" ht="18" x14ac:dyDescent="0.25">
      <c r="A2" s="167" t="s">
        <v>1564</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1585</v>
      </c>
      <c r="B4" s="169"/>
      <c r="C4" s="169"/>
      <c r="D4" s="169"/>
      <c r="E4" s="169"/>
      <c r="F4" s="168" t="s">
        <v>1638</v>
      </c>
      <c r="G4" s="168"/>
      <c r="H4" s="168"/>
      <c r="I4" s="168"/>
    </row>
    <row r="5" spans="1:17" ht="15.75" x14ac:dyDescent="0.2">
      <c r="A5" s="169" t="s">
        <v>1601</v>
      </c>
      <c r="B5" s="169"/>
      <c r="C5" s="169"/>
      <c r="D5" s="169"/>
      <c r="E5" s="169"/>
      <c r="F5" s="170" t="s">
        <v>821</v>
      </c>
      <c r="G5" s="170"/>
      <c r="H5" s="170"/>
      <c r="I5" s="170"/>
      <c r="J5" s="47"/>
      <c r="K5" s="47"/>
      <c r="L5" s="48"/>
      <c r="M5" s="48"/>
      <c r="N5" s="48"/>
    </row>
    <row r="6" spans="1:17" ht="15.75" x14ac:dyDescent="0.2">
      <c r="A6" s="169" t="s">
        <v>1</v>
      </c>
      <c r="B6" s="169"/>
      <c r="C6" s="169"/>
      <c r="D6" s="169"/>
      <c r="E6" s="169"/>
      <c r="F6" s="171">
        <v>917</v>
      </c>
      <c r="G6" s="171"/>
      <c r="H6" s="171"/>
      <c r="I6" s="171"/>
      <c r="L6" s="49"/>
      <c r="M6" s="48"/>
      <c r="N6" s="48"/>
      <c r="P6" s="27"/>
    </row>
    <row r="7" spans="1:17" ht="15.75" x14ac:dyDescent="0.2">
      <c r="A7" s="169" t="s">
        <v>1570</v>
      </c>
      <c r="B7" s="169"/>
      <c r="C7" s="169"/>
      <c r="D7" s="169"/>
      <c r="E7" s="169"/>
      <c r="F7" s="168" t="s">
        <v>1569</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PROPRIETARY FUND</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1579</v>
      </c>
      <c r="C15" s="165"/>
      <c r="D15" s="165"/>
      <c r="E15" s="165"/>
      <c r="F15" s="165"/>
      <c r="G15" s="165"/>
      <c r="H15" s="165"/>
      <c r="I15" s="165"/>
      <c r="J15" s="32">
        <v>1326434</v>
      </c>
      <c r="K15" s="33"/>
    </row>
    <row r="16" spans="1:17" ht="16.5" hidden="1" customHeight="1" x14ac:dyDescent="0.2">
      <c r="A16" s="56"/>
      <c r="B16" s="165" t="s">
        <v>1587</v>
      </c>
      <c r="C16" s="165"/>
      <c r="D16" s="165"/>
      <c r="E16" s="165"/>
      <c r="F16" s="165"/>
      <c r="G16" s="165"/>
      <c r="H16" s="165"/>
      <c r="I16" s="165"/>
      <c r="J16" s="32"/>
      <c r="K16" s="33"/>
    </row>
    <row r="17" spans="1:17" ht="16.5" customHeight="1" x14ac:dyDescent="0.2">
      <c r="A17" s="56"/>
      <c r="B17" s="165" t="s">
        <v>1588</v>
      </c>
      <c r="C17" s="165"/>
      <c r="D17" s="165"/>
      <c r="E17" s="165"/>
      <c r="F17" s="165"/>
      <c r="G17" s="165"/>
      <c r="H17" s="165"/>
      <c r="I17" s="165"/>
      <c r="J17" s="32"/>
      <c r="K17" s="33"/>
    </row>
    <row r="18" spans="1:17" ht="16.5" hidden="1" customHeight="1" x14ac:dyDescent="0.2">
      <c r="A18" s="56"/>
      <c r="B18" s="42"/>
      <c r="C18" s="165" t="s">
        <v>1586</v>
      </c>
      <c r="D18" s="165"/>
      <c r="E18" s="165"/>
      <c r="F18" s="165"/>
      <c r="G18" s="165"/>
      <c r="H18" s="165"/>
      <c r="I18" s="165"/>
      <c r="J18" s="33"/>
      <c r="K18" s="32"/>
    </row>
    <row r="19" spans="1:17" ht="16.5" customHeight="1" x14ac:dyDescent="0.25">
      <c r="A19" s="56"/>
      <c r="B19" s="57"/>
      <c r="C19" s="165" t="s">
        <v>1625</v>
      </c>
      <c r="D19" s="165"/>
      <c r="E19" s="165"/>
      <c r="F19" s="165"/>
      <c r="G19" s="165"/>
      <c r="H19" s="165"/>
      <c r="I19" s="165"/>
      <c r="J19" s="33"/>
      <c r="K19" s="32">
        <v>1194426</v>
      </c>
      <c r="P19" s="27"/>
    </row>
    <row r="20" spans="1:17" ht="16.5" hidden="1" customHeight="1" x14ac:dyDescent="0.25">
      <c r="A20" s="56"/>
      <c r="B20" s="57"/>
      <c r="C20" s="165" t="s">
        <v>1589</v>
      </c>
      <c r="D20" s="165"/>
      <c r="E20" s="165"/>
      <c r="F20" s="165"/>
      <c r="G20" s="165"/>
      <c r="H20" s="165"/>
      <c r="I20" s="165"/>
      <c r="K20" s="32"/>
      <c r="Q20" s="28"/>
    </row>
    <row r="21" spans="1:17" ht="16.5" customHeight="1" x14ac:dyDescent="0.25">
      <c r="A21" s="56"/>
      <c r="B21" s="57"/>
      <c r="C21" s="165" t="s">
        <v>1590</v>
      </c>
      <c r="D21" s="165"/>
      <c r="E21" s="165"/>
      <c r="F21" s="165"/>
      <c r="G21" s="165"/>
      <c r="H21" s="165"/>
      <c r="I21" s="165"/>
      <c r="J21" s="33"/>
      <c r="K21" s="32">
        <v>132008</v>
      </c>
      <c r="Q21" s="28"/>
    </row>
    <row r="22" spans="1:17" ht="16.5" customHeight="1" x14ac:dyDescent="0.2">
      <c r="A22" s="56"/>
      <c r="B22" s="58"/>
      <c r="C22" s="58"/>
      <c r="D22" s="58"/>
      <c r="E22" s="58"/>
      <c r="F22" s="58"/>
      <c r="G22" s="58"/>
      <c r="H22" s="58"/>
      <c r="I22" s="58"/>
      <c r="J22" s="29">
        <f>ROUND(SUM(J15:J17),2)</f>
        <v>1326434</v>
      </c>
      <c r="K22" s="29">
        <f>ROUND(SUM(K18:K21),2)</f>
        <v>1326434</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1604</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1605</v>
      </c>
      <c r="C27" s="175"/>
      <c r="D27" s="175"/>
      <c r="E27" s="175"/>
      <c r="F27" s="175"/>
      <c r="G27" s="175"/>
      <c r="H27" s="175"/>
      <c r="I27" s="175"/>
      <c r="J27" s="175"/>
      <c r="K27" s="175"/>
      <c r="L27" s="54"/>
    </row>
    <row r="28" spans="1:17" ht="16.5" customHeight="1" x14ac:dyDescent="0.2">
      <c r="A28" s="56"/>
      <c r="B28" s="165" t="s">
        <v>1576</v>
      </c>
      <c r="C28" s="165"/>
      <c r="D28" s="165"/>
      <c r="E28" s="165"/>
      <c r="F28" s="165"/>
      <c r="G28" s="165"/>
      <c r="H28" s="165"/>
      <c r="I28" s="165"/>
      <c r="J28" s="32"/>
      <c r="K28" s="33"/>
      <c r="L28" s="54"/>
    </row>
    <row r="29" spans="1:17" ht="16.5" customHeight="1" x14ac:dyDescent="0.25">
      <c r="A29" s="56"/>
      <c r="B29" s="57"/>
      <c r="C29" s="165" t="s">
        <v>1577</v>
      </c>
      <c r="D29" s="165"/>
      <c r="E29" s="165"/>
      <c r="F29" s="165"/>
      <c r="G29" s="165"/>
      <c r="H29" s="165"/>
      <c r="I29" s="165"/>
      <c r="J29" s="33"/>
      <c r="K29" s="32"/>
      <c r="L29" s="54"/>
    </row>
    <row r="30" spans="1:17" ht="16.5" customHeight="1" x14ac:dyDescent="0.25">
      <c r="A30" s="56"/>
      <c r="B30" s="57"/>
      <c r="C30" s="165" t="str">
        <f>VLOOKUP($F$8,'Drop Down Menus'!$D$2:$G$10,4,FALSE)</f>
        <v>Cr: Acct 0870 - SERVICES &amp; CHARGES (MG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1606</v>
      </c>
      <c r="C33" s="178"/>
      <c r="D33" s="178"/>
      <c r="E33" s="178"/>
      <c r="F33" s="178"/>
      <c r="G33" s="178"/>
      <c r="H33" s="178"/>
      <c r="I33" s="178"/>
      <c r="J33" s="178"/>
      <c r="K33" s="178"/>
      <c r="L33" s="54"/>
    </row>
    <row r="34" spans="1:12" ht="16.5" customHeight="1" x14ac:dyDescent="0.3">
      <c r="A34" s="68"/>
      <c r="B34" s="165" t="s">
        <v>1579</v>
      </c>
      <c r="C34" s="165"/>
      <c r="D34" s="165"/>
      <c r="E34" s="165"/>
      <c r="F34" s="165"/>
      <c r="G34" s="165"/>
      <c r="H34" s="165"/>
      <c r="I34" s="165"/>
      <c r="J34" s="32"/>
      <c r="K34" s="70"/>
      <c r="L34" s="54"/>
    </row>
    <row r="35" spans="1:12" ht="16.5" customHeight="1" x14ac:dyDescent="0.2">
      <c r="B35" s="165" t="s">
        <v>1578</v>
      </c>
      <c r="C35" s="165"/>
      <c r="D35" s="165"/>
      <c r="E35" s="165"/>
      <c r="F35" s="165"/>
      <c r="G35" s="165"/>
      <c r="H35" s="165"/>
      <c r="I35" s="165"/>
      <c r="J35" s="32"/>
      <c r="K35" s="36"/>
    </row>
    <row r="36" spans="1:12" ht="16.5" customHeight="1" x14ac:dyDescent="0.2">
      <c r="A36" s="56"/>
      <c r="B36" s="71"/>
      <c r="C36" s="165" t="s">
        <v>1580</v>
      </c>
      <c r="D36" s="165"/>
      <c r="E36" s="165"/>
      <c r="F36" s="165"/>
      <c r="G36" s="165"/>
      <c r="H36" s="165"/>
      <c r="I36" s="165"/>
      <c r="J36" s="36"/>
      <c r="K36" s="32"/>
    </row>
    <row r="37" spans="1:12" ht="16.5" customHeight="1" x14ac:dyDescent="0.2">
      <c r="A37" s="56"/>
      <c r="C37" s="165" t="s">
        <v>1625</v>
      </c>
      <c r="D37" s="165"/>
      <c r="E37" s="165"/>
      <c r="F37" s="165"/>
      <c r="G37" s="165"/>
      <c r="H37" s="165"/>
      <c r="I37" s="165"/>
      <c r="J37" s="36"/>
      <c r="K37" s="32"/>
    </row>
    <row r="38" spans="1:12" ht="16.5" customHeight="1" x14ac:dyDescent="0.25">
      <c r="A38" s="56"/>
      <c r="B38" s="57"/>
      <c r="C38" s="165" t="str">
        <f>VLOOKUP($F$8,'Drop Down Menus'!$D$2:$G$10,4,FALSE)</f>
        <v>Cr: Acct 0870 - SERVICES &amp; CHARGES (MG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1608</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1591</v>
      </c>
      <c r="B43" s="74"/>
      <c r="C43" s="75"/>
      <c r="D43" s="75"/>
      <c r="E43" s="75"/>
      <c r="F43" s="26"/>
      <c r="G43" s="26"/>
      <c r="H43" s="76"/>
      <c r="I43" s="76"/>
      <c r="J43" s="26"/>
      <c r="K43" s="26"/>
      <c r="L43" s="54"/>
    </row>
    <row r="44" spans="1:12" ht="16.5" customHeight="1" x14ac:dyDescent="0.3">
      <c r="A44" s="55">
        <v>3</v>
      </c>
      <c r="B44" s="77" t="s">
        <v>1627</v>
      </c>
      <c r="C44" s="78"/>
      <c r="D44" s="78"/>
      <c r="E44" s="78"/>
      <c r="F44" s="31"/>
      <c r="G44" s="31"/>
      <c r="H44" s="79"/>
      <c r="I44" s="79"/>
      <c r="J44" s="31"/>
      <c r="K44" s="31"/>
      <c r="L44" s="54"/>
    </row>
    <row r="45" spans="1:12" ht="16.5" customHeight="1" x14ac:dyDescent="0.2">
      <c r="A45" s="56"/>
      <c r="B45" s="165" t="s">
        <v>1581</v>
      </c>
      <c r="C45" s="165"/>
      <c r="D45" s="165"/>
      <c r="E45" s="165"/>
      <c r="F45" s="165"/>
      <c r="G45" s="165"/>
      <c r="H45" s="165"/>
      <c r="I45" s="165"/>
      <c r="J45" s="32">
        <v>395440</v>
      </c>
      <c r="K45" s="33"/>
    </row>
    <row r="46" spans="1:12" ht="16.5" customHeight="1" x14ac:dyDescent="0.2">
      <c r="A46" s="56"/>
      <c r="B46" s="71"/>
      <c r="C46" s="165" t="s">
        <v>1586</v>
      </c>
      <c r="D46" s="165"/>
      <c r="E46" s="165"/>
      <c r="F46" s="165"/>
      <c r="G46" s="165"/>
      <c r="H46" s="165"/>
      <c r="I46" s="165"/>
      <c r="J46" s="36"/>
      <c r="K46" s="32">
        <f>J45</f>
        <v>395440</v>
      </c>
    </row>
    <row r="47" spans="1:12" ht="16.5" customHeight="1" x14ac:dyDescent="0.2">
      <c r="A47" s="68"/>
      <c r="B47" s="58"/>
      <c r="C47" s="58"/>
      <c r="D47" s="58"/>
      <c r="E47" s="58"/>
      <c r="F47" s="58"/>
      <c r="G47" s="58"/>
      <c r="H47" s="58"/>
      <c r="I47" s="58"/>
      <c r="J47" s="39">
        <f>ROUND(SUM(J45:J45),2)</f>
        <v>395440</v>
      </c>
      <c r="K47" s="39">
        <f>ROUND(SUM(K46),2)</f>
        <v>395440</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1628</v>
      </c>
      <c r="C49" s="63"/>
      <c r="D49" s="63"/>
      <c r="E49" s="63"/>
      <c r="F49" s="6"/>
      <c r="G49" s="6"/>
      <c r="H49" s="64"/>
      <c r="I49" s="64"/>
      <c r="J49" s="5"/>
      <c r="K49" s="5"/>
      <c r="L49" s="54"/>
    </row>
    <row r="50" spans="1:12" ht="16.5" customHeight="1" x14ac:dyDescent="0.2">
      <c r="A50" s="56"/>
      <c r="B50" s="165" t="s">
        <v>1610</v>
      </c>
      <c r="C50" s="165"/>
      <c r="D50" s="165"/>
      <c r="E50" s="165"/>
      <c r="F50" s="165"/>
      <c r="G50" s="165"/>
      <c r="H50" s="165"/>
      <c r="I50" s="165"/>
      <c r="J50" s="37">
        <v>388635</v>
      </c>
      <c r="K50" s="81"/>
    </row>
    <row r="51" spans="1:12" ht="16.5" customHeight="1" x14ac:dyDescent="0.2">
      <c r="A51" s="56"/>
      <c r="B51" s="165" t="str">
        <f>IF(OR($F$7="Proprietary - Internal Service Fund",$F$7="Proprietary - Enterprise Fund"),"Dr: Acct 0894 - INTEREST EXPENSE AND FISCAL CHARGES","Dr: Acct 0851 - DEBT SERVICE - INTEREST LEASES")</f>
        <v>Dr: Acct 0894 - INTEREST EXPENSE AND FISCAL CHARGES</v>
      </c>
      <c r="C51" s="165"/>
      <c r="D51" s="165"/>
      <c r="E51" s="165"/>
      <c r="F51" s="165"/>
      <c r="G51" s="165"/>
      <c r="H51" s="165"/>
      <c r="I51" s="165"/>
      <c r="J51" s="37">
        <v>24587</v>
      </c>
      <c r="K51" s="81"/>
    </row>
    <row r="52" spans="1:12" ht="16.5" customHeight="1" x14ac:dyDescent="0.25">
      <c r="A52" s="56"/>
      <c r="B52" s="57"/>
      <c r="C52" s="165" t="str">
        <f>VLOOKUP($F$8,'Drop Down Menus'!$D$2:$G$10,4,FALSE)</f>
        <v>Cr: Acct 0870 - SERVICES &amp; CHARGES (MG ADJ)</v>
      </c>
      <c r="D52" s="165"/>
      <c r="E52" s="165"/>
      <c r="F52" s="165"/>
      <c r="G52" s="165"/>
      <c r="H52" s="165"/>
      <c r="I52" s="165"/>
      <c r="J52" s="81"/>
      <c r="K52" s="38">
        <f>+J50+J51</f>
        <v>413222</v>
      </c>
    </row>
    <row r="53" spans="1:12" ht="16.5" customHeight="1" x14ac:dyDescent="0.2">
      <c r="A53" s="68"/>
      <c r="B53" s="58"/>
      <c r="C53" s="58"/>
      <c r="D53" s="58"/>
      <c r="E53" s="58"/>
      <c r="F53" s="58"/>
      <c r="G53" s="58"/>
      <c r="H53" s="58"/>
      <c r="I53" s="58"/>
      <c r="J53" s="39">
        <f>ROUND(SUM(J50:J51),2)</f>
        <v>413222</v>
      </c>
      <c r="K53" s="39">
        <f>ROUND(SUM(K52,),2)</f>
        <v>413222</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1629</v>
      </c>
      <c r="C55" s="82"/>
      <c r="D55" s="82"/>
      <c r="E55" s="82"/>
      <c r="F55" s="4"/>
      <c r="G55" s="4"/>
      <c r="H55" s="83"/>
      <c r="I55" s="83"/>
      <c r="J55" s="5"/>
      <c r="K55" s="5"/>
      <c r="L55" s="54"/>
    </row>
    <row r="56" spans="1:12" ht="16.5" customHeight="1" x14ac:dyDescent="0.2">
      <c r="A56" s="56"/>
      <c r="B56" s="165" t="s">
        <v>1626</v>
      </c>
      <c r="C56" s="165"/>
      <c r="D56" s="165"/>
      <c r="E56" s="165"/>
      <c r="F56" s="165"/>
      <c r="G56" s="165"/>
      <c r="H56" s="165"/>
      <c r="I56" s="165"/>
      <c r="J56" s="32">
        <v>388635</v>
      </c>
      <c r="K56" s="36"/>
    </row>
    <row r="57" spans="1:12" ht="16.5" customHeight="1" x14ac:dyDescent="0.25">
      <c r="A57" s="56"/>
      <c r="B57" s="57"/>
      <c r="C57" s="165" t="s">
        <v>1612</v>
      </c>
      <c r="D57" s="165"/>
      <c r="E57" s="165"/>
      <c r="F57" s="165"/>
      <c r="G57" s="165"/>
      <c r="H57" s="165"/>
      <c r="I57" s="165"/>
      <c r="J57" s="36"/>
      <c r="K57" s="32">
        <f>J50</f>
        <v>388635</v>
      </c>
    </row>
    <row r="58" spans="1:12" ht="16.5" customHeight="1" x14ac:dyDescent="0.2">
      <c r="A58" s="68"/>
      <c r="B58" s="58"/>
      <c r="C58" s="58"/>
      <c r="D58" s="58"/>
      <c r="E58" s="58"/>
      <c r="F58" s="58"/>
      <c r="G58" s="58"/>
      <c r="H58" s="58"/>
      <c r="I58" s="58"/>
      <c r="J58" s="39">
        <f>ROUND(SUM(J56:J56),2)</f>
        <v>388635</v>
      </c>
      <c r="K58" s="39">
        <f>ROUND(SUM(K57),2)</f>
        <v>388635</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1630</v>
      </c>
      <c r="C60" s="82"/>
      <c r="D60" s="82"/>
      <c r="E60" s="82"/>
      <c r="F60" s="4"/>
      <c r="G60" s="4"/>
      <c r="H60" s="83"/>
      <c r="I60" s="83"/>
      <c r="J60" s="5"/>
      <c r="K60" s="5"/>
      <c r="L60" s="54"/>
    </row>
    <row r="61" spans="1:12" ht="16.5" customHeight="1" x14ac:dyDescent="0.2">
      <c r="B61" s="165" t="s">
        <v>1626</v>
      </c>
      <c r="C61" s="165"/>
      <c r="D61" s="165"/>
      <c r="E61" s="165"/>
      <c r="F61" s="165"/>
      <c r="G61" s="165"/>
      <c r="H61" s="165"/>
      <c r="I61" s="165"/>
      <c r="J61" s="41">
        <v>398066</v>
      </c>
      <c r="K61" s="33"/>
    </row>
    <row r="62" spans="1:12" ht="16.5" customHeight="1" x14ac:dyDescent="0.25">
      <c r="A62" s="56"/>
      <c r="B62" s="57"/>
      <c r="C62" s="165" t="s">
        <v>1622</v>
      </c>
      <c r="D62" s="165"/>
      <c r="E62" s="165"/>
      <c r="F62" s="165"/>
      <c r="G62" s="165"/>
      <c r="H62" s="165"/>
      <c r="I62" s="165"/>
      <c r="J62" s="33"/>
      <c r="K62" s="32">
        <f>J61</f>
        <v>398066</v>
      </c>
    </row>
    <row r="63" spans="1:12" ht="16.5" customHeight="1" x14ac:dyDescent="0.2">
      <c r="A63" s="56"/>
      <c r="B63" s="179" t="s">
        <v>1621</v>
      </c>
      <c r="C63" s="179"/>
      <c r="D63" s="179"/>
      <c r="E63" s="179"/>
      <c r="F63" s="179"/>
      <c r="G63" s="179"/>
      <c r="H63" s="179"/>
      <c r="I63" s="179"/>
      <c r="J63" s="39">
        <f>ROUND(SUM(J61:J61),2)</f>
        <v>398066</v>
      </c>
      <c r="K63" s="39">
        <f>ROUND(SUM(K62),2)</f>
        <v>398066</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1592</v>
      </c>
      <c r="B66" s="65"/>
      <c r="C66" s="66"/>
      <c r="D66" s="66"/>
      <c r="E66" s="66"/>
      <c r="F66" s="30"/>
      <c r="G66" s="30"/>
      <c r="H66" s="67"/>
      <c r="I66" s="67"/>
      <c r="J66" s="30"/>
      <c r="K66" s="30"/>
      <c r="L66" s="54"/>
    </row>
    <row r="67" spans="1:12" ht="16.5" hidden="1" customHeight="1" x14ac:dyDescent="0.3">
      <c r="A67" s="55">
        <v>7</v>
      </c>
      <c r="B67" s="77" t="s">
        <v>1595</v>
      </c>
    </row>
    <row r="68" spans="1:12" ht="16.5" hidden="1" customHeight="1" x14ac:dyDescent="0.2">
      <c r="B68" s="164" t="s">
        <v>1593</v>
      </c>
      <c r="C68" s="164"/>
      <c r="D68" s="164"/>
      <c r="E68" s="164"/>
      <c r="F68" s="164"/>
      <c r="G68" s="164"/>
      <c r="H68" s="164"/>
      <c r="I68" s="164"/>
      <c r="J68" s="41"/>
      <c r="K68" s="34"/>
      <c r="L68" s="54"/>
    </row>
    <row r="69" spans="1:12" ht="16.5" hidden="1" customHeight="1" x14ac:dyDescent="0.2">
      <c r="A69" s="56"/>
      <c r="B69" s="84"/>
      <c r="C69" s="164" t="s">
        <v>1594</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1609</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1617</v>
      </c>
      <c r="B74" s="86"/>
      <c r="C74" s="87"/>
      <c r="D74" s="87"/>
      <c r="E74" s="87"/>
      <c r="F74" s="40"/>
      <c r="G74" s="40"/>
      <c r="H74" s="88"/>
      <c r="I74" s="88"/>
      <c r="J74" s="40"/>
      <c r="K74" s="40"/>
      <c r="L74" s="54"/>
    </row>
    <row r="75" spans="1:12" ht="16.5" hidden="1" customHeight="1" x14ac:dyDescent="0.3">
      <c r="A75" s="55">
        <v>8</v>
      </c>
      <c r="B75" s="180" t="s">
        <v>1611</v>
      </c>
      <c r="C75" s="181"/>
      <c r="D75" s="181"/>
      <c r="E75" s="181"/>
      <c r="F75" s="181"/>
      <c r="G75" s="181"/>
      <c r="H75" s="181"/>
      <c r="I75" s="181"/>
      <c r="J75" s="181"/>
      <c r="K75" s="181"/>
      <c r="L75" s="54"/>
    </row>
    <row r="76" spans="1:12" ht="16.5" hidden="1" customHeight="1" x14ac:dyDescent="0.2">
      <c r="B76" s="165" t="s">
        <v>1625</v>
      </c>
      <c r="C76" s="165"/>
      <c r="D76" s="165"/>
      <c r="E76" s="165"/>
      <c r="F76" s="165"/>
      <c r="G76" s="165"/>
      <c r="H76" s="165"/>
      <c r="I76" s="165"/>
      <c r="J76" s="41"/>
    </row>
    <row r="77" spans="1:12" ht="16.5" hidden="1" customHeight="1" x14ac:dyDescent="0.2">
      <c r="B77" s="164" t="s">
        <v>1593</v>
      </c>
      <c r="C77" s="164"/>
      <c r="D77" s="164"/>
      <c r="E77" s="164"/>
      <c r="F77" s="164"/>
      <c r="G77" s="164"/>
      <c r="H77" s="164"/>
      <c r="I77" s="164"/>
      <c r="J77" s="41"/>
    </row>
    <row r="78" spans="1:12" ht="16.5" hidden="1" customHeight="1" x14ac:dyDescent="0.2">
      <c r="B78" s="165" t="str">
        <f>VLOOKUP($F$8,'Drop Down Menus'!$D$2:$G$10,4,FALSE)</f>
        <v>Cr: Acct 0870 - SERVICES &amp; CHARGES (MG ADJ)</v>
      </c>
      <c r="C78" s="165"/>
      <c r="D78" s="165"/>
      <c r="E78" s="165"/>
      <c r="F78" s="165"/>
      <c r="G78" s="165"/>
      <c r="H78" s="165"/>
      <c r="I78" s="165"/>
      <c r="J78" s="41"/>
    </row>
    <row r="79" spans="1:12" ht="16.5" hidden="1" customHeight="1" x14ac:dyDescent="0.2">
      <c r="C79" s="164" t="s">
        <v>1594</v>
      </c>
      <c r="D79" s="164"/>
      <c r="E79" s="164"/>
      <c r="F79" s="164"/>
      <c r="G79" s="164"/>
      <c r="H79" s="164"/>
      <c r="I79" s="164"/>
      <c r="K79" s="41"/>
    </row>
    <row r="80" spans="1:12" ht="16.5" hidden="1" customHeight="1" x14ac:dyDescent="0.2">
      <c r="C80" s="165" t="str">
        <f>VLOOKUP($F$8,'Drop Down Menus'!$D$2:$G$10,4,FALSE)</f>
        <v>Cr: Acct 0870 - SERVICES &amp; CHARGES (MG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1613</v>
      </c>
      <c r="C83" s="175"/>
      <c r="D83" s="175"/>
      <c r="E83" s="175"/>
      <c r="F83" s="175"/>
      <c r="G83" s="175"/>
      <c r="H83" s="175"/>
      <c r="I83" s="175"/>
      <c r="J83" s="175"/>
      <c r="K83" s="175"/>
    </row>
    <row r="84" spans="1:12" ht="16.5" hidden="1" customHeight="1" x14ac:dyDescent="0.2">
      <c r="B84" s="165" t="s">
        <v>1579</v>
      </c>
      <c r="C84" s="165"/>
      <c r="D84" s="165"/>
      <c r="E84" s="165"/>
      <c r="F84" s="165"/>
      <c r="G84" s="165"/>
      <c r="H84" s="165"/>
      <c r="I84" s="165"/>
      <c r="J84" s="41"/>
    </row>
    <row r="85" spans="1:12" ht="16.5" hidden="1" customHeight="1" x14ac:dyDescent="0.2">
      <c r="C85" s="165" t="s">
        <v>1625</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1618</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1632</v>
      </c>
      <c r="E92" s="158"/>
      <c r="F92" s="159"/>
      <c r="G92" s="159"/>
      <c r="H92" s="159"/>
      <c r="I92" s="160"/>
      <c r="J92" s="160"/>
      <c r="K92" s="161"/>
    </row>
    <row r="93" spans="1:12" ht="16.5" customHeight="1" x14ac:dyDescent="0.25">
      <c r="D93"/>
      <c r="E93"/>
      <c r="F93"/>
      <c r="G93"/>
      <c r="H93" s="44"/>
      <c r="I93"/>
      <c r="J93"/>
      <c r="K93" s="163" t="s">
        <v>1633</v>
      </c>
    </row>
    <row r="94" spans="1:12" ht="16.5" customHeight="1" x14ac:dyDescent="0.25">
      <c r="D94" s="57" t="s">
        <v>1634</v>
      </c>
      <c r="E94"/>
      <c r="F94"/>
      <c r="G94"/>
      <c r="H94" s="44"/>
      <c r="I94"/>
      <c r="J94"/>
      <c r="K94" s="162">
        <f>+J15+J34-K69-K79+J84</f>
        <v>1326434</v>
      </c>
    </row>
    <row r="95" spans="1:12" ht="16.5" customHeight="1" x14ac:dyDescent="0.25">
      <c r="D95" s="57" t="s">
        <v>1637</v>
      </c>
      <c r="E95"/>
      <c r="F95"/>
      <c r="G95"/>
      <c r="H95" s="44"/>
      <c r="I95"/>
      <c r="J95"/>
      <c r="K95" s="162">
        <f>-K18-K46+J68+J77</f>
        <v>-395440</v>
      </c>
    </row>
    <row r="96" spans="1:12" ht="16.5" customHeight="1" x14ac:dyDescent="0.25">
      <c r="D96" s="57" t="s">
        <v>1635</v>
      </c>
      <c r="E96"/>
      <c r="F96"/>
      <c r="G96"/>
      <c r="H96" s="44"/>
      <c r="I96"/>
      <c r="J96"/>
      <c r="K96" s="162">
        <f>-K19-K37+J56+J61+J76-K85</f>
        <v>-407725</v>
      </c>
    </row>
    <row r="97" spans="1:11" ht="16.5" customHeight="1" x14ac:dyDescent="0.25">
      <c r="D97" s="57" t="s">
        <v>1636</v>
      </c>
      <c r="E97"/>
      <c r="F97"/>
      <c r="G97"/>
      <c r="H97" s="44"/>
      <c r="I97"/>
      <c r="J97"/>
      <c r="K97" s="162">
        <f>-K62</f>
        <v>-398066</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qwKD+Q4bHnt8NVtsMZsNMAM8IqEtg29X5Fv9ipbtIuAfLzxxxzRVzXVrZ1tY9EhhTggyEwkkE4Rd/hscFAuq5w==" saltValue="P0OLhdapwBs19alTEhji8Q==" spinCount="100000" sheet="1" objects="1" scenarios="1" formatColumns="0" formatRows="0"/>
  <mergeCells count="58">
    <mergeCell ref="B83:K83"/>
    <mergeCell ref="B84:I84"/>
    <mergeCell ref="C85:I85"/>
    <mergeCell ref="B88:K88"/>
    <mergeCell ref="B75:K75"/>
    <mergeCell ref="B76:I76"/>
    <mergeCell ref="B77:I77"/>
    <mergeCell ref="B78:I78"/>
    <mergeCell ref="C79:I79"/>
    <mergeCell ref="C80:I80"/>
    <mergeCell ref="B72:K72"/>
    <mergeCell ref="C46:I46"/>
    <mergeCell ref="B50:I50"/>
    <mergeCell ref="B51:I51"/>
    <mergeCell ref="C52:I52"/>
    <mergeCell ref="B56:I56"/>
    <mergeCell ref="C57:I57"/>
    <mergeCell ref="B61:I61"/>
    <mergeCell ref="C62:I62"/>
    <mergeCell ref="B63:I64"/>
    <mergeCell ref="B68:I68"/>
    <mergeCell ref="C69:I69"/>
    <mergeCell ref="B45:I45"/>
    <mergeCell ref="B27:K27"/>
    <mergeCell ref="B28:I28"/>
    <mergeCell ref="C29:I29"/>
    <mergeCell ref="C30:I30"/>
    <mergeCell ref="B33:K33"/>
    <mergeCell ref="B34:I34"/>
    <mergeCell ref="B35:I35"/>
    <mergeCell ref="C36:I36"/>
    <mergeCell ref="C37:I37"/>
    <mergeCell ref="C38:I38"/>
    <mergeCell ref="B41:K41"/>
    <mergeCell ref="B24:K24"/>
    <mergeCell ref="A8:E8"/>
    <mergeCell ref="F8:I8"/>
    <mergeCell ref="A12:K12"/>
    <mergeCell ref="B14:K14"/>
    <mergeCell ref="B15:I15"/>
    <mergeCell ref="B16:I16"/>
    <mergeCell ref="B17:I17"/>
    <mergeCell ref="C18:I18"/>
    <mergeCell ref="C19:I19"/>
    <mergeCell ref="C20:I20"/>
    <mergeCell ref="C21:I21"/>
    <mergeCell ref="A5:E5"/>
    <mergeCell ref="F5:I5"/>
    <mergeCell ref="A6:E6"/>
    <mergeCell ref="F6:I6"/>
    <mergeCell ref="A7:E7"/>
    <mergeCell ref="F7:I7"/>
    <mergeCell ref="A1:K1"/>
    <mergeCell ref="A2:K2"/>
    <mergeCell ref="A3:E3"/>
    <mergeCell ref="F3:I3"/>
    <mergeCell ref="A4:E4"/>
    <mergeCell ref="F4:I4"/>
  </mergeCells>
  <conditionalFormatting sqref="L1 L3:L1048576">
    <cfRule type="cellIs" dxfId="2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C027B069-90E7-4C7B-8B4C-DF31CB021483}">
      <formula1>4</formula1>
    </dataValidation>
    <dataValidation type="textLength" operator="lessThan" allowBlank="1" showInputMessage="1" showErrorMessage="1" sqref="E11 A6:A8" xr:uid="{5DAD99B3-ED73-49E0-8CEB-37549AE00DB1}">
      <formula1>0</formula1>
    </dataValidation>
    <dataValidation operator="lessThan" allowBlank="1" showInputMessage="1" showErrorMessage="1" sqref="A3:A5 A7:A8 A11" xr:uid="{D7236702-BEBC-47B8-8F1F-71F410A8A847}"/>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5F96952-6BA2-415A-A8B5-97049EB9E072}">
          <x14:formula1>
            <xm:f>'Drop Down Menus'!$B$1:$B$3</xm:f>
          </x14:formula1>
          <xm:sqref>F7</xm:sqref>
        </x14:dataValidation>
        <x14:dataValidation type="list" allowBlank="1" showInputMessage="1" showErrorMessage="1" xr:uid="{623F2723-49EC-4A13-BDF5-F60DD17151B4}">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34" sqref="C34"/>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1616</v>
      </c>
      <c r="B1" s="188"/>
      <c r="C1" s="188"/>
      <c r="D1" s="188"/>
    </row>
    <row r="2" spans="1:11" ht="21.75" customHeight="1" x14ac:dyDescent="0.2">
      <c r="A2" s="188"/>
      <c r="B2" s="188"/>
      <c r="C2" s="188"/>
      <c r="D2" s="188"/>
      <c r="E2" s="43"/>
      <c r="F2" s="43"/>
      <c r="G2" s="43"/>
      <c r="H2" s="43"/>
      <c r="I2" s="43"/>
      <c r="J2" s="43"/>
    </row>
    <row r="3" spans="1:11" ht="32.25" customHeight="1" x14ac:dyDescent="0.25">
      <c r="A3" s="192" t="s">
        <v>1614</v>
      </c>
      <c r="B3" s="192"/>
      <c r="C3" s="192"/>
      <c r="D3" s="192"/>
      <c r="E3" s="90"/>
      <c r="F3" s="90"/>
      <c r="G3" s="90"/>
      <c r="H3" s="90"/>
      <c r="I3" s="90"/>
      <c r="J3" s="90"/>
      <c r="K3" s="90"/>
    </row>
    <row r="4" spans="1:11" ht="15.75" customHeight="1" x14ac:dyDescent="0.25">
      <c r="A4" s="183" t="s">
        <v>1615</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1598</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1600</v>
      </c>
      <c r="B12" s="187">
        <v>5225</v>
      </c>
      <c r="C12" s="187"/>
    </row>
    <row r="13" spans="1:11" ht="15.75" x14ac:dyDescent="0.25">
      <c r="A13" s="92" t="s">
        <v>1599</v>
      </c>
      <c r="B13" s="191" t="s">
        <v>1638</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18970973</v>
      </c>
      <c r="C16" s="2">
        <v>459483</v>
      </c>
      <c r="D16" s="193" t="s">
        <v>1537</v>
      </c>
      <c r="E16" s="97"/>
      <c r="F16" s="97"/>
      <c r="G16" s="97"/>
      <c r="H16" s="97"/>
      <c r="I16" s="97"/>
      <c r="J16" s="97"/>
      <c r="K16" s="97"/>
    </row>
    <row r="17" spans="1:11" ht="15" customHeight="1" x14ac:dyDescent="0.2">
      <c r="A17" s="94" t="str">
        <f>LEFT(A16,4)+1&amp;"–"&amp;RIGHT(A16,4)+1</f>
        <v>2024–2025</v>
      </c>
      <c r="B17" s="2">
        <v>7633617</v>
      </c>
      <c r="C17" s="2">
        <v>90583</v>
      </c>
      <c r="D17" s="193"/>
      <c r="E17" s="97"/>
      <c r="F17" s="97"/>
      <c r="G17" s="97"/>
      <c r="H17" s="97"/>
      <c r="I17" s="97"/>
      <c r="J17" s="97"/>
      <c r="K17" s="97"/>
    </row>
    <row r="18" spans="1:11" ht="15" customHeight="1" x14ac:dyDescent="0.2">
      <c r="A18" s="94" t="str">
        <f>LEFT(A17,4)+1&amp;"–"&amp;RIGHT(A17,4)+1</f>
        <v>2025–2026</v>
      </c>
      <c r="B18" s="2">
        <v>688312</v>
      </c>
      <c r="C18" s="2">
        <v>18112</v>
      </c>
      <c r="D18" s="25" t="s">
        <v>116</v>
      </c>
      <c r="E18" s="97"/>
      <c r="F18" s="97"/>
      <c r="G18" s="97"/>
      <c r="H18" s="97"/>
      <c r="I18" s="97"/>
      <c r="J18" s="97"/>
      <c r="K18" s="97"/>
    </row>
    <row r="19" spans="1:11" ht="15" customHeight="1" x14ac:dyDescent="0.2">
      <c r="A19" s="94" t="str">
        <f>LEFT(A18,4)+1&amp;"–"&amp;RIGHT(A18,4)+1</f>
        <v>2026–2027</v>
      </c>
      <c r="B19" s="2">
        <v>705015</v>
      </c>
      <c r="C19" s="2">
        <v>1410</v>
      </c>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t="s">
        <v>1639</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t="s">
        <v>1639</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t="s">
        <v>1639</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1631</v>
      </c>
    </row>
    <row r="42" spans="1:11" ht="15.75" x14ac:dyDescent="0.25">
      <c r="A42" s="92" t="s">
        <v>9</v>
      </c>
      <c r="B42" s="190" t="str">
        <f>B11</f>
        <v>2022–2023</v>
      </c>
      <c r="C42" s="190"/>
    </row>
    <row r="43" spans="1:11" ht="15.75" customHeight="1" x14ac:dyDescent="0.25">
      <c r="A43" s="92" t="s">
        <v>1600</v>
      </c>
      <c r="B43" s="189">
        <f>B12</f>
        <v>5225</v>
      </c>
      <c r="C43" s="189"/>
    </row>
    <row r="44" spans="1:11" ht="15.75" x14ac:dyDescent="0.25">
      <c r="A44" s="92" t="s">
        <v>1599</v>
      </c>
      <c r="B44" s="190" t="str">
        <f>B13</f>
        <v>Department of Corrections and Rehabilitation</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1582</v>
      </c>
    </row>
    <row r="73" spans="1:4" ht="15.75" x14ac:dyDescent="0.25">
      <c r="A73" s="92" t="s">
        <v>9</v>
      </c>
      <c r="B73" s="190" t="str">
        <f>B11</f>
        <v>2022–2023</v>
      </c>
      <c r="C73" s="190"/>
    </row>
    <row r="74" spans="1:4" ht="15.75" customHeight="1" x14ac:dyDescent="0.25">
      <c r="A74" s="92" t="s">
        <v>1600</v>
      </c>
      <c r="B74" s="189">
        <f>B12</f>
        <v>5225</v>
      </c>
      <c r="C74" s="189"/>
    </row>
    <row r="75" spans="1:4" ht="15.75" x14ac:dyDescent="0.25">
      <c r="A75" s="92" t="s">
        <v>1599</v>
      </c>
      <c r="B75" s="190" t="str">
        <f>B13</f>
        <v>Department of Corrections and Rehabilitation</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v>398066</v>
      </c>
      <c r="C78" s="2">
        <v>15157</v>
      </c>
      <c r="D78" s="193" t="s">
        <v>1537</v>
      </c>
    </row>
    <row r="79" spans="1:4" ht="15" customHeight="1" x14ac:dyDescent="0.2">
      <c r="A79" s="94" t="str">
        <f>LEFT(A78,4)+1&amp;"–"&amp;RIGHT(A78,4)+1</f>
        <v>2024–2025</v>
      </c>
      <c r="B79" s="2">
        <v>407725</v>
      </c>
      <c r="C79" s="2">
        <v>5497</v>
      </c>
      <c r="D79" s="193"/>
    </row>
    <row r="80" spans="1:4" x14ac:dyDescent="0.2">
      <c r="A80" s="94" t="str">
        <f>LEFT(A79,4)+1&amp;"–"&amp;RIGHT(A79,4)+1</f>
        <v>2025–2026</v>
      </c>
      <c r="B80" s="2"/>
      <c r="C80" s="2"/>
      <c r="D80" s="25" t="s">
        <v>116</v>
      </c>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t="s">
        <v>1639</v>
      </c>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4" t="s">
        <v>1639</v>
      </c>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t="s">
        <v>116</v>
      </c>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t="s">
        <v>116</v>
      </c>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4" t="s">
        <v>1639</v>
      </c>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Jn5uehvJ2xEddnkzp0VWAP9eSV1g7v4tkMy5+g1wqRXJ1Ll4k7M/KaIhz2t4n4439p9mCfOJ/q7XW9Oa8Y9Vpg==" saltValue="McomIyOW/taJF6/FveiJ5Q=="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J8" sqref="J8"/>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0001 Journal Entries'!$F$5&amp;" "&amp;'Fund 0001 Journal Entries'!$F$4</f>
        <v>Business Unit 5225 Department of Corrections and Rehabilitation</v>
      </c>
      <c r="H5" s="197"/>
      <c r="I5" s="197"/>
      <c r="J5" s="197"/>
      <c r="K5" s="197"/>
      <c r="L5" s="197"/>
      <c r="M5" s="197"/>
      <c r="N5" s="108"/>
      <c r="O5" s="108"/>
      <c r="P5" s="108"/>
      <c r="Q5" s="109"/>
    </row>
    <row r="6" spans="2:17" x14ac:dyDescent="0.25">
      <c r="B6" s="107"/>
      <c r="Q6" s="109"/>
    </row>
    <row r="7" spans="2:17" x14ac:dyDescent="0.25">
      <c r="B7" s="107"/>
      <c r="C7" s="198" t="s">
        <v>1619</v>
      </c>
      <c r="D7" s="198"/>
      <c r="E7" s="110"/>
      <c r="F7" s="111" t="s">
        <v>1565</v>
      </c>
      <c r="G7" s="112"/>
      <c r="H7" s="111" t="s">
        <v>1640</v>
      </c>
      <c r="I7" s="112"/>
      <c r="J7" s="111" t="s">
        <v>1641</v>
      </c>
      <c r="K7" s="112"/>
      <c r="L7" s="111"/>
      <c r="M7" s="112"/>
      <c r="N7" s="111" t="s">
        <v>1566</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0001 Journal Entries'!$F$7="Governmental Fund",'Fund 0001 Journal Entries'!$K$19,0)</f>
        <v>43884167</v>
      </c>
      <c r="H10" s="3">
        <f>IF('Fund 0001 Journal Entries'!$F$7="Governmental Fund",SUM('Fund 0001 Journal Entries'!$K$37,'Fund 0001 Journal Entries'!K85),0)</f>
        <v>3087522</v>
      </c>
      <c r="J10" s="3">
        <f>IF('Fund 0001 Journal Entries'!$F$7="Governmental Fund",SUM('Fund 0001 Journal Entries'!$J$56,'Fund 0001 Journal Entries'!J76),0)</f>
        <v>18973772</v>
      </c>
      <c r="L10" s="119">
        <f>SUM(F10+H10-J10)</f>
        <v>27997917</v>
      </c>
      <c r="N10" s="3">
        <f>IF('Fund 0001 Journal Entries'!$F$7="Governmental Fund",'Fund 0001 Journal Entries'!$J$61,0)</f>
        <v>18970973</v>
      </c>
      <c r="P10" s="119">
        <f>L10-N10</f>
        <v>9026944</v>
      </c>
      <c r="Q10" s="109"/>
    </row>
    <row r="11" spans="2:17" ht="19.5" thickTop="1" thickBot="1" x14ac:dyDescent="0.3">
      <c r="B11" s="107"/>
      <c r="C11" s="195" t="s">
        <v>15</v>
      </c>
      <c r="D11" s="195"/>
      <c r="F11" s="120">
        <f>SUM(F10:F10)</f>
        <v>43884167</v>
      </c>
      <c r="H11" s="120">
        <f>SUM(H10:H10)</f>
        <v>3087522</v>
      </c>
      <c r="J11" s="120">
        <f>SUM(J10:J10)</f>
        <v>18973772</v>
      </c>
      <c r="L11" s="120">
        <f>SUM(L10:L10)</f>
        <v>27997917</v>
      </c>
      <c r="N11" s="120">
        <f>SUM(N10:N10)</f>
        <v>18970973</v>
      </c>
      <c r="P11" s="120">
        <f>SUM(P10:P10)</f>
        <v>9026944</v>
      </c>
      <c r="Q11" s="109"/>
    </row>
    <row r="12" spans="2:17" ht="18.75" thickTop="1" x14ac:dyDescent="0.25">
      <c r="B12" s="107"/>
      <c r="G12" s="121"/>
      <c r="Q12" s="109"/>
    </row>
    <row r="13" spans="2:17" x14ac:dyDescent="0.25">
      <c r="B13" s="107"/>
      <c r="C13" s="195" t="s">
        <v>1571</v>
      </c>
      <c r="D13" s="195"/>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5" t="s">
        <v>1583</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1575</v>
      </c>
      <c r="D17" s="195"/>
      <c r="Q17" s="109"/>
    </row>
    <row r="18" spans="1:17" ht="18.75" thickBot="1" x14ac:dyDescent="0.3">
      <c r="B18" s="107"/>
      <c r="D18" s="101" t="s">
        <v>118</v>
      </c>
      <c r="F18" s="3">
        <f>IF('Fund 0917 Journal Entries'!$F$7="Proprietary - Enterprise Fund",'Fund 0917 Journal Entries'!$K$19,0)</f>
        <v>1194426</v>
      </c>
      <c r="H18" s="3">
        <f>IF('Fund 0917 Journal Entries'!$F$7="Proprietary - Enterprise Fund",SUM('Fund 0917 Journal Entries'!$K$37,'Fund 0917 Journal Entries'!K85),0)</f>
        <v>0</v>
      </c>
      <c r="J18" s="3">
        <f>IF('Fund 0917 Journal Entries'!$F$7="Proprietary - Enterprise Fund",SUM('Fund 0917 Journal Entries'!$J$56,'Fund 0917 Journal Entries'!J76),0)</f>
        <v>388635</v>
      </c>
      <c r="L18" s="119">
        <f>SUM(F18+H18-J18)</f>
        <v>805791</v>
      </c>
      <c r="N18" s="3">
        <f>IF('Fund 0917 Journal Entries'!$F$7="Proprietary - Enterprise Fund",'Fund 0917 Journal Entries'!$J$61,0)</f>
        <v>398066</v>
      </c>
      <c r="P18" s="119">
        <f>L18-N18</f>
        <v>407725</v>
      </c>
      <c r="Q18" s="109"/>
    </row>
    <row r="19" spans="1:17" ht="19.5" thickTop="1" thickBot="1" x14ac:dyDescent="0.3">
      <c r="B19" s="107"/>
      <c r="C19" s="195" t="s">
        <v>1584</v>
      </c>
      <c r="D19" s="195"/>
      <c r="F19" s="120">
        <f>SUM(F18:F18)</f>
        <v>1194426</v>
      </c>
      <c r="H19" s="120">
        <f>SUM(H18:H18)</f>
        <v>0</v>
      </c>
      <c r="J19" s="120">
        <f>SUM(J18:J18)</f>
        <v>388635</v>
      </c>
      <c r="L19" s="120">
        <f>SUM(L18:L18)</f>
        <v>805791</v>
      </c>
      <c r="N19" s="120">
        <f>SUM(N18:N18)</f>
        <v>398066</v>
      </c>
      <c r="P19" s="120">
        <f>SUM(P18:P18)</f>
        <v>407725</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1624</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Bd2LR0YizImx3lJSln35D0C4caf2+OR672tEH0LuJXC25L2OWU6JL+LlYnTvFQdFkCIouE+KhemuV+oi6OLjzA==" saltValue="kPHI9aI9ICOKYt+TiBl50w=="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57" zoomScale="112" zoomScaleNormal="112" workbookViewId="0">
      <selection activeCell="B82" sqref="B82:B83"/>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1562</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1620</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1559</v>
      </c>
      <c r="B11" s="134"/>
      <c r="C11" s="135"/>
      <c r="D11" s="134"/>
      <c r="E11" s="135"/>
      <c r="F11" s="134"/>
      <c r="G11" s="135"/>
      <c r="H11" s="134"/>
      <c r="I11" s="135"/>
      <c r="J11" s="134"/>
      <c r="K11" s="134"/>
      <c r="L11" s="134"/>
      <c r="M11" s="134"/>
    </row>
    <row r="12" spans="1:13" x14ac:dyDescent="0.25">
      <c r="A12" s="137"/>
      <c r="B12" s="202" t="s">
        <v>1573</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1623</v>
      </c>
      <c r="C14" s="203"/>
      <c r="D14" s="203"/>
      <c r="E14" s="203"/>
      <c r="F14" s="203"/>
      <c r="G14" s="203"/>
      <c r="H14" s="203"/>
      <c r="I14" s="138"/>
      <c r="J14" s="139" t="s">
        <v>1556</v>
      </c>
      <c r="K14" s="140"/>
      <c r="L14" s="140"/>
      <c r="M14" s="137"/>
    </row>
    <row r="15" spans="1:13" ht="15" customHeight="1" x14ac:dyDescent="0.25">
      <c r="A15" s="137"/>
      <c r="B15" s="141" t="s">
        <v>1553</v>
      </c>
      <c r="C15" s="142" t="s">
        <v>1552</v>
      </c>
      <c r="D15" s="141" t="s">
        <v>1642</v>
      </c>
      <c r="E15" s="141" t="s">
        <v>1554</v>
      </c>
      <c r="F15" s="141" t="s">
        <v>1643</v>
      </c>
      <c r="G15" s="143"/>
      <c r="H15" s="144"/>
      <c r="I15" s="143"/>
      <c r="J15" s="145" t="s">
        <v>1557</v>
      </c>
      <c r="K15" s="140"/>
      <c r="L15" s="146" t="s">
        <v>1563</v>
      </c>
      <c r="M15" s="137"/>
    </row>
    <row r="16" spans="1:13" ht="15" customHeight="1" x14ac:dyDescent="0.25">
      <c r="A16" s="147"/>
      <c r="B16" s="14">
        <f>IF('Fund 0001 Journal Entries'!$F$7="Governmental Fund",ROUND('Fund 0001 Journal Entries'!$K$19,0),0)</f>
        <v>43884167</v>
      </c>
      <c r="C16" s="15" t="s">
        <v>1552</v>
      </c>
      <c r="D16" s="14">
        <f>IF('Fund 0001 Journal Entries'!$F$7="Governmental Fund",ROUND(SUM('Fund 0001 Journal Entries'!$K$37,'Fund 0001 Journal Entries'!K85),0),0)</f>
        <v>3087522</v>
      </c>
      <c r="E16" s="16" t="s">
        <v>1554</v>
      </c>
      <c r="F16" s="14">
        <f>IF('Fund 0001 Journal Entries'!$F$7="Governmental Fund",ROUND(SUM('Fund 0001 Journal Entries'!$J$56,'Fund 0001 Journal Entries'!J76),0),0)</f>
        <v>18973772</v>
      </c>
      <c r="G16" s="16" t="s">
        <v>1555</v>
      </c>
      <c r="H16" s="17">
        <f>+B16+D16-F16</f>
        <v>27997917</v>
      </c>
      <c r="I16" s="16"/>
      <c r="J16" s="18">
        <f>ROUND(SUM('Department Note Disclosure'!$B$16:$B$39),0)</f>
        <v>27997917</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1572</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1623</v>
      </c>
      <c r="C21" s="203"/>
      <c r="D21" s="203"/>
      <c r="E21" s="203"/>
      <c r="F21" s="203"/>
      <c r="G21" s="203"/>
      <c r="H21" s="203"/>
      <c r="I21" s="138"/>
      <c r="J21" s="139" t="s">
        <v>1556</v>
      </c>
      <c r="K21" s="140"/>
      <c r="L21" s="140"/>
      <c r="M21" s="137"/>
    </row>
    <row r="22" spans="1:13" ht="15" customHeight="1" x14ac:dyDescent="0.25">
      <c r="A22" s="137"/>
      <c r="B22" s="141" t="s">
        <v>1553</v>
      </c>
      <c r="C22" s="142" t="s">
        <v>1552</v>
      </c>
      <c r="D22" s="141" t="s">
        <v>1642</v>
      </c>
      <c r="E22" s="141" t="s">
        <v>1554</v>
      </c>
      <c r="F22" s="141" t="s">
        <v>1643</v>
      </c>
      <c r="G22" s="143"/>
      <c r="H22" s="144"/>
      <c r="I22" s="143"/>
      <c r="J22" s="145" t="s">
        <v>1557</v>
      </c>
      <c r="K22" s="140"/>
      <c r="L22" s="146" t="s">
        <v>1563</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1555</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1574</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1623</v>
      </c>
      <c r="C29" s="203"/>
      <c r="D29" s="203"/>
      <c r="E29" s="203"/>
      <c r="F29" s="203"/>
      <c r="G29" s="203"/>
      <c r="H29" s="203"/>
      <c r="I29" s="138"/>
      <c r="J29" s="139" t="s">
        <v>1556</v>
      </c>
      <c r="K29" s="140"/>
      <c r="L29" s="140"/>
      <c r="M29" s="137"/>
    </row>
    <row r="30" spans="1:13" ht="15" customHeight="1" x14ac:dyDescent="0.25">
      <c r="A30" s="137"/>
      <c r="B30" s="141" t="s">
        <v>1553</v>
      </c>
      <c r="C30" s="142" t="s">
        <v>1552</v>
      </c>
      <c r="D30" s="141" t="s">
        <v>1642</v>
      </c>
      <c r="E30" s="141" t="s">
        <v>1554</v>
      </c>
      <c r="F30" s="141" t="s">
        <v>1643</v>
      </c>
      <c r="G30" s="143"/>
      <c r="H30" s="144"/>
      <c r="I30" s="143"/>
      <c r="J30" s="145" t="s">
        <v>1557</v>
      </c>
      <c r="K30" s="140"/>
      <c r="L30" s="146" t="s">
        <v>1563</v>
      </c>
      <c r="M30" s="137"/>
    </row>
    <row r="31" spans="1:13" ht="15" customHeight="1" x14ac:dyDescent="0.25">
      <c r="A31" s="147"/>
      <c r="B31" s="14">
        <f>IF('Fund 0917 Journal Entries'!$F$7="Proprietary - Enterprise Fund",ROUND('Fund 0917 Journal Entries'!$K$19,0),0)</f>
        <v>1194426</v>
      </c>
      <c r="C31" s="15" t="s">
        <v>1552</v>
      </c>
      <c r="D31" s="14">
        <f>IF('Fund 0917 Journal Entries'!$F$7="Proprietary - Enterprise Fund",ROUND(SUM('Fund 0917 Journal Entries'!$K$37,'Fund 0917 Journal Entries'!K85),0),0)</f>
        <v>0</v>
      </c>
      <c r="E31" s="16" t="s">
        <v>1554</v>
      </c>
      <c r="F31" s="14">
        <f>IF('Fund 0917 Journal Entries'!$F$7="Proprietary - Enterprise Fund",ROUND(SUM('Fund 0917 Journal Entries'!$J$56,'Fund 0917 Journal Entries'!J76),0),0)</f>
        <v>388635</v>
      </c>
      <c r="G31" s="16" t="s">
        <v>1555</v>
      </c>
      <c r="H31" s="17">
        <f>+B31+D31-F31</f>
        <v>805791</v>
      </c>
      <c r="I31" s="16"/>
      <c r="J31" s="18">
        <f>ROUND(SUM('Department Note Disclosure'!$B$78:$B$101),0)</f>
        <v>805791</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1560</v>
      </c>
      <c r="B34" s="134"/>
      <c r="C34" s="135"/>
      <c r="D34" s="134"/>
      <c r="E34" s="135"/>
      <c r="F34" s="134"/>
      <c r="G34" s="135"/>
      <c r="H34" s="134"/>
      <c r="I34" s="135"/>
      <c r="J34" s="134"/>
      <c r="K34" s="134"/>
      <c r="L34" s="134"/>
      <c r="M34" s="134"/>
    </row>
    <row r="35" spans="1:13" ht="15" customHeight="1" x14ac:dyDescent="0.25">
      <c r="A35" s="137"/>
      <c r="B35" s="202" t="s">
        <v>1573</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1623</v>
      </c>
      <c r="C37" s="203"/>
      <c r="D37" s="203"/>
      <c r="E37" s="203"/>
      <c r="F37" s="203"/>
      <c r="G37" s="203"/>
      <c r="H37" s="203"/>
      <c r="I37" s="138"/>
      <c r="J37" s="139" t="s">
        <v>1556</v>
      </c>
      <c r="K37" s="140"/>
      <c r="L37" s="140"/>
      <c r="M37" s="137"/>
    </row>
    <row r="38" spans="1:13" ht="15" customHeight="1" x14ac:dyDescent="0.25">
      <c r="A38" s="137"/>
      <c r="B38" s="137"/>
      <c r="C38" s="137"/>
      <c r="E38" s="137"/>
      <c r="F38" s="141" t="s">
        <v>1558</v>
      </c>
      <c r="G38" s="137"/>
      <c r="H38" s="137"/>
      <c r="I38" s="143"/>
      <c r="J38" s="145" t="str">
        <f>'Department Note Disclosure'!$A$16&amp;" Principal Payments"</f>
        <v>2023–2024 Principal Payments</v>
      </c>
      <c r="K38" s="140"/>
      <c r="L38" s="146" t="s">
        <v>1563</v>
      </c>
      <c r="M38" s="137"/>
    </row>
    <row r="39" spans="1:13" ht="15" customHeight="1" x14ac:dyDescent="0.25">
      <c r="A39" s="137"/>
      <c r="B39" s="150"/>
      <c r="C39" s="150"/>
      <c r="E39" s="150"/>
      <c r="F39" s="14">
        <f>IF('Fund 0001 Journal Entries'!$F$7="Governmental Fund",ROUND('Fund 0001 Journal Entries'!$K$62,0),0)</f>
        <v>18970973</v>
      </c>
      <c r="G39" s="150"/>
      <c r="H39" s="150"/>
      <c r="I39" s="20"/>
      <c r="J39" s="18">
        <f>ROUND('Department Note Disclosure'!$B$16,0)</f>
        <v>18970973</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1572</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1623</v>
      </c>
      <c r="C44" s="203"/>
      <c r="D44" s="203"/>
      <c r="E44" s="203"/>
      <c r="F44" s="203"/>
      <c r="G44" s="203"/>
      <c r="H44" s="203"/>
      <c r="I44" s="138"/>
      <c r="J44" s="139" t="s">
        <v>1556</v>
      </c>
      <c r="K44" s="140"/>
      <c r="L44" s="140"/>
      <c r="M44" s="137"/>
    </row>
    <row r="45" spans="1:13" ht="15" customHeight="1" x14ac:dyDescent="0.25">
      <c r="A45" s="137"/>
      <c r="B45" s="137"/>
      <c r="C45" s="137"/>
      <c r="E45" s="137"/>
      <c r="F45" s="141" t="s">
        <v>1558</v>
      </c>
      <c r="G45" s="137"/>
      <c r="H45" s="137"/>
      <c r="I45" s="143"/>
      <c r="J45" s="145" t="str">
        <f>'Department Note Disclosure'!$A$47&amp;" Principal Payments"</f>
        <v>2023–2024 Principal Payments</v>
      </c>
      <c r="K45" s="140"/>
      <c r="L45" s="146" t="s">
        <v>1563</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1574</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1623</v>
      </c>
      <c r="C51" s="203"/>
      <c r="D51" s="203"/>
      <c r="E51" s="203"/>
      <c r="F51" s="203"/>
      <c r="G51" s="203"/>
      <c r="H51" s="203"/>
      <c r="I51" s="138"/>
      <c r="J51" s="139" t="s">
        <v>1556</v>
      </c>
      <c r="K51" s="140"/>
      <c r="L51" s="140"/>
      <c r="M51" s="137"/>
    </row>
    <row r="52" spans="1:13" ht="15" customHeight="1" x14ac:dyDescent="0.25">
      <c r="A52" s="137"/>
      <c r="B52" s="137"/>
      <c r="C52" s="137"/>
      <c r="E52" s="137"/>
      <c r="F52" s="141" t="s">
        <v>1558</v>
      </c>
      <c r="G52" s="137"/>
      <c r="H52" s="137"/>
      <c r="I52" s="143"/>
      <c r="J52" s="145" t="str">
        <f>'Department Note Disclosure'!$A$47&amp;" Principal Payments"</f>
        <v>2023–2024 Principal Payments</v>
      </c>
      <c r="K52" s="140"/>
      <c r="L52" s="146" t="s">
        <v>1563</v>
      </c>
      <c r="M52" s="137"/>
    </row>
    <row r="53" spans="1:13" x14ac:dyDescent="0.25">
      <c r="A53" s="137"/>
      <c r="B53" s="150"/>
      <c r="C53" s="150"/>
      <c r="E53" s="150"/>
      <c r="F53" s="14">
        <f>IF('Fund 0917 Journal Entries'!$F$7="Proprietary - Enterprise Fund",ROUND('Fund 0917 Journal Entries'!$K$62,0),0)</f>
        <v>398066</v>
      </c>
      <c r="G53" s="150"/>
      <c r="H53" s="150"/>
      <c r="I53" s="20"/>
      <c r="J53" s="18">
        <f>ROUND('Department Note Disclosure'!$B$78,0)</f>
        <v>398066</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1561</v>
      </c>
      <c r="B56" s="134"/>
      <c r="C56" s="135"/>
      <c r="D56" s="134"/>
      <c r="E56" s="135"/>
      <c r="F56" s="134"/>
      <c r="G56" s="135"/>
      <c r="H56" s="134"/>
      <c r="I56" s="135"/>
      <c r="J56" s="134"/>
      <c r="K56" s="134"/>
      <c r="L56" s="134"/>
      <c r="M56" s="134"/>
    </row>
    <row r="57" spans="1:13" ht="15" customHeight="1" x14ac:dyDescent="0.25">
      <c r="A57" s="137"/>
      <c r="B57" s="200" t="s">
        <v>1573</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1623</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1563</v>
      </c>
      <c r="M60" s="137"/>
    </row>
    <row r="61" spans="1:13" x14ac:dyDescent="0.25">
      <c r="B61" s="152" t="s">
        <v>1553</v>
      </c>
      <c r="D61" s="22">
        <f>$B$16</f>
        <v>43884167</v>
      </c>
      <c r="H61" s="154" t="str">
        <f>"Balance July 1, "&amp;LEFT('Fund 0001 Journal Entries'!$F$3,4)</f>
        <v>Balance July 1, 2022</v>
      </c>
      <c r="J61" s="22">
        <f>ROUND('SBITA Liabilities'!$F$10,0)</f>
        <v>43884167</v>
      </c>
      <c r="L61" s="19">
        <f>D61-J61</f>
        <v>0</v>
      </c>
    </row>
    <row r="62" spans="1:13" x14ac:dyDescent="0.25">
      <c r="B62" s="152" t="s">
        <v>1642</v>
      </c>
      <c r="D62" s="22">
        <f>$D$16</f>
        <v>3087522</v>
      </c>
      <c r="H62" s="154" t="s">
        <v>10</v>
      </c>
      <c r="J62" s="22">
        <f>ROUND('SBITA Liabilities'!$H$10,0)</f>
        <v>3087522</v>
      </c>
      <c r="L62" s="19">
        <f>D62-J62</f>
        <v>0</v>
      </c>
    </row>
    <row r="63" spans="1:13" x14ac:dyDescent="0.25">
      <c r="B63" s="152" t="s">
        <v>1643</v>
      </c>
      <c r="D63" s="22">
        <f>$F$16</f>
        <v>18973772</v>
      </c>
      <c r="H63" s="154" t="s">
        <v>11</v>
      </c>
      <c r="J63" s="22">
        <f>ROUND('SBITA Liabilities'!$J$10,0)</f>
        <v>18973772</v>
      </c>
      <c r="L63" s="19">
        <f>D63-J63</f>
        <v>0</v>
      </c>
    </row>
    <row r="64" spans="1:13" x14ac:dyDescent="0.25">
      <c r="B64" s="152" t="s">
        <v>1558</v>
      </c>
      <c r="D64" s="22">
        <f>$F$39</f>
        <v>18970973</v>
      </c>
      <c r="H64" s="154" t="s">
        <v>12</v>
      </c>
      <c r="J64" s="22">
        <f>ROUND('SBITA Liabilities'!$N$10,0)</f>
        <v>18970973</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1572</v>
      </c>
    </row>
    <row r="68" spans="1:13" ht="6" customHeight="1" x14ac:dyDescent="0.25">
      <c r="B68" s="156"/>
    </row>
    <row r="69" spans="1:13" ht="15" customHeight="1" x14ac:dyDescent="0.25">
      <c r="B69" s="199" t="s">
        <v>1623</v>
      </c>
      <c r="C69" s="199"/>
      <c r="D69" s="199"/>
      <c r="E69" s="199"/>
      <c r="F69" s="199"/>
      <c r="G69" s="151"/>
      <c r="H69" s="199" t="s">
        <v>119</v>
      </c>
      <c r="I69" s="199"/>
      <c r="J69" s="199"/>
    </row>
    <row r="70" spans="1:13" x14ac:dyDescent="0.25">
      <c r="H70" s="137"/>
      <c r="I70" s="137"/>
      <c r="J70" s="137"/>
      <c r="K70" s="137"/>
      <c r="L70" s="146" t="s">
        <v>1563</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1642</v>
      </c>
      <c r="D72" s="22">
        <f>D23</f>
        <v>0</v>
      </c>
      <c r="H72" s="154" t="s">
        <v>10</v>
      </c>
      <c r="J72" s="22">
        <f>ROUND('SBITA Liabilities'!$H$14,0)</f>
        <v>0</v>
      </c>
      <c r="L72" s="19">
        <f>D72-J72</f>
        <v>0</v>
      </c>
    </row>
    <row r="73" spans="1:13" x14ac:dyDescent="0.25">
      <c r="B73" s="152" t="s">
        <v>1643</v>
      </c>
      <c r="D73" s="22">
        <f>F23</f>
        <v>0</v>
      </c>
      <c r="H73" s="154" t="s">
        <v>11</v>
      </c>
      <c r="J73" s="22">
        <f>ROUND('SBITA Liabilities'!$J$14,0)</f>
        <v>0</v>
      </c>
      <c r="L73" s="19">
        <f>D73-J73</f>
        <v>0</v>
      </c>
    </row>
    <row r="74" spans="1:13" x14ac:dyDescent="0.25">
      <c r="B74" s="152" t="s">
        <v>1558</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1574</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1623</v>
      </c>
      <c r="C79" s="199"/>
      <c r="D79" s="199"/>
      <c r="E79" s="199"/>
      <c r="F79" s="199"/>
      <c r="G79" s="151"/>
      <c r="H79" s="199" t="s">
        <v>119</v>
      </c>
      <c r="I79" s="199"/>
      <c r="J79" s="199"/>
    </row>
    <row r="80" spans="1:13" x14ac:dyDescent="0.25">
      <c r="H80" s="137"/>
      <c r="I80" s="137"/>
      <c r="J80" s="137"/>
      <c r="K80" s="137"/>
      <c r="L80" s="146" t="s">
        <v>1563</v>
      </c>
    </row>
    <row r="81" spans="1:13" x14ac:dyDescent="0.25">
      <c r="B81" s="152" t="s">
        <v>1553</v>
      </c>
      <c r="D81" s="22">
        <f>$B$31</f>
        <v>1194426</v>
      </c>
      <c r="H81" s="154" t="str">
        <f>"Balance July 1, "&amp;LEFT('Fund 0001 Journal Entries'!$F$3,4)</f>
        <v>Balance July 1, 2022</v>
      </c>
      <c r="J81" s="22">
        <f>ROUND('SBITA Liabilities'!$F$18,0)</f>
        <v>1194426</v>
      </c>
      <c r="L81" s="19">
        <f>D81-J81</f>
        <v>0</v>
      </c>
    </row>
    <row r="82" spans="1:13" x14ac:dyDescent="0.25">
      <c r="B82" s="152" t="s">
        <v>1642</v>
      </c>
      <c r="D82" s="22">
        <f>D31</f>
        <v>0</v>
      </c>
      <c r="H82" s="154" t="s">
        <v>10</v>
      </c>
      <c r="J82" s="22">
        <f>ROUND('SBITA Liabilities'!$H$18,0)</f>
        <v>0</v>
      </c>
      <c r="L82" s="19">
        <f>D82-J82</f>
        <v>0</v>
      </c>
    </row>
    <row r="83" spans="1:13" x14ac:dyDescent="0.25">
      <c r="B83" s="152" t="s">
        <v>1643</v>
      </c>
      <c r="D83" s="22">
        <f>F31</f>
        <v>388635</v>
      </c>
      <c r="H83" s="154" t="s">
        <v>11</v>
      </c>
      <c r="J83" s="22">
        <f>ROUND('SBITA Liabilities'!$J$18,0)</f>
        <v>388635</v>
      </c>
      <c r="L83" s="19">
        <f>D83-J83</f>
        <v>0</v>
      </c>
    </row>
    <row r="84" spans="1:13" x14ac:dyDescent="0.25">
      <c r="B84" s="152" t="s">
        <v>1558</v>
      </c>
      <c r="D84" s="22">
        <f>F53</f>
        <v>398066</v>
      </c>
      <c r="H84" s="154" t="s">
        <v>12</v>
      </c>
      <c r="J84" s="22">
        <f>ROUND('SBITA Liabilities'!$N$18,0)</f>
        <v>398066</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UJ9mEU5/z1VW/UtrmtssdBlqdvDUKGZTxUaeo4LQ+7DfbM+0yWK3DbtvgBg5tg/tuZ5qwbWXCBFeVfxUGtyH6Q==" saltValue="Gnx7wAEpdDDqWhyOCkNdsw=="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1567</v>
      </c>
      <c r="C1" s="1" t="s">
        <v>117</v>
      </c>
      <c r="D1" s="11" t="s">
        <v>135</v>
      </c>
      <c r="E1" s="1" t="s">
        <v>1513</v>
      </c>
      <c r="F1" s="1" t="s">
        <v>1514</v>
      </c>
      <c r="G1" s="1" t="s">
        <v>1513</v>
      </c>
      <c r="I1" s="10"/>
      <c r="J1"/>
      <c r="K1"/>
    </row>
    <row r="2" spans="1:11" ht="15.75" x14ac:dyDescent="0.25">
      <c r="A2" s="1" t="s">
        <v>17</v>
      </c>
      <c r="B2" s="1" t="s">
        <v>1568</v>
      </c>
      <c r="C2" s="1" t="s">
        <v>116</v>
      </c>
      <c r="D2" s="11" t="s">
        <v>143</v>
      </c>
      <c r="E2" s="1" t="s">
        <v>1515</v>
      </c>
      <c r="F2" s="1" t="s">
        <v>1516</v>
      </c>
      <c r="G2" s="1" t="s">
        <v>1517</v>
      </c>
      <c r="I2"/>
      <c r="J2"/>
      <c r="K2"/>
    </row>
    <row r="3" spans="1:11" ht="15.75" x14ac:dyDescent="0.25">
      <c r="A3" s="1" t="s">
        <v>18</v>
      </c>
      <c r="B3" s="1" t="s">
        <v>1569</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1602</v>
      </c>
      <c r="E9" s="1" t="s">
        <v>1596</v>
      </c>
      <c r="F9" s="1" t="s">
        <v>1536</v>
      </c>
      <c r="G9" s="1" t="s">
        <v>1597</v>
      </c>
      <c r="I9"/>
      <c r="J9"/>
      <c r="K9"/>
    </row>
    <row r="10" spans="1:11" x14ac:dyDescent="0.2">
      <c r="A10" s="1" t="s">
        <v>25</v>
      </c>
      <c r="D10" s="11" t="s">
        <v>1603</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86DDE80-DAFE-4EEB-BC32-78AEA54FEDF6}"/>
</file>

<file path=customXml/itemProps2.xml><?xml version="1.0" encoding="utf-8"?>
<ds:datastoreItem xmlns:ds="http://schemas.openxmlformats.org/officeDocument/2006/customXml" ds:itemID="{48851172-48A2-48BF-A03E-6CCE6D7735D5}"/>
</file>

<file path=customXml/itemProps3.xml><?xml version="1.0" encoding="utf-8"?>
<ds:datastoreItem xmlns:ds="http://schemas.openxmlformats.org/officeDocument/2006/customXml" ds:itemID="{176CD7B7-4D8D-4B7A-A950-310F61194E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0001 Journal Entries</vt:lpstr>
      <vt:lpstr>Fund 0917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0917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3300500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