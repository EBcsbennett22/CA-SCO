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7F0E1F90-887D-41CF-A317-FA87AA6911E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2" i="2" l="1"/>
  <c r="D92" i="3"/>
  <c r="D61" i="3"/>
  <c r="D89" i="3"/>
  <c r="D58" i="3"/>
  <c r="D30" i="3" l="1"/>
  <c r="D27" i="3"/>
  <c r="B16" i="9" l="1"/>
  <c r="D16" i="9"/>
  <c r="B23" i="9"/>
  <c r="D23" i="9"/>
  <c r="F23" i="9"/>
  <c r="B31" i="9"/>
  <c r="D31" i="9"/>
  <c r="F31" i="9"/>
  <c r="F46" i="9"/>
  <c r="F53" i="9"/>
  <c r="F10" i="4"/>
  <c r="H10" i="4"/>
  <c r="N10" i="4"/>
  <c r="N14" i="4"/>
  <c r="J14" i="4"/>
  <c r="H14" i="4"/>
  <c r="F14" i="4"/>
  <c r="F18" i="4"/>
  <c r="H18" i="4"/>
  <c r="J18" i="4"/>
  <c r="N18" i="4"/>
  <c r="K46"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D65" i="9" s="1"/>
  <c r="H16" i="9"/>
  <c r="L16" i="9" s="1"/>
  <c r="D17" i="9" s="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<sst xmlns="http://schemas.openxmlformats.org/spreadsheetml/2006/main" count="7553" uniqueCount="1643">
  <si>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</si>
  <si>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</si>
  <si>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</si>
  <si>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</si>
  <si>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</si>
  <si>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</si>
  <si>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</si>
  <si>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</si>
  <si>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</si>
  <si>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</si>
  <si>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</si>
  <si>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</si>
  <si>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</si>
  <si>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</si>
  <si>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</si>
  <si>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</si>
  <si>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</si>
  <si>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</si>
  <si>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</si>
  <si>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</si>
  <si>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</si>
  <si>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</si>
  <si>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</si>
  <si>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</si>
  <si>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</si>
  <si>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</si>
  <si>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</si>
  <si>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</si>
  <si>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</si>
  <si>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</si>
  <si>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</si>
  <si>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</si>
  <si>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</si>
  <si>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</si>
  <si>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</si>
  <si>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</si>
  <si>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</si>
  <si>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</si>
  <si>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</si>
  <si>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</si>
  <si>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</si>
  <si>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</si>
  <si>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</si>
  <si>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</si>
  <si>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</si>
  <si>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</si>
  <si>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</si>
  <si>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</si>
  <si>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</si>
  <si>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</si>
  <si>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</si>
  <si>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</si>
  <si>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</si>
  <si>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</si>
  <si>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</si>
  <si>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</si>
  <si>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</si>
  <si>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</si>
  <si>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</si>
  <si>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</si>
  <si>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</si>
  <si>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</si>
  <si>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</si>
  <si>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</si>
  <si>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</si>
  <si>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</si>
  <si>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</si>
  <si>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</si>
  <si>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</si>
  <si>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</si>
  <si>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</si>
  <si>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</si>
  <si>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</si>
  <si>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</si>
  <si>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</si>
  <si>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</si>
  <si>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</si>
  <si>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</si>
  <si>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</si>
  <si>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</si>
  <si>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</si>
  <si>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</si>
  <si>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</si>
  <si>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</si>
  <si>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</si>
  <si>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</si>
  <si>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</si>
  <si>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</si>
  <si>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</si>
  <si>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</si>
  <si>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</si>
  <si>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</si>
  <si>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</si>
  <si>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</si>
  <si>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</si>
  <si>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</si>
  <si>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</si>
  <si>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</si>
  <si>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</si>
  <si>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</si>
  <si>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</si>
  <si>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</si>
  <si>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</si>
  <si>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</si>
  <si>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</si>
  <si>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</si>
  <si>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</si>
  <si>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</si>
  <si>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</si>
  <si>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</si>
  <si>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</si>
  <si>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</si>
  <si>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</si>
  <si>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</si>
  <si>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</si>
  <si>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</si>
  <si>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</si>
  <si>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</si>
  <si>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</si>
  <si>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</si>
  <si>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</si>
  <si>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</si>
  <si>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</si>
  <si>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</si>
  <si>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</si>
  <si>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</si>
  <si>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</si>
  <si>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</si>
  <si>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</si>
  <si>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</si>
  <si>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</si>
  <si>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</si>
  <si>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</si>
  <si>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</si>
  <si>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</si>
  <si>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</si>
  <si>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</si>
  <si>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</si>
  <si>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</si>
  <si>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</si>
  <si>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</si>
  <si>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</si>
  <si>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</si>
  <si>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</si>
  <si>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</si>
  <si>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</si>
  <si>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</si>
  <si>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</si>
  <si>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</si>
  <si>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</si>
  <si>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</si>
  <si>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</si>
  <si>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</si>
  <si>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</si>
  <si>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</si>
  <si>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</si>
  <si>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</si>
  <si>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</si>
  <si>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</si>
  <si>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</si>
  <si>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</si>
  <si>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</si>
  <si>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</si>
  <si>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</si>
  <si>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</si>
  <si>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</si>
  <si>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</si>
  <si>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</si>
  <si>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</si>
  <si>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</si>
  <si>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</si>
  <si>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</si>
  <si>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</si>
  <si>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</si>
  <si>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</si>
  <si>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</si>
  <si>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</si>
  <si>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</si>
  <si>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</si>
  <si>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</si>
  <si>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</si>
  <si>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</si>
  <si>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</si>
  <si>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</si>
  <si>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</si>
  <si>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</si>
  <si>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</si>
  <si>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</si>
  <si>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</si>
  <si>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</si>
  <si>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</si>
  <si>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</si>
  <si>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</si>
  <si>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</si>
  <si>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</si>
  <si>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</si>
  <si>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</si>
  <si>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</si>
  <si>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</si>
  <si>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</si>
  <si>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</si>
  <si>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</si>
  <si>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</si>
  <si>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</si>
  <si>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</si>
  <si>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</si>
  <si>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</si>
  <si>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</si>
  <si>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</si>
  <si>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</si>
  <si>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</si>
  <si>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</si>
  <si>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</si>
  <si>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</si>
  <si>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</si>
  <si>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</si>
  <si>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</si>
  <si>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</si>
  <si>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</si>
  <si>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</si>
  <si>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</si>
  <si>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</si>
  <si>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</si>
  <si>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</si>
  <si>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</si>
  <si>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</si>
  <si>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</si>
  <si>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</si>
  <si>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</si>
  <si>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</si>
  <si>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</si>
  <si>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</si>
  <si>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</si>
  <si>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</si>
  <si>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</si>
  <si>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</si>
  <si>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</si>
  <si>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</si>
  <si>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</si>
  <si>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</si>
  <si>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</si>
  <si>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</si>
  <si>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</si>
  <si>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</si>
  <si>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</si>
  <si>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</si>
  <si>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</si>
  <si>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</si>
  <si>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</si>
  <si>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</si>
  <si>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</si>
  <si>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</si>
  <si>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</si>
  <si>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</si>
  <si>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</si>
  <si>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</si>
  <si>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</si>
  <si>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</si>
  <si>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</si>
  <si>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</si>
  <si>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</si>
  <si>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</si>
  <si>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</si>
  <si>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</si>
  <si>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</si>
  <si>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</si>
  <si>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</si>
  <si>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</si>
  <si>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</si>
  <si>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</si>
  <si>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</si>
  <si>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</si>
  <si>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</si>
  <si>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</si>
  <si>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</si>
  <si>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</si>
  <si>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</si>
  <si>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</si>
  <si>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</si>
  <si>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</si>
  <si>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</si>
  <si>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</si>
  <si>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</si>
  <si>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</si>
  <si>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</si>
  <si>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</si>
  <si>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</si>
  <si>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</si>
  <si>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</si>
  <si>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</si>
  <si>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</si>
  <si>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</si>
  <si>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</si>
  <si>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</si>
  <si>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</si>
  <si>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</si>
  <si>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</si>
  <si>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</si>
  <si>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</si>
  <si>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</si>
  <si>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</si>
  <si>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</si>
  <si>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</si>
  <si>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</si>
  <si>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</si>
  <si>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</si>
  <si>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</si>
  <si>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</si>
  <si>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</si>
  <si>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</si>
  <si>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</si>
  <si>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</si>
  <si>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</si>
  <si>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</si>
  <si>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</si>
  <si>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</si>
  <si>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</si>
  <si>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</si>
  <si>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</si>
  <si>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</si>
  <si>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</si>
  <si>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</si>
  <si>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</si>
  <si>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</si>
  <si>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</si>
  <si>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</si>
  <si>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</si>
  <si>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</si>
  <si>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</si>
  <si>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</si>
  <si>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</si>
  <si>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</si>
  <si>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</si>
  <si>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</si>
  <si>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</si>
  <si>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</si>
  <si>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</si>
  <si>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</si>
  <si>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</si>
  <si>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</si>
  <si>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</si>
  <si>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</si>
  <si>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</si>
  <si>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</si>
  <si>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</si>
  <si>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</si>
  <si>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</si>
  <si>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</si>
  <si>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</si>
  <si>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</si>
  <si>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</si>
  <si>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</si>
  <si>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</si>
  <si>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</si>
  <si>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</si>
  <si>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</si>
  <si>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</si>
  <si>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</si>
  <si>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</si>
  <si>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</si>
  <si>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</si>
  <si>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</si>
  <si>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</si>
  <si>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</si>
  <si>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</si>
  <si>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</si>
  <si>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</si>
  <si>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</si>
  <si>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</si>
  <si>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</si>
  <si>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</si>
  <si>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</si>
  <si>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</si>
  <si>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</si>
  <si>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</si>
  <si>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</si>
  <si>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</si>
  <si>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</si>
  <si>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</si>
  <si>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</si>
  <si>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</si>
  <si>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</si>
  <si>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</si>
  <si>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</si>
  <si>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</si>
  <si>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</si>
  <si>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</si>
  <si>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</si>
  <si>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</si>
  <si>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</si>
  <si>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</si>
  <si>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</si>
  <si>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</si>
  <si>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</si>
  <si>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</si>
  <si>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</si>
  <si>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</si>
  <si>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</si>
  <si>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</si>
  <si>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</si>
  <si>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</si>
  <si>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</si>
  <si>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</si>
  <si>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</si>
  <si>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</si>
  <si>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</si>
  <si>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</si>
  <si>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</si>
  <si>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</si>
  <si>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</si>
  <si>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</si>
  <si>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</si>
  <si>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</si>
  <si>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</si>
  <si>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</si>
  <si>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</si>
  <si>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</si>
  <si>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</si>
  <si>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</si>
  <si>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</si>
  <si>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</si>
  <si>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</si>
  <si>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</si>
  <si>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</si>
  <si>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</si>
  <si>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</si>
  <si>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</si>
  <si>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</si>
  <si>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</si>
  <si>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</si>
  <si>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</si>
  <si>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</si>
  <si>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</si>
  <si>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</si>
  <si>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</si>
  <si>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</si>
  <si>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</si>
  <si>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</si>
  <si>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</si>
  <si>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</si>
  <si>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</si>
  <si>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</si>
  <si>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</si>
  <si>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</si>
  <si>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</si>
  <si>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</si>
  <si>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</si>
  <si>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</si>
  <si>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</si>
  <si>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</si>
  <si>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</si>
  <si>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</si>
  <si>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</si>
  <si>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</si>
  <si>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</si>
  <si>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</si>
  <si>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</si>
  <si>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</si>
  <si>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</si>
  <si>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</si>
  <si>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</si>
  <si>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</si>
  <si>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</si>
  <si>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</si>
  <si>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</si>
  <si>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</si>
  <si>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</si>
  <si>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</si>
  <si>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</si>
  <si>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</si>
  <si>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</si>
  <si>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</si>
  <si>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</si>
  <si>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</si>
  <si>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</si>
  <si>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</si>
  <si>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</si>
  <si>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</si>
  <si>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</si>
  <si>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</si>
  <si>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</si>
  <si>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</si>
  <si>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</si>
  <si>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</si>
  <si>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</si>
  <si>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</si>
  <si>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</si>
  <si>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</si>
  <si>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</si>
  <si>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</si>
  <si>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</si>
  <si>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</si>
  <si>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</si>
  <si>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</si>
  <si>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</si>
  <si>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</si>
  <si>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</si>
  <si>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</si>
  <si>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</si>
  <si>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</si>
  <si>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</si>
  <si>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</si>
  <si>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</si>
  <si>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</si>
  <si>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</si>
  <si>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</si>
  <si>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</si>
  <si>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</si>
  <si>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</si>
  <si>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</si>
  <si>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</si>
  <si>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</si>
  <si>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</si>
  <si>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</si>
  <si>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</si>
  <si>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</si>
  <si>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</si>
  <si>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</si>
  <si>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</si>
  <si>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</si>
  <si>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</si>
  <si>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</si>
  <si>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</si>
  <si>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</si>
  <si>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</si>
  <si>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</si>
  <si>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</si>
  <si>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</si>
  <si>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</si>
  <si>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</si>
  <si>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</si>
  <si>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</si>
  <si>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</si>
  <si>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</si>
  <si>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</si>
  <si>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</si>
  <si>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</si>
  <si>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</si>
  <si>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</si>
  <si>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</si>
  <si>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</si>
  <si>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</si>
  <si>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</si>
  <si>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</si>
  <si>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</si>
  <si>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</si>
  <si>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</si>
  <si>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</si>
  <si>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</si>
  <si>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</si>
  <si>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</si>
  <si>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</si>
  <si>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</si>
  <si>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</si>
  <si>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</si>
  <si>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</si>
  <si>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</si>
  <si>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</si>
  <si>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</si>
  <si>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</si>
  <si>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</si>
  <si>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</si>
  <si>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</si>
  <si>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</si>
  <si>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</si>
  <si>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</si>
  <si>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</si>
  <si>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</si>
  <si>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</si>
  <si>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</si>
  <si>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</si>
  <si>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</si>
  <si>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</si>
  <si>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</si>
  <si>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</si>
  <si>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</si>
  <si>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</si>
  <si>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</si>
  <si>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</si>
  <si>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</si>
  <si>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</si>
  <si>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</si>
  <si>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</si>
  <si>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</si>
  <si>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</si>
  <si>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</si>
  <si>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</si>
  <si>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</si>
  <si>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</si>
  <si>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</si>
  <si>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</si>
  <si>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</si>
  <si>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</si>
  <si>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</si>
  <si>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</si>
  <si>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</si>
  <si>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</si>
  <si>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</si>
  <si>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</si>
  <si>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</si>
  <si>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</si>
  <si>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</si>
  <si>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</si>
  <si>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</si>
  <si>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</si>
  <si>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</si>
  <si>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</si>
  <si>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</si>
  <si>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</si>
  <si>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</si>
  <si>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</si>
  <si>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</si>
  <si>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</si>
  <si>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</si>
  <si>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</si>
  <si>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</si>
  <si>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</si>
  <si>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</si>
  <si>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</si>
  <si>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</si>
  <si>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</si>
  <si>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</si>
  <si>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</si>
  <si>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</si>
  <si>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</si>
  <si>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</si>
  <si>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</si>
  <si>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</si>
  <si>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</si>
  <si>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</si>
  <si>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</si>
  <si>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</si>
  <si>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</si>
  <si>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</si>
  <si>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</si>
  <si>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</si>
  <si>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</si>
  <si>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</si>
  <si>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</si>
  <si>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</si>
  <si>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</si>
  <si>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</si>
  <si>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</si>
  <si>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</si>
  <si>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</si>
  <si>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</si>
  <si>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</si>
  <si>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</si>
  <si>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</si>
  <si>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</si>
  <si>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</si>
  <si>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</si>
  <si>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</si>
  <si>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</si>
  <si>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</si>
  <si>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</si>
  <si>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</si>
  <si>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</si>
  <si>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</si>
  <si>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</si>
  <si>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</si>
  <si>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</si>
  <si>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</si>
  <si>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</si>
  <si>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</si>
  <si>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</si>
  <si>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</si>
  <si>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</si>
  <si>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</si>
  <si>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</si>
  <si>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</si>
  <si>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</si>
  <si>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</si>
  <si>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</si>
  <si>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</si>
  <si>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</si>
  <si>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</si>
  <si>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</si>
  <si>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</si>
  <si>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</si>
  <si>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</si>
  <si>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</si>
  <si>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</si>
  <si>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</si>
  <si>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</si>
  <si>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</si>
  <si>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</si>
  <si>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</si>
  <si>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</si>
  <si>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</si>
  <si>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</si>
  <si>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</si>
  <si>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</si>
  <si>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</si>
  <si>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</si>
  <si>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</si>
  <si>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</si>
  <si>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</si>
  <si>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</si>
  <si>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</si>
  <si>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</si>
  <si>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</si>
  <si>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</si>
  <si>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</si>
  <si>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</si>
  <si>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</si>
  <si>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</si>
  <si>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</si>
  <si>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</si>
  <si>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</si>
  <si>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</si>
  <si>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</si>
  <si>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</si>
  <si>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</si>
  <si>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</si>
  <si>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</si>
  <si>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</si>
  <si>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</si>
  <si>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</si>
  <si>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</si>
  <si>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</si>
  <si>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</si>
  <si>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</si>
  <si>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</si>
  <si>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</si>
  <si>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</si>
  <si>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</si>
  <si>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</si>
  <si>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</si>
  <si>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</si>
  <si>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</si>
  <si>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</si>
  <si>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</si>
  <si>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</si>
  <si>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</si>
  <si>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</si>
  <si>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</si>
  <si>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</si>
  <si>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</si>
  <si>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</si>
  <si>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</si>
  <si>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</si>
  <si>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</si>
  <si>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</si>
  <si>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</si>
  <si>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</si>
  <si>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</si>
  <si>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</si>
  <si>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</si>
  <si>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</si>
  <si>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</si>
  <si>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</si>
  <si>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</si>
  <si>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</si>
  <si>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</si>
  <si>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</si>
  <si>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</si>
  <si>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</si>
  <si>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</si>
  <si>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</si>
  <si>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</si>
  <si>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</si>
  <si>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</si>
  <si>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</si>
  <si>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</si>
  <si>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</si>
  <si>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</si>
  <si>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</si>
  <si>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</si>
  <si>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</si>
  <si>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</si>
  <si>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</si>
  <si>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</si>
  <si>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</si>
  <si>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</si>
  <si>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</si>
  <si>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</si>
  <si>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</si>
  <si>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</si>
  <si>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</si>
  <si>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</si>
  <si>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</si>
  <si>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</si>
  <si>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</si>
  <si>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</si>
  <si>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</si>
  <si>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</si>
  <si>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</si>
  <si>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</si>
  <si>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</si>
  <si>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</si>
  <si>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</si>
  <si>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</si>
  <si>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</si>
  <si>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</si>
  <si>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</si>
  <si>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</si>
  <si>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</si>
  <si>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</si>
  <si>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</si>
  <si>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</si>
  <si>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</si>
  <si>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</si>
  <si>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</si>
  <si>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</si>
  <si>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</si>
  <si>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</si>
  <si>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</si>
  <si>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</si>
  <si>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</si>
  <si>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</si>
  <si>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</si>
  <si>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</si>
  <si>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</si>
  <si>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</si>
  <si>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</si>
  <si>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</si>
  <si>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</si>
  <si>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</si>
  <si>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</si>
  <si>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</si>
  <si>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</si>
  <si>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</si>
  <si>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</si>
  <si>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</si>
  <si>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</si>
  <si>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</si>
  <si>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</si>
  <si>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</si>
  <si>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</si>
  <si>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</si>
  <si>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</si>
  <si>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</si>
  <si>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</si>
  <si>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</si>
  <si>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</si>
  <si>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</si>
  <si>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</si>
  <si>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</si>
  <si>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</si>
  <si>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</si>
  <si>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</si>
  <si>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</si>
  <si>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</si>
  <si>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</si>
  <si>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</si>
  <si>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</si>
  <si>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</si>
  <si>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</si>
  <si>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</si>
  <si>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</si>
  <si>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</si>
  <si>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</si>
  <si>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</si>
  <si>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</si>
  <si>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</si>
  <si>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</si>
  <si>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</si>
  <si>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</si>
  <si>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</si>
  <si>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</si>
  <si>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</si>
  <si>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</si>
  <si>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</si>
  <si>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</si>
  <si>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</si>
  <si>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</si>
  <si>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</si>
  <si>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</si>
  <si>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</si>
  <si>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</si>
  <si>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</si>
  <si>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</si>
  <si>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</si>
  <si>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</si>
  <si>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</si>
  <si>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</si>
  <si>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</si>
  <si>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</si>
  <si>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</si>
  <si>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</si>
  <si>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</si>
  <si>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</si>
  <si>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</si>
  <si>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</si>
  <si>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</si>
  <si>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</si>
  <si>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</si>
  <si>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</si>
  <si>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</si>
  <si>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</si>
  <si>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</si>
  <si>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</si>
  <si>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</si>
  <si>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</si>
  <si>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</si>
  <si>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</si>
  <si>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</si>
  <si>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</si>
  <si>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</si>
  <si>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</si>
  <si>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</si>
  <si>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</si>
  <si>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</si>
  <si>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</si>
  <si>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</si>
  <si>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</si>
  <si>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</si>
  <si>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</si>
  <si>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</si>
  <si>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</si>
  <si>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</si>
  <si>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</si>
  <si>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</si>
  <si>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</si>
  <si>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</si>
  <si>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</si>
  <si>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</si>
  <si>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</si>
  <si>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</si>
  <si>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</si>
  <si>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</si>
  <si>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</si>
  <si>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</si>
  <si>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</si>
  <si>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</si>
  <si>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</si>
  <si>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</si>
  <si>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</si>
  <si>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</si>
  <si>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</si>
  <si>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</si>
  <si>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</si>
  <si>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</si>
  <si>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</si>
  <si>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</si>
  <si>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</si>
  <si>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</si>
  <si>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</si>
  <si>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</si>
  <si>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</si>
  <si>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</si>
  <si>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</si>
  <si>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</si>
  <si>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</si>
  <si>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</si>
  <si>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</si>
  <si>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</si>
  <si>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</si>
  <si>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</si>
  <si>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</si>
  <si>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</si>
  <si>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</si>
  <si>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</si>
  <si>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</si>
  <si>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</si>
  <si>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</si>
  <si>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</si>
  <si>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</si>
  <si>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</si>
  <si>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</si>
  <si>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</si>
  <si>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</si>
  <si>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</si>
  <si>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</si>
  <si>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</si>
  <si>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</si>
  <si>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</si>
  <si>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</si>
  <si>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</si>
  <si>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</si>
  <si>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</si>
  <si>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</si>
  <si>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</si>
  <si>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</si>
  <si>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</si>
  <si>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</si>
  <si>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</si>
  <si>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</si>
  <si>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</si>
  <si>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</si>
  <si>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</si>
  <si>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</si>
  <si>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</si>
  <si>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</si>
  <si>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</si>
  <si>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</si>
  <si>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</si>
  <si>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</si>
  <si>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</si>
  <si>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</si>
  <si>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</si>
  <si>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</si>
  <si>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</si>
  <si>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</si>
  <si>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</si>
  <si>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</si>
  <si>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</si>
  <si>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</si>
  <si>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</si>
  <si>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</si>
  <si>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</si>
  <si>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</si>
  <si>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</si>
  <si>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</si>
  <si>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</si>
  <si>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</si>
  <si>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</si>
  <si>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</si>
  <si>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</si>
  <si>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</si>
  <si>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</si>
  <si>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</si>
  <si>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</si>
  <si>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</si>
  <si>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</si>
  <si>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</si>
  <si>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</si>
  <si>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</si>
  <si>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</si>
  <si>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</si>
  <si>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</si>
  <si>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</si>
  <si>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</si>
  <si>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</si>
  <si>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</si>
  <si>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</si>
  <si>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</si>
  <si>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</si>
  <si>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</si>
  <si>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</si>
  <si>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</si>
  <si>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</si>
  <si>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</si>
  <si>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</si>
  <si>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</si>
  <si>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</si>
  <si>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</si>
  <si>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</si>
  <si>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</si>
  <si>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</si>
  <si>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</si>
  <si>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</si>
  <si>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</si>
  <si>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</si>
  <si>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</si>
  <si>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</si>
  <si>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</si>
  <si>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</si>
  <si>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</si>
  <si>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</si>
  <si>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</si>
  <si>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</si>
  <si>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</si>
  <si>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</si>
  <si>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</si>
  <si>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</si>
  <si>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</si>
  <si>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</si>
  <si>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</si>
  <si>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</si>
  <si>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</si>
  <si>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</si>
  <si>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</si>
  <si>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</si>
  <si>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</si>
  <si>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</si>
  <si>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</si>
  <si>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</si>
  <si>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</si>
  <si>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</si>
  <si>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</si>
  <si>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</si>
  <si>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</si>
  <si>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</si>
  <si>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</si>
  <si>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</si>
  <si>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</si>
  <si>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</si>
  <si>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</si>
  <si>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</si>
  <si>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</si>
  <si>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</si>
  <si>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</si>
  <si>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</si>
  <si>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</si>
  <si>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</si>
  <si>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</si>
  <si>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</si>
  <si>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</si>
  <si>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</si>
  <si>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</si>
  <si>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</si>
  <si>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</si>
  <si>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</si>
  <si>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</si>
  <si>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</si>
  <si>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</si>
  <si>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</si>
  <si>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</si>
  <si>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</si>
  <si>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</si>
  <si>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</si>
  <si>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</si>
  <si>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</si>
  <si>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</si>
  <si>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</si>
  <si>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</si>
  <si>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</si>
  <si>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</si>
  <si>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</si>
  <si>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</si>
  <si>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</si>
  <si>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</si>
  <si>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</si>
  <si>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</si>
  <si>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</si>
  <si>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</si>
  <si>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</si>
  <si>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</si>
  <si>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</si>
  <si>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</si>
  <si>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</si>
  <si>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</si>
  <si>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</si>
  <si>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</si>
  <si>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</si>
  <si>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</si>
  <si>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</si>
  <si>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</si>
  <si>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</si>
  <si>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</si>
  <si>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</si>
  <si>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</si>
  <si>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</si>
  <si>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</si>
  <si>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</si>
  <si>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</si>
  <si>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</si>
  <si>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</si>
  <si>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</si>
  <si>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</si>
  <si>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</si>
  <si>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</si>
  <si>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</si>
  <si>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</si>
  <si>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</si>
  <si>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</si>
  <si>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</si>
  <si>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</si>
  <si>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</si>
  <si>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</si>
  <si>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</si>
  <si>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</si>
  <si>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</si>
  <si>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</si>
  <si>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</si>
  <si>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</si>
  <si>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</si>
  <si>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</si>
  <si>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</si>
  <si>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</si>
  <si>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</si>
  <si>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</si>
  <si>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</si>
  <si>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</si>
  <si>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</si>
  <si>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</si>
  <si>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</si>
  <si>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</si>
  <si>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</si>
  <si>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</si>
  <si>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</si>
  <si>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</si>
  <si>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</si>
  <si>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</si>
  <si>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</si>
  <si>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</si>
  <si>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</si>
  <si>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</si>
  <si>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</si>
  <si>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</si>
  <si>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</si>
  <si>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</si>
  <si>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</si>
  <si>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</si>
  <si>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</si>
  <si>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</si>
  <si>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</si>
  <si>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</si>
  <si>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</si>
  <si>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</si>
  <si>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</si>
  <si>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</si>
  <si>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</si>
  <si>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</si>
  <si>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</si>
  <si>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</si>
  <si>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</si>
  <si>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</si>
  <si>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</si>
  <si>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</si>
  <si>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</si>
  <si>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</si>
  <si>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</si>
  <si>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</si>
  <si>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</si>
  <si>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</si>
  <si>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</si>
  <si>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</si>
  <si>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</si>
  <si>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</si>
  <si>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</si>
  <si>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</si>
  <si>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</si>
  <si>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</si>
  <si>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</si>
  <si>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</si>
  <si>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</si>
  <si>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</si>
  <si>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</si>
  <si>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</si>
  <si>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</si>
  <si>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</si>
  <si>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</si>
  <si>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</si>
  <si>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</si>
  <si>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</si>
  <si>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</si>
  <si>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</si>
  <si>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</si>
  <si>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</si>
  <si>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</si>
  <si>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</si>
  <si>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</si>
  <si>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</si>
  <si>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</si>
  <si>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</si>
  <si>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</si>
  <si>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</si>
  <si>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</si>
  <si>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</si>
  <si>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</si>
  <si>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</si>
  <si>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</si>
  <si>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</si>
  <si>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</si>
  <si>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</si>
  <si>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</si>
  <si>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</si>
  <si>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</si>
  <si>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</si>
  <si>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</si>
  <si>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</si>
  <si>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</si>
  <si>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</si>
  <si>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</si>
  <si>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</si>
  <si>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</si>
  <si>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</si>
  <si>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</si>
  <si>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</si>
  <si>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</si>
  <si>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</si>
  <si>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</si>
  <si>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</si>
  <si>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</si>
  <si>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</si>
  <si>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</si>
  <si>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</si>
  <si>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</si>
  <si>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</si>
  <si>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</si>
  <si>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</si>
  <si>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</si>
  <si>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</si>
  <si>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</si>
  <si>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</si>
  <si>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</si>
  <si>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</si>
  <si>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</si>
  <si>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</si>
  <si>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</si>
  <si>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</si>
  <si>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</si>
  <si>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</si>
  <si>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</si>
  <si>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</si>
  <si>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</si>
  <si>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</si>
  <si>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</si>
  <si>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</si>
  <si>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</si>
  <si>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</si>
  <si>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</si>
  <si>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</si>
  <si>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</si>
  <si>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</si>
  <si>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</si>
  <si>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</si>
  <si>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</si>
  <si>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</si>
  <si>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</si>
  <si>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</si>
  <si>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</si>
  <si>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</si>
  <si>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</si>
  <si>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</si>
  <si>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</si>
  <si>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</si>
  <si>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</si>
  <si>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</si>
  <si>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</si>
  <si>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</si>
  <si>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</si>
  <si>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</si>
  <si>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</si>
  <si>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</si>
  <si>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</si>
  <si>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</si>
  <si>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</si>
  <si>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</si>
  <si>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</si>
  <si>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</si>
  <si>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</si>
  <si>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</si>
  <si>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</si>
  <si>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</si>
  <si>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</si>
  <si>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</si>
  <si>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</si>
  <si>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</si>
  <si>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</si>
  <si>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</si>
  <si>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</si>
  <si>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</si>
  <si>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</si>
  <si>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</si>
  <si>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</si>
  <si>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</si>
  <si>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</si>
  <si>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</si>
  <si>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</si>
  <si>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</si>
  <si>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</si>
  <si>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</si>
  <si>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</si>
  <si>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</si>
  <si>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</si>
  <si>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</si>
  <si>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</si>
  <si>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</si>
  <si>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</si>
  <si>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</si>
  <si>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</si>
  <si>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</si>
  <si>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</si>
  <si>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</si>
  <si>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</si>
  <si>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</si>
  <si>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</si>
  <si>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</si>
  <si>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</si>
  <si>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</si>
  <si>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</si>
  <si>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</si>
  <si>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</si>
  <si>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</si>
  <si>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</si>
  <si>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</si>
  <si>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</si>
  <si>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</si>
  <si>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</si>
  <si>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</si>
  <si>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</si>
  <si>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</si>
  <si>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</si>
  <si>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</si>
  <si>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</si>
  <si>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</si>
  <si>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</si>
  <si>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</si>
  <si>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</si>
  <si>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</si>
  <si>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</si>
  <si>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</si>
  <si>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</si>
  <si>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</si>
  <si>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</si>
  <si>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</si>
  <si>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</si>
  <si>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</si>
  <si>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</si>
  <si>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</si>
  <si>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</si>
  <si>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</si>
  <si>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</si>
  <si>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</si>
  <si>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</si>
  <si>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</si>
  <si>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</si>
  <si>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</si>
  <si>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</si>
  <si>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</si>
  <si>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</si>
  <si>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</si>
  <si>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</si>
  <si>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</si>
  <si>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</si>
  <si>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</si>
  <si>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</si>
  <si>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</si>
  <si>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</si>
  <si>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</si>
  <si>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</si>
  <si>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</si>
  <si>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</si>
  <si>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</si>
  <si>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</si>
  <si>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</si>
  <si>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</si>
  <si>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</si>
  <si>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</si>
  <si>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</si>
  <si>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</si>
  <si>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</si>
  <si>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</si>
  <si>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</si>
  <si>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</si>
  <si>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</si>
  <si>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</si>
  <si>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</si>
  <si>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</si>
  <si>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</si>
  <si>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</si>
  <si>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</si>
  <si>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</si>
  <si>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</si>
  <si>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</si>
  <si>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</si>
  <si>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</si>
  <si>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</si>
  <si>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</si>
  <si>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</si>
  <si>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</si>
  <si>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</si>
  <si>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</si>
  <si>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</si>
  <si>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</si>
  <si>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</si>
  <si>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</si>
  <si>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</si>
  <si>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</si>
  <si>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</si>
  <si>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</si>
  <si>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</si>
  <si>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</si>
  <si>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</si>
  <si>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</si>
  <si>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</si>
  <si>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</si>
  <si>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</si>
  <si>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</si>
  <si>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</si>
  <si>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</si>
  <si>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</si>
  <si>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</si>
  <si>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</si>
  <si>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</si>
  <si>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</si>
  <si>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</si>
  <si>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</si>
  <si>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</si>
  <si>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</si>
  <si>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</si>
  <si>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</si>
  <si>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</si>
  <si>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</si>
  <si>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</si>
  <si>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</si>
  <si>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</si>
  <si>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</si>
  <si>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</si>
  <si>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</si>
  <si>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</si>
  <si>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</si>
  <si>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</si>
  <si>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</si>
  <si>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</si>
  <si>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</si>
  <si>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</si>
  <si>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</si>
  <si>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</si>
  <si>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</si>
  <si>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</si>
  <si>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</si>
  <si>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</si>
  <si>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</si>
  <si>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</si>
  <si>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</si>
  <si>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</si>
  <si>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</si>
  <si>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</si>
  <si>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</si>
  <si>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</si>
  <si>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</si>
  <si>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</si>
  <si>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</si>
  <si>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</si>
  <si>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</si>
  <si>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</si>
  <si>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</si>
  <si>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</si>
  <si>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</si>
  <si>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</si>
  <si>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</si>
  <si>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</si>
  <si>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</si>
  <si>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</si>
  <si>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</si>
  <si>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</si>
  <si>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</si>
  <si>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</si>
  <si>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</si>
  <si>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</si>
  <si>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</si>
  <si>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</si>
  <si>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</si>
  <si>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</si>
  <si>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</si>
  <si>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</si>
  <si>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</si>
  <si>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</si>
  <si>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</si>
  <si>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</si>
  <si>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</si>
  <si>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</si>
  <si>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</si>
  <si>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</si>
  <si>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</si>
  <si>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</si>
  <si>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</si>
  <si>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</si>
  <si>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</si>
  <si>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</si>
  <si>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</si>
  <si>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</si>
  <si>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</si>
  <si>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</si>
  <si>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</si>
  <si>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</si>
  <si>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</si>
  <si>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</si>
  <si>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</si>
  <si>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</si>
  <si>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</si>
  <si>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</si>
  <si>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</si>
  <si>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</si>
  <si>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</si>
  <si>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</si>
  <si>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</si>
  <si>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</si>
  <si>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</si>
  <si>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</si>
  <si>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</si>
  <si>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</si>
  <si>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</si>
  <si>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</si>
  <si>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</si>
  <si>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</si>
  <si>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</si>
  <si>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</si>
  <si>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</si>
  <si>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</si>
  <si>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</si>
  <si>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</si>
  <si>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</si>
  <si>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</si>
  <si>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</si>
  <si>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</si>
  <si>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</si>
  <si>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</si>
  <si>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</si>
  <si>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</si>
  <si>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</si>
  <si>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</si>
  <si>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</si>
  <si>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</si>
  <si>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</si>
  <si>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</si>
  <si>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</si>
  <si>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</si>
  <si>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</si>
  <si>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</si>
  <si>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</si>
  <si>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</si>
  <si>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</si>
  <si>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</si>
  <si>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</si>
  <si>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</si>
  <si>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</si>
  <si>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</si>
  <si>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</si>
  <si>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</si>
  <si>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</si>
  <si>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</si>
  <si>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</si>
  <si>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</si>
  <si>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</si>
  <si>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</si>
  <si>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</si>
  <si>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</si>
  <si>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</si>
  <si>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</si>
  <si>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</si>
  <si>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</si>
  <si>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</si>
  <si>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</si>
  <si>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</si>
  <si>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</si>
  <si>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</si>
  <si>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</si>
  <si>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</si>
  <si>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</si>
  <si>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</si>
  <si>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</si>
  <si>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</si>
  <si>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</si>
  <si>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</si>
  <si>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</si>
  <si>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</si>
  <si>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</si>
  <si>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</si>
  <si>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</si>
  <si>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</si>
  <si>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</si>
  <si>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</si>
  <si>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</si>
  <si>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</si>
  <si>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</si>
  <si>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</si>
  <si>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Civil Rights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</si>
</sst>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0" fontId="37" fillId="0" borderId="0" xfId="0" applyFont="1" applyAlignment="1">
      <alignment horizontal="left"/>
    </xf>
    <xf numFmtId="165" fontId="3" fillId="0" borderId="0" xfId="0" applyNumberFormat="1" applyFont="1" applyAlignment="1">
      <alignment horizontal="left"/>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0" xfId="0" applyNumberFormat="1" applyFont="1"/>
    <xf numFmtId="0" fontId="35" fillId="7"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vertical="top" wrapText="1"/>
    </xf>
    <xf numFmtId="0" fontId="6" fillId="2" borderId="0" xfId="0" applyFont="1" applyFill="1" applyProtection="1">
      <protection locked="0"/>
    </xf>
    <xf numFmtId="0" fontId="14" fillId="3" borderId="0" xfId="0" applyFont="1" applyFill="1" applyAlignment="1">
      <alignment horizontal="left"/>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2" fillId="0" borderId="0" xfId="3" applyFont="1" applyAlignment="1">
      <alignment horizontal="left" vertical="top" wrapText="1"/>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35" sqref="J35"/>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78" t="s">
        <v>0</v>
      </c>
      <c r="B1" s="178"/>
      <c r="C1" s="178"/>
      <c r="D1" s="178"/>
      <c r="E1" s="178"/>
      <c r="F1" s="178"/>
      <c r="G1" s="178"/>
      <c r="H1" s="178"/>
      <c r="I1" s="178"/>
      <c r="J1" s="178"/>
      <c r="K1" s="178"/>
      <c r="L1" s="41"/>
    </row>
    <row r="2" spans="1:17" ht="18" x14ac:dyDescent="0.25">
      <c r="A2" s="179" t="s">
        <v>1</v>
      </c>
      <c r="B2" s="179"/>
      <c r="C2" s="179"/>
      <c r="D2" s="179"/>
      <c r="E2" s="179"/>
      <c r="F2" s="179"/>
      <c r="G2" s="179"/>
      <c r="H2" s="179"/>
      <c r="I2" s="179"/>
      <c r="J2" s="179"/>
      <c r="K2" s="179"/>
      <c r="L2" s="43"/>
    </row>
    <row r="3" spans="1:17" ht="15.75" x14ac:dyDescent="0.25">
      <c r="A3" s="173" t="s">
        <v>2</v>
      </c>
      <c r="B3" s="173"/>
      <c r="C3" s="173"/>
      <c r="D3" s="173"/>
      <c r="E3" s="173"/>
      <c r="F3" s="172" t="s">
        <v>3</v>
      </c>
      <c r="G3" s="172"/>
      <c r="H3" s="172"/>
      <c r="I3" s="172"/>
    </row>
    <row r="4" spans="1:17" ht="15.75" x14ac:dyDescent="0.25">
      <c r="A4" s="173" t="s">
        <v>4</v>
      </c>
      <c r="B4" s="173"/>
      <c r="C4" s="173"/>
      <c r="D4" s="173"/>
      <c r="E4" s="173"/>
      <c r="F4" s="172" t="s">
        <v>1642</v>
      </c>
      <c r="G4" s="172"/>
      <c r="H4" s="172"/>
      <c r="I4" s="172"/>
    </row>
    <row r="5" spans="1:17" ht="15.75" x14ac:dyDescent="0.2">
      <c r="A5" s="173" t="s">
        <v>5</v>
      </c>
      <c r="B5" s="173"/>
      <c r="C5" s="173"/>
      <c r="D5" s="173"/>
      <c r="E5" s="173"/>
      <c r="F5" s="180" t="s">
        <v>632</v>
      </c>
      <c r="G5" s="180"/>
      <c r="H5" s="180"/>
      <c r="I5" s="180"/>
      <c r="J5" s="44"/>
      <c r="K5" s="44"/>
      <c r="L5" s="45"/>
      <c r="M5" s="45"/>
      <c r="N5" s="45"/>
    </row>
    <row r="6" spans="1:17" ht="15.75" x14ac:dyDescent="0.2">
      <c r="A6" s="173" t="s">
        <v>6</v>
      </c>
      <c r="B6" s="173"/>
      <c r="C6" s="173"/>
      <c r="D6" s="173"/>
      <c r="E6" s="173"/>
      <c r="F6" s="181">
        <v>1</v>
      </c>
      <c r="G6" s="181"/>
      <c r="H6" s="181"/>
      <c r="I6" s="181"/>
      <c r="L6" s="46"/>
      <c r="M6" s="45"/>
      <c r="N6" s="45"/>
      <c r="P6" s="26"/>
    </row>
    <row r="7" spans="1:17" ht="15.75" x14ac:dyDescent="0.2">
      <c r="A7" s="173" t="s">
        <v>7</v>
      </c>
      <c r="B7" s="173"/>
      <c r="C7" s="173"/>
      <c r="D7" s="173"/>
      <c r="E7" s="173"/>
      <c r="F7" s="172" t="s">
        <v>106</v>
      </c>
      <c r="G7" s="172"/>
      <c r="H7" s="172"/>
      <c r="I7" s="172"/>
      <c r="L7" s="46"/>
      <c r="M7" s="45"/>
      <c r="N7" s="45"/>
      <c r="P7" s="26"/>
    </row>
    <row r="8" spans="1:17" ht="15.75" x14ac:dyDescent="0.2">
      <c r="A8" s="173" t="s">
        <v>8</v>
      </c>
      <c r="B8" s="173"/>
      <c r="C8" s="173"/>
      <c r="D8" s="173"/>
      <c r="E8" s="173"/>
      <c r="F8" s="174" t="str">
        <f>IF(OR($F$7='Drop Down Menus'!B2,$F$7='Drop Down Menus'!$B$3),'Drop Down Menus'!$D$9,IFERROR(VLOOKUP($F$5,GAAP02Aindex!$A$2:$D$900,4,FALSE),"Unidentified"))</f>
        <v>BUS, CONSUMER SERV, HOUSING</v>
      </c>
      <c r="G8" s="174"/>
      <c r="H8" s="174"/>
      <c r="I8" s="174"/>
      <c r="L8" s="46"/>
      <c r="M8" s="45"/>
      <c r="N8" s="45"/>
      <c r="P8" s="26"/>
    </row>
    <row r="9" spans="1:17" x14ac:dyDescent="0.2">
      <c r="H9" s="42"/>
      <c r="L9" s="46"/>
      <c r="M9" s="45"/>
      <c r="N9" s="45"/>
      <c r="Q9" s="27"/>
    </row>
    <row r="10" spans="1:17" x14ac:dyDescent="0.25">
      <c r="H10" s="42"/>
      <c r="J10" s="47"/>
      <c r="L10" s="46"/>
      <c r="M10" s="45"/>
      <c r="N10" s="45"/>
    </row>
    <row r="11" spans="1:17" ht="15.75" x14ac:dyDescent="0.25">
      <c r="A11" s="152"/>
      <c r="B11" s="152"/>
      <c r="C11" s="152"/>
      <c r="D11" s="152"/>
      <c r="E11" s="152"/>
      <c r="F11" s="153"/>
      <c r="G11" s="153"/>
      <c r="H11" s="153"/>
      <c r="I11" s="153"/>
      <c r="J11" s="153"/>
      <c r="L11" s="46"/>
      <c r="M11" s="45"/>
      <c r="N11" s="45"/>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5"/>
      <c r="M12" s="45"/>
    </row>
    <row r="13" spans="1:17" ht="16.5" customHeight="1" x14ac:dyDescent="0.2">
      <c r="A13" s="48" t="s">
        <v>9</v>
      </c>
      <c r="H13" s="42"/>
      <c r="L13" s="49"/>
    </row>
    <row r="14" spans="1:17" ht="16.5" customHeight="1" x14ac:dyDescent="0.3">
      <c r="A14" s="50">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49"/>
    </row>
    <row r="15" spans="1:17" ht="16.5" customHeight="1" x14ac:dyDescent="0.2">
      <c r="B15" s="165" t="s">
        <v>10</v>
      </c>
      <c r="C15" s="165"/>
      <c r="D15" s="165"/>
      <c r="E15" s="165"/>
      <c r="F15" s="165"/>
      <c r="G15" s="165"/>
      <c r="H15" s="165"/>
      <c r="I15" s="165"/>
      <c r="J15" s="31">
        <v>1476352</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9"/>
      <c r="C18" s="165" t="s">
        <v>13</v>
      </c>
      <c r="D18" s="165"/>
      <c r="E18" s="165"/>
      <c r="F18" s="165"/>
      <c r="G18" s="165"/>
      <c r="H18" s="165"/>
      <c r="I18" s="165"/>
      <c r="J18" s="32"/>
      <c r="K18" s="31"/>
    </row>
    <row r="19" spans="1:17" ht="16.5" customHeight="1" x14ac:dyDescent="0.25">
      <c r="A19" s="51"/>
      <c r="B19" s="52"/>
      <c r="C19" s="165" t="s">
        <v>14</v>
      </c>
      <c r="D19" s="165"/>
      <c r="E19" s="165"/>
      <c r="F19" s="165"/>
      <c r="G19" s="165"/>
      <c r="H19" s="165"/>
      <c r="I19" s="165"/>
      <c r="J19" s="32"/>
      <c r="K19" s="31">
        <v>1157528</v>
      </c>
      <c r="P19" s="26"/>
    </row>
    <row r="20" spans="1:17" ht="16.5" hidden="1" customHeight="1" x14ac:dyDescent="0.25">
      <c r="A20" s="51"/>
      <c r="B20" s="52"/>
      <c r="C20" s="165" t="s">
        <v>15</v>
      </c>
      <c r="D20" s="165"/>
      <c r="E20" s="165"/>
      <c r="F20" s="165"/>
      <c r="G20" s="165"/>
      <c r="H20" s="165"/>
      <c r="I20" s="165"/>
      <c r="K20" s="31"/>
      <c r="Q20" s="27"/>
    </row>
    <row r="21" spans="1:17" ht="16.5" customHeight="1" x14ac:dyDescent="0.25">
      <c r="A21" s="51"/>
      <c r="B21" s="52"/>
      <c r="C21" s="165" t="s">
        <v>16</v>
      </c>
      <c r="D21" s="165"/>
      <c r="E21" s="165"/>
      <c r="F21" s="165"/>
      <c r="G21" s="165"/>
      <c r="H21" s="165"/>
      <c r="I21" s="165"/>
      <c r="J21" s="32"/>
      <c r="K21" s="31">
        <v>318824</v>
      </c>
      <c r="Q21" s="27"/>
    </row>
    <row r="22" spans="1:17" ht="16.5" customHeight="1" x14ac:dyDescent="0.2">
      <c r="A22" s="51"/>
      <c r="B22" s="53"/>
      <c r="C22" s="53"/>
      <c r="D22" s="53"/>
      <c r="E22" s="53"/>
      <c r="F22" s="53"/>
      <c r="G22" s="53"/>
      <c r="H22" s="53"/>
      <c r="I22" s="53"/>
      <c r="J22" s="28">
        <f>ROUND(SUM(J15:J17),2)</f>
        <v>1476352</v>
      </c>
      <c r="K22" s="28">
        <f>ROUND(SUM(K18:K21),2)</f>
        <v>1476352</v>
      </c>
      <c r="L22" s="49" t="str">
        <f>IF(J22=K22,"&lt;- Debits and Credits equal each other.","&lt;- Debits and Credits do not equal each other.")</f>
        <v>&lt;- Debits and Credits equal each other.</v>
      </c>
    </row>
    <row r="23" spans="1:17" ht="16.5" customHeight="1" x14ac:dyDescent="0.25">
      <c r="A23" s="51"/>
      <c r="B23" s="54"/>
      <c r="C23" s="54"/>
      <c r="D23" s="54"/>
      <c r="E23" s="54"/>
      <c r="F23" s="54"/>
      <c r="G23" s="54"/>
      <c r="H23" s="54"/>
      <c r="I23" s="54"/>
      <c r="J23" s="5"/>
      <c r="K23" s="5"/>
      <c r="L23" s="49"/>
    </row>
    <row r="24" spans="1:17" ht="16.5" customHeight="1" x14ac:dyDescent="0.25">
      <c r="A24" s="1"/>
      <c r="B24" s="164" t="s">
        <v>17</v>
      </c>
      <c r="C24" s="164"/>
      <c r="D24" s="164"/>
      <c r="E24" s="164"/>
      <c r="F24" s="164"/>
      <c r="G24" s="164"/>
      <c r="H24" s="164"/>
      <c r="I24" s="164"/>
      <c r="J24" s="164"/>
      <c r="K24" s="164"/>
      <c r="L24" s="49"/>
    </row>
    <row r="25" spans="1:17" ht="16.5" customHeight="1" x14ac:dyDescent="0.25">
      <c r="A25" s="1"/>
      <c r="B25" s="55"/>
      <c r="C25" s="151"/>
      <c r="D25" s="56"/>
      <c r="E25" s="56"/>
      <c r="F25" s="6"/>
      <c r="G25" s="6"/>
      <c r="H25" s="57"/>
      <c r="I25" s="57"/>
      <c r="J25" s="5"/>
      <c r="K25" s="5"/>
      <c r="L25" s="49"/>
    </row>
    <row r="26" spans="1:17" ht="20.25" customHeight="1" x14ac:dyDescent="0.3">
      <c r="A26" s="155" t="str">
        <f>IF($F$3="2022–2023","Record SBITAs Commenced on or after 07/02/2022","Record New SBITAs (new SBITAs only)")</f>
        <v>Record SBITAs Commenced on or after 07/02/2022</v>
      </c>
      <c r="B26" s="58"/>
      <c r="C26" s="59"/>
      <c r="D26" s="59"/>
      <c r="E26" s="59"/>
      <c r="F26" s="29"/>
      <c r="G26" s="29"/>
      <c r="H26" s="60"/>
      <c r="I26" s="60"/>
      <c r="J26" s="29"/>
      <c r="K26" s="29"/>
      <c r="L26" s="49"/>
    </row>
    <row r="27" spans="1:17" ht="18.75" x14ac:dyDescent="0.3">
      <c r="A27" s="50">
        <v>1</v>
      </c>
      <c r="B27" s="167" t="s">
        <v>18</v>
      </c>
      <c r="C27" s="168"/>
      <c r="D27" s="168"/>
      <c r="E27" s="168"/>
      <c r="F27" s="168"/>
      <c r="G27" s="168"/>
      <c r="H27" s="168"/>
      <c r="I27" s="168"/>
      <c r="J27" s="168"/>
      <c r="K27" s="168"/>
      <c r="L27" s="49"/>
    </row>
    <row r="28" spans="1:17" ht="16.5" customHeight="1" x14ac:dyDescent="0.2">
      <c r="A28" s="51"/>
      <c r="B28" s="165" t="s">
        <v>19</v>
      </c>
      <c r="C28" s="165"/>
      <c r="D28" s="165"/>
      <c r="E28" s="165"/>
      <c r="F28" s="165"/>
      <c r="G28" s="165"/>
      <c r="H28" s="165"/>
      <c r="I28" s="165"/>
      <c r="J28" s="31">
        <v>300212</v>
      </c>
      <c r="K28" s="32"/>
      <c r="L28" s="49"/>
    </row>
    <row r="29" spans="1:17" ht="16.5" customHeight="1" x14ac:dyDescent="0.25">
      <c r="A29" s="51"/>
      <c r="B29" s="52"/>
      <c r="C29" s="165" t="s">
        <v>20</v>
      </c>
      <c r="D29" s="165"/>
      <c r="E29" s="165"/>
      <c r="F29" s="165"/>
      <c r="G29" s="165"/>
      <c r="H29" s="165"/>
      <c r="I29" s="165"/>
      <c r="J29" s="32"/>
      <c r="K29" s="31">
        <v>300212</v>
      </c>
      <c r="L29" s="49"/>
    </row>
    <row r="30" spans="1:17" ht="16.5" customHeight="1" x14ac:dyDescent="0.25">
      <c r="A30" s="51"/>
      <c r="B30" s="52"/>
      <c r="C30" s="165" t="str">
        <f>VLOOKUP($F$8,'Drop Down Menus'!$D$2:$G$10,4,FALSE)</f>
        <v>Cr: Acct 0825 - BUS, CONSUMER SERV, HOUSING</v>
      </c>
      <c r="D30" s="165"/>
      <c r="E30" s="165"/>
      <c r="F30" s="165"/>
      <c r="G30" s="165"/>
      <c r="H30" s="165"/>
      <c r="I30" s="165"/>
      <c r="J30" s="32"/>
      <c r="K30" s="31"/>
    </row>
    <row r="31" spans="1:17" ht="16.5" customHeight="1" x14ac:dyDescent="0.2">
      <c r="A31" s="61"/>
      <c r="B31" s="53"/>
      <c r="C31" s="53"/>
      <c r="D31" s="53"/>
      <c r="E31" s="53"/>
      <c r="F31" s="53"/>
      <c r="G31" s="53"/>
      <c r="H31" s="53"/>
      <c r="I31" s="53"/>
      <c r="J31" s="28">
        <f>ROUND(SUM(J28:J30),2)</f>
        <v>300212</v>
      </c>
      <c r="K31" s="28">
        <f>ROUND(SUM(K28:K30),2)</f>
        <v>300212</v>
      </c>
      <c r="L31" s="49" t="str">
        <f>IF(J31=K31,"&lt;- Debits and Credits equal each other.","&lt;- Debits and Credits do not equal each other.")</f>
        <v>&lt;- Debits and Credits equal each other.</v>
      </c>
    </row>
    <row r="32" spans="1:17" ht="16.5" customHeight="1" x14ac:dyDescent="0.25">
      <c r="A32" s="1"/>
      <c r="B32" s="62"/>
      <c r="C32" s="62"/>
      <c r="D32" s="62"/>
      <c r="E32" s="62"/>
      <c r="F32" s="62"/>
      <c r="G32" s="62"/>
      <c r="H32" s="62"/>
      <c r="I32" s="62"/>
      <c r="J32" s="5"/>
      <c r="K32" s="5"/>
      <c r="L32" s="49"/>
    </row>
    <row r="33" spans="1:12" ht="16.5" customHeight="1" x14ac:dyDescent="0.3">
      <c r="A33" s="50">
        <v>2</v>
      </c>
      <c r="B33" s="175" t="s">
        <v>21</v>
      </c>
      <c r="C33" s="176"/>
      <c r="D33" s="176"/>
      <c r="E33" s="176"/>
      <c r="F33" s="176"/>
      <c r="G33" s="176"/>
      <c r="H33" s="176"/>
      <c r="I33" s="176"/>
      <c r="J33" s="176"/>
      <c r="K33" s="176"/>
      <c r="L33" s="49"/>
    </row>
    <row r="34" spans="1:12" ht="16.5" customHeight="1" x14ac:dyDescent="0.3">
      <c r="A34" s="61"/>
      <c r="B34" s="165" t="s">
        <v>10</v>
      </c>
      <c r="C34" s="165"/>
      <c r="D34" s="165"/>
      <c r="E34" s="165"/>
      <c r="F34" s="165"/>
      <c r="G34" s="165"/>
      <c r="H34" s="165"/>
      <c r="I34" s="165"/>
      <c r="J34" s="31">
        <v>300212</v>
      </c>
      <c r="K34" s="154"/>
      <c r="L34" s="49"/>
    </row>
    <row r="35" spans="1:12" ht="16.5" customHeight="1" x14ac:dyDescent="0.2">
      <c r="B35" s="165" t="s">
        <v>22</v>
      </c>
      <c r="C35" s="165"/>
      <c r="D35" s="165"/>
      <c r="E35" s="165"/>
      <c r="F35" s="165"/>
      <c r="G35" s="165"/>
      <c r="H35" s="165"/>
      <c r="I35" s="165"/>
      <c r="J35" s="31">
        <v>300212</v>
      </c>
      <c r="K35" s="35"/>
    </row>
    <row r="36" spans="1:12" ht="16.5" customHeight="1" x14ac:dyDescent="0.2">
      <c r="A36" s="51"/>
      <c r="B36" s="63"/>
      <c r="C36" s="165" t="s">
        <v>23</v>
      </c>
      <c r="D36" s="165"/>
      <c r="E36" s="165"/>
      <c r="F36" s="165"/>
      <c r="G36" s="165"/>
      <c r="H36" s="165"/>
      <c r="I36" s="165"/>
      <c r="J36" s="35"/>
      <c r="K36" s="31">
        <v>300212</v>
      </c>
    </row>
    <row r="37" spans="1:12" ht="16.5" customHeight="1" x14ac:dyDescent="0.2">
      <c r="A37" s="51"/>
      <c r="C37" s="165" t="s">
        <v>14</v>
      </c>
      <c r="D37" s="165"/>
      <c r="E37" s="165"/>
      <c r="F37" s="165"/>
      <c r="G37" s="165"/>
      <c r="H37" s="165"/>
      <c r="I37" s="165"/>
      <c r="J37" s="35"/>
      <c r="K37" s="31">
        <v>300212</v>
      </c>
    </row>
    <row r="38" spans="1:12" ht="16.5" customHeight="1" x14ac:dyDescent="0.25">
      <c r="A38" s="51"/>
      <c r="B38" s="52"/>
      <c r="C38" s="165" t="str">
        <f>VLOOKUP($F$8,'Drop Down Menus'!$D$2:$G$10,4,FALSE)</f>
        <v>Cr: Acct 0825 - BUS, CONSUMER SERV, HOUSING</v>
      </c>
      <c r="D38" s="165"/>
      <c r="E38" s="165"/>
      <c r="F38" s="165"/>
      <c r="G38" s="165"/>
      <c r="H38" s="165"/>
      <c r="I38" s="165"/>
      <c r="J38" s="35"/>
      <c r="K38" s="31"/>
    </row>
    <row r="39" spans="1:12" ht="16.5" customHeight="1" x14ac:dyDescent="0.2">
      <c r="A39" s="51"/>
      <c r="B39" s="64"/>
      <c r="C39" s="64"/>
      <c r="D39" s="64"/>
      <c r="E39" s="64"/>
      <c r="F39" s="64"/>
      <c r="G39" s="64"/>
      <c r="H39" s="64"/>
      <c r="I39" s="64"/>
      <c r="J39" s="28">
        <f>ROUND(SUM(J34:J35),2)</f>
        <v>600424</v>
      </c>
      <c r="K39" s="28">
        <f>ROUND(SUM(K36:K38),2)</f>
        <v>600424</v>
      </c>
      <c r="L39" s="49" t="str">
        <f>IF(J39=K39,"&lt;- Debits and Credits equal each other.","&lt;- Debits and Credits do not equal each other.")</f>
        <v>&lt;- Debits and Credits equal each other.</v>
      </c>
    </row>
    <row r="40" spans="1:12" ht="16.5" customHeight="1" x14ac:dyDescent="0.2">
      <c r="A40" s="51"/>
      <c r="B40" s="54"/>
      <c r="C40" s="54"/>
      <c r="D40" s="54"/>
      <c r="E40" s="54"/>
      <c r="F40" s="54"/>
      <c r="G40" s="54"/>
      <c r="H40" s="54"/>
      <c r="I40" s="54"/>
      <c r="J40" s="65"/>
      <c r="K40" s="65"/>
      <c r="L40" s="49"/>
    </row>
    <row r="41" spans="1:12" ht="16.5" customHeight="1" x14ac:dyDescent="0.25">
      <c r="A41" s="61"/>
      <c r="B41" s="164" t="s">
        <v>24</v>
      </c>
      <c r="C41" s="164"/>
      <c r="D41" s="164"/>
      <c r="E41" s="164"/>
      <c r="F41" s="164"/>
      <c r="G41" s="164"/>
      <c r="H41" s="164"/>
      <c r="I41" s="164"/>
      <c r="J41" s="164"/>
      <c r="K41" s="164"/>
      <c r="L41" s="49"/>
    </row>
    <row r="42" spans="1:12" ht="16.5" customHeight="1" x14ac:dyDescent="0.2">
      <c r="A42" s="61"/>
      <c r="B42" s="62"/>
      <c r="C42" s="62"/>
      <c r="D42" s="62"/>
      <c r="E42" s="62"/>
      <c r="F42" s="62"/>
      <c r="G42" s="62"/>
      <c r="H42" s="62"/>
      <c r="I42" s="62"/>
      <c r="J42" s="65"/>
      <c r="K42" s="65"/>
      <c r="L42" s="49"/>
    </row>
    <row r="43" spans="1:12" ht="20.25" customHeight="1" x14ac:dyDescent="0.3">
      <c r="A43" s="155" t="s">
        <v>25</v>
      </c>
      <c r="B43" s="66"/>
      <c r="C43" s="67"/>
      <c r="D43" s="67"/>
      <c r="E43" s="67"/>
      <c r="F43" s="25"/>
      <c r="G43" s="25"/>
      <c r="H43" s="68"/>
      <c r="I43" s="68"/>
      <c r="J43" s="25"/>
      <c r="K43" s="25"/>
      <c r="L43" s="49"/>
    </row>
    <row r="44" spans="1:12" ht="16.5" customHeight="1" x14ac:dyDescent="0.3">
      <c r="A44" s="50">
        <v>3</v>
      </c>
      <c r="B44" s="150" t="s">
        <v>26</v>
      </c>
      <c r="C44" s="69"/>
      <c r="D44" s="69"/>
      <c r="E44" s="69"/>
      <c r="F44" s="30"/>
      <c r="G44" s="30"/>
      <c r="H44" s="70"/>
      <c r="I44" s="70"/>
      <c r="J44" s="30"/>
      <c r="K44" s="30"/>
      <c r="L44" s="49"/>
    </row>
    <row r="45" spans="1:12" ht="16.5" customHeight="1" x14ac:dyDescent="0.2">
      <c r="A45" s="51"/>
      <c r="B45" s="165" t="s">
        <v>27</v>
      </c>
      <c r="C45" s="165"/>
      <c r="D45" s="165"/>
      <c r="E45" s="165"/>
      <c r="F45" s="165"/>
      <c r="G45" s="165"/>
      <c r="H45" s="165"/>
      <c r="I45" s="165"/>
      <c r="J45" s="31">
        <v>1038280</v>
      </c>
      <c r="K45" s="32"/>
    </row>
    <row r="46" spans="1:12" ht="16.5" customHeight="1" x14ac:dyDescent="0.2">
      <c r="A46" s="51"/>
      <c r="B46" s="63"/>
      <c r="C46" s="165" t="s">
        <v>13</v>
      </c>
      <c r="D46" s="165"/>
      <c r="E46" s="165"/>
      <c r="F46" s="165"/>
      <c r="G46" s="165"/>
      <c r="H46" s="165"/>
      <c r="I46" s="165"/>
      <c r="J46" s="35"/>
      <c r="K46" s="31">
        <f>J45</f>
        <v>1038280</v>
      </c>
    </row>
    <row r="47" spans="1:12" ht="16.5" customHeight="1" x14ac:dyDescent="0.2">
      <c r="A47" s="61"/>
      <c r="B47" s="53"/>
      <c r="C47" s="53"/>
      <c r="D47" s="53"/>
      <c r="E47" s="53"/>
      <c r="F47" s="53"/>
      <c r="G47" s="53"/>
      <c r="H47" s="53"/>
      <c r="I47" s="53"/>
      <c r="J47" s="38">
        <f>ROUND(SUM(J45:J45),2)</f>
        <v>1038280</v>
      </c>
      <c r="K47" s="38">
        <f>ROUND(SUM(K46),2)</f>
        <v>1038280</v>
      </c>
      <c r="L47" s="49" t="str">
        <f>IF(J47=K47,"&lt;- Debits and Credits equal each other.","&lt;- Debits and Credits do not equal each other.")</f>
        <v>&lt;- Debits and Credits equal each other.</v>
      </c>
    </row>
    <row r="48" spans="1:12" ht="16.5" customHeight="1" x14ac:dyDescent="0.25">
      <c r="A48" s="61"/>
      <c r="B48" s="71"/>
      <c r="C48" s="71"/>
      <c r="D48" s="71"/>
      <c r="E48" s="71"/>
      <c r="F48" s="71"/>
      <c r="G48" s="71"/>
      <c r="H48" s="71"/>
      <c r="I48" s="71"/>
      <c r="J48" s="5"/>
      <c r="K48" s="5"/>
      <c r="L48" s="49"/>
    </row>
    <row r="49" spans="1:12" ht="16.5" customHeight="1" x14ac:dyDescent="0.3">
      <c r="A49" s="50">
        <v>4</v>
      </c>
      <c r="B49" s="150" t="s">
        <v>28</v>
      </c>
      <c r="C49" s="56"/>
      <c r="D49" s="56"/>
      <c r="E49" s="56"/>
      <c r="F49" s="6"/>
      <c r="G49" s="6"/>
      <c r="H49" s="57"/>
      <c r="I49" s="57"/>
      <c r="J49" s="5"/>
      <c r="K49" s="5"/>
      <c r="L49" s="49"/>
    </row>
    <row r="50" spans="1:12" ht="16.5" customHeight="1" x14ac:dyDescent="0.2">
      <c r="A50" s="51"/>
      <c r="B50" s="165" t="s">
        <v>29</v>
      </c>
      <c r="C50" s="165"/>
      <c r="D50" s="165"/>
      <c r="E50" s="165"/>
      <c r="F50" s="165"/>
      <c r="G50" s="165"/>
      <c r="H50" s="165"/>
      <c r="I50" s="165"/>
      <c r="J50" s="36">
        <v>838744</v>
      </c>
      <c r="K50" s="72"/>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61660</v>
      </c>
      <c r="K51" s="72"/>
    </row>
    <row r="52" spans="1:12" ht="16.5" customHeight="1" x14ac:dyDescent="0.25">
      <c r="A52" s="51"/>
      <c r="B52" s="52"/>
      <c r="C52" s="165" t="str">
        <f>VLOOKUP($F$8,'Drop Down Menus'!$D$2:$G$10,4,FALSE)</f>
        <v>Cr: Acct 0825 - BUS, CONSUMER SERV, HOUSING</v>
      </c>
      <c r="D52" s="165"/>
      <c r="E52" s="165"/>
      <c r="F52" s="165"/>
      <c r="G52" s="165"/>
      <c r="H52" s="165"/>
      <c r="I52" s="165"/>
      <c r="J52" s="72"/>
      <c r="K52" s="37">
        <f>+J50+J51</f>
        <v>900404</v>
      </c>
    </row>
    <row r="53" spans="1:12" ht="16.5" customHeight="1" x14ac:dyDescent="0.2">
      <c r="A53" s="61"/>
      <c r="B53" s="53"/>
      <c r="C53" s="53"/>
      <c r="D53" s="53"/>
      <c r="E53" s="53"/>
      <c r="F53" s="53"/>
      <c r="G53" s="53"/>
      <c r="H53" s="53"/>
      <c r="I53" s="53"/>
      <c r="J53" s="38">
        <f>ROUND(SUM(J50:J51),2)</f>
        <v>900404</v>
      </c>
      <c r="K53" s="38">
        <f>ROUND(SUM(K52,),2)</f>
        <v>900404</v>
      </c>
      <c r="L53" s="49" t="str">
        <f>IF(J53=K53,"&lt;- Debits and Credits equal each other.","&lt;- Debits and Credits do not equal each other.")</f>
        <v>&lt;- Debits and Credits equal each other.</v>
      </c>
    </row>
    <row r="54" spans="1:12" ht="16.5" customHeight="1" x14ac:dyDescent="0.25">
      <c r="A54" s="1"/>
      <c r="B54" s="151"/>
      <c r="C54" s="151"/>
      <c r="D54" s="151"/>
      <c r="E54" s="151"/>
      <c r="F54" s="151"/>
      <c r="G54" s="151"/>
      <c r="H54" s="151"/>
      <c r="I54" s="151"/>
      <c r="J54" s="5"/>
      <c r="K54" s="5"/>
      <c r="L54" s="49"/>
    </row>
    <row r="55" spans="1:12" ht="16.5" customHeight="1" x14ac:dyDescent="0.3">
      <c r="A55" s="50">
        <v>5</v>
      </c>
      <c r="B55" s="150" t="s">
        <v>30</v>
      </c>
      <c r="C55" s="73"/>
      <c r="D55" s="73"/>
      <c r="E55" s="73"/>
      <c r="F55" s="4"/>
      <c r="G55" s="4"/>
      <c r="H55" s="74"/>
      <c r="I55" s="74"/>
      <c r="J55" s="5"/>
      <c r="K55" s="5"/>
      <c r="L55" s="49"/>
    </row>
    <row r="56" spans="1:12" ht="16.5" customHeight="1" x14ac:dyDescent="0.2">
      <c r="A56" s="51"/>
      <c r="B56" s="165" t="s">
        <v>31</v>
      </c>
      <c r="C56" s="165"/>
      <c r="D56" s="165"/>
      <c r="E56" s="165"/>
      <c r="F56" s="165"/>
      <c r="G56" s="165"/>
      <c r="H56" s="165"/>
      <c r="I56" s="165"/>
      <c r="J56" s="31">
        <f>K57</f>
        <v>838744</v>
      </c>
      <c r="K56" s="35"/>
    </row>
    <row r="57" spans="1:12" ht="16.5" customHeight="1" x14ac:dyDescent="0.25">
      <c r="A57" s="51"/>
      <c r="B57" s="52"/>
      <c r="C57" s="165" t="s">
        <v>32</v>
      </c>
      <c r="D57" s="165"/>
      <c r="E57" s="165"/>
      <c r="F57" s="165"/>
      <c r="G57" s="165"/>
      <c r="H57" s="165"/>
      <c r="I57" s="165"/>
      <c r="J57" s="35"/>
      <c r="K57" s="31">
        <f>J50</f>
        <v>838744</v>
      </c>
    </row>
    <row r="58" spans="1:12" ht="16.5" customHeight="1" x14ac:dyDescent="0.2">
      <c r="A58" s="61"/>
      <c r="B58" s="53"/>
      <c r="C58" s="53"/>
      <c r="D58" s="53"/>
      <c r="E58" s="53"/>
      <c r="F58" s="53"/>
      <c r="G58" s="53"/>
      <c r="H58" s="53"/>
      <c r="I58" s="53"/>
      <c r="J58" s="38">
        <f>ROUND(SUM(J56:J56),2)</f>
        <v>838744</v>
      </c>
      <c r="K58" s="38">
        <f>ROUND(SUM(K57),2)</f>
        <v>838744</v>
      </c>
      <c r="L58" s="49" t="str">
        <f>IF(J58=K58,"&lt;- Debits and Credits equal each other.","&lt;- Debits and Credits do not equal each other.")</f>
        <v>&lt;- Debits and Credits equal each other.</v>
      </c>
    </row>
    <row r="59" spans="1:12" ht="16.5" customHeight="1" x14ac:dyDescent="0.25">
      <c r="A59" s="1"/>
      <c r="B59" s="71"/>
      <c r="C59" s="71"/>
      <c r="D59" s="71"/>
      <c r="E59" s="71"/>
      <c r="F59" s="71"/>
      <c r="G59" s="71"/>
      <c r="H59" s="71"/>
      <c r="I59" s="71"/>
      <c r="J59" s="5"/>
      <c r="K59" s="5"/>
      <c r="L59" s="49"/>
    </row>
    <row r="60" spans="1:12" ht="16.5" customHeight="1" x14ac:dyDescent="0.3">
      <c r="A60" s="50">
        <v>6</v>
      </c>
      <c r="B60" s="150" t="s">
        <v>33</v>
      </c>
      <c r="C60" s="73"/>
      <c r="D60" s="73"/>
      <c r="E60" s="73"/>
      <c r="F60" s="4"/>
      <c r="G60" s="4"/>
      <c r="H60" s="74"/>
      <c r="I60" s="74"/>
      <c r="J60" s="5"/>
      <c r="K60" s="5"/>
      <c r="L60" s="49"/>
    </row>
    <row r="61" spans="1:12" ht="16.5" customHeight="1" x14ac:dyDescent="0.2">
      <c r="B61" s="165" t="s">
        <v>31</v>
      </c>
      <c r="C61" s="165"/>
      <c r="D61" s="165"/>
      <c r="E61" s="165"/>
      <c r="F61" s="165"/>
      <c r="G61" s="165"/>
      <c r="H61" s="165"/>
      <c r="I61" s="165"/>
      <c r="J61" s="40">
        <v>293018</v>
      </c>
      <c r="K61" s="32"/>
    </row>
    <row r="62" spans="1:12" ht="16.5" customHeight="1" x14ac:dyDescent="0.25">
      <c r="A62" s="51"/>
      <c r="B62" s="52"/>
      <c r="C62" s="165" t="s">
        <v>34</v>
      </c>
      <c r="D62" s="165"/>
      <c r="E62" s="165"/>
      <c r="F62" s="165"/>
      <c r="G62" s="165"/>
      <c r="H62" s="165"/>
      <c r="I62" s="165"/>
      <c r="J62" s="32"/>
      <c r="K62" s="31">
        <f>J61</f>
        <v>293018</v>
      </c>
    </row>
    <row r="63" spans="1:12" ht="16.5" customHeight="1" x14ac:dyDescent="0.2">
      <c r="A63" s="51"/>
      <c r="B63" s="166" t="s">
        <v>35</v>
      </c>
      <c r="C63" s="166"/>
      <c r="D63" s="166"/>
      <c r="E63" s="166"/>
      <c r="F63" s="166"/>
      <c r="G63" s="166"/>
      <c r="H63" s="166"/>
      <c r="I63" s="166"/>
      <c r="J63" s="38">
        <f>ROUND(SUM(J61:J61),2)</f>
        <v>293018</v>
      </c>
      <c r="K63" s="38">
        <f>ROUND(SUM(K62),2)</f>
        <v>293018</v>
      </c>
      <c r="L63" s="49" t="str">
        <f>IF(J63=K63,"&lt;- Debits and Credits equal each other.","&lt;- Debits and Credits do not equal each other.")</f>
        <v>&lt;- Debits and Credits equal each other.</v>
      </c>
    </row>
    <row r="64" spans="1:12" ht="16.5" customHeight="1" x14ac:dyDescent="0.2">
      <c r="A64" s="51"/>
      <c r="B64" s="166"/>
      <c r="C64" s="166"/>
      <c r="D64" s="166"/>
      <c r="E64" s="166"/>
      <c r="F64" s="166"/>
      <c r="G64" s="166"/>
      <c r="H64" s="166"/>
      <c r="I64" s="166"/>
      <c r="J64" s="38"/>
      <c r="K64" s="38"/>
      <c r="L64" s="49"/>
    </row>
    <row r="65" spans="1:12" ht="16.5" customHeight="1" x14ac:dyDescent="0.25">
      <c r="A65" s="51"/>
      <c r="B65" s="53"/>
      <c r="C65" s="53"/>
      <c r="D65" s="53"/>
      <c r="E65" s="53"/>
      <c r="F65" s="53"/>
      <c r="G65" s="53"/>
      <c r="H65" s="53"/>
      <c r="I65" s="53"/>
      <c r="J65" s="5"/>
      <c r="K65" s="5"/>
      <c r="L65" s="49"/>
    </row>
    <row r="66" spans="1:12" ht="20.25" hidden="1" customHeight="1" x14ac:dyDescent="0.3">
      <c r="A66" s="155" t="s">
        <v>36</v>
      </c>
      <c r="B66" s="58"/>
      <c r="C66" s="59"/>
      <c r="D66" s="59"/>
      <c r="E66" s="59"/>
      <c r="F66" s="29"/>
      <c r="G66" s="29"/>
      <c r="H66" s="60"/>
      <c r="I66" s="60"/>
      <c r="J66" s="29"/>
      <c r="K66" s="29"/>
      <c r="L66" s="49"/>
    </row>
    <row r="67" spans="1:12" ht="16.5" hidden="1" customHeight="1" x14ac:dyDescent="0.3">
      <c r="A67" s="50">
        <v>7</v>
      </c>
      <c r="B67" s="150" t="s">
        <v>37</v>
      </c>
    </row>
    <row r="68" spans="1:12" ht="16.5" hidden="1" customHeight="1" x14ac:dyDescent="0.2">
      <c r="B68" s="171" t="s">
        <v>38</v>
      </c>
      <c r="C68" s="171"/>
      <c r="D68" s="171"/>
      <c r="E68" s="171"/>
      <c r="F68" s="171"/>
      <c r="G68" s="171"/>
      <c r="H68" s="171"/>
      <c r="I68" s="171"/>
      <c r="J68" s="40"/>
      <c r="K68" s="33"/>
      <c r="L68" s="49"/>
    </row>
    <row r="69" spans="1:12" ht="16.5" hidden="1" customHeight="1" x14ac:dyDescent="0.2">
      <c r="A69" s="51"/>
      <c r="B69" s="75"/>
      <c r="C69" s="171" t="s">
        <v>39</v>
      </c>
      <c r="D69" s="171"/>
      <c r="E69" s="171"/>
      <c r="F69" s="171"/>
      <c r="G69" s="171"/>
      <c r="H69" s="171"/>
      <c r="I69" s="171"/>
      <c r="J69" s="34"/>
      <c r="K69" s="40">
        <f>J68</f>
        <v>0</v>
      </c>
    </row>
    <row r="70" spans="1:12" ht="16.5" hidden="1" customHeight="1" x14ac:dyDescent="0.2">
      <c r="B70" s="53"/>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2"/>
      <c r="H71" s="42"/>
    </row>
    <row r="72" spans="1:12" ht="16.5" hidden="1" customHeight="1" x14ac:dyDescent="0.25">
      <c r="A72" s="51"/>
      <c r="B72" s="164" t="s">
        <v>40</v>
      </c>
      <c r="C72" s="164"/>
      <c r="D72" s="164"/>
      <c r="E72" s="164"/>
      <c r="F72" s="164"/>
      <c r="G72" s="164"/>
      <c r="H72" s="164"/>
      <c r="I72" s="164"/>
      <c r="J72" s="164"/>
      <c r="K72" s="164"/>
      <c r="L72" s="49"/>
    </row>
    <row r="73" spans="1:12" ht="16.5" hidden="1" customHeight="1" x14ac:dyDescent="0.25">
      <c r="A73" s="51"/>
      <c r="H73" s="42"/>
      <c r="J73" s="5"/>
      <c r="K73" s="5"/>
      <c r="L73" s="49"/>
    </row>
    <row r="74" spans="1:12" ht="20.25" hidden="1" customHeight="1" x14ac:dyDescent="0.25">
      <c r="A74" s="76" t="s">
        <v>41</v>
      </c>
      <c r="B74" s="77"/>
      <c r="C74" s="78"/>
      <c r="D74" s="78"/>
      <c r="E74" s="78"/>
      <c r="F74" s="39"/>
      <c r="G74" s="39"/>
      <c r="H74" s="79"/>
      <c r="I74" s="79"/>
      <c r="J74" s="39"/>
      <c r="K74" s="39"/>
      <c r="L74" s="49"/>
    </row>
    <row r="75" spans="1:12" ht="16.5" hidden="1" customHeight="1" x14ac:dyDescent="0.3">
      <c r="A75" s="50">
        <v>8</v>
      </c>
      <c r="B75" s="169" t="s">
        <v>42</v>
      </c>
      <c r="C75" s="170"/>
      <c r="D75" s="170"/>
      <c r="E75" s="170"/>
      <c r="F75" s="170"/>
      <c r="G75" s="170"/>
      <c r="H75" s="170"/>
      <c r="I75" s="170"/>
      <c r="J75" s="170"/>
      <c r="K75" s="170"/>
      <c r="L75" s="49"/>
    </row>
    <row r="76" spans="1:12" ht="16.5" hidden="1" customHeight="1" x14ac:dyDescent="0.2">
      <c r="B76" s="165" t="s">
        <v>14</v>
      </c>
      <c r="C76" s="165"/>
      <c r="D76" s="165"/>
      <c r="E76" s="165"/>
      <c r="F76" s="165"/>
      <c r="G76" s="165"/>
      <c r="H76" s="165"/>
      <c r="I76" s="165"/>
      <c r="J76" s="40"/>
    </row>
    <row r="77" spans="1:12" ht="16.5" hidden="1" customHeight="1" x14ac:dyDescent="0.2">
      <c r="B77" s="171" t="s">
        <v>38</v>
      </c>
      <c r="C77" s="171"/>
      <c r="D77" s="171"/>
      <c r="E77" s="171"/>
      <c r="F77" s="171"/>
      <c r="G77" s="171"/>
      <c r="H77" s="171"/>
      <c r="I77" s="171"/>
      <c r="J77" s="40"/>
    </row>
    <row r="78" spans="1:12" ht="16.5" hidden="1" customHeight="1" x14ac:dyDescent="0.2">
      <c r="B78" s="165" t="str">
        <f>VLOOKUP($F$8,'Drop Down Menus'!$D$2:$G$10,4,FALSE)</f>
        <v>Cr: Acct 0825 - BUS, CONSUMER SERV, HOUSING</v>
      </c>
      <c r="C78" s="165"/>
      <c r="D78" s="165"/>
      <c r="E78" s="165"/>
      <c r="F78" s="165"/>
      <c r="G78" s="165"/>
      <c r="H78" s="165"/>
      <c r="I78" s="165"/>
      <c r="J78" s="40"/>
    </row>
    <row r="79" spans="1:12" ht="16.5" hidden="1" customHeight="1" x14ac:dyDescent="0.2">
      <c r="C79" s="171" t="s">
        <v>39</v>
      </c>
      <c r="D79" s="171"/>
      <c r="E79" s="171"/>
      <c r="F79" s="171"/>
      <c r="G79" s="171"/>
      <c r="H79" s="171"/>
      <c r="I79" s="171"/>
      <c r="K79" s="40"/>
    </row>
    <row r="80" spans="1:12" ht="16.5" hidden="1" customHeight="1" x14ac:dyDescent="0.2">
      <c r="C80" s="165" t="str">
        <f>VLOOKUP($F$8,'Drop Down Menus'!$D$2:$G$10,4,FALSE)</f>
        <v>Cr: Acct 0825 - BUS, CONSUMER SERV, HOUSING</v>
      </c>
      <c r="D80" s="165"/>
      <c r="E80" s="165"/>
      <c r="F80" s="165"/>
      <c r="G80" s="165"/>
      <c r="H80" s="165"/>
      <c r="I80" s="165"/>
      <c r="K80" s="40"/>
    </row>
    <row r="81" spans="1:12" ht="16.5" hidden="1" customHeight="1" x14ac:dyDescent="0.2">
      <c r="B81" s="54"/>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7" t="s">
        <v>43</v>
      </c>
      <c r="C83" s="168"/>
      <c r="D83" s="168"/>
      <c r="E83" s="168"/>
      <c r="F83" s="168"/>
      <c r="G83" s="168"/>
      <c r="H83" s="168"/>
      <c r="I83" s="168"/>
      <c r="J83" s="168"/>
      <c r="K83" s="168"/>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4" t="s">
        <v>44</v>
      </c>
      <c r="C88" s="164"/>
      <c r="D88" s="164"/>
      <c r="E88" s="164"/>
      <c r="F88" s="164"/>
      <c r="G88" s="164"/>
      <c r="H88" s="164"/>
      <c r="I88" s="164"/>
      <c r="J88" s="164"/>
      <c r="K88" s="164"/>
    </row>
    <row r="89" spans="1:12" ht="16.5" hidden="1" customHeight="1" x14ac:dyDescent="0.25">
      <c r="B89" s="148"/>
      <c r="C89" s="148"/>
      <c r="D89" s="148"/>
      <c r="E89" s="148"/>
      <c r="F89" s="148"/>
      <c r="G89" s="148"/>
      <c r="H89" s="148"/>
      <c r="I89" s="148"/>
      <c r="J89" s="148"/>
      <c r="K89" s="148"/>
    </row>
    <row r="90" spans="1:12" ht="16.5" customHeight="1" x14ac:dyDescent="0.25">
      <c r="A90" s="76"/>
      <c r="B90" s="77"/>
      <c r="C90" s="78"/>
      <c r="D90" s="78"/>
      <c r="E90" s="78"/>
      <c r="F90" s="39"/>
      <c r="G90" s="39"/>
      <c r="H90" s="79"/>
      <c r="I90" s="79"/>
      <c r="J90" s="39"/>
      <c r="K90" s="39"/>
    </row>
    <row r="91" spans="1:12" ht="16.5" customHeight="1" x14ac:dyDescent="0.25">
      <c r="H91" s="42"/>
    </row>
    <row r="92" spans="1:12" ht="20.25" customHeight="1" x14ac:dyDescent="0.3">
      <c r="D92" s="141" t="s">
        <v>45</v>
      </c>
      <c r="E92" s="142"/>
      <c r="F92" s="143"/>
      <c r="G92" s="143"/>
      <c r="H92" s="143"/>
      <c r="I92" s="144"/>
      <c r="J92" s="144"/>
      <c r="K92" s="145"/>
    </row>
    <row r="93" spans="1:12" ht="16.5" customHeight="1" x14ac:dyDescent="0.25">
      <c r="D93"/>
      <c r="E93"/>
      <c r="F93"/>
      <c r="G93"/>
      <c r="H93" s="42"/>
      <c r="I93"/>
      <c r="J93"/>
      <c r="K93" s="147" t="s">
        <v>46</v>
      </c>
    </row>
    <row r="94" spans="1:12" ht="16.5" customHeight="1" x14ac:dyDescent="0.25">
      <c r="D94" s="52" t="s">
        <v>47</v>
      </c>
      <c r="E94"/>
      <c r="F94"/>
      <c r="G94"/>
      <c r="H94" s="42"/>
      <c r="I94"/>
      <c r="J94"/>
      <c r="K94" s="146">
        <f>+J15+J34-K69+J76-K85</f>
        <v>1776564</v>
      </c>
    </row>
    <row r="95" spans="1:12" ht="16.5" customHeight="1" x14ac:dyDescent="0.25">
      <c r="D95" s="52" t="s">
        <v>48</v>
      </c>
      <c r="E95"/>
      <c r="F95"/>
      <c r="G95"/>
      <c r="H95" s="42"/>
      <c r="I95"/>
      <c r="J95"/>
      <c r="K95" s="146">
        <f>-K18-K46+J68+J77</f>
        <v>-1038280</v>
      </c>
    </row>
    <row r="96" spans="1:12" ht="16.5" customHeight="1" x14ac:dyDescent="0.25">
      <c r="D96" s="52" t="s">
        <v>49</v>
      </c>
      <c r="E96"/>
      <c r="F96"/>
      <c r="G96"/>
      <c r="H96" s="42"/>
      <c r="I96"/>
      <c r="J96"/>
      <c r="K96" s="146">
        <f>-K19-K37+J56+J61+J76-K85</f>
        <v>-325978</v>
      </c>
    </row>
    <row r="97" spans="1:11" ht="16.5" customHeight="1" x14ac:dyDescent="0.25">
      <c r="D97" s="52" t="s">
        <v>50</v>
      </c>
      <c r="E97"/>
      <c r="F97"/>
      <c r="G97"/>
      <c r="H97" s="42"/>
      <c r="I97"/>
      <c r="J97"/>
      <c r="K97" s="146">
        <f>-K62</f>
        <v>-293018</v>
      </c>
    </row>
    <row r="98" spans="1:11" ht="16.5" customHeight="1" x14ac:dyDescent="0.25">
      <c r="H98" s="42"/>
    </row>
    <row r="99" spans="1:11" ht="16.5" customHeight="1" x14ac:dyDescent="0.25">
      <c r="A99" s="76"/>
      <c r="B99" s="77"/>
      <c r="C99" s="78"/>
      <c r="D99" s="78"/>
      <c r="E99" s="78"/>
      <c r="F99" s="39"/>
      <c r="G99" s="39"/>
      <c r="H99" s="79"/>
      <c r="I99" s="79"/>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9" sqref="C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51</v>
      </c>
      <c r="B1" s="187"/>
      <c r="C1" s="187"/>
      <c r="D1" s="187"/>
    </row>
    <row r="2" spans="1:11" ht="21.75" customHeight="1" x14ac:dyDescent="0.2">
      <c r="A2" s="187"/>
      <c r="B2" s="187"/>
      <c r="C2" s="187"/>
      <c r="D2" s="187"/>
      <c r="E2" s="41"/>
      <c r="F2" s="41"/>
      <c r="G2" s="41"/>
      <c r="H2" s="41"/>
      <c r="I2" s="41"/>
      <c r="J2" s="41"/>
    </row>
    <row r="3" spans="1:11" ht="32.25" customHeight="1" x14ac:dyDescent="0.25">
      <c r="A3" s="190" t="s">
        <v>52</v>
      </c>
      <c r="B3" s="190"/>
      <c r="C3" s="190"/>
      <c r="D3" s="190"/>
      <c r="E3" s="80"/>
      <c r="F3" s="80"/>
      <c r="G3" s="80"/>
      <c r="H3" s="80"/>
      <c r="I3" s="80"/>
      <c r="J3" s="80"/>
      <c r="K3" s="80"/>
    </row>
    <row r="4" spans="1:11" ht="15.75" customHeight="1" x14ac:dyDescent="0.25">
      <c r="A4" s="191" t="s">
        <v>53</v>
      </c>
      <c r="B4" s="191"/>
      <c r="C4" s="191"/>
      <c r="D4" s="191"/>
      <c r="E4" s="80"/>
      <c r="F4" s="80"/>
      <c r="G4" s="80"/>
      <c r="H4" s="80"/>
      <c r="I4" s="80"/>
      <c r="J4" s="80"/>
      <c r="K4" s="80"/>
    </row>
    <row r="5" spans="1:11" ht="15.75" customHeight="1" x14ac:dyDescent="0.25">
      <c r="A5" s="189" t="s">
        <v>54</v>
      </c>
      <c r="B5" s="189"/>
      <c r="C5" s="189"/>
      <c r="D5" s="158"/>
      <c r="E5" s="80"/>
      <c r="F5" s="80"/>
      <c r="G5" s="80"/>
      <c r="H5" s="80"/>
      <c r="I5" s="80"/>
      <c r="J5" s="80"/>
      <c r="K5" s="80"/>
    </row>
    <row r="6" spans="1:11" ht="15.75" customHeight="1" x14ac:dyDescent="0.25">
      <c r="A6" s="189"/>
      <c r="B6" s="189"/>
      <c r="C6" s="189"/>
      <c r="D6" s="158"/>
      <c r="E6" s="80"/>
      <c r="F6" s="80"/>
      <c r="G6" s="80"/>
      <c r="H6" s="80"/>
      <c r="I6" s="80"/>
      <c r="J6" s="80"/>
      <c r="K6" s="80"/>
    </row>
    <row r="7" spans="1:11" ht="15.75" customHeight="1" x14ac:dyDescent="0.25">
      <c r="A7" s="189" t="s">
        <v>55</v>
      </c>
      <c r="B7" s="189"/>
      <c r="C7" s="189"/>
      <c r="D7" s="158"/>
      <c r="E7" s="80"/>
      <c r="F7" s="80"/>
      <c r="G7" s="80"/>
      <c r="H7" s="80"/>
      <c r="I7" s="80"/>
      <c r="J7" s="80"/>
      <c r="K7" s="80"/>
    </row>
    <row r="8" spans="1:11" ht="15.75" customHeight="1" x14ac:dyDescent="0.25">
      <c r="A8" s="189"/>
      <c r="B8" s="189"/>
      <c r="C8" s="189"/>
      <c r="D8" s="158"/>
      <c r="E8" s="80"/>
      <c r="F8" s="80"/>
      <c r="G8" s="80"/>
      <c r="H8" s="80"/>
      <c r="I8" s="80"/>
      <c r="J8" s="80"/>
      <c r="K8" s="80"/>
    </row>
    <row r="9" spans="1:11" ht="15.75" x14ac:dyDescent="0.25">
      <c r="A9" s="158"/>
      <c r="B9" s="158"/>
      <c r="C9" s="158"/>
      <c r="D9" s="158"/>
      <c r="E9" s="80"/>
      <c r="F9" s="80"/>
      <c r="G9" s="80"/>
      <c r="H9" s="80"/>
      <c r="I9" s="80"/>
      <c r="J9" s="80"/>
      <c r="K9" s="80"/>
    </row>
    <row r="10" spans="1:11" ht="15.75" x14ac:dyDescent="0.25">
      <c r="A10" s="81" t="s">
        <v>56</v>
      </c>
      <c r="B10" s="80"/>
      <c r="C10" s="80"/>
      <c r="D10" s="80"/>
      <c r="E10" s="80"/>
      <c r="F10" s="80"/>
      <c r="G10" s="80"/>
      <c r="H10" s="80"/>
      <c r="I10" s="80"/>
      <c r="J10" s="80"/>
      <c r="K10" s="80"/>
    </row>
    <row r="11" spans="1:11" ht="15.75" x14ac:dyDescent="0.25">
      <c r="A11" s="82" t="s">
        <v>57</v>
      </c>
      <c r="B11" s="192" t="s">
        <v>3</v>
      </c>
      <c r="C11" s="192"/>
    </row>
    <row r="12" spans="1:11" ht="15" customHeight="1" x14ac:dyDescent="0.25">
      <c r="A12" s="82" t="s">
        <v>58</v>
      </c>
      <c r="B12" s="193">
        <v>1700</v>
      </c>
      <c r="C12" s="193"/>
    </row>
    <row r="13" spans="1:11" ht="15.75" x14ac:dyDescent="0.25">
      <c r="A13" s="82" t="s">
        <v>59</v>
      </c>
      <c r="B13" s="188" t="s">
        <v>1642</v>
      </c>
      <c r="C13" s="188"/>
      <c r="E13" s="156"/>
      <c r="F13" s="156"/>
      <c r="G13" s="156"/>
      <c r="H13" s="156"/>
      <c r="I13" s="156"/>
      <c r="J13" s="156"/>
      <c r="K13" s="156"/>
    </row>
    <row r="14" spans="1:11" ht="23.25" customHeight="1" x14ac:dyDescent="0.2">
      <c r="A14" s="182" t="s">
        <v>60</v>
      </c>
      <c r="B14" s="182"/>
      <c r="C14" s="182"/>
      <c r="E14" s="156"/>
      <c r="F14" s="156"/>
      <c r="G14" s="156"/>
      <c r="H14" s="156"/>
      <c r="I14" s="156"/>
      <c r="J14" s="156"/>
      <c r="K14" s="156"/>
    </row>
    <row r="15" spans="1:11" ht="15" customHeight="1" x14ac:dyDescent="0.25">
      <c r="A15" s="83"/>
      <c r="B15" s="83" t="s">
        <v>61</v>
      </c>
      <c r="C15" s="83" t="s">
        <v>62</v>
      </c>
      <c r="D15" s="84" t="str">
        <f>"All of the below questions are for Fiscal Year "&amp;$B$11&amp;":"</f>
        <v>All of the below questions are for Fiscal Year 2022–2023:</v>
      </c>
    </row>
    <row r="16" spans="1:11" ht="15" customHeight="1" x14ac:dyDescent="0.2">
      <c r="A16" s="83" t="str">
        <f>RIGHT(B11,4)&amp;"–"&amp;RIGHT(B11,4)+1</f>
        <v>2023–2024</v>
      </c>
      <c r="B16" s="2">
        <v>293018</v>
      </c>
      <c r="C16" s="2">
        <v>12176</v>
      </c>
      <c r="D16" s="185" t="s">
        <v>63</v>
      </c>
      <c r="E16" s="85"/>
      <c r="F16" s="85"/>
      <c r="G16" s="85"/>
      <c r="H16" s="85"/>
      <c r="I16" s="85"/>
      <c r="J16" s="85"/>
      <c r="K16" s="85"/>
    </row>
    <row r="17" spans="1:11" ht="15" customHeight="1" x14ac:dyDescent="0.2">
      <c r="A17" s="83" t="str">
        <f>LEFT(A16,4)+1&amp;"–"&amp;RIGHT(A16,4)+1</f>
        <v>2024–2025</v>
      </c>
      <c r="B17" s="2">
        <v>300076</v>
      </c>
      <c r="C17" s="2">
        <v>5118</v>
      </c>
      <c r="D17" s="185"/>
      <c r="E17" s="85"/>
      <c r="F17" s="85"/>
      <c r="G17" s="85"/>
      <c r="H17" s="85"/>
      <c r="I17" s="85"/>
      <c r="J17" s="85"/>
      <c r="K17" s="85"/>
    </row>
    <row r="18" spans="1:11" ht="15" customHeight="1" x14ac:dyDescent="0.2">
      <c r="A18" s="83" t="str">
        <f>LEFT(A17,4)+1&amp;"–"&amp;RIGHT(A17,4)+1</f>
        <v>2025–2026</v>
      </c>
      <c r="B18" s="2">
        <v>25902</v>
      </c>
      <c r="C18" s="2">
        <v>104</v>
      </c>
      <c r="D18" s="159" t="s">
        <v>113</v>
      </c>
      <c r="E18" s="85"/>
      <c r="F18" s="85"/>
      <c r="G18" s="85"/>
      <c r="H18" s="85"/>
      <c r="I18" s="85"/>
      <c r="J18" s="85"/>
      <c r="K18" s="85"/>
    </row>
    <row r="19" spans="1:11" ht="15" customHeight="1" x14ac:dyDescent="0.2">
      <c r="A19" s="83" t="str">
        <f>LEFT(A18,4)+1&amp;"–"&amp;RIGHT(A18,4)+1</f>
        <v>2026–2027</v>
      </c>
      <c r="B19" s="2"/>
      <c r="C19" s="2"/>
      <c r="D19" s="157" t="str">
        <f>"If yes, record the dollar amount of variable payments below for fiscal year "&amp;$B$11&amp;":"</f>
        <v>If yes, record the dollar amount of variable payments below for fiscal year 2022–2023:</v>
      </c>
      <c r="E19" s="85"/>
      <c r="F19" s="85"/>
      <c r="G19" s="85"/>
      <c r="H19" s="85"/>
      <c r="I19" s="85"/>
      <c r="J19" s="85"/>
      <c r="K19" s="85"/>
    </row>
    <row r="20" spans="1:11" ht="15" customHeight="1" x14ac:dyDescent="0.2">
      <c r="A20" s="83" t="str">
        <f>LEFT(A19,4)+1&amp;"–"&amp;RIGHT(A19,4)+1</f>
        <v>2027–2028</v>
      </c>
      <c r="B20" s="2"/>
      <c r="C20" s="2"/>
      <c r="D20" s="24">
        <v>0</v>
      </c>
      <c r="E20" s="85"/>
      <c r="F20" s="85"/>
      <c r="G20" s="85"/>
      <c r="H20" s="85"/>
      <c r="I20" s="85"/>
      <c r="J20" s="85"/>
      <c r="K20" s="85"/>
    </row>
    <row r="21" spans="1:11" ht="15" customHeight="1" x14ac:dyDescent="0.25">
      <c r="A21" s="83"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4"/>
      <c r="F21" s="84"/>
      <c r="G21" s="84"/>
      <c r="H21" s="84"/>
      <c r="I21" s="84"/>
      <c r="J21" s="84"/>
      <c r="K21" s="84"/>
    </row>
    <row r="22" spans="1:11" ht="15" customHeight="1" x14ac:dyDescent="0.25">
      <c r="A22" s="83" t="str">
        <f t="shared" ref="A22:A35" si="0">LEFT(A21,4)+5&amp;"–"&amp;RIGHT(A21,4)+5</f>
        <v>2033–2038</v>
      </c>
      <c r="B22" s="2"/>
      <c r="C22" s="2"/>
      <c r="D22" s="186"/>
      <c r="E22" s="84"/>
      <c r="F22" s="84"/>
      <c r="G22" s="84"/>
      <c r="H22" s="84"/>
      <c r="I22" s="84"/>
      <c r="J22" s="84"/>
      <c r="K22" s="84"/>
    </row>
    <row r="23" spans="1:11" ht="15" customHeight="1" x14ac:dyDescent="0.25">
      <c r="A23" s="83" t="str">
        <f t="shared" si="0"/>
        <v>2038–2043</v>
      </c>
      <c r="B23" s="2"/>
      <c r="C23" s="2"/>
      <c r="D23" s="23" t="s">
        <v>113</v>
      </c>
      <c r="E23" s="84"/>
      <c r="F23" s="84"/>
      <c r="G23" s="84"/>
      <c r="H23" s="84"/>
      <c r="I23" s="84"/>
      <c r="J23" s="84"/>
      <c r="K23" s="84"/>
    </row>
    <row r="24" spans="1:11" ht="15" customHeight="1" x14ac:dyDescent="0.2">
      <c r="A24" s="83"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3" t="str">
        <f t="shared" si="0"/>
        <v>2048–2053</v>
      </c>
      <c r="B25" s="2"/>
      <c r="C25" s="2"/>
      <c r="D25" s="186"/>
      <c r="E25" s="86"/>
      <c r="F25" s="86"/>
      <c r="G25" s="86"/>
      <c r="H25" s="86"/>
      <c r="I25" s="86"/>
      <c r="J25" s="86"/>
      <c r="K25" s="86"/>
    </row>
    <row r="26" spans="1:11" ht="15" customHeight="1" x14ac:dyDescent="0.2">
      <c r="A26" s="83" t="str">
        <f t="shared" si="0"/>
        <v>2053–2058</v>
      </c>
      <c r="B26" s="2"/>
      <c r="C26" s="2"/>
      <c r="D26" s="23" t="s">
        <v>113</v>
      </c>
      <c r="E26" s="87"/>
      <c r="F26" s="87"/>
      <c r="G26" s="87"/>
      <c r="H26" s="87"/>
      <c r="I26" s="87"/>
    </row>
    <row r="27" spans="1:11" ht="15" customHeight="1" x14ac:dyDescent="0.2">
      <c r="A27" s="83" t="str">
        <f t="shared" si="0"/>
        <v>2058–2063</v>
      </c>
      <c r="B27" s="2"/>
      <c r="C27" s="2"/>
      <c r="D27" s="186" t="str">
        <f>"4. Are there any SBITA commitments known that have yet to commence as of June 30, "&amp;RIGHT($B$11,4)&amp;"?"</f>
        <v>4. Are there any SBITA commitments known that have yet to commence as of June 30, 2023?</v>
      </c>
      <c r="E27" s="87"/>
      <c r="F27" s="87"/>
      <c r="G27" s="87"/>
      <c r="H27" s="87"/>
      <c r="I27" s="87"/>
    </row>
    <row r="28" spans="1:11" ht="15" customHeight="1" x14ac:dyDescent="0.25">
      <c r="A28" s="83" t="str">
        <f t="shared" si="0"/>
        <v>2063–2068</v>
      </c>
      <c r="B28" s="2"/>
      <c r="C28" s="2"/>
      <c r="D28" s="186"/>
      <c r="E28" s="84"/>
      <c r="F28" s="84"/>
      <c r="G28" s="84"/>
      <c r="H28" s="84"/>
      <c r="I28" s="84"/>
      <c r="J28" s="84"/>
      <c r="K28" s="84"/>
    </row>
    <row r="29" spans="1:11" ht="15.75" customHeight="1" x14ac:dyDescent="0.2">
      <c r="A29" s="83" t="str">
        <f t="shared" si="0"/>
        <v>2068–2073</v>
      </c>
      <c r="B29" s="2"/>
      <c r="C29" s="2"/>
      <c r="D29" s="159" t="s">
        <v>113</v>
      </c>
    </row>
    <row r="30" spans="1:11" ht="15.75" customHeight="1" x14ac:dyDescent="0.2">
      <c r="A30" s="83"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86"/>
      <c r="F30" s="86"/>
      <c r="G30" s="86"/>
      <c r="H30" s="86"/>
      <c r="I30" s="86"/>
      <c r="J30" s="86"/>
      <c r="K30" s="86"/>
    </row>
    <row r="31" spans="1:11" ht="15" customHeight="1" x14ac:dyDescent="0.2">
      <c r="A31" s="83" t="str">
        <f t="shared" si="0"/>
        <v>2078–2083</v>
      </c>
      <c r="B31" s="2"/>
      <c r="C31" s="2"/>
      <c r="D31" s="186"/>
    </row>
    <row r="32" spans="1:11" ht="15" customHeight="1" x14ac:dyDescent="0.2">
      <c r="A32" s="83" t="str">
        <f t="shared" si="0"/>
        <v>2083–2088</v>
      </c>
      <c r="B32" s="2"/>
      <c r="C32" s="2"/>
      <c r="D32" s="23">
        <v>0</v>
      </c>
    </row>
    <row r="33" spans="1:11" x14ac:dyDescent="0.2">
      <c r="A33" s="83" t="str">
        <f t="shared" si="0"/>
        <v>2088–2093</v>
      </c>
      <c r="B33" s="2"/>
      <c r="C33" s="2"/>
    </row>
    <row r="34" spans="1:11" x14ac:dyDescent="0.2">
      <c r="A34" s="83" t="str">
        <f t="shared" si="0"/>
        <v>2093–2098</v>
      </c>
      <c r="B34" s="2"/>
      <c r="C34" s="2"/>
    </row>
    <row r="35" spans="1:11" ht="15" customHeight="1" x14ac:dyDescent="0.2">
      <c r="A35" s="83" t="str">
        <f t="shared" si="0"/>
        <v>2098–2103</v>
      </c>
      <c r="B35" s="2"/>
      <c r="C35" s="2"/>
    </row>
    <row r="36" spans="1:11" x14ac:dyDescent="0.2">
      <c r="A36" s="83" t="str">
        <f>LEFT(A35,4)+5&amp;"–"&amp;RIGHT(A35,4)+5</f>
        <v>2103–2108</v>
      </c>
      <c r="B36" s="2"/>
      <c r="C36" s="2"/>
    </row>
    <row r="37" spans="1:11" ht="15" customHeight="1" x14ac:dyDescent="0.2">
      <c r="A37" s="83" t="str">
        <f>LEFT(A36,4)+5&amp;"–"&amp;RIGHT(A36,4)+5</f>
        <v>2108–2113</v>
      </c>
      <c r="B37" s="2"/>
      <c r="C37" s="2"/>
    </row>
    <row r="38" spans="1:11" ht="15.75" x14ac:dyDescent="0.2">
      <c r="A38" s="83" t="str">
        <f>LEFT(A37,4)+5&amp;"–"&amp;RIGHT(A37,4)+5</f>
        <v>2113–2118</v>
      </c>
      <c r="B38" s="2"/>
      <c r="C38" s="2"/>
      <c r="E38" s="88"/>
      <c r="F38" s="88"/>
      <c r="G38" s="88"/>
      <c r="H38" s="88"/>
      <c r="I38" s="88"/>
      <c r="J38" s="88"/>
      <c r="K38" s="88"/>
    </row>
    <row r="39" spans="1:11" ht="15.75" x14ac:dyDescent="0.2">
      <c r="A39" s="83" t="str">
        <f>LEFT(A38,4)+5&amp;"–"&amp;RIGHT(A38,4)+5</f>
        <v>2118–2123</v>
      </c>
      <c r="B39" s="2"/>
      <c r="C39" s="2"/>
      <c r="E39" s="88"/>
      <c r="F39" s="88"/>
      <c r="G39" s="88"/>
      <c r="H39" s="88"/>
      <c r="I39" s="88"/>
      <c r="J39" s="88"/>
      <c r="K39" s="88"/>
    </row>
    <row r="40" spans="1:11" ht="15.75" x14ac:dyDescent="0.2">
      <c r="E40" s="88"/>
      <c r="F40" s="88"/>
      <c r="G40" s="88"/>
      <c r="H40" s="88"/>
      <c r="I40" s="88"/>
      <c r="J40" s="88"/>
      <c r="K40" s="88"/>
    </row>
    <row r="41" spans="1:11" ht="15.75" x14ac:dyDescent="0.25">
      <c r="A41" s="81" t="s">
        <v>64</v>
      </c>
    </row>
    <row r="42" spans="1:11" ht="15.75" x14ac:dyDescent="0.25">
      <c r="A42" s="82" t="s">
        <v>57</v>
      </c>
      <c r="B42" s="183" t="str">
        <f>B11</f>
        <v>2022–2023</v>
      </c>
      <c r="C42" s="183"/>
    </row>
    <row r="43" spans="1:11" ht="15.75" customHeight="1" x14ac:dyDescent="0.25">
      <c r="A43" s="82" t="s">
        <v>58</v>
      </c>
      <c r="B43" s="184">
        <f>B12</f>
        <v>1700</v>
      </c>
      <c r="C43" s="184"/>
    </row>
    <row r="44" spans="1:11" ht="15.75" x14ac:dyDescent="0.25">
      <c r="A44" s="82" t="s">
        <v>59</v>
      </c>
      <c r="B44" s="183" t="str">
        <f>B13</f>
        <v>Civil Rights Department</v>
      </c>
      <c r="C44" s="183"/>
    </row>
    <row r="45" spans="1:11" x14ac:dyDescent="0.2">
      <c r="A45" s="182" t="s">
        <v>60</v>
      </c>
      <c r="B45" s="182"/>
      <c r="C45" s="182"/>
    </row>
    <row r="46" spans="1:11" ht="15" customHeight="1" x14ac:dyDescent="0.25">
      <c r="A46" s="83"/>
      <c r="B46" s="83" t="s">
        <v>61</v>
      </c>
      <c r="C46" s="83" t="s">
        <v>62</v>
      </c>
      <c r="D46" s="84" t="str">
        <f>"All of the below questions are for Fiscal Year "&amp;$B$11&amp;":"</f>
        <v>All of the below questions are for Fiscal Year 2022–2023:</v>
      </c>
    </row>
    <row r="47" spans="1:11" x14ac:dyDescent="0.2">
      <c r="A47" s="83" t="str">
        <f>RIGHT(B42,4)&amp;"–"&amp;RIGHT(B42,4)+1</f>
        <v>2023–2024</v>
      </c>
      <c r="B47" s="2"/>
      <c r="C47" s="2"/>
      <c r="D47" s="186" t="s">
        <v>63</v>
      </c>
    </row>
    <row r="48" spans="1:11" ht="15" customHeight="1" x14ac:dyDescent="0.2">
      <c r="A48" s="83" t="str">
        <f>LEFT(A47,4)+1&amp;"–"&amp;RIGHT(A47,4)+1</f>
        <v>2024–2025</v>
      </c>
      <c r="B48" s="2"/>
      <c r="C48" s="2"/>
      <c r="D48" s="186"/>
    </row>
    <row r="49" spans="1:4" x14ac:dyDescent="0.2">
      <c r="A49" s="83" t="str">
        <f>LEFT(A48,4)+1&amp;"–"&amp;RIGHT(A48,4)+1</f>
        <v>2025–2026</v>
      </c>
      <c r="B49" s="2"/>
      <c r="C49" s="2"/>
      <c r="D49" s="159"/>
    </row>
    <row r="50" spans="1:4" x14ac:dyDescent="0.2">
      <c r="A50" s="83" t="str">
        <f>LEFT(A49,4)+1&amp;"–"&amp;RIGHT(A49,4)+1</f>
        <v>2026–2027</v>
      </c>
      <c r="B50" s="2"/>
      <c r="C50" s="2"/>
      <c r="D50" s="157" t="str">
        <f>"If yes, record the dollar amount of variable payments below for fiscal year "&amp;$B$11&amp;":"</f>
        <v>If yes, record the dollar amount of variable payments below for fiscal year 2022–2023:</v>
      </c>
    </row>
    <row r="51" spans="1:4" ht="15" customHeight="1" x14ac:dyDescent="0.2">
      <c r="A51" s="83" t="str">
        <f>LEFT(A50,4)+1&amp;"–"&amp;RIGHT(A50,4)+1</f>
        <v>2027–2028</v>
      </c>
      <c r="B51" s="2"/>
      <c r="C51" s="2"/>
      <c r="D51" s="24"/>
    </row>
    <row r="52" spans="1:4" x14ac:dyDescent="0.2">
      <c r="A52" s="83"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3" t="str">
        <f t="shared" ref="A53:A66" si="1">LEFT(A52,4)+5&amp;"–"&amp;RIGHT(A52,4)+5</f>
        <v>2033–2038</v>
      </c>
      <c r="B53" s="2"/>
      <c r="C53" s="2"/>
      <c r="D53" s="186"/>
    </row>
    <row r="54" spans="1:4" ht="15" customHeight="1" x14ac:dyDescent="0.2">
      <c r="A54" s="83" t="str">
        <f t="shared" si="1"/>
        <v>2038–2043</v>
      </c>
      <c r="B54" s="2"/>
      <c r="C54" s="2"/>
      <c r="D54" s="23"/>
    </row>
    <row r="55" spans="1:4" ht="15" customHeight="1" x14ac:dyDescent="0.2">
      <c r="A55" s="83"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3" t="str">
        <f t="shared" si="1"/>
        <v>2048–2053</v>
      </c>
      <c r="B56" s="2"/>
      <c r="C56" s="2"/>
      <c r="D56" s="186"/>
    </row>
    <row r="57" spans="1:4" ht="15.75" customHeight="1" x14ac:dyDescent="0.2">
      <c r="A57" s="83" t="str">
        <f t="shared" si="1"/>
        <v>2053–2058</v>
      </c>
      <c r="B57" s="2"/>
      <c r="C57" s="2"/>
      <c r="D57" s="23"/>
    </row>
    <row r="58" spans="1:4" ht="15.75" customHeight="1" x14ac:dyDescent="0.2">
      <c r="A58" s="83"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83" t="str">
        <f t="shared" si="1"/>
        <v>2063–2068</v>
      </c>
      <c r="B59" s="2"/>
      <c r="C59" s="2"/>
      <c r="D59" s="186"/>
    </row>
    <row r="60" spans="1:4" x14ac:dyDescent="0.2">
      <c r="A60" s="83" t="str">
        <f t="shared" si="1"/>
        <v>2068–2073</v>
      </c>
      <c r="B60" s="2"/>
      <c r="C60" s="2"/>
      <c r="D60" s="159"/>
    </row>
    <row r="61" spans="1:4" ht="15" customHeight="1" x14ac:dyDescent="0.2">
      <c r="A61" s="83"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83" t="str">
        <f t="shared" si="1"/>
        <v>2078–2083</v>
      </c>
      <c r="B62" s="2"/>
      <c r="C62" s="2"/>
      <c r="D62" s="186"/>
    </row>
    <row r="63" spans="1:4" x14ac:dyDescent="0.2">
      <c r="A63" s="83" t="str">
        <f t="shared" si="1"/>
        <v>2083–2088</v>
      </c>
      <c r="B63" s="2"/>
      <c r="C63" s="2"/>
      <c r="D63" s="23"/>
    </row>
    <row r="64" spans="1:4" x14ac:dyDescent="0.2">
      <c r="A64" s="83" t="str">
        <f t="shared" si="1"/>
        <v>2088–2093</v>
      </c>
      <c r="B64" s="2"/>
      <c r="C64" s="2"/>
    </row>
    <row r="65" spans="1:4" x14ac:dyDescent="0.2">
      <c r="A65" s="83" t="str">
        <f t="shared" si="1"/>
        <v>2093–2098</v>
      </c>
      <c r="B65" s="2"/>
      <c r="C65" s="2"/>
    </row>
    <row r="66" spans="1:4" x14ac:dyDescent="0.2">
      <c r="A66" s="83" t="str">
        <f t="shared" si="1"/>
        <v>2098–2103</v>
      </c>
      <c r="B66" s="2"/>
      <c r="C66" s="2"/>
    </row>
    <row r="67" spans="1:4" x14ac:dyDescent="0.2">
      <c r="A67" s="83" t="str">
        <f>LEFT(A66,4)+5&amp;"–"&amp;RIGHT(A66,4)+5</f>
        <v>2103–2108</v>
      </c>
      <c r="B67" s="2"/>
      <c r="C67" s="2"/>
    </row>
    <row r="68" spans="1:4" x14ac:dyDescent="0.2">
      <c r="A68" s="83" t="str">
        <f>LEFT(A67,4)+5&amp;"–"&amp;RIGHT(A67,4)+5</f>
        <v>2108–2113</v>
      </c>
      <c r="B68" s="2"/>
      <c r="C68" s="2"/>
    </row>
    <row r="69" spans="1:4" x14ac:dyDescent="0.2">
      <c r="A69" s="83" t="str">
        <f>LEFT(A68,4)+5&amp;"–"&amp;RIGHT(A68,4)+5</f>
        <v>2113–2118</v>
      </c>
      <c r="B69" s="2"/>
      <c r="C69" s="2"/>
    </row>
    <row r="70" spans="1:4" x14ac:dyDescent="0.2">
      <c r="A70" s="83" t="str">
        <f>LEFT(A69,4)+5&amp;"–"&amp;RIGHT(A69,4)+5</f>
        <v>2118–2123</v>
      </c>
      <c r="B70" s="2"/>
      <c r="C70" s="2"/>
    </row>
    <row r="72" spans="1:4" ht="15.75" x14ac:dyDescent="0.25">
      <c r="A72" s="81" t="s">
        <v>65</v>
      </c>
    </row>
    <row r="73" spans="1:4" ht="15.75" x14ac:dyDescent="0.25">
      <c r="A73" s="82" t="s">
        <v>57</v>
      </c>
      <c r="B73" s="183" t="str">
        <f>B11</f>
        <v>2022–2023</v>
      </c>
      <c r="C73" s="183"/>
    </row>
    <row r="74" spans="1:4" ht="15.75" customHeight="1" x14ac:dyDescent="0.25">
      <c r="A74" s="82" t="s">
        <v>58</v>
      </c>
      <c r="B74" s="184">
        <f>B12</f>
        <v>1700</v>
      </c>
      <c r="C74" s="184"/>
    </row>
    <row r="75" spans="1:4" ht="15.75" x14ac:dyDescent="0.25">
      <c r="A75" s="82" t="s">
        <v>59</v>
      </c>
      <c r="B75" s="183" t="str">
        <f>B13</f>
        <v>Civil Rights Department</v>
      </c>
      <c r="C75" s="183"/>
    </row>
    <row r="76" spans="1:4" x14ac:dyDescent="0.2">
      <c r="A76" s="182" t="s">
        <v>60</v>
      </c>
      <c r="B76" s="182"/>
      <c r="C76" s="182"/>
    </row>
    <row r="77" spans="1:4" ht="15.75" x14ac:dyDescent="0.25">
      <c r="A77" s="83"/>
      <c r="B77" s="83" t="s">
        <v>61</v>
      </c>
      <c r="C77" s="83" t="s">
        <v>62</v>
      </c>
      <c r="D77" s="84" t="str">
        <f>"All of the below questions are for Fiscal Year "&amp;$B$11&amp;":"</f>
        <v>All of the below questions are for Fiscal Year 2022–2023:</v>
      </c>
    </row>
    <row r="78" spans="1:4" x14ac:dyDescent="0.2">
      <c r="A78" s="83" t="str">
        <f>RIGHT(B73,4)&amp;"–"&amp;RIGHT(B73,4)+1</f>
        <v>2023–2024</v>
      </c>
      <c r="B78" s="2"/>
      <c r="C78" s="2"/>
      <c r="D78" s="185" t="s">
        <v>63</v>
      </c>
    </row>
    <row r="79" spans="1:4" ht="15" customHeight="1" x14ac:dyDescent="0.2">
      <c r="A79" s="83" t="str">
        <f>LEFT(A78,4)+1&amp;"–"&amp;RIGHT(A78,4)+1</f>
        <v>2024–2025</v>
      </c>
      <c r="B79" s="2"/>
      <c r="C79" s="2"/>
      <c r="D79" s="185"/>
    </row>
    <row r="80" spans="1:4" x14ac:dyDescent="0.2">
      <c r="A80" s="83" t="str">
        <f>LEFT(A79,4)+1&amp;"–"&amp;RIGHT(A79,4)+1</f>
        <v>2025–2026</v>
      </c>
      <c r="B80" s="2"/>
      <c r="C80" s="2"/>
      <c r="D80" s="159"/>
    </row>
    <row r="81" spans="1:4" x14ac:dyDescent="0.2">
      <c r="A81" s="83" t="str">
        <f>LEFT(A80,4)+1&amp;"–"&amp;RIGHT(A80,4)+1</f>
        <v>2026–2027</v>
      </c>
      <c r="B81" s="2"/>
      <c r="C81" s="2"/>
      <c r="D81" s="157" t="str">
        <f>"If yes, record the dollar amount of variable payments below for fiscal year "&amp;$B$11&amp;":"</f>
        <v>If yes, record the dollar amount of variable payments below for fiscal year 2022–2023:</v>
      </c>
    </row>
    <row r="82" spans="1:4" ht="15" customHeight="1" x14ac:dyDescent="0.2">
      <c r="A82" s="83" t="str">
        <f>LEFT(A81,4)+1&amp;"–"&amp;RIGHT(A81,4)+1</f>
        <v>2027–2028</v>
      </c>
      <c r="B82" s="2"/>
      <c r="C82" s="2"/>
      <c r="D82" s="24"/>
    </row>
    <row r="83" spans="1:4" x14ac:dyDescent="0.2">
      <c r="A83" s="83"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3" t="str">
        <f t="shared" ref="A84:A97" si="2">LEFT(A83,4)+5&amp;"–"&amp;RIGHT(A83,4)+5</f>
        <v>2033–2038</v>
      </c>
      <c r="B84" s="2"/>
      <c r="C84" s="2"/>
      <c r="D84" s="186"/>
    </row>
    <row r="85" spans="1:4" x14ac:dyDescent="0.2">
      <c r="A85" s="83" t="str">
        <f t="shared" si="2"/>
        <v>2038–2043</v>
      </c>
      <c r="B85" s="2"/>
      <c r="C85" s="2"/>
      <c r="D85" s="23"/>
    </row>
    <row r="86" spans="1:4" ht="15" customHeight="1" x14ac:dyDescent="0.2">
      <c r="A86" s="83"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3" t="str">
        <f t="shared" si="2"/>
        <v>2048–2053</v>
      </c>
      <c r="B87" s="2"/>
      <c r="C87" s="2"/>
      <c r="D87" s="186"/>
    </row>
    <row r="88" spans="1:4" ht="15" customHeight="1" x14ac:dyDescent="0.2">
      <c r="A88" s="83" t="str">
        <f t="shared" si="2"/>
        <v>2053–2058</v>
      </c>
      <c r="B88" s="2"/>
      <c r="C88" s="2"/>
      <c r="D88" s="23"/>
    </row>
    <row r="89" spans="1:4" ht="15.75" customHeight="1" x14ac:dyDescent="0.2">
      <c r="A89" s="83"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83" t="str">
        <f t="shared" si="2"/>
        <v>2063–2068</v>
      </c>
      <c r="B90" s="2"/>
      <c r="C90" s="2"/>
      <c r="D90" s="186"/>
    </row>
    <row r="91" spans="1:4" x14ac:dyDescent="0.2">
      <c r="A91" s="83" t="str">
        <f t="shared" si="2"/>
        <v>2068–2073</v>
      </c>
      <c r="B91" s="2"/>
      <c r="C91" s="2"/>
      <c r="D91" s="159"/>
    </row>
    <row r="92" spans="1:4" ht="15" customHeight="1" x14ac:dyDescent="0.2">
      <c r="A92" s="83"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83" t="str">
        <f t="shared" si="2"/>
        <v>2078–2083</v>
      </c>
      <c r="B93" s="2"/>
      <c r="C93" s="2"/>
      <c r="D93" s="186"/>
    </row>
    <row r="94" spans="1:4" x14ac:dyDescent="0.2">
      <c r="A94" s="83" t="str">
        <f t="shared" si="2"/>
        <v>2083–2088</v>
      </c>
      <c r="B94" s="2"/>
      <c r="C94" s="2"/>
      <c r="D94" s="23"/>
    </row>
    <row r="95" spans="1:4" x14ac:dyDescent="0.2">
      <c r="A95" s="83" t="str">
        <f t="shared" si="2"/>
        <v>2088–2093</v>
      </c>
      <c r="B95" s="2"/>
      <c r="C95" s="2"/>
    </row>
    <row r="96" spans="1:4" x14ac:dyDescent="0.2">
      <c r="A96" s="83" t="str">
        <f t="shared" si="2"/>
        <v>2093–2098</v>
      </c>
      <c r="B96" s="2"/>
      <c r="C96" s="2"/>
    </row>
    <row r="97" spans="1:3" x14ac:dyDescent="0.2">
      <c r="A97" s="83" t="str">
        <f t="shared" si="2"/>
        <v>2098–2103</v>
      </c>
      <c r="B97" s="2"/>
      <c r="C97" s="2"/>
    </row>
    <row r="98" spans="1:3" x14ac:dyDescent="0.2">
      <c r="A98" s="83" t="str">
        <f>LEFT(A97,4)+5&amp;"–"&amp;RIGHT(A97,4)+5</f>
        <v>2103–2108</v>
      </c>
      <c r="B98" s="2"/>
      <c r="C98" s="2"/>
    </row>
    <row r="99" spans="1:3" x14ac:dyDescent="0.2">
      <c r="A99" s="83" t="str">
        <f>LEFT(A98,4)+5&amp;"–"&amp;RIGHT(A98,4)+5</f>
        <v>2108–2113</v>
      </c>
      <c r="B99" s="2"/>
      <c r="C99" s="2"/>
    </row>
    <row r="100" spans="1:3" x14ac:dyDescent="0.2">
      <c r="A100" s="83" t="str">
        <f>LEFT(A99,4)+5&amp;"–"&amp;RIGHT(A99,4)+5</f>
        <v>2113–2118</v>
      </c>
      <c r="B100" s="2"/>
      <c r="C100" s="2"/>
    </row>
    <row r="101" spans="1:3" x14ac:dyDescent="0.2">
      <c r="A101" s="83"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B1" zoomScaleNormal="100" workbookViewId="0">
      <selection activeCell="J10" sqref="J10"/>
    </sheetView>
  </sheetViews>
  <sheetFormatPr defaultColWidth="9.140625" defaultRowHeight="18" x14ac:dyDescent="0.25"/>
  <cols>
    <col min="1" max="1" width="9.140625" style="89"/>
    <col min="2" max="3" width="3.7109375" style="89" customWidth="1"/>
    <col min="4" max="4" width="42.140625" style="89" customWidth="1"/>
    <col min="5" max="5" width="3.7109375" style="89" customWidth="1"/>
    <col min="6" max="6" width="16.85546875" style="90" customWidth="1"/>
    <col min="7" max="7" width="3.7109375" style="89" customWidth="1"/>
    <col min="8" max="8" width="16.85546875" style="90" customWidth="1"/>
    <col min="9" max="9" width="3.7109375" style="89" customWidth="1"/>
    <col min="10" max="10" width="16.85546875" style="90" customWidth="1"/>
    <col min="11" max="11" width="3.7109375" style="89" customWidth="1"/>
    <col min="12" max="12" width="16.85546875" style="90" customWidth="1"/>
    <col min="13" max="13" width="3.7109375" style="89" customWidth="1"/>
    <col min="14" max="14" width="16.85546875" style="90" customWidth="1"/>
    <col min="15" max="15" width="3.7109375" style="89" customWidth="1"/>
    <col min="16" max="16" width="17.7109375" style="90" bestFit="1" customWidth="1"/>
    <col min="17" max="17" width="3.7109375" style="89" customWidth="1"/>
    <col min="18" max="16384" width="9.140625" style="89"/>
  </cols>
  <sheetData>
    <row r="1" spans="2:17" ht="18.75" thickBot="1" x14ac:dyDescent="0.3"/>
    <row r="2" spans="2:17" x14ac:dyDescent="0.25">
      <c r="B2" s="91"/>
      <c r="C2" s="92"/>
      <c r="D2" s="92"/>
      <c r="E2" s="92"/>
      <c r="F2" s="93"/>
      <c r="G2" s="92"/>
      <c r="H2" s="93"/>
      <c r="I2" s="92"/>
      <c r="J2" s="93"/>
      <c r="K2" s="92"/>
      <c r="L2" s="93"/>
      <c r="M2" s="92"/>
      <c r="N2" s="93"/>
      <c r="O2" s="92"/>
      <c r="P2" s="93"/>
      <c r="Q2" s="94"/>
    </row>
    <row r="3" spans="2:17" ht="20.25" x14ac:dyDescent="0.3">
      <c r="B3" s="95"/>
      <c r="D3" s="96"/>
      <c r="E3" s="96"/>
      <c r="F3" s="96"/>
      <c r="G3" s="194" t="s">
        <v>66</v>
      </c>
      <c r="H3" s="194"/>
      <c r="I3" s="194"/>
      <c r="J3" s="194"/>
      <c r="K3" s="194"/>
      <c r="L3" s="194"/>
      <c r="M3" s="194"/>
      <c r="N3" s="96"/>
      <c r="O3" s="96"/>
      <c r="P3" s="96"/>
      <c r="Q3" s="97"/>
    </row>
    <row r="4" spans="2:17" ht="20.25" x14ac:dyDescent="0.3">
      <c r="B4" s="95"/>
      <c r="D4" s="96"/>
      <c r="E4" s="96"/>
      <c r="F4" s="96"/>
      <c r="G4" s="194" t="str">
        <f>"FY "&amp;'Department Note Disclosure'!$B$11</f>
        <v>FY 2022–2023</v>
      </c>
      <c r="H4" s="194"/>
      <c r="I4" s="194"/>
      <c r="J4" s="194"/>
      <c r="K4" s="194"/>
      <c r="L4" s="194"/>
      <c r="M4" s="194"/>
      <c r="N4" s="96"/>
      <c r="O4" s="96"/>
      <c r="P4" s="96"/>
      <c r="Q4" s="97"/>
    </row>
    <row r="5" spans="2:17" ht="20.25" x14ac:dyDescent="0.3">
      <c r="B5" s="95"/>
      <c r="D5" s="96"/>
      <c r="E5" s="96"/>
      <c r="F5" s="96"/>
      <c r="G5" s="195" t="str">
        <f>"Business Unit " &amp;'Fund 0001 Journal Entries'!$F$5&amp;" "&amp;'Fund 0001 Journal Entries'!$F$4</f>
        <v>Business Unit 1700 Civil Rights Department</v>
      </c>
      <c r="H5" s="195"/>
      <c r="I5" s="195"/>
      <c r="J5" s="195"/>
      <c r="K5" s="195"/>
      <c r="L5" s="195"/>
      <c r="M5" s="195"/>
      <c r="N5" s="96"/>
      <c r="O5" s="96"/>
      <c r="P5" s="96"/>
      <c r="Q5" s="97"/>
    </row>
    <row r="6" spans="2:17" x14ac:dyDescent="0.25">
      <c r="B6" s="95"/>
      <c r="Q6" s="97"/>
    </row>
    <row r="7" spans="2:17" x14ac:dyDescent="0.25">
      <c r="B7" s="95"/>
      <c r="C7" s="196" t="s">
        <v>67</v>
      </c>
      <c r="D7" s="196"/>
      <c r="E7" s="98"/>
      <c r="F7" s="99" t="s">
        <v>68</v>
      </c>
      <c r="G7" s="100"/>
      <c r="H7" s="99" t="s">
        <v>69</v>
      </c>
      <c r="I7" s="100"/>
      <c r="J7" s="99" t="s">
        <v>70</v>
      </c>
      <c r="K7" s="100"/>
      <c r="L7" s="99"/>
      <c r="M7" s="100"/>
      <c r="N7" s="99" t="s">
        <v>71</v>
      </c>
      <c r="O7" s="101"/>
      <c r="P7" s="102"/>
      <c r="Q7" s="97"/>
    </row>
    <row r="8" spans="2:17" ht="36.75" thickBot="1" x14ac:dyDescent="0.3">
      <c r="B8" s="95"/>
      <c r="F8" s="103" t="str">
        <f>"Balance
July 1, "&amp;LEFT('Fund 0001 Journal Entries'!$F$3,4)</f>
        <v>Balance
July 1, 2022</v>
      </c>
      <c r="G8" s="104"/>
      <c r="H8" s="105" t="s">
        <v>72</v>
      </c>
      <c r="I8" s="104"/>
      <c r="J8" s="105" t="s">
        <v>73</v>
      </c>
      <c r="K8" s="104"/>
      <c r="L8" s="103" t="str">
        <f>"Balance
June 30, "&amp;RIGHT('Fund 0001 Journal Entries'!$F$3,4)</f>
        <v>Balance
June 30, 2023</v>
      </c>
      <c r="M8" s="104"/>
      <c r="N8" s="103" t="s">
        <v>74</v>
      </c>
      <c r="O8" s="104"/>
      <c r="P8" s="103" t="s">
        <v>75</v>
      </c>
      <c r="Q8" s="97"/>
    </row>
    <row r="9" spans="2:17" x14ac:dyDescent="0.25">
      <c r="B9" s="95"/>
      <c r="C9" s="197" t="s">
        <v>76</v>
      </c>
      <c r="D9" s="197"/>
      <c r="Q9" s="97"/>
    </row>
    <row r="10" spans="2:17" ht="18.75" thickBot="1" x14ac:dyDescent="0.3">
      <c r="B10" s="95"/>
      <c r="D10" s="89" t="s">
        <v>77</v>
      </c>
      <c r="F10" s="3">
        <f>IF('Fund 0001 Journal Entries'!$F$7="Governmental Fund",'Fund 0001 Journal Entries'!$K$19,0)</f>
        <v>1157528</v>
      </c>
      <c r="H10" s="3">
        <f>IF('Fund 0001 Journal Entries'!$F$7="Governmental Fund",'Fund 0001 Journal Entries'!$K$37,0)</f>
        <v>300212</v>
      </c>
      <c r="J10" s="3">
        <f>IF('Fund 0001 Journal Entries'!$F$7="Governmental Fund",'Fund 0001 Journal Entries'!$J$56,0)</f>
        <v>838744</v>
      </c>
      <c r="L10" s="106">
        <f>SUM(F10+H10-J10)</f>
        <v>618996</v>
      </c>
      <c r="N10" s="3">
        <f>IF('Fund 0001 Journal Entries'!$F$7="Governmental Fund",'Fund 0001 Journal Entries'!$J$61,0)</f>
        <v>293018</v>
      </c>
      <c r="P10" s="106">
        <f>L10-N10</f>
        <v>325978</v>
      </c>
      <c r="Q10" s="97"/>
    </row>
    <row r="11" spans="2:17" ht="19.5" thickTop="1" thickBot="1" x14ac:dyDescent="0.3">
      <c r="B11" s="95"/>
      <c r="C11" s="197" t="s">
        <v>78</v>
      </c>
      <c r="D11" s="197"/>
      <c r="F11" s="107">
        <f>SUM(F10:F10)</f>
        <v>1157528</v>
      </c>
      <c r="H11" s="107">
        <f>SUM(H10:H10)</f>
        <v>300212</v>
      </c>
      <c r="J11" s="107">
        <f>SUM(J10:J10)</f>
        <v>838744</v>
      </c>
      <c r="L11" s="107">
        <f>SUM(L10:L10)</f>
        <v>618996</v>
      </c>
      <c r="N11" s="107">
        <f>SUM(N10:N10)</f>
        <v>293018</v>
      </c>
      <c r="P11" s="107">
        <f>SUM(P10:P10)</f>
        <v>325978</v>
      </c>
      <c r="Q11" s="97"/>
    </row>
    <row r="12" spans="2:17" ht="18.75" thickTop="1" x14ac:dyDescent="0.25">
      <c r="B12" s="95"/>
      <c r="G12" s="108"/>
      <c r="Q12" s="97"/>
    </row>
    <row r="13" spans="2:17" x14ac:dyDescent="0.25">
      <c r="B13" s="95"/>
      <c r="C13" s="197" t="s">
        <v>79</v>
      </c>
      <c r="D13" s="197"/>
      <c r="Q13" s="97"/>
    </row>
    <row r="14" spans="2:17" ht="18.75" thickBot="1" x14ac:dyDescent="0.3">
      <c r="B14" s="95"/>
      <c r="D14" s="89" t="s">
        <v>77</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06">
        <f>SUM(F14+H14-J14)</f>
        <v>0</v>
      </c>
      <c r="N14" s="3">
        <f>IF('Fund 0001 Journal Entries'!$F$7="Proprietary - Internal Service Fund",'Fund 0001 Journal Entries'!$J$61,0)</f>
        <v>0</v>
      </c>
      <c r="P14" s="106">
        <f>L14-N14</f>
        <v>0</v>
      </c>
      <c r="Q14" s="97"/>
    </row>
    <row r="15" spans="2:17" ht="19.5" thickTop="1" thickBot="1" x14ac:dyDescent="0.3">
      <c r="B15" s="95"/>
      <c r="C15" s="197" t="s">
        <v>80</v>
      </c>
      <c r="D15" s="197"/>
      <c r="F15" s="107">
        <f>SUM(F14:F14)</f>
        <v>0</v>
      </c>
      <c r="H15" s="107">
        <f>SUM(H14:H14)</f>
        <v>0</v>
      </c>
      <c r="J15" s="107">
        <f>SUM(J14:J14)</f>
        <v>0</v>
      </c>
      <c r="L15" s="107">
        <f>SUM(L14:L14)</f>
        <v>0</v>
      </c>
      <c r="N15" s="107">
        <f>SUM(N14:N14)</f>
        <v>0</v>
      </c>
      <c r="P15" s="107">
        <f>SUM(P14:P14)</f>
        <v>0</v>
      </c>
      <c r="Q15" s="97"/>
    </row>
    <row r="16" spans="2:17" ht="18.75" thickTop="1" x14ac:dyDescent="0.25">
      <c r="B16" s="95"/>
      <c r="C16" s="160"/>
      <c r="D16" s="160"/>
      <c r="F16" s="106"/>
      <c r="H16" s="106"/>
      <c r="J16" s="106"/>
      <c r="L16" s="106"/>
      <c r="N16" s="106"/>
      <c r="P16" s="106"/>
      <c r="Q16" s="97"/>
    </row>
    <row r="17" spans="1:17" x14ac:dyDescent="0.25">
      <c r="B17" s="95"/>
      <c r="C17" s="197" t="s">
        <v>81</v>
      </c>
      <c r="D17" s="197"/>
      <c r="Q17" s="97"/>
    </row>
    <row r="18" spans="1:17" ht="18.75" thickBot="1" x14ac:dyDescent="0.3">
      <c r="B18" s="95"/>
      <c r="D18" s="89" t="s">
        <v>77</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06">
        <f>SUM(F18+H18-J18)</f>
        <v>0</v>
      </c>
      <c r="N18" s="3">
        <f>IF('Fund 0001 Journal Entries'!$F$7="Proprietary - Enterprise Fund",'Fund 0001 Journal Entries'!$J$61,0)</f>
        <v>0</v>
      </c>
      <c r="P18" s="106">
        <f>L18-N18</f>
        <v>0</v>
      </c>
      <c r="Q18" s="97"/>
    </row>
    <row r="19" spans="1:17" ht="19.5" thickTop="1" thickBot="1" x14ac:dyDescent="0.3">
      <c r="B19" s="95"/>
      <c r="C19" s="197" t="s">
        <v>82</v>
      </c>
      <c r="D19" s="197"/>
      <c r="F19" s="107">
        <f>SUM(F18:F18)</f>
        <v>0</v>
      </c>
      <c r="H19" s="107">
        <f>SUM(H18:H18)</f>
        <v>0</v>
      </c>
      <c r="J19" s="107">
        <f>SUM(J18:J18)</f>
        <v>0</v>
      </c>
      <c r="L19" s="107">
        <f>SUM(L18:L18)</f>
        <v>0</v>
      </c>
      <c r="N19" s="107">
        <f>SUM(N18:N18)</f>
        <v>0</v>
      </c>
      <c r="P19" s="107">
        <f>SUM(P18:P18)</f>
        <v>0</v>
      </c>
      <c r="Q19" s="97"/>
    </row>
    <row r="20" spans="1:17" ht="18.75" thickTop="1" x14ac:dyDescent="0.25">
      <c r="B20" s="95"/>
      <c r="C20" s="160"/>
      <c r="D20" s="160"/>
      <c r="F20" s="106"/>
      <c r="H20" s="106"/>
      <c r="J20" s="106"/>
      <c r="L20" s="106"/>
      <c r="N20" s="106"/>
      <c r="P20" s="106"/>
      <c r="Q20" s="97"/>
    </row>
    <row r="21" spans="1:17" ht="18.75" thickBot="1" x14ac:dyDescent="0.3">
      <c r="B21" s="109"/>
      <c r="C21" s="110"/>
      <c r="D21" s="110"/>
      <c r="E21" s="110"/>
      <c r="F21" s="111"/>
      <c r="G21" s="110"/>
      <c r="H21" s="111"/>
      <c r="I21" s="110"/>
      <c r="J21" s="111"/>
      <c r="K21" s="110"/>
      <c r="L21" s="111"/>
      <c r="M21" s="110"/>
      <c r="N21" s="111"/>
      <c r="O21" s="110"/>
      <c r="P21" s="111"/>
      <c r="Q21" s="112"/>
    </row>
    <row r="25" spans="1:17" ht="18" customHeight="1" x14ac:dyDescent="0.25">
      <c r="A25" s="198" t="s">
        <v>83</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54" zoomScale="112" zoomScaleNormal="112" workbookViewId="0">
      <selection activeCell="H16" sqref="H16"/>
    </sheetView>
  </sheetViews>
  <sheetFormatPr defaultColWidth="0" defaultRowHeight="15" zeroHeight="1" x14ac:dyDescent="0.25"/>
  <cols>
    <col min="1" max="1" width="4" style="123" customWidth="1"/>
    <col min="2" max="2" width="15.28515625" style="123" customWidth="1"/>
    <col min="3" max="3" width="3.42578125" style="137" customWidth="1"/>
    <col min="4" max="4" width="16.42578125" style="123" customWidth="1"/>
    <col min="5" max="5" width="2.28515625" style="137" customWidth="1"/>
    <col min="6" max="6" width="16.7109375" style="123" customWidth="1"/>
    <col min="7" max="7" width="2.85546875" style="137" customWidth="1"/>
    <col min="8" max="8" width="18.140625" style="123" customWidth="1"/>
    <col min="9" max="9" width="2.28515625" style="137" customWidth="1"/>
    <col min="10" max="10" width="27.42578125" style="123" customWidth="1"/>
    <col min="11" max="11" width="2.28515625" style="123" customWidth="1"/>
    <col min="12" max="12" width="15" style="123" customWidth="1"/>
    <col min="13" max="13" width="4" style="123" customWidth="1"/>
    <col min="14" max="15" width="0" style="123" hidden="1" customWidth="1"/>
    <col min="16" max="16384" width="9.140625" style="123" hidden="1"/>
  </cols>
  <sheetData>
    <row r="1" spans="1:13" s="118" customFormat="1" ht="15.75" x14ac:dyDescent="0.25">
      <c r="A1" s="113" t="s">
        <v>84</v>
      </c>
      <c r="B1" s="114"/>
      <c r="C1" s="115"/>
      <c r="D1" s="114"/>
      <c r="E1" s="115"/>
      <c r="F1" s="116"/>
      <c r="G1" s="117"/>
      <c r="H1" s="116"/>
      <c r="I1" s="117"/>
      <c r="J1" s="114"/>
      <c r="K1" s="114"/>
      <c r="L1" s="114"/>
      <c r="M1" s="114"/>
    </row>
    <row r="2" spans="1:13" s="118" customFormat="1" ht="15.75" x14ac:dyDescent="0.25">
      <c r="A2" s="113" t="s">
        <v>85</v>
      </c>
      <c r="B2" s="114"/>
      <c r="C2" s="115"/>
      <c r="D2" s="114"/>
      <c r="E2" s="115"/>
      <c r="F2" s="114"/>
      <c r="G2" s="115"/>
      <c r="H2" s="114"/>
      <c r="I2" s="115"/>
      <c r="J2" s="114"/>
      <c r="K2" s="114"/>
      <c r="L2" s="114"/>
      <c r="M2" s="114"/>
    </row>
    <row r="3" spans="1:13" s="118" customFormat="1" ht="15.75" x14ac:dyDescent="0.25">
      <c r="C3" s="119"/>
      <c r="E3" s="119"/>
      <c r="G3" s="119"/>
      <c r="I3" s="119"/>
    </row>
    <row r="4" spans="1:13" x14ac:dyDescent="0.25">
      <c r="A4" s="120" t="s">
        <v>86</v>
      </c>
      <c r="B4" s="121"/>
      <c r="C4" s="122"/>
      <c r="D4" s="121"/>
      <c r="E4" s="122"/>
      <c r="F4" s="121"/>
      <c r="G4" s="122"/>
      <c r="H4" s="121"/>
      <c r="I4" s="122"/>
      <c r="J4" s="121"/>
      <c r="K4" s="121"/>
      <c r="L4" s="121"/>
      <c r="M4" s="121"/>
    </row>
    <row r="5" spans="1:13" ht="15" customHeight="1" x14ac:dyDescent="0.25">
      <c r="A5" s="199" t="s">
        <v>87</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88</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20" t="s">
        <v>89</v>
      </c>
      <c r="B11" s="121"/>
      <c r="C11" s="122"/>
      <c r="D11" s="121"/>
      <c r="E11" s="122"/>
      <c r="F11" s="121"/>
      <c r="G11" s="122"/>
      <c r="H11" s="121"/>
      <c r="I11" s="122"/>
      <c r="J11" s="121"/>
      <c r="K11" s="121"/>
      <c r="L11" s="121"/>
      <c r="M11" s="121"/>
    </row>
    <row r="12" spans="1:13" x14ac:dyDescent="0.25">
      <c r="A12" s="161"/>
      <c r="B12" s="203" t="s">
        <v>90</v>
      </c>
      <c r="C12" s="203"/>
      <c r="D12" s="203"/>
      <c r="E12" s="203"/>
      <c r="F12" s="203"/>
      <c r="G12" s="203"/>
      <c r="H12" s="203"/>
      <c r="I12" s="203"/>
      <c r="J12" s="203"/>
      <c r="K12" s="203"/>
      <c r="L12" s="203"/>
      <c r="M12" s="203"/>
    </row>
    <row r="13" spans="1:13" ht="6.75" customHeight="1" x14ac:dyDescent="0.25">
      <c r="A13" s="161"/>
      <c r="B13" s="161"/>
      <c r="C13" s="124"/>
      <c r="D13" s="161"/>
      <c r="E13" s="124"/>
      <c r="F13" s="161"/>
      <c r="G13" s="124"/>
      <c r="H13" s="161"/>
      <c r="I13" s="124"/>
      <c r="J13" s="161"/>
      <c r="K13" s="161"/>
      <c r="L13" s="161"/>
      <c r="M13" s="161"/>
    </row>
    <row r="14" spans="1:13" ht="15" customHeight="1" x14ac:dyDescent="0.25">
      <c r="A14" s="161"/>
      <c r="B14" s="202" t="s">
        <v>91</v>
      </c>
      <c r="C14" s="202"/>
      <c r="D14" s="202"/>
      <c r="E14" s="202"/>
      <c r="F14" s="202"/>
      <c r="G14" s="202"/>
      <c r="H14" s="202"/>
      <c r="I14" s="124"/>
      <c r="J14" s="162" t="s">
        <v>92</v>
      </c>
      <c r="K14" s="125"/>
      <c r="L14" s="125"/>
      <c r="M14" s="161"/>
    </row>
    <row r="15" spans="1:13" ht="15" customHeight="1" x14ac:dyDescent="0.25">
      <c r="A15" s="161"/>
      <c r="B15" s="126" t="s">
        <v>93</v>
      </c>
      <c r="C15" s="127" t="s">
        <v>94</v>
      </c>
      <c r="D15" s="126" t="s">
        <v>95</v>
      </c>
      <c r="E15" s="126" t="s">
        <v>96</v>
      </c>
      <c r="F15" s="126" t="s">
        <v>97</v>
      </c>
      <c r="G15" s="128"/>
      <c r="H15" s="129"/>
      <c r="I15" s="128"/>
      <c r="J15" s="130" t="s">
        <v>98</v>
      </c>
      <c r="K15" s="125"/>
      <c r="L15" s="131" t="s">
        <v>99</v>
      </c>
      <c r="M15" s="161"/>
    </row>
    <row r="16" spans="1:13" ht="15" customHeight="1" x14ac:dyDescent="0.25">
      <c r="A16" s="132"/>
      <c r="B16" s="14">
        <f>IF('Fund 0001 Journal Entries'!$F$7="Governmental Fund",ROUND('Fund 0001 Journal Entries'!$K$19,0),0)</f>
        <v>1157528</v>
      </c>
      <c r="C16" s="15" t="s">
        <v>94</v>
      </c>
      <c r="D16" s="14">
        <f>IF('Fund 0001 Journal Entries'!$F$7="Governmental Fund",ROUND('Fund 0001 Journal Entries'!$K$37,0),0)</f>
        <v>300212</v>
      </c>
      <c r="E16" s="16" t="s">
        <v>96</v>
      </c>
      <c r="F16" s="14">
        <f>IF('Fund 0001 Journal Entries'!$F$7="Governmental Fund",ROUND('Fund 0001 Journal Entries'!$J$56,0),0)</f>
        <v>838744</v>
      </c>
      <c r="G16" s="16" t="s">
        <v>100</v>
      </c>
      <c r="H16" s="17">
        <f>+B16+D16-F16</f>
        <v>618996</v>
      </c>
      <c r="I16" s="16"/>
      <c r="J16" s="18">
        <f>ROUND(SUM('Department Note Disclosure'!$B$16:$B$39),0)</f>
        <v>618996</v>
      </c>
      <c r="K16" s="15"/>
      <c r="L16" s="19">
        <f>H16-J16</f>
        <v>0</v>
      </c>
      <c r="M16" s="161"/>
    </row>
    <row r="17" spans="1:13" ht="15" customHeight="1" x14ac:dyDescent="0.25">
      <c r="A17" s="132"/>
      <c r="B17" s="132"/>
      <c r="C17" s="133"/>
      <c r="D17" s="134" t="str">
        <f>IF(OR(L16&gt;0.99, (L16&lt;(-0.99))), "Please review and correct the variance.","")</f>
        <v/>
      </c>
      <c r="E17" s="133"/>
      <c r="F17" s="132"/>
      <c r="G17" s="133"/>
      <c r="H17" s="132"/>
      <c r="I17" s="133"/>
      <c r="J17" s="132"/>
      <c r="K17" s="132"/>
      <c r="L17" s="132"/>
      <c r="M17" s="161"/>
    </row>
    <row r="18" spans="1:13" ht="6" customHeight="1" x14ac:dyDescent="0.25">
      <c r="A18" s="132"/>
      <c r="B18" s="132"/>
      <c r="C18" s="133"/>
      <c r="D18" s="134"/>
      <c r="E18" s="133"/>
      <c r="F18" s="132"/>
      <c r="G18" s="133"/>
      <c r="H18" s="132"/>
      <c r="I18" s="133"/>
      <c r="J18" s="132"/>
      <c r="K18" s="132"/>
      <c r="L18" s="132"/>
      <c r="M18" s="161"/>
    </row>
    <row r="19" spans="1:13" x14ac:dyDescent="0.25">
      <c r="A19" s="161"/>
      <c r="B19" s="203" t="s">
        <v>101</v>
      </c>
      <c r="C19" s="203"/>
      <c r="D19" s="203"/>
      <c r="E19" s="203"/>
      <c r="F19" s="203"/>
      <c r="G19" s="203"/>
      <c r="H19" s="203"/>
      <c r="I19" s="203"/>
      <c r="J19" s="203"/>
      <c r="K19" s="203"/>
      <c r="L19" s="203"/>
      <c r="M19" s="203"/>
    </row>
    <row r="20" spans="1:13" ht="6" customHeight="1" x14ac:dyDescent="0.25">
      <c r="A20" s="161"/>
      <c r="B20" s="161"/>
      <c r="C20" s="124"/>
      <c r="D20" s="161"/>
      <c r="E20" s="124"/>
      <c r="F20" s="161"/>
      <c r="G20" s="124"/>
      <c r="H20" s="161"/>
      <c r="I20" s="124"/>
      <c r="J20" s="161"/>
      <c r="K20" s="161"/>
      <c r="L20" s="161"/>
      <c r="M20" s="161"/>
    </row>
    <row r="21" spans="1:13" ht="15" customHeight="1" x14ac:dyDescent="0.25">
      <c r="A21" s="161"/>
      <c r="B21" s="202" t="s">
        <v>91</v>
      </c>
      <c r="C21" s="202"/>
      <c r="D21" s="202"/>
      <c r="E21" s="202"/>
      <c r="F21" s="202"/>
      <c r="G21" s="202"/>
      <c r="H21" s="202"/>
      <c r="I21" s="124"/>
      <c r="J21" s="162" t="s">
        <v>92</v>
      </c>
      <c r="K21" s="125"/>
      <c r="L21" s="125"/>
      <c r="M21" s="161"/>
    </row>
    <row r="22" spans="1:13" ht="15" customHeight="1" x14ac:dyDescent="0.25">
      <c r="A22" s="161"/>
      <c r="B22" s="126" t="s">
        <v>93</v>
      </c>
      <c r="C22" s="127" t="s">
        <v>94</v>
      </c>
      <c r="D22" s="126" t="s">
        <v>95</v>
      </c>
      <c r="E22" s="126" t="s">
        <v>96</v>
      </c>
      <c r="F22" s="126" t="s">
        <v>97</v>
      </c>
      <c r="G22" s="128"/>
      <c r="H22" s="129"/>
      <c r="I22" s="128"/>
      <c r="J22" s="130" t="s">
        <v>98</v>
      </c>
      <c r="K22" s="125"/>
      <c r="L22" s="131" t="s">
        <v>99</v>
      </c>
      <c r="M22" s="161"/>
    </row>
    <row r="23" spans="1:13" ht="15" customHeight="1" x14ac:dyDescent="0.25">
      <c r="A23" s="132"/>
      <c r="B23" s="14">
        <f>IF('Fund 0001 Journal Entries'!$F$7="Proprietary - Internal Service Fund",ROUND('Fund 0001 Journal Entries'!$K$19,0),0)</f>
        <v>0</v>
      </c>
      <c r="C23" s="15" t="s">
        <v>94</v>
      </c>
      <c r="D23" s="14">
        <f>IF('Fund 0001 Journal Entries'!$F$7="Proprietary - Internal Service Fund",ROUND('Fund 0001 Journal Entries'!$K$37,0),0)</f>
        <v>0</v>
      </c>
      <c r="E23" s="16" t="s">
        <v>96</v>
      </c>
      <c r="F23" s="14">
        <f>IF('Fund 0001 Journal Entries'!$F$7="Proprietary - Internal Service Fund",ROUND('Fund 0001 Journal Entries'!$J$56,0),0)</f>
        <v>0</v>
      </c>
      <c r="G23" s="16" t="s">
        <v>100</v>
      </c>
      <c r="H23" s="17">
        <f>+B23+D23-F23</f>
        <v>0</v>
      </c>
      <c r="I23" s="16"/>
      <c r="J23" s="18">
        <f>ROUND(SUM('Department Note Disclosure'!$B$47:$B$70),0)</f>
        <v>0</v>
      </c>
      <c r="K23" s="15"/>
      <c r="L23" s="19">
        <f>H23-J23</f>
        <v>0</v>
      </c>
      <c r="M23" s="161"/>
    </row>
    <row r="24" spans="1:13" ht="6" customHeight="1" x14ac:dyDescent="0.25">
      <c r="A24" s="132"/>
      <c r="B24" s="132"/>
      <c r="C24" s="133"/>
      <c r="D24" s="132"/>
      <c r="E24" s="133"/>
      <c r="F24" s="132"/>
      <c r="G24" s="133"/>
      <c r="H24" s="132"/>
      <c r="I24" s="133"/>
      <c r="J24" s="132"/>
      <c r="K24" s="132"/>
      <c r="L24" s="132"/>
      <c r="M24" s="161"/>
    </row>
    <row r="25" spans="1:13" ht="15" customHeight="1" x14ac:dyDescent="0.25">
      <c r="A25" s="132"/>
      <c r="B25" s="132"/>
      <c r="C25" s="133"/>
      <c r="D25" s="134" t="str">
        <f>IF(OR(L23&gt;0.99, (L23&lt;(-0.99))), "Please review and correct the variance.","")</f>
        <v/>
      </c>
      <c r="E25" s="133"/>
      <c r="F25" s="132"/>
      <c r="G25" s="133"/>
      <c r="H25" s="132"/>
      <c r="I25" s="133"/>
      <c r="J25" s="132"/>
      <c r="K25" s="132"/>
      <c r="L25" s="132"/>
      <c r="M25" s="161"/>
    </row>
    <row r="26" spans="1:13" ht="6" customHeight="1" x14ac:dyDescent="0.25">
      <c r="A26" s="132"/>
      <c r="B26" s="132"/>
      <c r="C26" s="133"/>
      <c r="D26" s="134"/>
      <c r="E26" s="133"/>
      <c r="F26" s="132"/>
      <c r="G26" s="133"/>
      <c r="H26" s="132"/>
      <c r="I26" s="133"/>
      <c r="J26" s="132"/>
      <c r="K26" s="132"/>
      <c r="L26" s="132"/>
      <c r="M26" s="161"/>
    </row>
    <row r="27" spans="1:13" x14ac:dyDescent="0.25">
      <c r="A27" s="161"/>
      <c r="B27" s="203" t="s">
        <v>102</v>
      </c>
      <c r="C27" s="203"/>
      <c r="D27" s="203"/>
      <c r="E27" s="203"/>
      <c r="F27" s="203"/>
      <c r="G27" s="203"/>
      <c r="H27" s="203"/>
      <c r="I27" s="203"/>
      <c r="J27" s="203"/>
      <c r="K27" s="203"/>
      <c r="L27" s="203"/>
      <c r="M27" s="203"/>
    </row>
    <row r="28" spans="1:13" ht="6" customHeight="1" x14ac:dyDescent="0.25">
      <c r="A28" s="161"/>
      <c r="B28" s="161"/>
      <c r="C28" s="124"/>
      <c r="D28" s="161"/>
      <c r="E28" s="124"/>
      <c r="F28" s="161"/>
      <c r="G28" s="124"/>
      <c r="H28" s="161"/>
      <c r="I28" s="124"/>
      <c r="J28" s="161"/>
      <c r="K28" s="161"/>
      <c r="L28" s="161"/>
      <c r="M28" s="161"/>
    </row>
    <row r="29" spans="1:13" ht="15" customHeight="1" x14ac:dyDescent="0.25">
      <c r="A29" s="161"/>
      <c r="B29" s="202" t="s">
        <v>91</v>
      </c>
      <c r="C29" s="202"/>
      <c r="D29" s="202"/>
      <c r="E29" s="202"/>
      <c r="F29" s="202"/>
      <c r="G29" s="202"/>
      <c r="H29" s="202"/>
      <c r="I29" s="124"/>
      <c r="J29" s="162" t="s">
        <v>92</v>
      </c>
      <c r="K29" s="125"/>
      <c r="L29" s="125"/>
      <c r="M29" s="161"/>
    </row>
    <row r="30" spans="1:13" ht="15" customHeight="1" x14ac:dyDescent="0.25">
      <c r="A30" s="161"/>
      <c r="B30" s="126" t="s">
        <v>93</v>
      </c>
      <c r="C30" s="127" t="s">
        <v>94</v>
      </c>
      <c r="D30" s="126" t="s">
        <v>95</v>
      </c>
      <c r="E30" s="126" t="s">
        <v>96</v>
      </c>
      <c r="F30" s="126" t="s">
        <v>97</v>
      </c>
      <c r="G30" s="128"/>
      <c r="H30" s="129"/>
      <c r="I30" s="128"/>
      <c r="J30" s="130" t="s">
        <v>98</v>
      </c>
      <c r="K30" s="125"/>
      <c r="L30" s="131" t="s">
        <v>99</v>
      </c>
      <c r="M30" s="161"/>
    </row>
    <row r="31" spans="1:13" ht="15" customHeight="1" x14ac:dyDescent="0.25">
      <c r="A31" s="132"/>
      <c r="B31" s="14">
        <f>IF('Fund 0001 Journal Entries'!$F$7="Proprietary - Enterprise Fund",ROUND('Fund 0001 Journal Entries'!$K$19,0),0)</f>
        <v>0</v>
      </c>
      <c r="C31" s="15" t="s">
        <v>94</v>
      </c>
      <c r="D31" s="14">
        <f>IF('Fund 0001 Journal Entries'!$F$7="Proprietary - Enterprise Fund",ROUND('Fund 0001 Journal Entries'!$K$37,0),0)</f>
        <v>0</v>
      </c>
      <c r="E31" s="16" t="s">
        <v>96</v>
      </c>
      <c r="F31" s="14">
        <f>IF('Fund 0001 Journal Entries'!$F$7="Proprietary - Enterprise Fund",ROUND('Fund 0001 Journal Entries'!$J$56,0),0)</f>
        <v>0</v>
      </c>
      <c r="G31" s="16" t="s">
        <v>100</v>
      </c>
      <c r="H31" s="17">
        <f>+B31+D31-F31</f>
        <v>0</v>
      </c>
      <c r="I31" s="16"/>
      <c r="J31" s="18">
        <f>ROUND(SUM('Department Note Disclosure'!$B$78:$B$101),0)</f>
        <v>0</v>
      </c>
      <c r="K31" s="15"/>
      <c r="L31" s="19">
        <f>H31-J31</f>
        <v>0</v>
      </c>
      <c r="M31" s="161"/>
    </row>
    <row r="32" spans="1:13" ht="15" customHeight="1" x14ac:dyDescent="0.25">
      <c r="A32" s="161"/>
      <c r="B32" s="135"/>
      <c r="C32" s="124"/>
      <c r="D32" s="134" t="str">
        <f>IF(OR(L31&gt;0.99, (L31&lt;(-0.99))), "Please review and correct the variance.","")</f>
        <v/>
      </c>
      <c r="E32" s="124"/>
      <c r="F32" s="135"/>
      <c r="G32" s="124"/>
      <c r="H32" s="135"/>
      <c r="I32" s="124"/>
      <c r="J32" s="135"/>
      <c r="K32" s="135"/>
      <c r="L32" s="135"/>
      <c r="M32" s="161"/>
    </row>
    <row r="33" spans="1:13" ht="15" customHeight="1" x14ac:dyDescent="0.25">
      <c r="A33" s="161"/>
      <c r="B33" s="135"/>
      <c r="C33" s="124"/>
      <c r="D33" s="135"/>
      <c r="E33" s="124"/>
      <c r="F33" s="135"/>
      <c r="G33" s="124"/>
      <c r="H33" s="135"/>
      <c r="I33" s="124"/>
      <c r="J33" s="135"/>
      <c r="K33" s="135"/>
      <c r="L33" s="135"/>
      <c r="M33" s="161"/>
    </row>
    <row r="34" spans="1:13" x14ac:dyDescent="0.25">
      <c r="A34" s="120" t="s">
        <v>103</v>
      </c>
      <c r="B34" s="121"/>
      <c r="C34" s="122"/>
      <c r="D34" s="121"/>
      <c r="E34" s="122"/>
      <c r="F34" s="121"/>
      <c r="G34" s="122"/>
      <c r="H34" s="121"/>
      <c r="I34" s="122"/>
      <c r="J34" s="121"/>
      <c r="K34" s="121"/>
      <c r="L34" s="121"/>
      <c r="M34" s="121"/>
    </row>
    <row r="35" spans="1:13" ht="15" customHeight="1" x14ac:dyDescent="0.25">
      <c r="A35" s="161"/>
      <c r="B35" s="203" t="s">
        <v>90</v>
      </c>
      <c r="C35" s="203"/>
      <c r="D35" s="203"/>
      <c r="E35" s="203"/>
      <c r="F35" s="203"/>
      <c r="G35" s="203"/>
      <c r="H35" s="203"/>
      <c r="I35" s="203"/>
      <c r="J35" s="203"/>
      <c r="K35" s="203"/>
      <c r="L35" s="203"/>
      <c r="M35" s="203"/>
    </row>
    <row r="36" spans="1:13" ht="6" customHeight="1" x14ac:dyDescent="0.25">
      <c r="A36" s="161"/>
      <c r="B36" s="161"/>
      <c r="C36" s="124"/>
      <c r="D36" s="161"/>
      <c r="E36" s="124"/>
      <c r="F36" s="161"/>
      <c r="G36" s="124"/>
      <c r="H36" s="161"/>
      <c r="I36" s="124"/>
      <c r="J36" s="161"/>
      <c r="K36" s="161"/>
      <c r="L36" s="161"/>
      <c r="M36" s="161"/>
    </row>
    <row r="37" spans="1:13" ht="15" customHeight="1" x14ac:dyDescent="0.25">
      <c r="A37" s="161"/>
      <c r="B37" s="202" t="s">
        <v>91</v>
      </c>
      <c r="C37" s="202"/>
      <c r="D37" s="202"/>
      <c r="E37" s="202"/>
      <c r="F37" s="202"/>
      <c r="G37" s="202"/>
      <c r="H37" s="202"/>
      <c r="I37" s="124"/>
      <c r="J37" s="162" t="s">
        <v>92</v>
      </c>
      <c r="K37" s="125"/>
      <c r="L37" s="125"/>
      <c r="M37" s="161"/>
    </row>
    <row r="38" spans="1:13" ht="15" customHeight="1" x14ac:dyDescent="0.25">
      <c r="A38" s="161"/>
      <c r="B38" s="161"/>
      <c r="C38" s="161"/>
      <c r="E38" s="161"/>
      <c r="F38" s="126" t="s">
        <v>104</v>
      </c>
      <c r="G38" s="161"/>
      <c r="H38" s="161"/>
      <c r="I38" s="128"/>
      <c r="J38" s="130" t="str">
        <f>'Department Note Disclosure'!$A$16&amp;" Principal Payments"</f>
        <v>2023–2024 Principal Payments</v>
      </c>
      <c r="K38" s="125"/>
      <c r="L38" s="131" t="s">
        <v>99</v>
      </c>
      <c r="M38" s="161"/>
    </row>
    <row r="39" spans="1:13" ht="15" customHeight="1" x14ac:dyDescent="0.25">
      <c r="A39" s="161"/>
      <c r="B39" s="135"/>
      <c r="C39" s="135"/>
      <c r="E39" s="135"/>
      <c r="F39" s="14">
        <f>IF('Fund 0001 Journal Entries'!$F$7="Governmental Fund",ROUND('Fund 0001 Journal Entries'!$K$62,0),0)</f>
        <v>293018</v>
      </c>
      <c r="G39" s="135"/>
      <c r="H39" s="135"/>
      <c r="I39" s="20"/>
      <c r="J39" s="18">
        <f>ROUND('Department Note Disclosure'!$B$16,0)</f>
        <v>293018</v>
      </c>
      <c r="K39" s="21"/>
      <c r="L39" s="19">
        <f>F39-J39</f>
        <v>0</v>
      </c>
      <c r="M39" s="161"/>
    </row>
    <row r="40" spans="1:13" ht="17.25" x14ac:dyDescent="0.25">
      <c r="A40" s="161"/>
      <c r="B40" s="132"/>
      <c r="C40" s="133"/>
      <c r="D40" s="134" t="str">
        <f>IF(OR(L39&gt;0.99, (L39&lt;(-0.99))), "Please review and correct the variance.","")</f>
        <v/>
      </c>
      <c r="E40" s="133"/>
      <c r="F40" s="132"/>
      <c r="G40" s="133"/>
      <c r="H40" s="132"/>
      <c r="I40" s="133"/>
      <c r="J40" s="132"/>
      <c r="K40" s="132"/>
      <c r="L40" s="132"/>
      <c r="M40" s="161"/>
    </row>
    <row r="41" spans="1:13" ht="6" customHeight="1" x14ac:dyDescent="0.25">
      <c r="A41" s="161"/>
      <c r="B41" s="132"/>
      <c r="C41" s="133"/>
      <c r="D41" s="134"/>
      <c r="E41" s="133"/>
      <c r="F41" s="132"/>
      <c r="G41" s="133"/>
      <c r="H41" s="132"/>
      <c r="I41" s="133"/>
      <c r="J41" s="132"/>
      <c r="K41" s="132"/>
      <c r="L41" s="132"/>
      <c r="M41" s="161"/>
    </row>
    <row r="42" spans="1:13" x14ac:dyDescent="0.25">
      <c r="A42" s="161"/>
      <c r="B42" s="203" t="s">
        <v>101</v>
      </c>
      <c r="C42" s="203"/>
      <c r="D42" s="203"/>
      <c r="E42" s="203"/>
      <c r="F42" s="203"/>
      <c r="G42" s="203"/>
      <c r="H42" s="203"/>
      <c r="I42" s="203"/>
      <c r="J42" s="203"/>
      <c r="K42" s="203"/>
      <c r="L42" s="203"/>
      <c r="M42" s="203"/>
    </row>
    <row r="43" spans="1:13" ht="6" customHeight="1" x14ac:dyDescent="0.25">
      <c r="A43" s="161"/>
      <c r="B43" s="161"/>
      <c r="C43" s="124"/>
      <c r="D43" s="161"/>
      <c r="E43" s="124"/>
      <c r="F43" s="161"/>
      <c r="G43" s="124"/>
      <c r="H43" s="161"/>
      <c r="I43" s="124"/>
      <c r="J43" s="161"/>
      <c r="K43" s="161"/>
      <c r="L43" s="161"/>
      <c r="M43" s="161"/>
    </row>
    <row r="44" spans="1:13" ht="15" customHeight="1" x14ac:dyDescent="0.25">
      <c r="A44" s="161"/>
      <c r="B44" s="202" t="s">
        <v>91</v>
      </c>
      <c r="C44" s="202"/>
      <c r="D44" s="202"/>
      <c r="E44" s="202"/>
      <c r="F44" s="202"/>
      <c r="G44" s="202"/>
      <c r="H44" s="202"/>
      <c r="I44" s="124"/>
      <c r="J44" s="162" t="s">
        <v>92</v>
      </c>
      <c r="K44" s="125"/>
      <c r="L44" s="125"/>
      <c r="M44" s="161"/>
    </row>
    <row r="45" spans="1:13" ht="15" customHeight="1" x14ac:dyDescent="0.25">
      <c r="A45" s="161"/>
      <c r="B45" s="161"/>
      <c r="C45" s="161"/>
      <c r="E45" s="161"/>
      <c r="F45" s="126" t="s">
        <v>104</v>
      </c>
      <c r="G45" s="161"/>
      <c r="H45" s="161"/>
      <c r="I45" s="128"/>
      <c r="J45" s="130" t="str">
        <f>'Department Note Disclosure'!$A$47&amp;" Principal Payments"</f>
        <v>2023–2024 Principal Payments</v>
      </c>
      <c r="K45" s="125"/>
      <c r="L45" s="131" t="s">
        <v>99</v>
      </c>
      <c r="M45" s="161"/>
    </row>
    <row r="46" spans="1:13" x14ac:dyDescent="0.25">
      <c r="A46" s="161"/>
      <c r="B46" s="135"/>
      <c r="C46" s="135"/>
      <c r="E46" s="135"/>
      <c r="F46" s="14">
        <f>IF('Fund 0001 Journal Entries'!$F$7="Proprietary - Internal Service Fund",ROUND('Fund 0001 Journal Entries'!$K$62,0),0)</f>
        <v>0</v>
      </c>
      <c r="G46" s="135"/>
      <c r="H46" s="135"/>
      <c r="I46" s="20"/>
      <c r="J46" s="18">
        <f>ROUND('Department Note Disclosure'!$B$47,0)</f>
        <v>0</v>
      </c>
      <c r="K46" s="21"/>
      <c r="L46" s="19">
        <f>F46-J46</f>
        <v>0</v>
      </c>
      <c r="M46" s="161"/>
    </row>
    <row r="47" spans="1:13" ht="17.25" x14ac:dyDescent="0.25">
      <c r="A47" s="161"/>
      <c r="B47" s="161"/>
      <c r="C47" s="161"/>
      <c r="D47" s="134" t="str">
        <f>IF(OR(L46&gt;0.99, (L46&lt;(-0.99))), "Please review and correct the variance.","")</f>
        <v/>
      </c>
      <c r="E47" s="161"/>
      <c r="F47" s="161"/>
      <c r="G47" s="161"/>
      <c r="H47" s="161"/>
      <c r="I47" s="161"/>
      <c r="J47" s="161"/>
      <c r="K47" s="161"/>
      <c r="L47" s="161"/>
      <c r="M47" s="161"/>
    </row>
    <row r="48" spans="1:13" ht="6" customHeight="1" x14ac:dyDescent="0.25">
      <c r="A48" s="161"/>
      <c r="B48" s="161"/>
      <c r="C48" s="161"/>
      <c r="D48" s="134"/>
      <c r="E48" s="161"/>
      <c r="F48" s="161"/>
      <c r="G48" s="161"/>
      <c r="H48" s="161"/>
      <c r="I48" s="161"/>
      <c r="J48" s="161"/>
      <c r="K48" s="161"/>
      <c r="L48" s="161"/>
      <c r="M48" s="161"/>
    </row>
    <row r="49" spans="1:13" x14ac:dyDescent="0.25">
      <c r="A49" s="161"/>
      <c r="B49" s="203" t="s">
        <v>102</v>
      </c>
      <c r="C49" s="203"/>
      <c r="D49" s="203"/>
      <c r="E49" s="203"/>
      <c r="F49" s="203"/>
      <c r="G49" s="203"/>
      <c r="H49" s="203"/>
      <c r="I49" s="203"/>
      <c r="J49" s="203"/>
      <c r="K49" s="203"/>
      <c r="L49" s="203"/>
      <c r="M49" s="203"/>
    </row>
    <row r="50" spans="1:13" x14ac:dyDescent="0.25">
      <c r="A50" s="161"/>
      <c r="B50" s="161"/>
      <c r="C50" s="124"/>
      <c r="D50" s="161"/>
      <c r="E50" s="124"/>
      <c r="F50" s="161"/>
      <c r="G50" s="124"/>
      <c r="H50" s="161"/>
      <c r="I50" s="124"/>
      <c r="J50" s="161"/>
      <c r="K50" s="161"/>
      <c r="L50" s="161"/>
      <c r="M50" s="161"/>
    </row>
    <row r="51" spans="1:13" x14ac:dyDescent="0.25">
      <c r="A51" s="161"/>
      <c r="B51" s="202" t="s">
        <v>91</v>
      </c>
      <c r="C51" s="202"/>
      <c r="D51" s="202"/>
      <c r="E51" s="202"/>
      <c r="F51" s="202"/>
      <c r="G51" s="202"/>
      <c r="H51" s="202"/>
      <c r="I51" s="124"/>
      <c r="J51" s="162" t="s">
        <v>92</v>
      </c>
      <c r="K51" s="125"/>
      <c r="L51" s="125"/>
      <c r="M51" s="161"/>
    </row>
    <row r="52" spans="1:13" ht="15" customHeight="1" x14ac:dyDescent="0.25">
      <c r="A52" s="161"/>
      <c r="B52" s="161"/>
      <c r="C52" s="161"/>
      <c r="E52" s="161"/>
      <c r="F52" s="126" t="s">
        <v>104</v>
      </c>
      <c r="G52" s="161"/>
      <c r="H52" s="161"/>
      <c r="I52" s="128"/>
      <c r="J52" s="130" t="str">
        <f>'Department Note Disclosure'!$A$47&amp;" Principal Payments"</f>
        <v>2023–2024 Principal Payments</v>
      </c>
      <c r="K52" s="125"/>
      <c r="L52" s="131" t="s">
        <v>99</v>
      </c>
      <c r="M52" s="161"/>
    </row>
    <row r="53" spans="1:13" x14ac:dyDescent="0.25">
      <c r="A53" s="161"/>
      <c r="B53" s="135"/>
      <c r="C53" s="135"/>
      <c r="E53" s="135"/>
      <c r="F53" s="14">
        <f>IF('Fund 0001 Journal Entries'!$F$7="Proprietary - Enterprise Fund",ROUND('Fund 0001 Journal Entries'!$K$62,0),0)</f>
        <v>0</v>
      </c>
      <c r="G53" s="135"/>
      <c r="H53" s="135"/>
      <c r="I53" s="20"/>
      <c r="J53" s="18">
        <f>ROUND('Department Note Disclosure'!$B$78,0)</f>
        <v>0</v>
      </c>
      <c r="K53" s="21"/>
      <c r="L53" s="19">
        <f>F53-J53</f>
        <v>0</v>
      </c>
      <c r="M53" s="161"/>
    </row>
    <row r="54" spans="1:13" ht="17.25" x14ac:dyDescent="0.25">
      <c r="A54" s="161"/>
      <c r="B54" s="132"/>
      <c r="C54" s="133"/>
      <c r="D54" s="134" t="str">
        <f>IF(OR(L53&gt;0.99, (L53&lt;(-0.99))), "Please review and correct the variance.","")</f>
        <v/>
      </c>
      <c r="E54" s="133"/>
      <c r="F54" s="132"/>
      <c r="G54" s="133"/>
      <c r="H54" s="132"/>
      <c r="I54" s="133"/>
      <c r="J54" s="132"/>
      <c r="K54" s="132"/>
      <c r="L54" s="132"/>
      <c r="M54" s="161"/>
    </row>
    <row r="55" spans="1:13" ht="17.25" x14ac:dyDescent="0.25">
      <c r="A55" s="161"/>
      <c r="B55" s="161"/>
      <c r="C55" s="161"/>
      <c r="D55" s="134"/>
      <c r="E55" s="161"/>
      <c r="F55" s="161"/>
      <c r="G55" s="161"/>
      <c r="H55" s="161"/>
      <c r="I55" s="161"/>
      <c r="J55" s="161"/>
      <c r="K55" s="161"/>
      <c r="L55" s="161"/>
      <c r="M55" s="161"/>
    </row>
    <row r="56" spans="1:13" x14ac:dyDescent="0.25">
      <c r="A56" s="120" t="s">
        <v>105</v>
      </c>
      <c r="B56" s="121"/>
      <c r="C56" s="122"/>
      <c r="D56" s="121"/>
      <c r="E56" s="122"/>
      <c r="F56" s="121"/>
      <c r="G56" s="122"/>
      <c r="H56" s="121"/>
      <c r="I56" s="122"/>
      <c r="J56" s="121"/>
      <c r="K56" s="121"/>
      <c r="L56" s="121"/>
      <c r="M56" s="121"/>
    </row>
    <row r="57" spans="1:13" ht="15" customHeight="1" x14ac:dyDescent="0.25">
      <c r="A57" s="161"/>
      <c r="B57" s="204" t="s">
        <v>90</v>
      </c>
      <c r="C57" s="204"/>
      <c r="D57" s="204"/>
      <c r="E57" s="204"/>
      <c r="F57" s="204"/>
      <c r="G57" s="204"/>
      <c r="H57" s="204"/>
      <c r="I57" s="204"/>
      <c r="J57" s="204"/>
      <c r="K57" s="204"/>
      <c r="L57" s="204"/>
      <c r="M57" s="204"/>
    </row>
    <row r="58" spans="1:13" ht="6" customHeight="1" x14ac:dyDescent="0.25">
      <c r="A58" s="161"/>
      <c r="B58" s="163"/>
      <c r="C58" s="163"/>
      <c r="D58" s="163"/>
      <c r="E58" s="163"/>
      <c r="F58" s="163"/>
      <c r="G58" s="163"/>
      <c r="H58" s="163"/>
      <c r="I58" s="163"/>
      <c r="J58" s="163"/>
      <c r="K58" s="163"/>
      <c r="L58" s="163"/>
      <c r="M58" s="161"/>
    </row>
    <row r="59" spans="1:13" ht="15" customHeight="1" x14ac:dyDescent="0.25">
      <c r="A59" s="161"/>
      <c r="B59" s="200" t="s">
        <v>91</v>
      </c>
      <c r="C59" s="200"/>
      <c r="D59" s="200"/>
      <c r="E59" s="200"/>
      <c r="F59" s="200"/>
      <c r="G59" s="163"/>
      <c r="H59" s="200" t="s">
        <v>66</v>
      </c>
      <c r="I59" s="200"/>
      <c r="J59" s="200"/>
      <c r="K59" s="163"/>
      <c r="L59" s="163"/>
      <c r="M59" s="161"/>
    </row>
    <row r="60" spans="1:13" x14ac:dyDescent="0.25">
      <c r="A60" s="161"/>
      <c r="B60" s="161"/>
      <c r="C60" s="161"/>
      <c r="D60" s="161"/>
      <c r="E60" s="161"/>
      <c r="F60" s="161"/>
      <c r="G60" s="161"/>
      <c r="H60" s="161"/>
      <c r="I60" s="161"/>
      <c r="J60" s="161"/>
      <c r="K60" s="161"/>
      <c r="L60" s="131" t="s">
        <v>99</v>
      </c>
      <c r="M60" s="161"/>
    </row>
    <row r="61" spans="1:13" x14ac:dyDescent="0.25">
      <c r="B61" s="136" t="s">
        <v>93</v>
      </c>
      <c r="D61" s="22">
        <f>$B$16</f>
        <v>1157528</v>
      </c>
      <c r="H61" s="138" t="str">
        <f>"Balance July 1, "&amp;LEFT('Fund 0001 Journal Entries'!$F$3,4)</f>
        <v>Balance July 1, 2022</v>
      </c>
      <c r="J61" s="22">
        <f>ROUND('SBITA Liabilities'!$F$10,0)</f>
        <v>1157528</v>
      </c>
      <c r="L61" s="19">
        <f>D61-J61</f>
        <v>0</v>
      </c>
    </row>
    <row r="62" spans="1:13" x14ac:dyDescent="0.25">
      <c r="B62" s="136" t="s">
        <v>95</v>
      </c>
      <c r="D62" s="22">
        <f>$D$16</f>
        <v>300212</v>
      </c>
      <c r="H62" s="138" t="s">
        <v>72</v>
      </c>
      <c r="J62" s="22">
        <f>ROUND('SBITA Liabilities'!$H$10,0)</f>
        <v>300212</v>
      </c>
      <c r="L62" s="19">
        <f>D62-J62</f>
        <v>0</v>
      </c>
    </row>
    <row r="63" spans="1:13" x14ac:dyDescent="0.25">
      <c r="B63" s="136" t="s">
        <v>97</v>
      </c>
      <c r="D63" s="22">
        <f>$F$16</f>
        <v>838744</v>
      </c>
      <c r="H63" s="138" t="s">
        <v>73</v>
      </c>
      <c r="J63" s="22">
        <f>ROUND('SBITA Liabilities'!$J$10,0)</f>
        <v>838744</v>
      </c>
      <c r="L63" s="19">
        <f>D63-J63</f>
        <v>0</v>
      </c>
    </row>
    <row r="64" spans="1:13" x14ac:dyDescent="0.25">
      <c r="B64" s="136" t="s">
        <v>104</v>
      </c>
      <c r="D64" s="22">
        <f>$F$39</f>
        <v>293018</v>
      </c>
      <c r="H64" s="138" t="s">
        <v>74</v>
      </c>
      <c r="J64" s="22">
        <f>ROUND('SBITA Liabilities'!$N$10,0)</f>
        <v>293018</v>
      </c>
      <c r="L64" s="19">
        <f>D64-J64</f>
        <v>0</v>
      </c>
    </row>
    <row r="65" spans="1:13" ht="15.95" customHeight="1" x14ac:dyDescent="0.25">
      <c r="D65" s="134" t="str">
        <f>IF(OR(L61&gt;0.99, L61&lt;(-0.99),L62&gt;0.99,L62&lt;(-0.99),L63&gt;0.99,L63&lt;(-0.99),L64&gt;0.99,L64&lt;(-0.99)), "Please review and correct the variance.","")</f>
        <v/>
      </c>
    </row>
    <row r="66" spans="1:13" ht="6" customHeight="1" x14ac:dyDescent="0.25">
      <c r="D66" s="139"/>
    </row>
    <row r="67" spans="1:13" s="205" customFormat="1" x14ac:dyDescent="0.25">
      <c r="A67" s="123"/>
      <c r="B67" s="205" t="s">
        <v>101</v>
      </c>
    </row>
    <row r="68" spans="1:13" ht="6" customHeight="1" x14ac:dyDescent="0.25">
      <c r="B68" s="140"/>
    </row>
    <row r="69" spans="1:13" ht="15" customHeight="1" x14ac:dyDescent="0.25">
      <c r="B69" s="200" t="s">
        <v>91</v>
      </c>
      <c r="C69" s="200"/>
      <c r="D69" s="200"/>
      <c r="E69" s="200"/>
      <c r="F69" s="200"/>
      <c r="G69" s="163"/>
      <c r="H69" s="200" t="s">
        <v>66</v>
      </c>
      <c r="I69" s="200"/>
      <c r="J69" s="200"/>
    </row>
    <row r="70" spans="1:13" x14ac:dyDescent="0.25">
      <c r="H70" s="161"/>
      <c r="I70" s="161"/>
      <c r="J70" s="161"/>
      <c r="K70" s="161"/>
      <c r="L70" s="131" t="s">
        <v>99</v>
      </c>
    </row>
    <row r="71" spans="1:13" x14ac:dyDescent="0.25">
      <c r="B71" s="136" t="s">
        <v>93</v>
      </c>
      <c r="D71" s="22">
        <f>$B$23</f>
        <v>0</v>
      </c>
      <c r="H71" s="138" t="str">
        <f>"Balance July 1, "&amp;LEFT('Fund 0001 Journal Entries'!$F$3,4)</f>
        <v>Balance July 1, 2022</v>
      </c>
      <c r="J71" s="22">
        <f>ROUND('SBITA Liabilities'!$F$14,0)</f>
        <v>0</v>
      </c>
      <c r="L71" s="19">
        <f>D71-J71</f>
        <v>0</v>
      </c>
    </row>
    <row r="72" spans="1:13" x14ac:dyDescent="0.25">
      <c r="B72" s="136" t="s">
        <v>95</v>
      </c>
      <c r="D72" s="22">
        <f>D23</f>
        <v>0</v>
      </c>
      <c r="H72" s="138" t="s">
        <v>72</v>
      </c>
      <c r="J72" s="22">
        <f>ROUND('SBITA Liabilities'!$H$14,0)</f>
        <v>0</v>
      </c>
      <c r="L72" s="19">
        <f>D72-J72</f>
        <v>0</v>
      </c>
    </row>
    <row r="73" spans="1:13" x14ac:dyDescent="0.25">
      <c r="B73" s="136" t="s">
        <v>97</v>
      </c>
      <c r="D73" s="22">
        <f>F23</f>
        <v>0</v>
      </c>
      <c r="H73" s="138" t="s">
        <v>73</v>
      </c>
      <c r="J73" s="22">
        <f>ROUND('SBITA Liabilities'!$J$14,0)</f>
        <v>0</v>
      </c>
      <c r="L73" s="19">
        <f>D73-J73</f>
        <v>0</v>
      </c>
    </row>
    <row r="74" spans="1:13" x14ac:dyDescent="0.25">
      <c r="B74" s="136" t="s">
        <v>104</v>
      </c>
      <c r="D74" s="22">
        <f>F46</f>
        <v>0</v>
      </c>
      <c r="H74" s="138" t="s">
        <v>74</v>
      </c>
      <c r="J74" s="22">
        <f>ROUND('SBITA Liabilities'!$N$14,0)</f>
        <v>0</v>
      </c>
      <c r="L74" s="19">
        <f>D74-J74</f>
        <v>0</v>
      </c>
    </row>
    <row r="75" spans="1:13" ht="17.25" x14ac:dyDescent="0.25">
      <c r="D75" s="134" t="str">
        <f>IF(OR(L71&gt;0.99, L71&lt;(-0.99),L72&gt;0.99,L72&lt;(-0.99),L73&gt;0.99,L73&lt;(-0.99),L74&gt;0.99,L74&lt;(-0.99)), "Please review and correct the variance.","")</f>
        <v/>
      </c>
    </row>
    <row r="76" spans="1:13" ht="6" customHeight="1" x14ac:dyDescent="0.25">
      <c r="D76" s="134"/>
    </row>
    <row r="77" spans="1:13" x14ac:dyDescent="0.25">
      <c r="B77" s="205" t="s">
        <v>102</v>
      </c>
      <c r="C77" s="205"/>
      <c r="D77" s="205"/>
      <c r="E77" s="205"/>
      <c r="F77" s="205"/>
      <c r="G77" s="205"/>
      <c r="H77" s="205"/>
      <c r="I77" s="205"/>
      <c r="J77" s="205"/>
      <c r="K77" s="205"/>
      <c r="L77" s="205"/>
      <c r="M77" s="205"/>
    </row>
    <row r="78" spans="1:13" ht="6" customHeight="1" x14ac:dyDescent="0.25">
      <c r="B78" s="140"/>
    </row>
    <row r="79" spans="1:13" ht="15" customHeight="1" x14ac:dyDescent="0.25">
      <c r="B79" s="200" t="s">
        <v>91</v>
      </c>
      <c r="C79" s="200"/>
      <c r="D79" s="200"/>
      <c r="E79" s="200"/>
      <c r="F79" s="200"/>
      <c r="G79" s="163"/>
      <c r="H79" s="200" t="s">
        <v>66</v>
      </c>
      <c r="I79" s="200"/>
      <c r="J79" s="200"/>
    </row>
    <row r="80" spans="1:13" x14ac:dyDescent="0.25">
      <c r="H80" s="161"/>
      <c r="I80" s="161"/>
      <c r="J80" s="161"/>
      <c r="K80" s="161"/>
      <c r="L80" s="131" t="s">
        <v>99</v>
      </c>
    </row>
    <row r="81" spans="1:13" x14ac:dyDescent="0.25">
      <c r="B81" s="136" t="s">
        <v>93</v>
      </c>
      <c r="D81" s="22">
        <f>$B$31</f>
        <v>0</v>
      </c>
      <c r="H81" s="138" t="str">
        <f>"Balance July 1, "&amp;LEFT('Fund 0001 Journal Entries'!$F$3,4)</f>
        <v>Balance July 1, 2022</v>
      </c>
      <c r="J81" s="22">
        <f>ROUND('SBITA Liabilities'!$F$18,0)</f>
        <v>0</v>
      </c>
      <c r="L81" s="19">
        <f>D81-J81</f>
        <v>0</v>
      </c>
    </row>
    <row r="82" spans="1:13" x14ac:dyDescent="0.25">
      <c r="B82" s="136" t="s">
        <v>95</v>
      </c>
      <c r="D82" s="22">
        <f>D31</f>
        <v>0</v>
      </c>
      <c r="H82" s="138" t="s">
        <v>72</v>
      </c>
      <c r="J82" s="22">
        <f>ROUND('SBITA Liabilities'!$H$18,0)</f>
        <v>0</v>
      </c>
      <c r="L82" s="19">
        <f>D82-J82</f>
        <v>0</v>
      </c>
    </row>
    <row r="83" spans="1:13" x14ac:dyDescent="0.25">
      <c r="B83" s="136" t="s">
        <v>97</v>
      </c>
      <c r="D83" s="22">
        <f>F31</f>
        <v>0</v>
      </c>
      <c r="H83" s="138" t="s">
        <v>73</v>
      </c>
      <c r="J83" s="22">
        <f>ROUND('SBITA Liabilities'!$J$18,0)</f>
        <v>0</v>
      </c>
      <c r="L83" s="19">
        <f>D83-J83</f>
        <v>0</v>
      </c>
    </row>
    <row r="84" spans="1:13" x14ac:dyDescent="0.25">
      <c r="B84" s="136" t="s">
        <v>104</v>
      </c>
      <c r="D84" s="22">
        <f>F53</f>
        <v>0</v>
      </c>
      <c r="H84" s="138" t="s">
        <v>74</v>
      </c>
      <c r="J84" s="22">
        <f>ROUND('SBITA Liabilities'!$N$18,0)</f>
        <v>0</v>
      </c>
      <c r="L84" s="19">
        <f>D84-J84</f>
        <v>0</v>
      </c>
    </row>
    <row r="85" spans="1:13" ht="17.25" x14ac:dyDescent="0.25">
      <c r="D85" s="134" t="str">
        <f>IF(OR(L81&gt;0.99, L81&lt;(-0.99),L82&gt;0.99,L82&lt;(-0.99),L83&gt;0.99,L83&lt;(-0.99),L84&gt;0.99,L84&lt;(-0.99)), "Please review and correct the variance.","")</f>
        <v/>
      </c>
    </row>
    <row r="86" spans="1:13" x14ac:dyDescent="0.25">
      <c r="A86" s="120"/>
      <c r="B86" s="121"/>
      <c r="C86" s="122"/>
      <c r="D86" s="121"/>
      <c r="E86" s="122"/>
      <c r="F86" s="121"/>
      <c r="G86" s="122"/>
      <c r="H86" s="121"/>
      <c r="I86" s="122"/>
      <c r="J86" s="121"/>
      <c r="K86" s="121"/>
      <c r="L86" s="121"/>
      <c r="M86" s="121"/>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9362A12-B9D1-468C-8040-6248E38F1194}"/>
</file>

<file path=customXml/itemProps2.xml><?xml version="1.0" encoding="utf-8"?>
<ds:datastoreItem xmlns:ds="http://schemas.openxmlformats.org/officeDocument/2006/customXml" ds:itemID="{6A7C33C5-ABEC-430B-929E-44D64E26FB6D}"/>
</file>

<file path=customXml/itemProps3.xml><?xml version="1.0" encoding="utf-8"?>
<ds:datastoreItem xmlns:ds="http://schemas.openxmlformats.org/officeDocument/2006/customXml" ds:itemID="{3CFE50EE-D8EF-4B22-A0BC-F471E9FE97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2024-06-13T01:12:59Z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