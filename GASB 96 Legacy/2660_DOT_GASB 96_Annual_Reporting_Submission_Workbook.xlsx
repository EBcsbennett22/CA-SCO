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95FD18A6-0EBD-459A-BB19-299BCDB855A2}" xr6:coauthVersionLast="47" xr6:coauthVersionMax="47" xr10:uidLastSave="{00000000-0000-0000-0000-000000000000}"/>
  <bookViews>
    <workbookView xWindow="20370" yWindow="-120" windowWidth="38640" windowHeight="15840" activeTab="5" xr2:uid="{00000000-000D-0000-FFFF-FFFF00000000}"/>
  </bookViews>
  <sheets>
    <sheet name="Fund 0041 Journal Entries" sheetId="2" r:id="rId1"/>
    <sheet name="Fund 0042 Journal Entries" sheetId="12" r:id="rId2"/>
    <sheet name="Fund 0046 Journal Entries" sheetId="10" r:id="rId3"/>
    <sheet name="Fund 3290 Journal Entries" sheetId="11" r:id="rId4"/>
    <sheet name="Department Note Disclosure" sheetId="3" r:id="rId5"/>
    <sheet name="SBITA Liabilities" sheetId="4" r:id="rId6"/>
    <sheet name="Check Figures " sheetId="9" r:id="rId7"/>
    <sheet name="Drop Down Menus" sheetId="1" state="hidden" r:id="rId8"/>
    <sheet name="GAAP02Aindex" sheetId="7" state="hidden" r:id="rId9"/>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4">'Department Note Disclosure'!$A$3:$D$101</definedName>
    <definedName name="_xlnm.Print_Area" localSheetId="0">'Fund 0041 Journal Entries'!$A$3:$K$70</definedName>
    <definedName name="_xlnm.Print_Area" localSheetId="1">'Fund 0042 Journal Entries'!$A$3:$K$70</definedName>
    <definedName name="_xlnm.Print_Area" localSheetId="2">'Fund 0046 Journal Entries'!$A$3:$K$70</definedName>
    <definedName name="_xlnm.Print_Area" localSheetId="3">'Fund 3290 Journal Entries'!$A$3:$K$70</definedName>
    <definedName name="_xlnm.Print_Area" localSheetId="5">'SBITA Liabilities'!$B$2:$Q$21</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2" i="2" l="1"/>
  <c r="D92" i="3"/>
  <c r="D61" i="3"/>
  <c r="D89" i="3"/>
  <c r="D58" i="3"/>
  <c r="D30" i="3"/>
  <c r="D27" i="3"/>
  <c r="C52" i="10" l="1"/>
  <c r="C52" i="11"/>
  <c r="C52" i="12"/>
  <c r="C52" i="2"/>
  <c r="C38" i="10"/>
  <c r="C38" i="11"/>
  <c r="C38" i="12"/>
  <c r="C38" i="2"/>
  <c r="C30" i="10"/>
  <c r="C30" i="11"/>
  <c r="C30" i="12"/>
  <c r="C30" i="2"/>
  <c r="F8" i="10"/>
  <c r="F8" i="11"/>
  <c r="F8" i="12"/>
  <c r="F8" i="2"/>
  <c r="F39" i="9" l="1"/>
  <c r="N10" i="4"/>
  <c r="D16" i="9"/>
  <c r="H10" i="4"/>
  <c r="B16" i="9"/>
  <c r="F10" i="4"/>
  <c r="K94" i="12"/>
  <c r="K86" i="12"/>
  <c r="J86" i="12"/>
  <c r="L86" i="12" s="1"/>
  <c r="K81" i="12"/>
  <c r="J81" i="12"/>
  <c r="L81" i="12" s="1"/>
  <c r="K70" i="12"/>
  <c r="J70" i="12"/>
  <c r="L70" i="12" s="1"/>
  <c r="K69" i="12"/>
  <c r="J63" i="12"/>
  <c r="K62" i="12"/>
  <c r="K97" i="12" s="1"/>
  <c r="K58" i="12"/>
  <c r="K57" i="12"/>
  <c r="J56" i="12"/>
  <c r="K96" i="12" s="1"/>
  <c r="K53" i="12"/>
  <c r="J53" i="12"/>
  <c r="K52" i="12"/>
  <c r="B51" i="12"/>
  <c r="J47" i="12"/>
  <c r="K46" i="12"/>
  <c r="K95" i="12" s="1"/>
  <c r="K39" i="12"/>
  <c r="J39" i="12"/>
  <c r="K31" i="12"/>
  <c r="J31" i="12"/>
  <c r="A26" i="12"/>
  <c r="K22" i="12"/>
  <c r="J22" i="12"/>
  <c r="B14" i="12"/>
  <c r="A12" i="12"/>
  <c r="K86" i="11"/>
  <c r="J86" i="11"/>
  <c r="L86" i="11" s="1"/>
  <c r="L81" i="11"/>
  <c r="K81" i="11"/>
  <c r="J81" i="11"/>
  <c r="J70" i="11"/>
  <c r="K69" i="11"/>
  <c r="K94" i="11" s="1"/>
  <c r="J63" i="11"/>
  <c r="K62" i="11"/>
  <c r="K97" i="11" s="1"/>
  <c r="K57" i="11"/>
  <c r="J56" i="11" s="1"/>
  <c r="K53" i="11"/>
  <c r="J53" i="11"/>
  <c r="K52" i="11"/>
  <c r="B51" i="11"/>
  <c r="J47" i="11"/>
  <c r="K46" i="11"/>
  <c r="K47" i="11" s="1"/>
  <c r="L47" i="11" s="1"/>
  <c r="K39" i="11"/>
  <c r="J39" i="11"/>
  <c r="K31" i="11"/>
  <c r="J31" i="11"/>
  <c r="A26" i="11"/>
  <c r="K22" i="11"/>
  <c r="J22" i="11"/>
  <c r="B14" i="11"/>
  <c r="A12" i="11"/>
  <c r="K86" i="10"/>
  <c r="J86" i="10"/>
  <c r="L86" i="10" s="1"/>
  <c r="K81" i="10"/>
  <c r="J81" i="10"/>
  <c r="L81" i="10" s="1"/>
  <c r="K70" i="10"/>
  <c r="J70" i="10"/>
  <c r="L70" i="10" s="1"/>
  <c r="K69" i="10"/>
  <c r="K94" i="10" s="1"/>
  <c r="J63" i="10"/>
  <c r="K62" i="10"/>
  <c r="K97" i="10" s="1"/>
  <c r="K57" i="10"/>
  <c r="K58" i="10" s="1"/>
  <c r="J56" i="10"/>
  <c r="K96" i="10" s="1"/>
  <c r="J53" i="10"/>
  <c r="K52" i="10"/>
  <c r="K53" i="10" s="1"/>
  <c r="L53" i="10" s="1"/>
  <c r="B51" i="10"/>
  <c r="J47" i="10"/>
  <c r="K46" i="10"/>
  <c r="K95" i="10" s="1"/>
  <c r="K39" i="10"/>
  <c r="J39" i="10"/>
  <c r="K31" i="10"/>
  <c r="J31" i="10"/>
  <c r="A26" i="10"/>
  <c r="K22" i="10"/>
  <c r="J22" i="10"/>
  <c r="B14" i="10"/>
  <c r="A12" i="10"/>
  <c r="L53" i="11" l="1"/>
  <c r="L39" i="11"/>
  <c r="L31" i="11"/>
  <c r="L22" i="11"/>
  <c r="K63" i="10"/>
  <c r="L63" i="10" s="1"/>
  <c r="J58" i="10"/>
  <c r="L58" i="10" s="1"/>
  <c r="L39" i="10"/>
  <c r="L31" i="10"/>
  <c r="L22" i="10"/>
  <c r="K63" i="12"/>
  <c r="L63" i="12"/>
  <c r="J10" i="4"/>
  <c r="L53" i="12"/>
  <c r="F16" i="9"/>
  <c r="L39" i="12"/>
  <c r="L31" i="12"/>
  <c r="L22" i="12"/>
  <c r="K47" i="12"/>
  <c r="L47" i="12" s="1"/>
  <c r="J58" i="12"/>
  <c r="L58" i="12" s="1"/>
  <c r="K96" i="11"/>
  <c r="J58" i="11"/>
  <c r="K58" i="11"/>
  <c r="K70" i="11"/>
  <c r="L70" i="11" s="1"/>
  <c r="K95" i="11"/>
  <c r="K63" i="11"/>
  <c r="L63" i="11" s="1"/>
  <c r="K47" i="10"/>
  <c r="L47" i="10" s="1"/>
  <c r="L58" i="11" l="1"/>
  <c r="B23" i="9" l="1"/>
  <c r="D23" i="9"/>
  <c r="F23" i="9"/>
  <c r="B31" i="9"/>
  <c r="D31" i="9"/>
  <c r="F31" i="9"/>
  <c r="F46" i="9"/>
  <c r="F53" i="9"/>
  <c r="N14" i="4"/>
  <c r="J14" i="4"/>
  <c r="H14" i="4"/>
  <c r="F14" i="4"/>
  <c r="F18" i="4"/>
  <c r="H18" i="4"/>
  <c r="J18" i="4"/>
  <c r="N18" i="4"/>
  <c r="K46" i="2"/>
  <c r="G5" i="4" l="1"/>
  <c r="K62" i="2"/>
  <c r="K57" i="2"/>
  <c r="D86" i="3"/>
  <c r="D55" i="3"/>
  <c r="D24" i="3"/>
  <c r="K97" i="2" l="1"/>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J82" i="9" l="1"/>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L14" i="4" l="1"/>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<sst xmlns="http://schemas.openxmlformats.org/spreadsheetml/2006/main" count="7747" uniqueCount="1644">
  <si>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</si>
  <si>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</si>
  <si>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</si>
  <si>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</si>
  <si>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</si>
  <si>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</si>
  <si>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</si>
  <si>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</si>
  <si>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</si>
  <si>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</si>
  <si>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</si>
  <si>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</si>
  <si>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</si>
  <si>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</si>
  <si>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</si>
  <si>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</si>
  <si>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</si>
  <si>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</si>
  <si>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</si>
  <si>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</si>
  <si>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</si>
  <si>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</si>
  <si>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</si>
  <si>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</si>
  <si>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</si>
  <si>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</si>
  <si>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</si>
  <si>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</si>
  <si>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</si>
  <si>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</si>
  <si>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</si>
  <si>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</si>
  <si>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</si>
  <si>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</si>
  <si>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</si>
  <si>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</si>
  <si>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</si>
  <si>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</si>
  <si>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</si>
  <si>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</si>
  <si>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</si>
  <si>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</si>
  <si>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</si>
  <si>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</si>
  <si>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</si>
  <si>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</si>
  <si>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</si>
  <si>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</si>
  <si>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</si>
  <si>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</si>
  <si>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</si>
  <si>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</si>
  <si>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</si>
  <si>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</si>
  <si>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</si>
  <si>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</si>
  <si>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</si>
  <si>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</si>
  <si>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</si>
  <si>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</si>
  <si>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</si>
  <si>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</si>
  <si>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</si>
  <si>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</si>
  <si>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</si>
  <si>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</si>
  <si>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</si>
  <si>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</si>
  <si>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</si>
  <si>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</si>
  <si>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</si>
  <si>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</si>
  <si>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</si>
  <si>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</si>
  <si>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</si>
  <si>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</si>
  <si>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</si>
  <si>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</si>
  <si>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</si>
  <si>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</si>
  <si>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</si>
  <si>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</si>
  <si>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</si>
  <si>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</si>
  <si>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</si>
  <si>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</si>
  <si>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</si>
  <si>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</si>
  <si>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</si>
  <si>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</si>
  <si>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</si>
  <si>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</si>
  <si>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</si>
  <si>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</si>
  <si>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</si>
  <si>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</si>
  <si>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</si>
  <si>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</si>
  <si>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</si>
  <si>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</si>
  <si>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</si>
  <si>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</si>
  <si>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</si>
  <si>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</si>
  <si>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</si>
  <si>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</si>
  <si>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</si>
  <si>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</si>
  <si>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</si>
  <si>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</si>
  <si>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</si>
  <si>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</si>
  <si>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</si>
  <si>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</si>
  <si>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</si>
  <si>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</si>
  <si>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</si>
  <si>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</si>
  <si>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</si>
  <si>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</si>
  <si>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</si>
  <si>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</si>
  <si>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</si>
  <si>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</si>
  <si>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</si>
  <si>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</si>
  <si>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</si>
  <si>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</si>
  <si>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</si>
  <si>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</si>
  <si>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</si>
  <si>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</si>
  <si>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</si>
  <si>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</si>
  <si>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</si>
  <si>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</si>
  <si>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</si>
  <si>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</si>
  <si>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</si>
  <si>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</si>
  <si>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</si>
  <si>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</si>
  <si>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</si>
  <si>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</si>
  <si>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</si>
  <si>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</si>
  <si>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</si>
  <si>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</si>
  <si>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</si>
  <si>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</si>
  <si>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</si>
  <si>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</si>
  <si>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</si>
  <si>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</si>
  <si>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</si>
  <si>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</si>
  <si>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</si>
  <si>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</si>
  <si>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</si>
  <si>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</si>
  <si>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</si>
  <si>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</si>
  <si>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</si>
  <si>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</si>
  <si>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</si>
  <si>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</si>
  <si>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</si>
  <si>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</si>
  <si>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</si>
  <si>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</si>
  <si>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</si>
  <si>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</si>
  <si>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</si>
  <si>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</si>
  <si>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</si>
  <si>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</si>
  <si>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</si>
  <si>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</si>
  <si>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</si>
  <si>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</si>
  <si>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</si>
  <si>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</si>
  <si>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</si>
  <si>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</si>
  <si>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</si>
  <si>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</si>
  <si>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</si>
  <si>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</si>
  <si>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</si>
  <si>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</si>
  <si>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</si>
  <si>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</si>
  <si>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</si>
  <si>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</si>
  <si>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</si>
  <si>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</si>
  <si>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</si>
  <si>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</si>
  <si>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</si>
  <si>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</si>
  <si>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</si>
  <si>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</si>
  <si>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</si>
  <si>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</si>
  <si>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</si>
  <si>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</si>
  <si>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</si>
  <si>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</si>
  <si>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</si>
  <si>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</si>
  <si>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</si>
  <si>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</si>
  <si>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</si>
  <si>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</si>
  <si>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</si>
  <si>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</si>
  <si>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</si>
  <si>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</si>
  <si>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</si>
  <si>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</si>
  <si>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</si>
  <si>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</si>
  <si>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</si>
  <si>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</si>
  <si>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</si>
  <si>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</si>
  <si>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</si>
  <si>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</si>
  <si>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</si>
  <si>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</si>
  <si>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</si>
  <si>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</si>
  <si>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</si>
  <si>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</si>
  <si>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</si>
  <si>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</si>
  <si>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</si>
  <si>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</si>
  <si>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</si>
  <si>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</si>
  <si>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</si>
  <si>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</si>
  <si>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</si>
  <si>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</si>
  <si>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</si>
  <si>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</si>
  <si>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</si>
  <si>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</si>
  <si>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</si>
  <si>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</si>
  <si>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</si>
  <si>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</si>
  <si>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</si>
  <si>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</si>
  <si>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</si>
  <si>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</si>
  <si>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</si>
  <si>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</si>
  <si>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</si>
  <si>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</si>
  <si>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</si>
  <si>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</si>
  <si>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</si>
  <si>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</si>
  <si>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</si>
  <si>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</si>
  <si>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</si>
  <si>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</si>
  <si>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</si>
  <si>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</si>
  <si>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</si>
  <si>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</si>
  <si>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</si>
  <si>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</si>
  <si>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</si>
  <si>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</si>
  <si>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</si>
  <si>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</si>
  <si>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</si>
  <si>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</si>
  <si>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</si>
  <si>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</si>
  <si>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</si>
  <si>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</si>
  <si>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</si>
  <si>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</si>
  <si>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</si>
  <si>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</si>
  <si>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</si>
  <si>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</si>
  <si>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</si>
  <si>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</si>
  <si>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</si>
  <si>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</si>
  <si>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</si>
  <si>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</si>
  <si>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</si>
  <si>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</si>
  <si>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</si>
  <si>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</si>
  <si>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</si>
  <si>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</si>
  <si>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</si>
  <si>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</si>
  <si>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</si>
  <si>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</si>
  <si>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</si>
  <si>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</si>
  <si>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</si>
  <si>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</si>
  <si>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</si>
  <si>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</si>
  <si>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</si>
  <si>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</si>
  <si>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</si>
  <si>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</si>
  <si>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</si>
  <si>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</si>
  <si>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</si>
  <si>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</si>
  <si>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</si>
  <si>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</si>
  <si>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</si>
  <si>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</si>
  <si>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</si>
  <si>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</si>
  <si>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</si>
  <si>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</si>
  <si>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</si>
  <si>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</si>
  <si>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</si>
  <si>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</si>
  <si>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</si>
  <si>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</si>
  <si>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</si>
  <si>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</si>
  <si>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</si>
  <si>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</si>
  <si>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</si>
  <si>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</si>
  <si>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</si>
  <si>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</si>
  <si>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</si>
  <si>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</si>
  <si>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</si>
  <si>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</si>
  <si>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</si>
  <si>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</si>
  <si>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</si>
  <si>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</si>
  <si>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</si>
  <si>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</si>
  <si>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</si>
  <si>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</si>
  <si>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</si>
  <si>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</si>
  <si>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</si>
  <si>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</si>
  <si>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</si>
  <si>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</si>
  <si>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</si>
  <si>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</si>
  <si>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</si>
  <si>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</si>
  <si>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</si>
  <si>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</si>
  <si>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</si>
  <si>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</si>
  <si>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</si>
  <si>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</si>
  <si>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</si>
  <si>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</si>
  <si>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</si>
  <si>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</si>
  <si>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</si>
  <si>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</si>
  <si>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</si>
  <si>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</si>
  <si>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</si>
  <si>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</si>
  <si>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</si>
  <si>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</si>
  <si>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</si>
  <si>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</si>
  <si>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</si>
  <si>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</si>
  <si>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</si>
  <si>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</si>
  <si>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</si>
  <si>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</si>
  <si>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</si>
  <si>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</si>
  <si>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</si>
  <si>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</si>
  <si>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</si>
  <si>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</si>
  <si>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</si>
  <si>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</si>
  <si>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</si>
  <si>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</si>
  <si>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</si>
  <si>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</si>
  <si>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</si>
  <si>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</si>
  <si>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</si>
  <si>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</si>
  <si>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</si>
  <si>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</si>
  <si>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</si>
  <si>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</si>
  <si>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</si>
  <si>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</si>
  <si>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</si>
  <si>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</si>
  <si>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</si>
  <si>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</si>
  <si>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</si>
  <si>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</si>
  <si>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</si>
  <si>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</si>
  <si>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</si>
  <si>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</si>
  <si>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</si>
  <si>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</si>
  <si>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</si>
  <si>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</si>
  <si>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</si>
  <si>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</si>
  <si>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</si>
  <si>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</si>
  <si>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</si>
  <si>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</si>
  <si>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</si>
  <si>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</si>
  <si>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</si>
  <si>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</si>
  <si>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</si>
  <si>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</si>
  <si>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</si>
  <si>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</si>
  <si>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</si>
  <si>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</si>
  <si>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</si>
  <si>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</si>
  <si>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</si>
  <si>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</si>
  <si>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</si>
  <si>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</si>
  <si>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</si>
  <si>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</si>
  <si>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</si>
  <si>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</si>
  <si>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</si>
  <si>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</si>
  <si>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</si>
  <si>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</si>
  <si>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</si>
  <si>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</si>
  <si>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</si>
  <si>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</si>
  <si>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</si>
  <si>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</si>
  <si>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</si>
  <si>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</si>
  <si>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</si>
  <si>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</si>
  <si>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</si>
  <si>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</si>
  <si>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</si>
  <si>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</si>
  <si>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</si>
  <si>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</si>
  <si>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</si>
  <si>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</si>
  <si>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</si>
  <si>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</si>
  <si>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</si>
  <si>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</si>
  <si>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</si>
  <si>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</si>
  <si>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</si>
  <si>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</si>
  <si>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</si>
  <si>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</si>
  <si>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</si>
  <si>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</si>
  <si>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</si>
  <si>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</si>
  <si>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</si>
  <si>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</si>
  <si>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</si>
  <si>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</si>
  <si>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</si>
  <si>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</si>
  <si>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</si>
  <si>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</si>
  <si>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</si>
  <si>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</si>
  <si>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</si>
  <si>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</si>
  <si>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</si>
  <si>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</si>
  <si>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</si>
  <si>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</si>
  <si>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</si>
  <si>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</si>
  <si>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</si>
  <si>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</si>
  <si>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</si>
  <si>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</si>
  <si>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</si>
  <si>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</si>
  <si>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</si>
  <si>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</si>
  <si>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</si>
  <si>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</si>
  <si>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</si>
  <si>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</si>
  <si>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</si>
  <si>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</si>
  <si>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</si>
  <si>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</si>
  <si>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</si>
  <si>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</si>
  <si>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</si>
  <si>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</si>
  <si>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</si>
  <si>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</si>
  <si>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</si>
  <si>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</si>
  <si>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</si>
  <si>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</si>
  <si>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</si>
  <si>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</si>
  <si>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</si>
  <si>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</si>
  <si>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</si>
  <si>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</si>
  <si>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</si>
  <si>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</si>
  <si>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</si>
  <si>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</si>
  <si>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</si>
  <si>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</si>
  <si>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</si>
  <si>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</si>
  <si>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</si>
  <si>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</si>
  <si>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</si>
  <si>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</si>
  <si>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</si>
  <si>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</si>
  <si>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</si>
  <si>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</si>
  <si>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</si>
  <si>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</si>
  <si>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</si>
  <si>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</si>
  <si>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</si>
  <si>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</si>
  <si>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</si>
  <si>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</si>
  <si>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</si>
  <si>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</si>
  <si>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</si>
  <si>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</si>
  <si>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</si>
  <si>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</si>
  <si>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</si>
  <si>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</si>
  <si>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</si>
  <si>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</si>
  <si>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</si>
  <si>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</si>
  <si>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</si>
  <si>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</si>
  <si>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</si>
  <si>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</si>
  <si>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</si>
  <si>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</si>
  <si>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</si>
  <si>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</si>
  <si>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</si>
  <si>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</si>
  <si>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</si>
  <si>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</si>
  <si>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</si>
  <si>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</si>
  <si>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</si>
  <si>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</si>
  <si>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</si>
  <si>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</si>
  <si>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</si>
  <si>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</si>
  <si>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</si>
  <si>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</si>
  <si>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</si>
  <si>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</si>
  <si>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</si>
  <si>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</si>
  <si>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</si>
  <si>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</si>
  <si>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</si>
  <si>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</si>
  <si>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</si>
  <si>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</si>
  <si>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</si>
  <si>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</si>
  <si>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</si>
  <si>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</si>
  <si>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</si>
  <si>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</si>
  <si>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</si>
  <si>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</si>
  <si>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</si>
  <si>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</si>
  <si>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</si>
  <si>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</si>
  <si>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</si>
  <si>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</si>
  <si>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</si>
  <si>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</si>
  <si>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</si>
  <si>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</si>
  <si>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</si>
  <si>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</si>
  <si>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</si>
  <si>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</si>
  <si>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</si>
  <si>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</si>
  <si>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</si>
  <si>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</si>
  <si>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</si>
  <si>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</si>
  <si>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</si>
  <si>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</si>
  <si>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</si>
  <si>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</si>
  <si>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</si>
  <si>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</si>
  <si>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</si>
  <si>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</si>
  <si>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</si>
  <si>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</si>
  <si>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</si>
  <si>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</si>
  <si>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</si>
  <si>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</si>
  <si>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</si>
  <si>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</si>
  <si>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</si>
  <si>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</si>
  <si>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</si>
  <si>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</si>
  <si>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</si>
  <si>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</si>
  <si>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</si>
  <si>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</si>
  <si>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</si>
  <si>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</si>
  <si>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</si>
  <si>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</si>
  <si>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</si>
  <si>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</si>
  <si>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</si>
  <si>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</si>
  <si>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</si>
  <si>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</si>
  <si>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</si>
  <si>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</si>
  <si>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</si>
  <si>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</si>
  <si>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</si>
  <si>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</si>
  <si>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</si>
  <si>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</si>
  <si>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</si>
  <si>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</si>
  <si>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</si>
  <si>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</si>
  <si>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</si>
  <si>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</si>
  <si>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</si>
  <si>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</si>
  <si>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</si>
  <si>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</si>
  <si>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</si>
  <si>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</si>
  <si>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</si>
  <si>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</si>
  <si>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</si>
  <si>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</si>
  <si>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</si>
  <si>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</si>
  <si>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</si>
  <si>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</si>
  <si>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</si>
  <si>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</si>
  <si>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</si>
  <si>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</si>
  <si>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</si>
  <si>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</si>
  <si>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</si>
  <si>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</si>
  <si>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</si>
  <si>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</si>
  <si>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</si>
  <si>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</si>
  <si>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</si>
  <si>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</si>
  <si>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</si>
  <si>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</si>
  <si>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</si>
  <si>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</si>
  <si>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</si>
  <si>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</si>
  <si>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</si>
  <si>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</si>
  <si>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</si>
  <si>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</si>
  <si>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</si>
  <si>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</si>
  <si>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</si>
  <si>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</si>
  <si>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</si>
  <si>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</si>
  <si>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</si>
  <si>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</si>
  <si>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</si>
  <si>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</si>
  <si>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</si>
  <si>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</si>
  <si>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</si>
  <si>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</si>
  <si>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</si>
  <si>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</si>
  <si>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</si>
  <si>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</si>
  <si>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</si>
  <si>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</si>
  <si>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</si>
  <si>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</si>
  <si>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</si>
  <si>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</si>
  <si>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</si>
  <si>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</si>
  <si>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</si>
  <si>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</si>
  <si>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</si>
  <si>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</si>
  <si>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</si>
  <si>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</si>
  <si>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</si>
  <si>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</si>
  <si>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</si>
  <si>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</si>
  <si>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</si>
  <si>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</si>
  <si>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</si>
  <si>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</si>
  <si>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</si>
  <si>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</si>
  <si>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</si>
  <si>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</si>
  <si>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</si>
  <si>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</si>
  <si>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</si>
  <si>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</si>
  <si>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</si>
  <si>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</si>
  <si>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</si>
  <si>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</si>
  <si>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</si>
  <si>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</si>
  <si>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</si>
  <si>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</si>
  <si>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</si>
  <si>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</si>
  <si>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</si>
  <si>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</si>
  <si>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</si>
  <si>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</si>
  <si>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</si>
  <si>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</si>
  <si>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</si>
  <si>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</si>
  <si>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</si>
  <si>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</si>
  <si>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</si>
  <si>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</si>
  <si>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</si>
  <si>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</si>
  <si>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</si>
  <si>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</si>
  <si>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</si>
  <si>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</si>
  <si>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</si>
  <si>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</si>
  <si>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</si>
  <si>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</si>
  <si>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</si>
  <si>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</si>
  <si>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</si>
  <si>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</si>
  <si>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</si>
  <si>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</si>
  <si>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</si>
  <si>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</si>
  <si>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</si>
  <si>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</si>
  <si>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</si>
  <si>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</si>
  <si>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</si>
  <si>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</si>
  <si>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</si>
  <si>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</si>
  <si>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</si>
  <si>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</si>
  <si>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</si>
  <si>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</si>
  <si>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</si>
  <si>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</si>
  <si>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</si>
  <si>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</si>
  <si>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</si>
  <si>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</si>
  <si>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</si>
  <si>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</si>
  <si>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</si>
  <si>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</si>
  <si>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</si>
  <si>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</si>
  <si>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</si>
  <si>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</si>
  <si>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</si>
  <si>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</si>
  <si>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</si>
  <si>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</si>
  <si>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</si>
  <si>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</si>
  <si>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</si>
  <si>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</si>
  <si>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</si>
  <si>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</si>
  <si>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</si>
  <si>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</si>
  <si>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</si>
  <si>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</si>
  <si>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</si>
  <si>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</si>
  <si>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</si>
  <si>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</si>
  <si>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</si>
  <si>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</si>
  <si>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</si>
  <si>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</si>
  <si>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</si>
  <si>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</si>
  <si>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</si>
  <si>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</si>
  <si>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</si>
  <si>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</si>
  <si>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</si>
  <si>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</si>
  <si>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</si>
  <si>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</si>
  <si>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</si>
  <si>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</si>
  <si>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</si>
  <si>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</si>
  <si>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</si>
  <si>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</si>
  <si>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</si>
  <si>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</si>
  <si>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</si>
  <si>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</si>
  <si>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</si>
  <si>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</si>
  <si>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</si>
  <si>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</si>
  <si>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</si>
  <si>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</si>
  <si>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</si>
  <si>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</si>
  <si>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</si>
  <si>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</si>
  <si>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</si>
  <si>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</si>
  <si>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</si>
  <si>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</si>
  <si>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</si>
  <si>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</si>
  <si>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</si>
  <si>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</si>
  <si>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</si>
  <si>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</si>
  <si>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</si>
  <si>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</si>
  <si>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</si>
  <si>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</si>
  <si>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</si>
  <si>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</si>
  <si>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</si>
  <si>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</si>
  <si>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</si>
  <si>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</si>
  <si>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</si>
  <si>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</si>
  <si>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</si>
  <si>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</si>
  <si>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</si>
  <si>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</si>
  <si>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</si>
  <si>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</si>
  <si>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</si>
  <si>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</si>
  <si>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</si>
  <si>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</si>
  <si>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</si>
  <si>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</si>
  <si>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</si>
  <si>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</si>
  <si>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</si>
  <si>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</si>
  <si>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</si>
  <si>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</si>
  <si>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</si>
  <si>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</si>
  <si>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</si>
  <si>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</si>
  <si>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</si>
  <si>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</si>
  <si>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</si>
  <si>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</si>
  <si>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</si>
  <si>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</si>
  <si>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</si>
  <si>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</si>
  <si>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</si>
  <si>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</si>
  <si>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</si>
  <si>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</si>
  <si>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</si>
  <si>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</si>
  <si>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</si>
  <si>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</si>
  <si>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</si>
  <si>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</si>
  <si>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</si>
  <si>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</si>
  <si>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</si>
  <si>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</si>
  <si>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</si>
  <si>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</si>
  <si>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</si>
  <si>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</si>
  <si>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</si>
  <si>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</si>
  <si>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</si>
  <si>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</si>
  <si>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</si>
  <si>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</si>
  <si>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</si>
  <si>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</si>
  <si>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</si>
  <si>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</si>
  <si>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</si>
  <si>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</si>
  <si>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</si>
  <si>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</si>
  <si>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</si>
  <si>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</si>
  <si>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</si>
  <si>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</si>
  <si>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</si>
  <si>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</si>
  <si>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</si>
  <si>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</si>
  <si>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</si>
  <si>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</si>
  <si>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</si>
  <si>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</si>
  <si>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</si>
  <si>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</si>
  <si>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</si>
  <si>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</si>
  <si>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</si>
  <si>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</si>
  <si>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</si>
  <si>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</si>
  <si>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</si>
  <si>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</si>
  <si>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</si>
  <si>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</si>
  <si>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</si>
  <si>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</si>
  <si>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</si>
  <si>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</si>
  <si>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</si>
  <si>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</si>
  <si>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</si>
  <si>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</si>
  <si>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</si>
  <si>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</si>
  <si>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</si>
  <si>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</si>
  <si>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</si>
  <si>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</si>
  <si>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</si>
  <si>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</si>
  <si>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</si>
  <si>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</si>
  <si>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</si>
  <si>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</si>
  <si>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</si>
  <si>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</si>
  <si>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</si>
  <si>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</si>
  <si>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</si>
  <si>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</si>
  <si>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</si>
  <si>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</si>
  <si>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</si>
  <si>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</si>
  <si>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</si>
  <si>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</si>
  <si>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</si>
  <si>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</si>
  <si>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</si>
  <si>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</si>
  <si>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</si>
  <si>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</si>
  <si>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</si>
  <si>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</si>
  <si>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</si>
  <si>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</si>
  <si>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</si>
  <si>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</si>
  <si>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</si>
  <si>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</si>
  <si>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</si>
  <si>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</si>
  <si>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</si>
  <si>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</si>
  <si>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</si>
  <si>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</si>
  <si>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</si>
  <si>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</si>
  <si>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</si>
  <si>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</si>
  <si>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</si>
  <si>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</si>
  <si>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</si>
  <si>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</si>
  <si>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</si>
  <si>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</si>
  <si>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</si>
  <si>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</si>
  <si>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</si>
  <si>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</si>
  <si>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</si>
  <si>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</si>
  <si>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</si>
  <si>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</si>
  <si>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</si>
  <si>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</si>
  <si>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</si>
  <si>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</si>
  <si>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</si>
  <si>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</si>
  <si>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</si>
  <si>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</si>
  <si>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</si>
  <si>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</si>
  <si>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</si>
  <si>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</si>
  <si>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</si>
  <si>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</si>
  <si>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</si>
  <si>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</si>
  <si>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</si>
  <si>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</si>
  <si>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</si>
  <si>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</si>
  <si>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</si>
  <si>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</si>
  <si>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</si>
  <si>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</si>
  <si>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</si>
  <si>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</si>
  <si>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</si>
  <si>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</si>
  <si>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</si>
  <si>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</si>
  <si>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</si>
  <si>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</si>
  <si>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</si>
  <si>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</si>
  <si>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</si>
  <si>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</si>
  <si>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</si>
  <si>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</si>
  <si>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</si>
  <si>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</si>
  <si>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</si>
  <si>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</si>
  <si>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</si>
  <si>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</si>
  <si>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</si>
  <si>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</si>
  <si>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</si>
  <si>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</si>
  <si>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</si>
  <si>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</si>
  <si>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</si>
  <si>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</si>
  <si>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</si>
  <si>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</si>
  <si>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</si>
  <si>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</si>
  <si>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</si>
  <si>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</si>
  <si>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</si>
  <si>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</si>
  <si>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</si>
  <si>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</si>
  <si>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</si>
  <si>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</si>
  <si>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</si>
  <si>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</si>
  <si>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</si>
  <si>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</si>
  <si>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</si>
  <si>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</si>
  <si>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</si>
  <si>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</si>
  <si>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</si>
  <si>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</si>
  <si>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</si>
  <si>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</si>
  <si>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</si>
  <si>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</si>
  <si>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</si>
  <si>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</si>
  <si>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</si>
  <si>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</si>
  <si>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</si>
  <si>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</si>
  <si>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</si>
  <si>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</si>
  <si>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</si>
  <si>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</si>
  <si>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</si>
  <si>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</si>
  <si>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</si>
  <si>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</si>
  <si>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</si>
  <si>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</si>
  <si>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</si>
  <si>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</si>
  <si>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</si>
  <si>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</si>
  <si>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</si>
  <si>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</si>
  <si>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</si>
  <si>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</si>
  <si>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</si>
  <si>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</si>
  <si>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</si>
  <si>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</si>
  <si>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</si>
  <si>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</si>
  <si>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</si>
  <si>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</si>
  <si>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</si>
  <si>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</si>
  <si>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</si>
  <si>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</si>
  <si>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</si>
  <si>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</si>
  <si>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</si>
  <si>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</si>
  <si>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</si>
  <si>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</si>
  <si>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</si>
  <si>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</si>
  <si>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</si>
  <si>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</si>
  <si>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</si>
  <si>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</si>
  <si>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</si>
  <si>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</si>
  <si>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</si>
  <si>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</si>
  <si>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</si>
  <si>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</si>
  <si>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</si>
  <si>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</si>
  <si>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</si>
  <si>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</si>
  <si>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</si>
  <si>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</si>
  <si>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</si>
  <si>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</si>
  <si>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</si>
  <si>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</si>
  <si>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</si>
  <si>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</si>
  <si>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</si>
  <si>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</si>
  <si>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</si>
  <si>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</si>
  <si>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</si>
  <si>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</si>
  <si>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</si>
  <si>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</si>
  <si>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</si>
  <si>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</si>
  <si>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</si>
  <si>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</si>
  <si>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</si>
  <si>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</si>
  <si>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</si>
  <si>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</si>
  <si>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</si>
  <si>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</si>
  <si>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</si>
  <si>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</si>
  <si>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</si>
  <si>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</si>
  <si>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</si>
  <si>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</si>
  <si>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</si>
  <si>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</si>
  <si>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</si>
  <si>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</si>
  <si>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</si>
  <si>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</si>
  <si>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</si>
  <si>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</si>
  <si>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</si>
  <si>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</si>
  <si>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</si>
  <si>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</si>
  <si>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</si>
  <si>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</si>
  <si>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</si>
  <si>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</si>
  <si>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</si>
  <si>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</si>
  <si>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</si>
  <si>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</si>
  <si>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</si>
  <si>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</si>
  <si>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</si>
  <si>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</si>
  <si>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</si>
  <si>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</si>
  <si>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</si>
  <si>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</si>
  <si>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</si>
  <si>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</si>
  <si>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</si>
  <si>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</si>
  <si>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</si>
  <si>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</si>
  <si>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</si>
  <si>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</si>
  <si>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</si>
  <si>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</si>
  <si>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</si>
  <si>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</si>
  <si>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</si>
  <si>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</si>
  <si>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</si>
  <si>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</si>
  <si>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</si>
  <si>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</si>
  <si>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</si>
  <si>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</si>
  <si>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</si>
  <si>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</si>
  <si>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</si>
  <si>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</si>
  <si>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</si>
  <si>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</si>
  <si>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</si>
  <si>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</si>
  <si>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</si>
  <si>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</si>
  <si>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</si>
  <si>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</si>
  <si>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</si>
  <si>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</si>
  <si>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</si>
  <si>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</si>
  <si>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</si>
  <si>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</si>
  <si>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</si>
  <si>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</si>
  <si>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</si>
  <si>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</si>
  <si>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</si>
  <si>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</si>
  <si>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</si>
  <si>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</si>
  <si>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</si>
  <si>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</si>
  <si>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</si>
  <si>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</si>
  <si>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</si>
  <si>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</si>
  <si>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</si>
  <si>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</si>
  <si>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</si>
  <si>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</si>
  <si>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</si>
  <si>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</si>
  <si>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</si>
  <si>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</si>
  <si>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</si>
  <si>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</si>
  <si>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</si>
  <si>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</si>
  <si>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</si>
  <si>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</si>
  <si>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</si>
  <si>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</si>
  <si>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</si>
  <si>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</si>
  <si>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</si>
  <si>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</si>
  <si>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</si>
  <si>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</si>
  <si>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</si>
  <si>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</si>
  <si>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</si>
  <si>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</si>
  <si>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</si>
  <si>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</si>
  <si>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</si>
  <si>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</si>
  <si>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</si>
  <si>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</si>
  <si>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</si>
  <si>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</si>
  <si>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</si>
  <si>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</si>
  <si>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</si>
  <si>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</si>
  <si>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</si>
  <si>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</si>
  <si>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</si>
  <si>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</si>
  <si>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</si>
  <si>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</si>
  <si>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</si>
  <si>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</si>
  <si>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</si>
  <si>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</si>
  <si>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</si>
  <si>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</si>
  <si>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</si>
  <si>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</si>
  <si>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</si>
  <si>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</si>
  <si>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</si>
  <si>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</si>
  <si>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</si>
  <si>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</si>
  <si>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</si>
  <si>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</si>
  <si>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</si>
  <si>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</si>
  <si>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</si>
  <si>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</si>
  <si>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</si>
  <si>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</si>
  <si>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</si>
  <si>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</si>
  <si>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</si>
  <si>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</si>
  <si>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</si>
  <si>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</si>
  <si>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</si>
  <si>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</si>
  <si>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</si>
  <si>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</si>
  <si>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</si>
  <si>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</si>
  <si>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</si>
  <si>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</si>
  <si>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</si>
  <si>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</si>
  <si>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</si>
  <si>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</si>
  <si>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</si>
  <si>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</si>
  <si>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</si>
  <si>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</si>
  <si>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</si>
  <si>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</si>
  <si>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</si>
  <si>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</si>
  <si>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</si>
  <si>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</si>
  <si>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</si>
  <si>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</si>
  <si>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</si>
  <si>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</si>
  <si>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</si>
  <si>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</si>
  <si>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</si>
  <si>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</si>
  <si>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</si>
  <si>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</si>
  <si>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</si>
  <si>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</si>
  <si>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</si>
  <si>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</si>
  <si>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</si>
  <si>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</si>
  <si>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</si>
  <si>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</si>
  <si>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</si>
  <si>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</si>
  <si>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</si>
  <si>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</si>
  <si>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</si>
  <si>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</si>
  <si>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</si>
  <si>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</si>
  <si>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</si>
  <si>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</si>
  <si>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</si>
  <si>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</si>
  <si>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</si>
  <si>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</si>
  <si>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</si>
  <si>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</si>
  <si>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</si>
  <si>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</si>
  <si>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</si>
  <si>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</si>
  <si>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</si>
  <si>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</si>
  <si>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</si>
  <si>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</si>
  <si>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</si>
  <si>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</si>
  <si>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</si>
  <si>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</si>
  <si>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</si>
  <si>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</si>
  <si>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</si>
  <si>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</si>
  <si>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</si>
  <si>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</si>
  <si>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</si>
  <si>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</si>
  <si>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</si>
  <si>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</si>
  <si>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</si>
  <si>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</si>
  <si>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</si>
  <si>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</si>
  <si>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</si>
  <si>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</si>
  <si>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</si>
  <si>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</si>
  <si>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</si>
  <si>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</si>
  <si>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</si>
  <si>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</si>
  <si>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</si>
  <si>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</si>
  <si>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</si>
  <si>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</si>
  <si>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</si>
  <si>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</si>
  <si>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</si>
  <si>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</si>
  <si>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</si>
  <si>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</si>
  <si>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</si>
  <si>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</si>
  <si>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</si>
  <si>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</si>
  <si>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</si>
  <si>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</si>
  <si>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</si>
  <si>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</si>
  <si>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</si>
  <si>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</si>
  <si>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</si>
  <si>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</si>
  <si>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</si>
  <si>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</si>
  <si>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</si>
  <si>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</si>
  <si>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</si>
  <si>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</si>
  <si>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</si>
  <si>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</si>
  <si>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</si>
  <si>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</si>
  <si>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</si>
  <si>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</si>
  <si>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</si>
  <si>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</si>
  <si>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</si>
  <si>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</si>
  <si>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</si>
  <si>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</si>
  <si>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</si>
  <si>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</si>
  <si>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</si>
  <si>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</si>
  <si>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</si>
  <si>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</si>
  <si>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</si>
  <si>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</si>
  <si>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</si>
  <si>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</si>
  <si>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</si>
  <si>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</si>
  <si>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</si>
  <si>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</si>
  <si>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</si>
  <si>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</si>
  <si>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</si>
  <si>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</si>
  <si>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</si>
  <si>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</si>
  <si>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</si>
  <si>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</si>
  <si>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</si>
  <si>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</si>
  <si>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</si>
  <si>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</si>
  <si>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</si>
  <si>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</si>
  <si>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</si>
  <si>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</si>
  <si>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</si>
  <si>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</si>
  <si>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</si>
  <si>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</si>
  <si>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</si>
  <si>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</si>
  <si>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</si>
  <si>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</si>
  <si>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</si>
  <si>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</si>
  <si>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</si>
  <si>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</si>
  <si>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</si>
  <si>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</si>
  <si>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</si>
  <si>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</si>
  <si>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</si>
  <si>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</si>
  <si>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</si>
  <si>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</si>
  <si>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</si>
  <si>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</si>
  <si>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</si>
  <si>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</si>
  <si>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</si>
  <si>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</si>
  <si>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</si>
  <si>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</si>
  <si>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</si>
  <si>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</si>
  <si>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</si>
  <si>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</si>
  <si>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</si>
  <si>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</si>
  <si>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</si>
  <si>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</si>
  <si>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</si>
  <si>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</si>
  <si>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</si>
  <si>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</si>
  <si>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</si>
  <si>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</si>
  <si>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</si>
  <si>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</si>
  <si>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</si>
  <si>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</si>
  <si>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</si>
  <si>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</si>
  <si>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</si>
  <si>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</si>
  <si>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</si>
  <si>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</si>
  <si>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</si>
  <si>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</si>
  <si>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</si>
  <si>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</si>
  <si>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</si>
  <si>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</si>
  <si>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</si>
  <si>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</si>
  <si>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</si>
  <si>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</si>
  <si>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</si>
  <si>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</si>
  <si>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</si>
  <si>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</si>
  <si>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</si>
  <si>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</si>
  <si>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</si>
  <si>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</si>
  <si>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</si>
  <si>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</si>
  <si>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</si>
  <si>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</si>
  <si>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</si>
  <si>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</si>
  <si>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</si>
  <si>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</si>
  <si>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</si>
  <si>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</si>
  <si>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</si>
  <si>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</si>
  <si>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</si>
  <si>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</si>
  <si>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</si>
  <si>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</si>
  <si>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</si>
  <si>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</si>
  <si>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</si>
  <si>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</si>
  <si>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</si>
  <si>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</si>
  <si>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</si>
  <si>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</si>
  <si>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</si>
  <si>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</si>
  <si>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</si>
  <si>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</si>
  <si>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Transportation</t>
  </si>
  <si>
    <t>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</si>
</sst>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opLeftCell="A37" zoomScale="85" zoomScaleNormal="85" workbookViewId="0">
      <selection activeCell="J52" sqref="J5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595</v>
      </c>
      <c r="G5" s="170"/>
      <c r="H5" s="170"/>
      <c r="I5" s="170"/>
      <c r="J5" s="47"/>
      <c r="K5" s="47"/>
      <c r="L5" s="48"/>
      <c r="M5" s="48"/>
      <c r="N5" s="48"/>
    </row>
    <row r="6" spans="1:17" ht="15.75" x14ac:dyDescent="0.2">
      <c r="A6" s="169" t="s">
        <v>1</v>
      </c>
      <c r="B6" s="169"/>
      <c r="C6" s="169"/>
      <c r="D6" s="169"/>
      <c r="E6" s="169"/>
      <c r="F6" s="171">
        <v>41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TRANSPORTATION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1031</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805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226</v>
      </c>
      <c r="Q21" s="28"/>
    </row>
    <row r="22" spans="1:17" ht="16.5" customHeight="1" x14ac:dyDescent="0.2">
      <c r="A22" s="56"/>
      <c r="B22" s="58"/>
      <c r="C22" s="58"/>
      <c r="D22" s="58"/>
      <c r="E22" s="58"/>
      <c r="F22" s="58"/>
      <c r="G22" s="58"/>
      <c r="H22" s="58"/>
      <c r="I22" s="58"/>
      <c r="J22" s="29">
        <f>ROUND(SUM(J15:J17),2)</f>
        <v>1031</v>
      </c>
      <c r="K22" s="29">
        <f>ROUND(SUM(K18:K21),2)</f>
        <v>1031</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1886</v>
      </c>
      <c r="K28" s="33"/>
      <c r="L28" s="54"/>
    </row>
    <row r="29" spans="1:17" ht="16.5" customHeight="1" x14ac:dyDescent="0.25">
      <c r="A29" s="56"/>
      <c r="B29" s="57"/>
      <c r="C29" s="165" t="s">
        <v>1578</v>
      </c>
      <c r="D29" s="165"/>
      <c r="E29" s="165"/>
      <c r="F29" s="165"/>
      <c r="G29" s="165"/>
      <c r="H29" s="165"/>
      <c r="I29" s="165"/>
      <c r="J29" s="33"/>
      <c r="K29" s="32">
        <v>1886</v>
      </c>
      <c r="L29" s="54"/>
    </row>
    <row r="30" spans="1:17" ht="16.5" customHeight="1" x14ac:dyDescent="0.25">
      <c r="A30" s="56"/>
      <c r="B30" s="57"/>
      <c r="C30" s="165" t="str">
        <f>VLOOKUP($F$8,'Drop Down Menus'!$D$2:$G$10,4,FALSE)</f>
        <v>Cr: Acct 0830 - TRANSPORTATION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1886</v>
      </c>
      <c r="K31" s="29">
        <f>ROUND(SUM(K28:K30),2)</f>
        <v>1886</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1886</v>
      </c>
      <c r="K34" s="70"/>
      <c r="L34" s="54"/>
    </row>
    <row r="35" spans="1:12" ht="16.5" customHeight="1" x14ac:dyDescent="0.2">
      <c r="B35" s="165" t="s">
        <v>1579</v>
      </c>
      <c r="C35" s="165"/>
      <c r="D35" s="165"/>
      <c r="E35" s="165"/>
      <c r="F35" s="165"/>
      <c r="G35" s="165"/>
      <c r="H35" s="165"/>
      <c r="I35" s="165"/>
      <c r="J35" s="32">
        <v>1886</v>
      </c>
      <c r="K35" s="36"/>
    </row>
    <row r="36" spans="1:12" ht="16.5" customHeight="1" x14ac:dyDescent="0.2">
      <c r="A36" s="56"/>
      <c r="B36" s="71"/>
      <c r="C36" s="165" t="s">
        <v>1581</v>
      </c>
      <c r="D36" s="165"/>
      <c r="E36" s="165"/>
      <c r="F36" s="165"/>
      <c r="G36" s="165"/>
      <c r="H36" s="165"/>
      <c r="I36" s="165"/>
      <c r="J36" s="36"/>
      <c r="K36" s="32">
        <v>1886</v>
      </c>
    </row>
    <row r="37" spans="1:12" ht="16.5" customHeight="1" x14ac:dyDescent="0.2">
      <c r="A37" s="56"/>
      <c r="C37" s="165" t="s">
        <v>1626</v>
      </c>
      <c r="D37" s="165"/>
      <c r="E37" s="165"/>
      <c r="F37" s="165"/>
      <c r="G37" s="165"/>
      <c r="H37" s="165"/>
      <c r="I37" s="165"/>
      <c r="J37" s="36"/>
      <c r="K37" s="32">
        <v>1886</v>
      </c>
    </row>
    <row r="38" spans="1:12" ht="16.5" customHeight="1" x14ac:dyDescent="0.25">
      <c r="A38" s="56"/>
      <c r="B38" s="57"/>
      <c r="C38" s="165" t="str">
        <f>VLOOKUP($F$8,'Drop Down Menus'!$D$2:$G$10,4,FALSE)</f>
        <v>Cr: Acct 0830 - TRANSPORTATION (GAAP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3772</v>
      </c>
      <c r="K39" s="29">
        <f>ROUND(SUM(K36:K38),2)</f>
        <v>3772</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1216</v>
      </c>
      <c r="K45" s="33"/>
    </row>
    <row r="46" spans="1:12" ht="16.5" customHeight="1" x14ac:dyDescent="0.2">
      <c r="A46" s="56"/>
      <c r="B46" s="71"/>
      <c r="C46" s="165" t="s">
        <v>1587</v>
      </c>
      <c r="D46" s="165"/>
      <c r="E46" s="165"/>
      <c r="F46" s="165"/>
      <c r="G46" s="165"/>
      <c r="H46" s="165"/>
      <c r="I46" s="165"/>
      <c r="J46" s="36"/>
      <c r="K46" s="32">
        <f>J45</f>
        <v>1216</v>
      </c>
    </row>
    <row r="47" spans="1:12" ht="16.5" customHeight="1" x14ac:dyDescent="0.2">
      <c r="A47" s="68"/>
      <c r="B47" s="58"/>
      <c r="C47" s="58"/>
      <c r="D47" s="58"/>
      <c r="E47" s="58"/>
      <c r="F47" s="58"/>
      <c r="G47" s="58"/>
      <c r="H47" s="58"/>
      <c r="I47" s="58"/>
      <c r="J47" s="39">
        <f>ROUND(SUM(J45:J45),2)</f>
        <v>1216</v>
      </c>
      <c r="K47" s="39">
        <f>ROUND(SUM(K46),2)</f>
        <v>1216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1431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25</v>
      </c>
      <c r="K51" s="81"/>
    </row>
    <row r="52" spans="1:12" ht="16.5" customHeight="1" x14ac:dyDescent="0.25">
      <c r="A52" s="56"/>
      <c r="B52" s="57"/>
      <c r="C52" s="165" t="str">
        <f>VLOOKUP($F$8,'Drop Down Menus'!$D$2:$G$10,4,FALSE)</f>
        <v>Cr: Acct 0830 - TRANSPORTATION (GAAP ADJ)</v>
      </c>
      <c r="D52" s="165"/>
      <c r="E52" s="165"/>
      <c r="F52" s="165"/>
      <c r="G52" s="165"/>
      <c r="H52" s="165"/>
      <c r="I52" s="165"/>
      <c r="J52" s="81"/>
      <c r="K52" s="38">
        <f>+J50+J51</f>
        <v>1456</v>
      </c>
    </row>
    <row r="53" spans="1:12" ht="16.5" customHeight="1" x14ac:dyDescent="0.2">
      <c r="A53" s="68"/>
      <c r="B53" s="58"/>
      <c r="C53" s="58"/>
      <c r="D53" s="58"/>
      <c r="E53" s="58"/>
      <c r="F53" s="58"/>
      <c r="G53" s="58"/>
      <c r="H53" s="58"/>
      <c r="I53" s="58"/>
      <c r="J53" s="39">
        <f>ROUND(SUM(J50:J51),2)</f>
        <v>1456</v>
      </c>
      <c r="K53" s="39">
        <f>ROUND(SUM(K52,),2)</f>
        <v>1456</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1431</v>
      </c>
      <c r="K56" s="36"/>
    </row>
    <row r="57" spans="1:12" ht="16.5" customHeight="1" x14ac:dyDescent="0.25">
      <c r="A57" s="56"/>
      <c r="B57" s="57"/>
      <c r="C57" s="165" t="s">
        <v>1613</v>
      </c>
      <c r="D57" s="165"/>
      <c r="E57" s="165"/>
      <c r="F57" s="165"/>
      <c r="G57" s="165"/>
      <c r="H57" s="165"/>
      <c r="I57" s="165"/>
      <c r="J57" s="36"/>
      <c r="K57" s="32">
        <f>J50</f>
        <v>1431</v>
      </c>
    </row>
    <row r="58" spans="1:12" ht="16.5" customHeight="1" x14ac:dyDescent="0.2">
      <c r="A58" s="68"/>
      <c r="B58" s="58"/>
      <c r="C58" s="58"/>
      <c r="D58" s="58"/>
      <c r="E58" s="58"/>
      <c r="F58" s="58"/>
      <c r="G58" s="58"/>
      <c r="H58" s="58"/>
      <c r="I58" s="58"/>
      <c r="J58" s="39">
        <f>ROUND(SUM(J56:J56),2)</f>
        <v>1431</v>
      </c>
      <c r="K58" s="39">
        <f>ROUND(SUM(K57),2)</f>
        <v>1431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623</v>
      </c>
      <c r="K61" s="33"/>
    </row>
    <row r="62" spans="1:12" ht="16.5" customHeight="1" x14ac:dyDescent="0.25">
      <c r="A62" s="56"/>
      <c r="B62" s="57"/>
      <c r="C62" s="165" t="s">
        <v>1623</v>
      </c>
      <c r="D62" s="165"/>
      <c r="E62" s="165"/>
      <c r="F62" s="165"/>
      <c r="G62" s="165"/>
      <c r="H62" s="165"/>
      <c r="I62" s="165"/>
      <c r="J62" s="33"/>
      <c r="K62" s="32">
        <f>J61</f>
        <v>623</v>
      </c>
    </row>
    <row r="63" spans="1:12" ht="16.5" customHeight="1" x14ac:dyDescent="0.2">
      <c r="A63" s="56"/>
      <c r="B63" s="179" t="s">
        <v>1622</v>
      </c>
      <c r="C63" s="179"/>
      <c r="D63" s="179"/>
      <c r="E63" s="179"/>
      <c r="F63" s="179"/>
      <c r="G63" s="179"/>
      <c r="H63" s="179"/>
      <c r="I63" s="179"/>
      <c r="J63" s="39">
        <f>ROUND(SUM(J61:J61),2)</f>
        <v>623</v>
      </c>
      <c r="K63" s="39">
        <f>ROUND(SUM(K62),2)</f>
        <v>623</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0830 - TRANSPORTATION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0830 - TRANSPORTATION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2917</v>
      </c>
    </row>
    <row r="95" spans="1:12" ht="16.5" customHeight="1" x14ac:dyDescent="0.25">
      <c r="D95" s="57" t="s">
        <v>1641</v>
      </c>
      <c r="E95"/>
      <c r="F95"/>
      <c r="G95"/>
      <c r="H95" s="44"/>
      <c r="I95"/>
      <c r="J95"/>
      <c r="K95" s="162">
        <f>-K18-K46+J68+J77</f>
        <v>-1216</v>
      </c>
    </row>
    <row r="96" spans="1:12" ht="16.5" customHeight="1" x14ac:dyDescent="0.25">
      <c r="D96" s="57" t="s">
        <v>1639</v>
      </c>
      <c r="E96"/>
      <c r="F96"/>
      <c r="G96"/>
      <c r="H96" s="44"/>
      <c r="I96"/>
      <c r="J96"/>
      <c r="K96" s="162">
        <f>-K19-K37+J56+J61+J76-K85</f>
        <v>-637</v>
      </c>
    </row>
    <row r="97" spans="1:11" ht="16.5" customHeight="1" x14ac:dyDescent="0.25">
      <c r="D97" s="57" t="s">
        <v>1640</v>
      </c>
      <c r="E97"/>
      <c r="F97"/>
      <c r="G97"/>
      <c r="H97" s="44"/>
      <c r="I97"/>
      <c r="J97"/>
      <c r="K97" s="162">
        <f>-K62</f>
        <v>-623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UhPPFPnSFeh7Tj8yN1tRC5RweYl9+oI1b48M9q/yq1FvpBNatXj6oitC1YqbrNmQ5ss+ACCtm6oD8c0VDJQ5+w==" saltValue="HCG74t9xsodmH8L0/aiGAA=="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4"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44D4-AA91-48A8-B271-1F32C22F41D6}">
  <sheetPr>
    <tabColor rgb="FF92D050"/>
    <pageSetUpPr fitToPage="1"/>
  </sheetPr>
  <dimension ref="A1:Q115"/>
  <sheetViews>
    <sheetView topLeftCell="A37" zoomScale="85" zoomScaleNormal="85" workbookViewId="0">
      <selection activeCell="J50" sqref="J50"/>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595</v>
      </c>
      <c r="G5" s="170"/>
      <c r="H5" s="170"/>
      <c r="I5" s="170"/>
      <c r="J5" s="47"/>
      <c r="K5" s="47"/>
      <c r="L5" s="48"/>
      <c r="M5" s="48"/>
      <c r="N5" s="48"/>
    </row>
    <row r="6" spans="1:17" ht="15.75" x14ac:dyDescent="0.2">
      <c r="A6" s="169" t="s">
        <v>1</v>
      </c>
      <c r="B6" s="169"/>
      <c r="C6" s="169"/>
      <c r="D6" s="169"/>
      <c r="E6" s="169"/>
      <c r="F6" s="171">
        <v>42</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TRANSPORTATION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3929037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2804063</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1124974</v>
      </c>
      <c r="Q21" s="28"/>
    </row>
    <row r="22" spans="1:17" ht="16.5" customHeight="1" x14ac:dyDescent="0.2">
      <c r="A22" s="56"/>
      <c r="B22" s="58"/>
      <c r="C22" s="58"/>
      <c r="D22" s="58"/>
      <c r="E22" s="58"/>
      <c r="F22" s="58"/>
      <c r="G22" s="58"/>
      <c r="H22" s="58"/>
      <c r="I22" s="58"/>
      <c r="J22" s="29">
        <f>ROUND(SUM(J15:J17),2)</f>
        <v>3929037</v>
      </c>
      <c r="K22" s="29">
        <f>ROUND(SUM(K18:K21),2)</f>
        <v>3929037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4550490</v>
      </c>
      <c r="K28" s="33"/>
      <c r="L28" s="54"/>
    </row>
    <row r="29" spans="1:17" ht="16.5" customHeight="1" x14ac:dyDescent="0.25">
      <c r="A29" s="56"/>
      <c r="B29" s="57"/>
      <c r="C29" s="165" t="s">
        <v>1578</v>
      </c>
      <c r="D29" s="165"/>
      <c r="E29" s="165"/>
      <c r="F29" s="165"/>
      <c r="G29" s="165"/>
      <c r="H29" s="165"/>
      <c r="I29" s="165"/>
      <c r="J29" s="33"/>
      <c r="K29" s="32">
        <v>4550490</v>
      </c>
      <c r="L29" s="54"/>
    </row>
    <row r="30" spans="1:17" ht="16.5" customHeight="1" x14ac:dyDescent="0.25">
      <c r="A30" s="56"/>
      <c r="B30" s="57"/>
      <c r="C30" s="165" t="str">
        <f>VLOOKUP($F$8,'Drop Down Menus'!$D$2:$G$10,4,FALSE)</f>
        <v>Cr: Acct 0830 - TRANSPORTATION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4550490</v>
      </c>
      <c r="K31" s="29">
        <f>ROUND(SUM(K28:K30),2)</f>
        <v>4550490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4550490</v>
      </c>
      <c r="K34" s="70"/>
      <c r="L34" s="54"/>
    </row>
    <row r="35" spans="1:12" ht="16.5" customHeight="1" x14ac:dyDescent="0.2">
      <c r="B35" s="165" t="s">
        <v>1579</v>
      </c>
      <c r="C35" s="165"/>
      <c r="D35" s="165"/>
      <c r="E35" s="165"/>
      <c r="F35" s="165"/>
      <c r="G35" s="165"/>
      <c r="H35" s="165"/>
      <c r="I35" s="165"/>
      <c r="J35" s="32">
        <v>4550490</v>
      </c>
      <c r="K35" s="36"/>
    </row>
    <row r="36" spans="1:12" ht="16.5" customHeight="1" x14ac:dyDescent="0.2">
      <c r="A36" s="56"/>
      <c r="B36" s="71"/>
      <c r="C36" s="165" t="s">
        <v>1581</v>
      </c>
      <c r="D36" s="165"/>
      <c r="E36" s="165"/>
      <c r="F36" s="165"/>
      <c r="G36" s="165"/>
      <c r="H36" s="165"/>
      <c r="I36" s="165"/>
      <c r="J36" s="36"/>
      <c r="K36" s="32">
        <v>4550490</v>
      </c>
    </row>
    <row r="37" spans="1:12" ht="16.5" customHeight="1" x14ac:dyDescent="0.2">
      <c r="A37" s="56"/>
      <c r="C37" s="165" t="s">
        <v>1626</v>
      </c>
      <c r="D37" s="165"/>
      <c r="E37" s="165"/>
      <c r="F37" s="165"/>
      <c r="G37" s="165"/>
      <c r="H37" s="165"/>
      <c r="I37" s="165"/>
      <c r="J37" s="36"/>
      <c r="K37" s="32">
        <v>4550490</v>
      </c>
    </row>
    <row r="38" spans="1:12" ht="16.5" customHeight="1" x14ac:dyDescent="0.25">
      <c r="A38" s="56"/>
      <c r="B38" s="57"/>
      <c r="C38" s="165" t="str">
        <f>VLOOKUP($F$8,'Drop Down Menus'!$D$2:$G$10,4,FALSE)</f>
        <v>Cr: Acct 0830 - TRANSPORTATION (GAAP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9100980</v>
      </c>
      <c r="K39" s="29">
        <f>ROUND(SUM(K36:K38),2)</f>
        <v>9100980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2706008</v>
      </c>
      <c r="K45" s="33"/>
    </row>
    <row r="46" spans="1:12" ht="16.5" customHeight="1" x14ac:dyDescent="0.2">
      <c r="A46" s="56"/>
      <c r="B46" s="71"/>
      <c r="C46" s="165" t="s">
        <v>1587</v>
      </c>
      <c r="D46" s="165"/>
      <c r="E46" s="165"/>
      <c r="F46" s="165"/>
      <c r="G46" s="165"/>
      <c r="H46" s="165"/>
      <c r="I46" s="165"/>
      <c r="J46" s="36"/>
      <c r="K46" s="32">
        <f>J45</f>
        <v>2706008</v>
      </c>
    </row>
    <row r="47" spans="1:12" ht="16.5" customHeight="1" x14ac:dyDescent="0.2">
      <c r="A47" s="68"/>
      <c r="B47" s="58"/>
      <c r="C47" s="58"/>
      <c r="D47" s="58"/>
      <c r="E47" s="58"/>
      <c r="F47" s="58"/>
      <c r="G47" s="58"/>
      <c r="H47" s="58"/>
      <c r="I47" s="58"/>
      <c r="J47" s="39">
        <f>ROUND(SUM(J45:J45),2)</f>
        <v>2706008</v>
      </c>
      <c r="K47" s="39">
        <f>ROUND(SUM(K46),2)</f>
        <v>2706008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4397487</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60779</v>
      </c>
      <c r="K51" s="81"/>
    </row>
    <row r="52" spans="1:12" ht="16.5" customHeight="1" x14ac:dyDescent="0.25">
      <c r="A52" s="56"/>
      <c r="B52" s="57"/>
      <c r="C52" s="165" t="str">
        <f>VLOOKUP($F$8,'Drop Down Menus'!$D$2:$G$10,4,FALSE)</f>
        <v>Cr: Acct 0830 - TRANSPORTATION (GAAP ADJ)</v>
      </c>
      <c r="D52" s="165"/>
      <c r="E52" s="165"/>
      <c r="F52" s="165"/>
      <c r="G52" s="165"/>
      <c r="H52" s="165"/>
      <c r="I52" s="165"/>
      <c r="J52" s="81"/>
      <c r="K52" s="38">
        <f>+J50+J51</f>
        <v>4458266</v>
      </c>
    </row>
    <row r="53" spans="1:12" ht="16.5" customHeight="1" x14ac:dyDescent="0.2">
      <c r="A53" s="68"/>
      <c r="B53" s="58"/>
      <c r="C53" s="58"/>
      <c r="D53" s="58"/>
      <c r="E53" s="58"/>
      <c r="F53" s="58"/>
      <c r="G53" s="58"/>
      <c r="H53" s="58"/>
      <c r="I53" s="58"/>
      <c r="J53" s="39">
        <f>ROUND(SUM(J50:J51),2)</f>
        <v>4458266</v>
      </c>
      <c r="K53" s="39">
        <f>ROUND(SUM(K52,),2)</f>
        <v>4458266</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4397487</v>
      </c>
      <c r="K56" s="36"/>
    </row>
    <row r="57" spans="1:12" ht="16.5" customHeight="1" x14ac:dyDescent="0.25">
      <c r="A57" s="56"/>
      <c r="B57" s="57"/>
      <c r="C57" s="165" t="s">
        <v>1613</v>
      </c>
      <c r="D57" s="165"/>
      <c r="E57" s="165"/>
      <c r="F57" s="165"/>
      <c r="G57" s="165"/>
      <c r="H57" s="165"/>
      <c r="I57" s="165"/>
      <c r="J57" s="36"/>
      <c r="K57" s="32">
        <f>J50</f>
        <v>4397487</v>
      </c>
    </row>
    <row r="58" spans="1:12" ht="16.5" customHeight="1" x14ac:dyDescent="0.2">
      <c r="A58" s="68"/>
      <c r="B58" s="58"/>
      <c r="C58" s="58"/>
      <c r="D58" s="58"/>
      <c r="E58" s="58"/>
      <c r="F58" s="58"/>
      <c r="G58" s="58"/>
      <c r="H58" s="58"/>
      <c r="I58" s="58"/>
      <c r="J58" s="39">
        <f>ROUND(SUM(J56:J56),2)</f>
        <v>4397487</v>
      </c>
      <c r="K58" s="39">
        <f>ROUND(SUM(K57),2)</f>
        <v>4397487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1353989</v>
      </c>
      <c r="K61" s="33"/>
    </row>
    <row r="62" spans="1:12" ht="16.5" customHeight="1" x14ac:dyDescent="0.25">
      <c r="A62" s="56"/>
      <c r="B62" s="57"/>
      <c r="C62" s="165" t="s">
        <v>1623</v>
      </c>
      <c r="D62" s="165"/>
      <c r="E62" s="165"/>
      <c r="F62" s="165"/>
      <c r="G62" s="165"/>
      <c r="H62" s="165"/>
      <c r="I62" s="165"/>
      <c r="J62" s="33"/>
      <c r="K62" s="32">
        <f>J61</f>
        <v>1353989</v>
      </c>
    </row>
    <row r="63" spans="1:12" ht="16.5" customHeight="1" x14ac:dyDescent="0.2">
      <c r="A63" s="56"/>
      <c r="B63" s="179" t="s">
        <v>1622</v>
      </c>
      <c r="C63" s="179"/>
      <c r="D63" s="179"/>
      <c r="E63" s="179"/>
      <c r="F63" s="179"/>
      <c r="G63" s="179"/>
      <c r="H63" s="179"/>
      <c r="I63" s="179"/>
      <c r="J63" s="39">
        <f>ROUND(SUM(J61:J61),2)</f>
        <v>1353989</v>
      </c>
      <c r="K63" s="39">
        <f>ROUND(SUM(K62),2)</f>
        <v>1353989</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
        <v>1532</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
        <v>1532</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8479527</v>
      </c>
    </row>
    <row r="95" spans="1:12" ht="16.5" customHeight="1" x14ac:dyDescent="0.25">
      <c r="D95" s="57" t="s">
        <v>1641</v>
      </c>
      <c r="E95"/>
      <c r="F95"/>
      <c r="G95"/>
      <c r="H95" s="44"/>
      <c r="I95"/>
      <c r="J95"/>
      <c r="K95" s="162">
        <f>-K18-K46+J68+J77</f>
        <v>-2706008</v>
      </c>
    </row>
    <row r="96" spans="1:12" ht="16.5" customHeight="1" x14ac:dyDescent="0.25">
      <c r="D96" s="57" t="s">
        <v>1639</v>
      </c>
      <c r="E96"/>
      <c r="F96"/>
      <c r="G96"/>
      <c r="H96" s="44"/>
      <c r="I96"/>
      <c r="J96"/>
      <c r="K96" s="162">
        <f>-K19-K37+J56+J61+J76-K85</f>
        <v>-1603077</v>
      </c>
    </row>
    <row r="97" spans="1:11" ht="16.5" customHeight="1" x14ac:dyDescent="0.25">
      <c r="D97" s="57" t="s">
        <v>1640</v>
      </c>
      <c r="E97"/>
      <c r="F97"/>
      <c r="G97"/>
      <c r="H97" s="44"/>
      <c r="I97"/>
      <c r="J97"/>
      <c r="K97" s="162">
        <f>-K62</f>
        <v>-1353989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gZQ6Px7DKQCTKobpOIeTLPrRqWUbcNnqB7QCxDSJh6s8tFZjdaz7F2D4zoF4a7yWkLA3wmwYMy73ASDxBF05lw==" saltValue="282lgFhaqOigiVWQpjgZDg=="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3"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889FEEB5-669C-4947-900E-ED3D7B8DE9CC}">
      <formula1>4</formula1>
    </dataValidation>
    <dataValidation type="textLength" operator="lessThan" allowBlank="1" showInputMessage="1" showErrorMessage="1" sqref="E11 A6:A8" xr:uid="{CFFD3797-FF9F-47EB-9EEB-C3D8353DE319}">
      <formula1>0</formula1>
    </dataValidation>
    <dataValidation operator="lessThan" allowBlank="1" showInputMessage="1" showErrorMessage="1" sqref="A3:A5 A7:A8 A11" xr:uid="{5B3905DC-5788-4A37-A9CE-EF98100D8279}"/>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E4D69-07B2-4C48-9E67-4259C003EB45}">
  <sheetPr>
    <tabColor rgb="FF92D050"/>
    <pageSetUpPr fitToPage="1"/>
  </sheetPr>
  <dimension ref="A1:Q115"/>
  <sheetViews>
    <sheetView topLeftCell="A37" zoomScale="85" zoomScaleNormal="85" workbookViewId="0">
      <selection activeCell="J56" sqref="J56"/>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595</v>
      </c>
      <c r="G5" s="170"/>
      <c r="H5" s="170"/>
      <c r="I5" s="170"/>
      <c r="J5" s="47"/>
      <c r="K5" s="47"/>
      <c r="L5" s="48"/>
      <c r="M5" s="48"/>
      <c r="N5" s="48"/>
    </row>
    <row r="6" spans="1:17" ht="15.75" x14ac:dyDescent="0.2">
      <c r="A6" s="169" t="s">
        <v>1</v>
      </c>
      <c r="B6" s="169"/>
      <c r="C6" s="169"/>
      <c r="D6" s="169"/>
      <c r="E6" s="169"/>
      <c r="F6" s="171">
        <v>46</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TRANSPORTATION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45733</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36091</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9642</v>
      </c>
      <c r="Q21" s="28"/>
    </row>
    <row r="22" spans="1:17" ht="16.5" customHeight="1" x14ac:dyDescent="0.2">
      <c r="A22" s="56"/>
      <c r="B22" s="58"/>
      <c r="C22" s="58"/>
      <c r="D22" s="58"/>
      <c r="E22" s="58"/>
      <c r="F22" s="58"/>
      <c r="G22" s="58"/>
      <c r="H22" s="58"/>
      <c r="I22" s="58"/>
      <c r="J22" s="29">
        <f>ROUND(SUM(J15:J17),2)</f>
        <v>45733</v>
      </c>
      <c r="K22" s="29">
        <f>ROUND(SUM(K18:K21),2)</f>
        <v>45733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89658</v>
      </c>
      <c r="K28" s="33"/>
      <c r="L28" s="54"/>
    </row>
    <row r="29" spans="1:17" ht="16.5" customHeight="1" x14ac:dyDescent="0.25">
      <c r="A29" s="56"/>
      <c r="B29" s="57"/>
      <c r="C29" s="165" t="s">
        <v>1578</v>
      </c>
      <c r="D29" s="165"/>
      <c r="E29" s="165"/>
      <c r="F29" s="165"/>
      <c r="G29" s="165"/>
      <c r="H29" s="165"/>
      <c r="I29" s="165"/>
      <c r="J29" s="33"/>
      <c r="K29" s="32">
        <v>89658</v>
      </c>
      <c r="L29" s="54"/>
    </row>
    <row r="30" spans="1:17" ht="16.5" customHeight="1" x14ac:dyDescent="0.25">
      <c r="A30" s="56"/>
      <c r="B30" s="57"/>
      <c r="C30" s="165" t="str">
        <f>VLOOKUP($F$8,'Drop Down Menus'!$D$2:$G$10,4,FALSE)</f>
        <v>Cr: Acct 0830 - TRANSPORTATION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89658</v>
      </c>
      <c r="K31" s="29">
        <f>ROUND(SUM(K28:K30),2)</f>
        <v>89658</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89658</v>
      </c>
      <c r="K34" s="70"/>
      <c r="L34" s="54"/>
    </row>
    <row r="35" spans="1:12" ht="16.5" customHeight="1" x14ac:dyDescent="0.2">
      <c r="B35" s="165" t="s">
        <v>1579</v>
      </c>
      <c r="C35" s="165"/>
      <c r="D35" s="165"/>
      <c r="E35" s="165"/>
      <c r="F35" s="165"/>
      <c r="G35" s="165"/>
      <c r="H35" s="165"/>
      <c r="I35" s="165"/>
      <c r="J35" s="32">
        <v>89658</v>
      </c>
      <c r="K35" s="36"/>
    </row>
    <row r="36" spans="1:12" ht="16.5" customHeight="1" x14ac:dyDescent="0.2">
      <c r="A36" s="56"/>
      <c r="B36" s="71"/>
      <c r="C36" s="165" t="s">
        <v>1581</v>
      </c>
      <c r="D36" s="165"/>
      <c r="E36" s="165"/>
      <c r="F36" s="165"/>
      <c r="G36" s="165"/>
      <c r="H36" s="165"/>
      <c r="I36" s="165"/>
      <c r="J36" s="36"/>
      <c r="K36" s="32">
        <v>89658</v>
      </c>
    </row>
    <row r="37" spans="1:12" ht="16.5" customHeight="1" x14ac:dyDescent="0.2">
      <c r="A37" s="56"/>
      <c r="C37" s="165" t="s">
        <v>1626</v>
      </c>
      <c r="D37" s="165"/>
      <c r="E37" s="165"/>
      <c r="F37" s="165"/>
      <c r="G37" s="165"/>
      <c r="H37" s="165"/>
      <c r="I37" s="165"/>
      <c r="J37" s="36"/>
      <c r="K37" s="32">
        <v>89658</v>
      </c>
    </row>
    <row r="38" spans="1:12" ht="16.5" customHeight="1" x14ac:dyDescent="0.25">
      <c r="A38" s="56"/>
      <c r="B38" s="57"/>
      <c r="C38" s="165" t="str">
        <f>VLOOKUP($F$8,'Drop Down Menus'!$D$2:$G$10,4,FALSE)</f>
        <v>Cr: Acct 0830 - TRANSPORTATION (GAAP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179316</v>
      </c>
      <c r="K39" s="29">
        <f>ROUND(SUM(K36:K38),2)</f>
        <v>179316</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55597</v>
      </c>
      <c r="K45" s="33"/>
    </row>
    <row r="46" spans="1:12" ht="16.5" customHeight="1" x14ac:dyDescent="0.2">
      <c r="A46" s="56"/>
      <c r="B46" s="71"/>
      <c r="C46" s="165" t="s">
        <v>1587</v>
      </c>
      <c r="D46" s="165"/>
      <c r="E46" s="165"/>
      <c r="F46" s="165"/>
      <c r="G46" s="165"/>
      <c r="H46" s="165"/>
      <c r="I46" s="165"/>
      <c r="J46" s="36"/>
      <c r="K46" s="32">
        <f>J45</f>
        <v>55597</v>
      </c>
    </row>
    <row r="47" spans="1:12" ht="16.5" customHeight="1" x14ac:dyDescent="0.2">
      <c r="A47" s="68"/>
      <c r="B47" s="58"/>
      <c r="C47" s="58"/>
      <c r="D47" s="58"/>
      <c r="E47" s="58"/>
      <c r="F47" s="58"/>
      <c r="G47" s="58"/>
      <c r="H47" s="58"/>
      <c r="I47" s="58"/>
      <c r="J47" s="39">
        <f>ROUND(SUM(J45:J45),2)</f>
        <v>55597</v>
      </c>
      <c r="K47" s="39">
        <f>ROUND(SUM(K46),2)</f>
        <v>55597</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65820</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1143</v>
      </c>
      <c r="K51" s="81"/>
    </row>
    <row r="52" spans="1:12" ht="16.5" customHeight="1" x14ac:dyDescent="0.25">
      <c r="A52" s="56"/>
      <c r="B52" s="57"/>
      <c r="C52" s="165" t="str">
        <f>VLOOKUP($F$8,'Drop Down Menus'!$D$2:$G$10,4,FALSE)</f>
        <v>Cr: Acct 0830 - TRANSPORTATION (GAAP ADJ)</v>
      </c>
      <c r="D52" s="165"/>
      <c r="E52" s="165"/>
      <c r="F52" s="165"/>
      <c r="G52" s="165"/>
      <c r="H52" s="165"/>
      <c r="I52" s="165"/>
      <c r="J52" s="81"/>
      <c r="K52" s="38">
        <f>+J50+J51</f>
        <v>66963</v>
      </c>
    </row>
    <row r="53" spans="1:12" ht="16.5" customHeight="1" x14ac:dyDescent="0.2">
      <c r="A53" s="68"/>
      <c r="B53" s="58"/>
      <c r="C53" s="58"/>
      <c r="D53" s="58"/>
      <c r="E53" s="58"/>
      <c r="F53" s="58"/>
      <c r="G53" s="58"/>
      <c r="H53" s="58"/>
      <c r="I53" s="58"/>
      <c r="J53" s="39">
        <f>ROUND(SUM(J50:J51),2)</f>
        <v>66963</v>
      </c>
      <c r="K53" s="39">
        <f>ROUND(SUM(K52,),2)</f>
        <v>66963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65820</v>
      </c>
      <c r="K56" s="36"/>
    </row>
    <row r="57" spans="1:12" ht="16.5" customHeight="1" x14ac:dyDescent="0.25">
      <c r="A57" s="56"/>
      <c r="B57" s="57"/>
      <c r="C57" s="165" t="s">
        <v>1613</v>
      </c>
      <c r="D57" s="165"/>
      <c r="E57" s="165"/>
      <c r="F57" s="165"/>
      <c r="G57" s="165"/>
      <c r="H57" s="165"/>
      <c r="I57" s="165"/>
      <c r="J57" s="36"/>
      <c r="K57" s="32">
        <f>J50</f>
        <v>65820</v>
      </c>
    </row>
    <row r="58" spans="1:12" ht="16.5" customHeight="1" x14ac:dyDescent="0.2">
      <c r="A58" s="68"/>
      <c r="B58" s="58"/>
      <c r="C58" s="58"/>
      <c r="D58" s="58"/>
      <c r="E58" s="58"/>
      <c r="F58" s="58"/>
      <c r="G58" s="58"/>
      <c r="H58" s="58"/>
      <c r="I58" s="58"/>
      <c r="J58" s="39">
        <f>ROUND(SUM(J56:J56),2)</f>
        <v>65820</v>
      </c>
      <c r="K58" s="39">
        <f>ROUND(SUM(K57),2)</f>
        <v>65820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29605</v>
      </c>
      <c r="K61" s="33"/>
    </row>
    <row r="62" spans="1:12" ht="16.5" customHeight="1" x14ac:dyDescent="0.25">
      <c r="A62" s="56"/>
      <c r="B62" s="57"/>
      <c r="C62" s="165" t="s">
        <v>1623</v>
      </c>
      <c r="D62" s="165"/>
      <c r="E62" s="165"/>
      <c r="F62" s="165"/>
      <c r="G62" s="165"/>
      <c r="H62" s="165"/>
      <c r="I62" s="165"/>
      <c r="J62" s="33"/>
      <c r="K62" s="32">
        <f>J61</f>
        <v>29605</v>
      </c>
    </row>
    <row r="63" spans="1:12" ht="16.5" customHeight="1" x14ac:dyDescent="0.2">
      <c r="A63" s="56"/>
      <c r="B63" s="179" t="s">
        <v>1622</v>
      </c>
      <c r="C63" s="179"/>
      <c r="D63" s="179"/>
      <c r="E63" s="179"/>
      <c r="F63" s="179"/>
      <c r="G63" s="179"/>
      <c r="H63" s="179"/>
      <c r="I63" s="179"/>
      <c r="J63" s="39">
        <f>ROUND(SUM(J61:J61),2)</f>
        <v>29605</v>
      </c>
      <c r="K63" s="39">
        <f>ROUND(SUM(K62),2)</f>
        <v>29605</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
        <v>1532</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
        <v>1532</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135391</v>
      </c>
    </row>
    <row r="95" spans="1:12" ht="16.5" customHeight="1" x14ac:dyDescent="0.25">
      <c r="D95" s="57" t="s">
        <v>1641</v>
      </c>
      <c r="E95"/>
      <c r="F95"/>
      <c r="G95"/>
      <c r="H95" s="44"/>
      <c r="I95"/>
      <c r="J95"/>
      <c r="K95" s="162">
        <f>-K18-K46+J68+J77</f>
        <v>-55597</v>
      </c>
    </row>
    <row r="96" spans="1:12" ht="16.5" customHeight="1" x14ac:dyDescent="0.25">
      <c r="D96" s="57" t="s">
        <v>1639</v>
      </c>
      <c r="E96"/>
      <c r="F96"/>
      <c r="G96"/>
      <c r="H96" s="44"/>
      <c r="I96"/>
      <c r="J96"/>
      <c r="K96" s="162">
        <f>-K19-K37+J56+J61+J76-K85</f>
        <v>-30324</v>
      </c>
    </row>
    <row r="97" spans="1:11" ht="16.5" customHeight="1" x14ac:dyDescent="0.25">
      <c r="D97" s="57" t="s">
        <v>1640</v>
      </c>
      <c r="E97"/>
      <c r="F97"/>
      <c r="G97"/>
      <c r="H97" s="44"/>
      <c r="I97"/>
      <c r="J97"/>
      <c r="K97" s="162">
        <f>-K62</f>
        <v>-29605</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N+7QdAC+gUmO9EqhTeqDviOGxMpP135CoDxcSi9kt4Vmuyi00eO0LvShAB10Q+fzdXM2pf4Ja3Tip6JQGVpXXg==" saltValue="iGM19LnPdilxvwW4ClL0tw=="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259E4732-EEC5-4917-854E-91A19B4C231D}">
      <formula1>4</formula1>
    </dataValidation>
    <dataValidation type="textLength" operator="lessThan" allowBlank="1" showInputMessage="1" showErrorMessage="1" sqref="E11 A6:A8" xr:uid="{C9DBC716-A629-4053-82F3-44784B0AAB8B}">
      <formula1>0</formula1>
    </dataValidation>
    <dataValidation operator="lessThan" allowBlank="1" showInputMessage="1" showErrorMessage="1" sqref="A3:A5 A7:A8 A11" xr:uid="{15264D49-45AD-47D8-A331-BDE0AD1804CD}"/>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E27D-403C-403B-AE6F-72AA9626F650}">
  <sheetPr>
    <tabColor rgb="FF92D050"/>
    <pageSetUpPr fitToPage="1"/>
  </sheetPr>
  <dimension ref="A1:Q115"/>
  <sheetViews>
    <sheetView topLeftCell="A39" zoomScale="85" zoomScaleNormal="85" workbookViewId="0">
      <selection activeCell="J51" sqref="J5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595</v>
      </c>
      <c r="G5" s="170"/>
      <c r="H5" s="170"/>
      <c r="I5" s="170"/>
      <c r="J5" s="47"/>
      <c r="K5" s="47"/>
      <c r="L5" s="48"/>
      <c r="M5" s="48"/>
      <c r="N5" s="48"/>
    </row>
    <row r="6" spans="1:17" ht="15.75" x14ac:dyDescent="0.2">
      <c r="A6" s="169" t="s">
        <v>1</v>
      </c>
      <c r="B6" s="169"/>
      <c r="C6" s="169"/>
      <c r="D6" s="169"/>
      <c r="E6" s="169"/>
      <c r="F6" s="171">
        <v>3290</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TRANSPORTATION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14113</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11129</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2984</v>
      </c>
      <c r="Q21" s="28"/>
    </row>
    <row r="22" spans="1:17" ht="16.5" customHeight="1" x14ac:dyDescent="0.2">
      <c r="A22" s="56"/>
      <c r="B22" s="58"/>
      <c r="C22" s="58"/>
      <c r="D22" s="58"/>
      <c r="E22" s="58"/>
      <c r="F22" s="58"/>
      <c r="G22" s="58"/>
      <c r="H22" s="58"/>
      <c r="I22" s="58"/>
      <c r="J22" s="29">
        <f>ROUND(SUM(J15:J17),2)</f>
        <v>14113</v>
      </c>
      <c r="K22" s="29">
        <f>ROUND(SUM(K18:K21),2)</f>
        <v>14113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27600</v>
      </c>
      <c r="K28" s="33"/>
      <c r="L28" s="54"/>
    </row>
    <row r="29" spans="1:17" ht="16.5" customHeight="1" x14ac:dyDescent="0.25">
      <c r="A29" s="56"/>
      <c r="B29" s="57"/>
      <c r="C29" s="165" t="s">
        <v>1578</v>
      </c>
      <c r="D29" s="165"/>
      <c r="E29" s="165"/>
      <c r="F29" s="165"/>
      <c r="G29" s="165"/>
      <c r="H29" s="165"/>
      <c r="I29" s="165"/>
      <c r="J29" s="33"/>
      <c r="K29" s="32">
        <v>27600</v>
      </c>
      <c r="L29" s="54"/>
    </row>
    <row r="30" spans="1:17" ht="16.5" customHeight="1" x14ac:dyDescent="0.25">
      <c r="A30" s="56"/>
      <c r="B30" s="57"/>
      <c r="C30" s="165" t="str">
        <f>VLOOKUP($F$8,'Drop Down Menus'!$D$2:$G$10,4,FALSE)</f>
        <v>Cr: Acct 0830 - TRANSPORTATION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27600</v>
      </c>
      <c r="K31" s="29">
        <f>ROUND(SUM(K28:K30),2)</f>
        <v>27600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27600</v>
      </c>
      <c r="K34" s="70"/>
      <c r="L34" s="54"/>
    </row>
    <row r="35" spans="1:12" ht="16.5" customHeight="1" x14ac:dyDescent="0.2">
      <c r="B35" s="165" t="s">
        <v>1579</v>
      </c>
      <c r="C35" s="165"/>
      <c r="D35" s="165"/>
      <c r="E35" s="165"/>
      <c r="F35" s="165"/>
      <c r="G35" s="165"/>
      <c r="H35" s="165"/>
      <c r="I35" s="165"/>
      <c r="J35" s="32">
        <v>27600</v>
      </c>
      <c r="K35" s="36"/>
    </row>
    <row r="36" spans="1:12" ht="16.5" customHeight="1" x14ac:dyDescent="0.2">
      <c r="A36" s="56"/>
      <c r="B36" s="71"/>
      <c r="C36" s="165" t="s">
        <v>1581</v>
      </c>
      <c r="D36" s="165"/>
      <c r="E36" s="165"/>
      <c r="F36" s="165"/>
      <c r="G36" s="165"/>
      <c r="H36" s="165"/>
      <c r="I36" s="165"/>
      <c r="J36" s="36"/>
      <c r="K36" s="32">
        <v>27600</v>
      </c>
    </row>
    <row r="37" spans="1:12" ht="16.5" customHeight="1" x14ac:dyDescent="0.2">
      <c r="A37" s="56"/>
      <c r="C37" s="165" t="s">
        <v>1626</v>
      </c>
      <c r="D37" s="165"/>
      <c r="E37" s="165"/>
      <c r="F37" s="165"/>
      <c r="G37" s="165"/>
      <c r="H37" s="165"/>
      <c r="I37" s="165"/>
      <c r="J37" s="36"/>
      <c r="K37" s="32">
        <v>27600</v>
      </c>
    </row>
    <row r="38" spans="1:12" ht="16.5" customHeight="1" x14ac:dyDescent="0.25">
      <c r="A38" s="56"/>
      <c r="B38" s="57"/>
      <c r="C38" s="165" t="str">
        <f>VLOOKUP($F$8,'Drop Down Menus'!$D$2:$G$10,4,FALSE)</f>
        <v>Cr: Acct 0830 - TRANSPORTATION (GAAP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55200</v>
      </c>
      <c r="K39" s="29">
        <f>ROUND(SUM(K36:K38),2)</f>
        <v>55200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17134</v>
      </c>
      <c r="K45" s="33"/>
    </row>
    <row r="46" spans="1:12" ht="16.5" customHeight="1" x14ac:dyDescent="0.2">
      <c r="A46" s="56"/>
      <c r="B46" s="71"/>
      <c r="C46" s="165" t="s">
        <v>1587</v>
      </c>
      <c r="D46" s="165"/>
      <c r="E46" s="165"/>
      <c r="F46" s="165"/>
      <c r="G46" s="165"/>
      <c r="H46" s="165"/>
      <c r="I46" s="165"/>
      <c r="J46" s="36"/>
      <c r="K46" s="32">
        <f>J45</f>
        <v>17134</v>
      </c>
    </row>
    <row r="47" spans="1:12" ht="16.5" customHeight="1" x14ac:dyDescent="0.2">
      <c r="A47" s="68"/>
      <c r="B47" s="58"/>
      <c r="C47" s="58"/>
      <c r="D47" s="58"/>
      <c r="E47" s="58"/>
      <c r="F47" s="58"/>
      <c r="G47" s="58"/>
      <c r="H47" s="58"/>
      <c r="I47" s="58"/>
      <c r="J47" s="39">
        <f>ROUND(SUM(J45:J45),2)</f>
        <v>17134</v>
      </c>
      <c r="K47" s="39">
        <f>ROUND(SUM(K46),2)</f>
        <v>17134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20281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352</v>
      </c>
      <c r="K51" s="81"/>
    </row>
    <row r="52" spans="1:12" ht="16.5" customHeight="1" x14ac:dyDescent="0.25">
      <c r="A52" s="56"/>
      <c r="B52" s="57"/>
      <c r="C52" s="165" t="str">
        <f>VLOOKUP($F$8,'Drop Down Menus'!$D$2:$G$10,4,FALSE)</f>
        <v>Cr: Acct 0830 - TRANSPORTATION (GAAP ADJ)</v>
      </c>
      <c r="D52" s="165"/>
      <c r="E52" s="165"/>
      <c r="F52" s="165"/>
      <c r="G52" s="165"/>
      <c r="H52" s="165"/>
      <c r="I52" s="165"/>
      <c r="J52" s="81"/>
      <c r="K52" s="38">
        <f>+J50+J51</f>
        <v>20633</v>
      </c>
    </row>
    <row r="53" spans="1:12" ht="16.5" customHeight="1" x14ac:dyDescent="0.2">
      <c r="A53" s="68"/>
      <c r="B53" s="58"/>
      <c r="C53" s="58"/>
      <c r="D53" s="58"/>
      <c r="E53" s="58"/>
      <c r="F53" s="58"/>
      <c r="G53" s="58"/>
      <c r="H53" s="58"/>
      <c r="I53" s="58"/>
      <c r="J53" s="39">
        <f>ROUND(SUM(J50:J51),2)</f>
        <v>20633</v>
      </c>
      <c r="K53" s="39">
        <f>ROUND(SUM(K52,),2)</f>
        <v>20633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20281</v>
      </c>
      <c r="K56" s="36"/>
    </row>
    <row r="57" spans="1:12" ht="16.5" customHeight="1" x14ac:dyDescent="0.25">
      <c r="A57" s="56"/>
      <c r="B57" s="57"/>
      <c r="C57" s="165" t="s">
        <v>1613</v>
      </c>
      <c r="D57" s="165"/>
      <c r="E57" s="165"/>
      <c r="F57" s="165"/>
      <c r="G57" s="165"/>
      <c r="H57" s="165"/>
      <c r="I57" s="165"/>
      <c r="J57" s="36"/>
      <c r="K57" s="32">
        <f>J50</f>
        <v>20281</v>
      </c>
    </row>
    <row r="58" spans="1:12" ht="16.5" customHeight="1" x14ac:dyDescent="0.2">
      <c r="A58" s="68"/>
      <c r="B58" s="58"/>
      <c r="C58" s="58"/>
      <c r="D58" s="58"/>
      <c r="E58" s="58"/>
      <c r="F58" s="58"/>
      <c r="G58" s="58"/>
      <c r="H58" s="58"/>
      <c r="I58" s="58"/>
      <c r="J58" s="39">
        <f>ROUND(SUM(J56:J56),2)</f>
        <v>20281</v>
      </c>
      <c r="K58" s="39">
        <f>ROUND(SUM(K57),2)</f>
        <v>20281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9114</v>
      </c>
      <c r="K61" s="33"/>
    </row>
    <row r="62" spans="1:12" ht="16.5" customHeight="1" x14ac:dyDescent="0.25">
      <c r="A62" s="56"/>
      <c r="B62" s="57"/>
      <c r="C62" s="165" t="s">
        <v>1623</v>
      </c>
      <c r="D62" s="165"/>
      <c r="E62" s="165"/>
      <c r="F62" s="165"/>
      <c r="G62" s="165"/>
      <c r="H62" s="165"/>
      <c r="I62" s="165"/>
      <c r="J62" s="33"/>
      <c r="K62" s="32">
        <f>J61</f>
        <v>9114</v>
      </c>
    </row>
    <row r="63" spans="1:12" ht="16.5" customHeight="1" x14ac:dyDescent="0.2">
      <c r="A63" s="56"/>
      <c r="B63" s="179" t="s">
        <v>1622</v>
      </c>
      <c r="C63" s="179"/>
      <c r="D63" s="179"/>
      <c r="E63" s="179"/>
      <c r="F63" s="179"/>
      <c r="G63" s="179"/>
      <c r="H63" s="179"/>
      <c r="I63" s="179"/>
      <c r="J63" s="39">
        <f>ROUND(SUM(J61:J61),2)</f>
        <v>9114</v>
      </c>
      <c r="K63" s="39">
        <f>ROUND(SUM(K62),2)</f>
        <v>9114</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
        <v>1532</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
        <v>1532</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41713</v>
      </c>
    </row>
    <row r="95" spans="1:12" ht="16.5" customHeight="1" x14ac:dyDescent="0.25">
      <c r="D95" s="57" t="s">
        <v>1641</v>
      </c>
      <c r="E95"/>
      <c r="F95"/>
      <c r="G95"/>
      <c r="H95" s="44"/>
      <c r="I95"/>
      <c r="J95"/>
      <c r="K95" s="162">
        <f>-K18-K46+J68+J77</f>
        <v>-17134</v>
      </c>
    </row>
    <row r="96" spans="1:12" ht="16.5" customHeight="1" x14ac:dyDescent="0.25">
      <c r="D96" s="57" t="s">
        <v>1639</v>
      </c>
      <c r="E96"/>
      <c r="F96"/>
      <c r="G96"/>
      <c r="H96" s="44"/>
      <c r="I96"/>
      <c r="J96"/>
      <c r="K96" s="162">
        <f>-K19-K37+J56+J61+J76-K85</f>
        <v>-9334</v>
      </c>
    </row>
    <row r="97" spans="1:11" ht="16.5" customHeight="1" x14ac:dyDescent="0.25">
      <c r="D97" s="57" t="s">
        <v>1640</v>
      </c>
      <c r="E97"/>
      <c r="F97"/>
      <c r="G97"/>
      <c r="H97" s="44"/>
      <c r="I97"/>
      <c r="J97"/>
      <c r="K97" s="162">
        <f>-K62</f>
        <v>-9114</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24act/cAuTy4G1ygPdjdwpuv3Cp3I0eEVsfpwzvxA7fy5A71jhFL7eOX/LCiGudNTQNvlRDt6K1E9j2fFASiew==" saltValue="aZGCyiqB3diBPRy3GDDbQ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0B727167-9CB7-4610-9C9F-45A2694D7768}">
      <formula1>4</formula1>
    </dataValidation>
    <dataValidation type="textLength" operator="lessThan" allowBlank="1" showInputMessage="1" showErrorMessage="1" sqref="E11 A6:A8" xr:uid="{CDA2AB06-BFCA-45B1-8E4D-BB933EFA70E9}">
      <formula1>0</formula1>
    </dataValidation>
    <dataValidation operator="lessThan" allowBlank="1" showInputMessage="1" showErrorMessage="1" sqref="A3:A5 A7:A8 A11" xr:uid="{D858E49F-9762-4FB3-9DE1-286B502BCD8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3" zoomScaleNormal="100" workbookViewId="0">
      <selection activeCell="B23" sqref="B2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2660</v>
      </c>
      <c r="C12" s="187"/>
    </row>
    <row r="13" spans="1:11" ht="15.75" x14ac:dyDescent="0.25">
      <c r="A13" s="92" t="s">
        <v>1600</v>
      </c>
      <c r="B13" s="191" t="s">
        <v>1643</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1393331</v>
      </c>
      <c r="C16" s="2">
        <v>60655</v>
      </c>
      <c r="D16" s="193" t="s">
        <v>1537</v>
      </c>
      <c r="E16" s="97"/>
      <c r="F16" s="97"/>
      <c r="G16" s="97"/>
      <c r="H16" s="97"/>
      <c r="I16" s="97"/>
      <c r="J16" s="97"/>
      <c r="K16" s="97"/>
    </row>
    <row r="17" spans="1:11" ht="15" customHeight="1" x14ac:dyDescent="0.2">
      <c r="A17" s="94" t="str">
        <f>LEFT(A16,4)+1&amp;"–"&amp;RIGHT(A16,4)+1</f>
        <v>2024–2025</v>
      </c>
      <c r="B17" s="2">
        <v>1293552</v>
      </c>
      <c r="C17" s="2">
        <v>26985</v>
      </c>
      <c r="D17" s="193"/>
      <c r="E17" s="97"/>
      <c r="F17" s="97"/>
      <c r="G17" s="97"/>
      <c r="H17" s="97"/>
      <c r="I17" s="97"/>
      <c r="J17" s="97"/>
      <c r="K17" s="97"/>
    </row>
    <row r="18" spans="1:11" ht="15" customHeight="1" x14ac:dyDescent="0.2">
      <c r="A18" s="94" t="str">
        <f>LEFT(A17,4)+1&amp;"–"&amp;RIGHT(A17,4)+1</f>
        <v>2025–2026</v>
      </c>
      <c r="B18" s="2">
        <v>168264</v>
      </c>
      <c r="C18" s="2">
        <v>8136</v>
      </c>
      <c r="D18" s="25" t="s">
        <v>117</v>
      </c>
      <c r="E18" s="97"/>
      <c r="F18" s="97"/>
      <c r="G18" s="97"/>
      <c r="H18" s="97"/>
      <c r="I18" s="97"/>
      <c r="J18" s="97"/>
      <c r="K18" s="97"/>
    </row>
    <row r="19" spans="1:11" ht="15" customHeight="1" x14ac:dyDescent="0.2">
      <c r="A19" s="94" t="str">
        <f>LEFT(A18,4)+1&amp;"–"&amp;RIGHT(A18,4)+1</f>
        <v>2026–2027</v>
      </c>
      <c r="B19" s="2">
        <v>181556</v>
      </c>
      <c r="C19" s="2">
        <v>3664</v>
      </c>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1067080.04</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117</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5364449.3899999997</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2660</v>
      </c>
      <c r="C43" s="189"/>
    </row>
    <row r="44" spans="1:11" ht="15.75" x14ac:dyDescent="0.25">
      <c r="A44" s="92" t="s">
        <v>1600</v>
      </c>
      <c r="B44" s="190" t="str">
        <f>B13</f>
        <v>Transportation</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2660</v>
      </c>
      <c r="C74" s="189"/>
    </row>
    <row r="75" spans="1:4" ht="15.75" x14ac:dyDescent="0.25">
      <c r="A75" s="92" t="s">
        <v>1600</v>
      </c>
      <c r="B75" s="190" t="str">
        <f>B13</f>
        <v>Transportation</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sFVWh+xGOkLCAnlgeJd5TNg9wN3iVL/ohobEKdPI0Nf7bfe/cCYJJv32ICrS2+apadA/M0t7I7Xmu1ObDtcCXQ==" saltValue="Tn3MvzI3yGcP5BPCqHQgv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abSelected="1" topLeftCell="A3" zoomScaleNormal="100" workbookViewId="0">
      <selection activeCell="N10" sqref="N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0041 Journal Entries'!$F$5&amp;" "&amp;'Fund 0041 Journal Entries'!$F$4</f>
        <v>Business Unit 2660 Department of Transportation</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0041 Journal Entries'!$F$3,4)</f>
        <v>Balance
July 1, 2022</v>
      </c>
      <c r="G8" s="116"/>
      <c r="H8" s="117" t="s">
        <v>10</v>
      </c>
      <c r="I8" s="116"/>
      <c r="J8" s="117" t="s">
        <v>11</v>
      </c>
      <c r="K8" s="116"/>
      <c r="L8" s="115" t="str">
        <f>"Balance
June 30, "&amp;RIGHT('Fund 0041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+'Fund 0041 Journal Entries'!K19+'Fund 0042 Journal Entries'!K19+'Fund 0046 Journal Entries'!K19+'Fund 3290 Journal Entries'!K19</f>
        <v>2852088</v>
      </c>
      <c r="H10" s="3">
        <f>+'Fund 0041 Journal Entries'!K37+'Fund 0042 Journal Entries'!K37+'Fund 0046 Journal Entries'!K37+'Fund 3290 Journal Entries'!K37</f>
        <v>4669634</v>
      </c>
      <c r="J10" s="3">
        <f>+'Fund 0041 Journal Entries'!J56+'Fund 0042 Journal Entries'!J56+'Fund 0046 Journal Entries'!J56+'Fund 3290 Journal Entries'!J56</f>
        <v>4485019</v>
      </c>
      <c r="L10" s="119">
        <f>SUM(F10+H10-J10)</f>
        <v>3036703</v>
      </c>
      <c r="N10" s="3">
        <f>+'Fund 0041 Journal Entries'!J61+'Fund 0042 Journal Entries'!J61+'Fund 0046 Journal Entries'!J61+'Fund 3290 Journal Entries'!J61</f>
        <v>1393331</v>
      </c>
      <c r="P10" s="119">
        <f>L10-N10</f>
        <v>1643372</v>
      </c>
      <c r="Q10" s="109"/>
    </row>
    <row r="11" spans="2:17" ht="19.5" thickTop="1" thickBot="1" x14ac:dyDescent="0.3">
      <c r="B11" s="107"/>
      <c r="C11" s="195" t="s">
        <v>15</v>
      </c>
      <c r="D11" s="195"/>
      <c r="F11" s="120">
        <f>SUM(F10:F10)</f>
        <v>2852088</v>
      </c>
      <c r="H11" s="120">
        <f>SUM(H10:H10)</f>
        <v>4669634</v>
      </c>
      <c r="J11" s="120">
        <f>SUM(J10:J10)</f>
        <v>4485019</v>
      </c>
      <c r="L11" s="120">
        <f>SUM(L10:L10)</f>
        <v>3036703</v>
      </c>
      <c r="N11" s="120">
        <f>SUM(N10:N10)</f>
        <v>1393331</v>
      </c>
      <c r="P11" s="120">
        <f>SUM(P10:P10)</f>
        <v>1643372</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0041 Journal Entries'!$F$7="Proprietary - Internal Service Fund",'Fund 0041 Journal Entries'!$K$19,0)</f>
        <v>0</v>
      </c>
      <c r="H14" s="3">
        <f>IF('Fund 0041 Journal Entries'!$F$7="Proprietary - Internal Service Fund",'Fund 0041 Journal Entries'!$K$37,0)</f>
        <v>0</v>
      </c>
      <c r="J14" s="3">
        <f>IF('Fund 0041 Journal Entries'!$F$7="Proprietary - Internal Service Fund",'Fund 0041 Journal Entries'!$J$56,0)</f>
        <v>0</v>
      </c>
      <c r="L14" s="119">
        <f>SUM(F14+H14-J14)</f>
        <v>0</v>
      </c>
      <c r="N14" s="3">
        <f>IF('Fund 0041 Journal Entries'!$F$7="Proprietary - Internal Service Fund",'Fund 0041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0041 Journal Entries'!$F$7="Proprietary - Enterprise Fund",'Fund 0041 Journal Entries'!$K$19,0)</f>
        <v>0</v>
      </c>
      <c r="H18" s="3">
        <f>IF('Fund 0041 Journal Entries'!$F$7="Proprietary - Enterprise Fund",'Fund 0041 Journal Entries'!$K$37,0)</f>
        <v>0</v>
      </c>
      <c r="J18" s="3">
        <f>IF('Fund 0041 Journal Entries'!$F$7="Proprietary - Enterprise Fund",'Fund 0041 Journal Entries'!$J$56,0)</f>
        <v>0</v>
      </c>
      <c r="L18" s="119">
        <f>SUM(F18+H18-J18)</f>
        <v>0</v>
      </c>
      <c r="N18" s="3">
        <f>IF('Fund 0041 Journal Entries'!$F$7="Proprietary - Enterprise Fund",'Fund 0041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a0z8+K0FYscWmMdSqgwh2jo2K5iPDt6a5yT/OqjKlNNRTz5pG9loT9HyCALvj+DR03MM4wO0uy1xWoZkYvfhNA==" saltValue="yWErDeGD/4qklnM1we0cig=="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N10:O10 I14 K14:M14 O14"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47" zoomScale="112" zoomScaleNormal="112" workbookViewId="0">
      <selection activeCell="B16" sqref="B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0041 Journal Entries'!K19+'Fund 0042 Journal Entries'!K19+'Fund 0046 Journal Entries'!K19+'Fund 3290 Journal Entries'!K19</f>
        <v>2852088</v>
      </c>
      <c r="C16" s="15" t="s">
        <v>1552</v>
      </c>
      <c r="D16" s="14">
        <f>+'Fund 0041 Journal Entries'!K37+'Fund 0042 Journal Entries'!K37+'Fund 0046 Journal Entries'!K37+'Fund 3290 Journal Entries'!K37</f>
        <v>4669634</v>
      </c>
      <c r="E16" s="16" t="s">
        <v>1554</v>
      </c>
      <c r="F16" s="14">
        <f>+'Fund 0041 Journal Entries'!J56+'Fund 0042 Journal Entries'!J56+'Fund 0046 Journal Entries'!J56+'Fund 3290 Journal Entries'!J56</f>
        <v>4485019</v>
      </c>
      <c r="G16" s="16" t="s">
        <v>1556</v>
      </c>
      <c r="H16" s="17">
        <f>+B16+D16-F16</f>
        <v>3036703</v>
      </c>
      <c r="I16" s="16"/>
      <c r="J16" s="18">
        <f>ROUND(SUM('Department Note Disclosure'!$B$16:$B$39),0)</f>
        <v>3036703</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0041 Journal Entries'!$F$7="Proprietary - Internal Service Fund",ROUND('Fund 0041 Journal Entries'!$K$19,0),0)</f>
        <v>0</v>
      </c>
      <c r="C23" s="15" t="s">
        <v>1552</v>
      </c>
      <c r="D23" s="14">
        <f>IF('Fund 0041 Journal Entries'!$F$7="Proprietary - Internal Service Fund",ROUND('Fund 0041 Journal Entries'!$K$37,0),0)</f>
        <v>0</v>
      </c>
      <c r="E23" s="16" t="s">
        <v>1554</v>
      </c>
      <c r="F23" s="14">
        <f>IF('Fund 0041 Journal Entries'!$F$7="Proprietary - Internal Service Fund",ROUND('Fund 0041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0041 Journal Entries'!$F$7="Proprietary - Enterprise Fund",ROUND('Fund 0041 Journal Entries'!$K$19,0),0)</f>
        <v>0</v>
      </c>
      <c r="C31" s="15" t="s">
        <v>1552</v>
      </c>
      <c r="D31" s="14">
        <f>IF('Fund 0041 Journal Entries'!$F$7="Proprietary - Enterprise Fund",ROUND('Fund 0041 Journal Entries'!$K$37,0),0)</f>
        <v>0</v>
      </c>
      <c r="E31" s="16" t="s">
        <v>1554</v>
      </c>
      <c r="F31" s="14">
        <f>IF('Fund 0041 Journal Entries'!$F$7="Proprietary - Enterprise Fund",ROUND('Fund 0041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0041 Journal Entries'!J61+'Fund 0042 Journal Entries'!J61+'Fund 0046 Journal Entries'!J61+'Fund 3290 Journal Entries'!J61</f>
        <v>1393331</v>
      </c>
      <c r="G39" s="150"/>
      <c r="H39" s="150"/>
      <c r="I39" s="20"/>
      <c r="J39" s="18">
        <f>ROUND('Department Note Disclosure'!$B$16,0)</f>
        <v>1393331</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0041 Journal Entries'!$F$7="Proprietary - Internal Service Fund",ROUND('Fund 0041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0041 Journal Entries'!$F$7="Proprietary - Enterprise Fund",ROUND('Fund 0041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2852088</v>
      </c>
      <c r="H61" s="154" t="str">
        <f>"Balance July 1, "&amp;LEFT('Fund 0041 Journal Entries'!$F$3,4)</f>
        <v>Balance July 1, 2022</v>
      </c>
      <c r="J61" s="22">
        <f>ROUND('SBITA Liabilities'!$F$10,0)</f>
        <v>2852088</v>
      </c>
      <c r="L61" s="19">
        <f>D61-J61</f>
        <v>0</v>
      </c>
    </row>
    <row r="62" spans="1:13" x14ac:dyDescent="0.25">
      <c r="B62" s="152" t="s">
        <v>1630</v>
      </c>
      <c r="D62" s="22">
        <f>$D$16</f>
        <v>4669634</v>
      </c>
      <c r="H62" s="154" t="s">
        <v>10</v>
      </c>
      <c r="J62" s="22">
        <f>ROUND('SBITA Liabilities'!$H$10,0)</f>
        <v>4669634</v>
      </c>
      <c r="L62" s="19">
        <f>D62-J62</f>
        <v>0</v>
      </c>
    </row>
    <row r="63" spans="1:13" x14ac:dyDescent="0.25">
      <c r="B63" s="152" t="s">
        <v>1555</v>
      </c>
      <c r="D63" s="22">
        <f>$F$16</f>
        <v>4485019</v>
      </c>
      <c r="H63" s="154" t="s">
        <v>11</v>
      </c>
      <c r="J63" s="22">
        <f>ROUND('SBITA Liabilities'!$J$10,0)</f>
        <v>4485019</v>
      </c>
      <c r="L63" s="19">
        <f>D63-J63</f>
        <v>0</v>
      </c>
    </row>
    <row r="64" spans="1:13" x14ac:dyDescent="0.25">
      <c r="B64" s="152" t="s">
        <v>1559</v>
      </c>
      <c r="D64" s="22">
        <f>$F$39</f>
        <v>1393331</v>
      </c>
      <c r="H64" s="154" t="s">
        <v>12</v>
      </c>
      <c r="J64" s="22">
        <f>ROUND('SBITA Liabilities'!$N$10,0)</f>
        <v>1393331</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0041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0041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0nYzVMFRlCGwCtnTrPEy5tk0Qu3+x+M1wxOseCX5u+e0wOc1hF7UfMW0NDm4GMKAkQdPeMNJo2zsmOrCrrRcfg==" saltValue="30jOEkBLMfKMVz9YK5X9sw=="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98813DC8-6B48-4FA1-8149-66248B921D06}"/>
</file>

<file path=customXml/itemProps2.xml><?xml version="1.0" encoding="utf-8"?>
<ds:datastoreItem xmlns:ds="http://schemas.openxmlformats.org/officeDocument/2006/customXml" ds:itemID="{CBA18D73-0882-4E3F-9848-EE3181CF95AA}"/>
</file>

<file path=customXml/itemProps3.xml><?xml version="1.0" encoding="utf-8"?>
<ds:datastoreItem xmlns:ds="http://schemas.openxmlformats.org/officeDocument/2006/customXml" ds:itemID="{167549E1-3F6F-4184-A61A-51E0838AAE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Fund 0041 Journal Entries</vt:lpstr>
      <vt:lpstr>Fund 0042 Journal Entries</vt:lpstr>
      <vt:lpstr>Fund 0046 Journal Entries</vt:lpstr>
      <vt:lpstr>Fund 3290 Journal Entries</vt:lpstr>
      <vt:lpstr>Department Note Disclosure</vt:lpstr>
      <vt:lpstr>SBITA Liabilities</vt:lpstr>
      <vt:lpstr>Check Figures </vt:lpstr>
      <vt:lpstr>Drop Down Menus</vt:lpstr>
      <vt:lpstr>GAAP02Aindex</vt:lpstr>
      <vt:lpstr>'Department Note Disclosure'!Print_Area</vt:lpstr>
      <vt:lpstr>'Fund 0041 Journal Entries'!Print_Area</vt:lpstr>
      <vt:lpstr>'Fund 0042 Journal Entries'!Print_Area</vt:lpstr>
      <vt:lpstr>'Fund 0046 Journal Entries'!Print_Area</vt:lpstr>
      <vt:lpstr>'Fund 3290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2024-06-13T00:35:51Z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