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D5F4A070-E347-414C-9A26-74E6488FB508}" xr6:coauthVersionLast="47" xr6:coauthVersionMax="47" xr10:uidLastSave="{00000000-0000-0000-0000-000000000000}"/>
  <bookViews>
    <workbookView xWindow="39150" yWindow="-110" windowWidth="38620" windowHeight="21220" xr2:uid="{00000000-000D-0000-FFFF-FFFF00000000}"/>
  </bookViews>
  <sheets>
    <sheet name="Fund 3288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3288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<sst xmlns="http://schemas.openxmlformats.org/spreadsheetml/2006/main" count="7551" uniqueCount="1643">
  <si>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</si>
  <si>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</si>
  <si>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</si>
  <si>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</si>
  <si>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</si>
  <si>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</si>
  <si>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</si>
  <si>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</si>
  <si>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</si>
  <si>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</si>
  <si>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</si>
  <si>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</si>
  <si>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</si>
  <si>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</si>
  <si>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</si>
  <si>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</si>
  <si>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</si>
  <si>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</si>
  <si>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</si>
  <si>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</si>
  <si>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</si>
  <si>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</si>
  <si>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</si>
  <si>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</si>
  <si>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</si>
  <si>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</si>
  <si>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</si>
  <si>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</si>
  <si>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</si>
  <si>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</si>
  <si>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</si>
  <si>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</si>
  <si>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</si>
  <si>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</si>
  <si>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</si>
  <si>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</si>
  <si>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</si>
  <si>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</si>
  <si>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</si>
  <si>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</si>
  <si>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</si>
  <si>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</si>
  <si>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</si>
  <si>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</si>
  <si>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</si>
  <si>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</si>
  <si>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</si>
  <si>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</si>
  <si>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</si>
  <si>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</si>
  <si>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</si>
  <si>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</si>
  <si>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</si>
  <si>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</si>
  <si>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</si>
  <si>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</si>
  <si>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</si>
  <si>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</si>
  <si>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</si>
  <si>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</si>
  <si>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</si>
  <si>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</si>
  <si>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</si>
  <si>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</si>
  <si>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</si>
  <si>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</si>
  <si>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</si>
  <si>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</si>
  <si>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</si>
  <si>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</si>
  <si>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</si>
  <si>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</si>
  <si>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</si>
  <si>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</si>
  <si>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</si>
  <si>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</si>
  <si>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</si>
  <si>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</si>
  <si>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</si>
  <si>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</si>
  <si>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</si>
  <si>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</si>
  <si>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</si>
  <si>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</si>
  <si>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</si>
  <si>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</si>
  <si>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</si>
  <si>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</si>
  <si>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</si>
  <si>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</si>
  <si>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</si>
  <si>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</si>
  <si>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</si>
  <si>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</si>
  <si>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</si>
  <si>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</si>
  <si>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</si>
  <si>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</si>
  <si>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</si>
  <si>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</si>
  <si>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</si>
  <si>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</si>
  <si>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</si>
  <si>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</si>
  <si>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</si>
  <si>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</si>
  <si>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</si>
  <si>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</si>
  <si>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</si>
  <si>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</si>
  <si>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</si>
  <si>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</si>
  <si>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</si>
  <si>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</si>
  <si>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</si>
  <si>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</si>
  <si>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</si>
  <si>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</si>
  <si>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</si>
  <si>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</si>
  <si>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</si>
  <si>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</si>
  <si>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</si>
  <si>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</si>
  <si>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</si>
  <si>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</si>
  <si>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</si>
  <si>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</si>
  <si>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</si>
  <si>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</si>
  <si>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</si>
  <si>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</si>
  <si>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</si>
  <si>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</si>
  <si>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</si>
  <si>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</si>
  <si>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</si>
  <si>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</si>
  <si>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</si>
  <si>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</si>
  <si>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</si>
  <si>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</si>
  <si>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</si>
  <si>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</si>
  <si>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</si>
  <si>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</si>
  <si>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</si>
  <si>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</si>
  <si>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</si>
  <si>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</si>
  <si>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</si>
  <si>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</si>
  <si>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</si>
  <si>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</si>
  <si>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</si>
  <si>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</si>
  <si>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</si>
  <si>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</si>
  <si>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</si>
  <si>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</si>
  <si>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</si>
  <si>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</si>
  <si>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</si>
  <si>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</si>
  <si>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</si>
  <si>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</si>
  <si>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</si>
  <si>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</si>
  <si>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</si>
  <si>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</si>
  <si>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</si>
  <si>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</si>
  <si>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</si>
  <si>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</si>
  <si>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</si>
  <si>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</si>
  <si>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</si>
  <si>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</si>
  <si>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</si>
  <si>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</si>
  <si>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</si>
  <si>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</si>
  <si>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</si>
  <si>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</si>
  <si>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</si>
  <si>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</si>
  <si>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</si>
  <si>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</si>
  <si>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</si>
  <si>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</si>
  <si>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</si>
  <si>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</si>
  <si>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</si>
  <si>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</si>
  <si>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</si>
  <si>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</si>
  <si>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</si>
  <si>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</si>
  <si>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</si>
  <si>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</si>
  <si>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</si>
  <si>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</si>
  <si>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</si>
  <si>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</si>
  <si>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</si>
  <si>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</si>
  <si>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</si>
  <si>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</si>
  <si>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</si>
  <si>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</si>
  <si>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</si>
  <si>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</si>
  <si>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</si>
  <si>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</si>
  <si>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</si>
  <si>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</si>
  <si>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</si>
  <si>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</si>
  <si>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</si>
  <si>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</si>
  <si>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</si>
  <si>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</si>
  <si>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</si>
  <si>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</si>
  <si>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</si>
  <si>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</si>
  <si>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</si>
  <si>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</si>
  <si>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</si>
  <si>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</si>
  <si>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</si>
  <si>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</si>
  <si>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</si>
  <si>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</si>
  <si>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</si>
  <si>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</si>
  <si>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</si>
  <si>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</si>
  <si>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</si>
  <si>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</si>
  <si>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</si>
  <si>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</si>
  <si>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</si>
  <si>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</si>
  <si>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</si>
  <si>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</si>
  <si>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</si>
  <si>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</si>
  <si>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</si>
  <si>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</si>
  <si>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</si>
  <si>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</si>
  <si>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</si>
  <si>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</si>
  <si>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</si>
  <si>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</si>
  <si>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</si>
  <si>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</si>
  <si>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</si>
  <si>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</si>
  <si>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</si>
  <si>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</si>
  <si>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</si>
  <si>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</si>
  <si>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</si>
  <si>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</si>
  <si>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</si>
  <si>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</si>
  <si>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</si>
  <si>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</si>
  <si>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</si>
  <si>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</si>
  <si>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</si>
  <si>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</si>
  <si>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</si>
  <si>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</si>
  <si>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</si>
  <si>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</si>
  <si>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</si>
  <si>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</si>
  <si>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</si>
  <si>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</si>
  <si>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</si>
  <si>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</si>
  <si>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</si>
  <si>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</si>
  <si>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</si>
  <si>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</si>
  <si>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</si>
  <si>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</si>
  <si>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</si>
  <si>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</si>
  <si>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</si>
  <si>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</si>
  <si>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</si>
  <si>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</si>
  <si>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</si>
  <si>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</si>
  <si>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</si>
  <si>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</si>
  <si>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</si>
  <si>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</si>
  <si>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</si>
  <si>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</si>
  <si>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</si>
  <si>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</si>
  <si>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</si>
  <si>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</si>
  <si>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</si>
  <si>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</si>
  <si>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</si>
  <si>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</si>
  <si>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</si>
  <si>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</si>
  <si>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</si>
  <si>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</si>
  <si>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</si>
  <si>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</si>
  <si>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</si>
  <si>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</si>
  <si>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</si>
  <si>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</si>
  <si>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</si>
  <si>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</si>
  <si>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</si>
  <si>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</si>
  <si>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</si>
  <si>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</si>
  <si>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</si>
  <si>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</si>
  <si>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</si>
  <si>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</si>
  <si>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</si>
  <si>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</si>
  <si>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</si>
  <si>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</si>
  <si>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</si>
  <si>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</si>
  <si>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</si>
  <si>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</si>
  <si>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</si>
  <si>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</si>
  <si>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</si>
  <si>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</si>
  <si>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</si>
  <si>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</si>
  <si>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</si>
  <si>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</si>
  <si>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</si>
  <si>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</si>
  <si>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</si>
  <si>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</si>
  <si>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</si>
  <si>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</si>
  <si>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</si>
  <si>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</si>
  <si>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</si>
  <si>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</si>
  <si>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</si>
  <si>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</si>
  <si>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</si>
  <si>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</si>
  <si>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</si>
  <si>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</si>
  <si>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</si>
  <si>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</si>
  <si>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</si>
  <si>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</si>
  <si>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</si>
  <si>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</si>
  <si>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</si>
  <si>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</si>
  <si>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</si>
  <si>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</si>
  <si>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</si>
  <si>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</si>
  <si>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</si>
  <si>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</si>
  <si>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</si>
  <si>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</si>
  <si>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</si>
  <si>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</si>
  <si>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</si>
  <si>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</si>
  <si>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</si>
  <si>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</si>
  <si>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</si>
  <si>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</si>
  <si>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</si>
  <si>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</si>
  <si>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</si>
  <si>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</si>
  <si>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</si>
  <si>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</si>
  <si>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</si>
  <si>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</si>
  <si>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</si>
  <si>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</si>
  <si>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</si>
  <si>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</si>
  <si>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</si>
  <si>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</si>
  <si>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</si>
  <si>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</si>
  <si>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</si>
  <si>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</si>
  <si>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</si>
  <si>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</si>
  <si>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</si>
  <si>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</si>
  <si>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</si>
  <si>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</si>
  <si>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</si>
  <si>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</si>
  <si>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</si>
  <si>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</si>
  <si>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</si>
  <si>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</si>
  <si>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</si>
  <si>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</si>
  <si>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</si>
  <si>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</si>
  <si>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</si>
  <si>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</si>
  <si>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</si>
  <si>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</si>
  <si>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</si>
  <si>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</si>
  <si>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</si>
  <si>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</si>
  <si>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</si>
  <si>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</si>
  <si>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</si>
  <si>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</si>
  <si>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</si>
  <si>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</si>
  <si>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</si>
  <si>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</si>
  <si>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</si>
  <si>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</si>
  <si>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</si>
  <si>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</si>
  <si>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</si>
  <si>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</si>
  <si>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</si>
  <si>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</si>
  <si>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</si>
  <si>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</si>
  <si>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</si>
  <si>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</si>
  <si>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</si>
  <si>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</si>
  <si>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</si>
  <si>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</si>
  <si>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</si>
  <si>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</si>
  <si>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</si>
  <si>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</si>
  <si>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</si>
  <si>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</si>
  <si>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</si>
  <si>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</si>
  <si>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</si>
  <si>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</si>
  <si>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</si>
  <si>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</si>
  <si>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</si>
  <si>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</si>
  <si>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</si>
  <si>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</si>
  <si>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</si>
  <si>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</si>
  <si>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</si>
  <si>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</si>
  <si>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</si>
  <si>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</si>
  <si>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</si>
  <si>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</si>
  <si>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</si>
  <si>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</si>
  <si>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</si>
  <si>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</si>
  <si>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</si>
  <si>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</si>
  <si>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</si>
  <si>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</si>
  <si>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</si>
  <si>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</si>
  <si>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</si>
  <si>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</si>
  <si>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</si>
  <si>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</si>
  <si>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</si>
  <si>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</si>
  <si>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</si>
  <si>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</si>
  <si>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</si>
  <si>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</si>
  <si>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</si>
  <si>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</si>
  <si>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</si>
  <si>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</si>
  <si>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</si>
  <si>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</si>
  <si>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</si>
  <si>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</si>
  <si>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</si>
  <si>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</si>
  <si>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</si>
  <si>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</si>
  <si>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</si>
  <si>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</si>
  <si>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</si>
  <si>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</si>
  <si>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</si>
  <si>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</si>
  <si>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</si>
  <si>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</si>
  <si>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</si>
  <si>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</si>
  <si>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</si>
  <si>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</si>
  <si>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</si>
  <si>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</si>
  <si>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</si>
  <si>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</si>
  <si>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</si>
  <si>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</si>
  <si>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</si>
  <si>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</si>
  <si>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</si>
  <si>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</si>
  <si>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</si>
  <si>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</si>
  <si>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</si>
  <si>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</si>
  <si>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</si>
  <si>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</si>
  <si>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</si>
  <si>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</si>
  <si>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</si>
  <si>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</si>
  <si>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</si>
  <si>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</si>
  <si>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</si>
  <si>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</si>
  <si>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</si>
  <si>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</si>
  <si>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</si>
  <si>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</si>
  <si>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</si>
  <si>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</si>
  <si>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</si>
  <si>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</si>
  <si>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</si>
  <si>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</si>
  <si>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</si>
  <si>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</si>
  <si>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</si>
  <si>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</si>
  <si>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</si>
  <si>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</si>
  <si>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</si>
  <si>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</si>
  <si>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</si>
  <si>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</si>
  <si>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</si>
  <si>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</si>
  <si>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</si>
  <si>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</si>
  <si>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</si>
  <si>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</si>
  <si>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</si>
  <si>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</si>
  <si>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</si>
  <si>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</si>
  <si>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</si>
  <si>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</si>
  <si>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</si>
  <si>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</si>
  <si>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</si>
  <si>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</si>
  <si>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</si>
  <si>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</si>
  <si>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</si>
  <si>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</si>
  <si>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</si>
  <si>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</si>
  <si>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</si>
  <si>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</si>
  <si>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</si>
  <si>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</si>
  <si>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</si>
  <si>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</si>
  <si>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</si>
  <si>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</si>
  <si>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</si>
  <si>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</si>
  <si>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</si>
  <si>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</si>
  <si>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</si>
  <si>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</si>
  <si>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</si>
  <si>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</si>
  <si>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</si>
  <si>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</si>
  <si>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</si>
  <si>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</si>
  <si>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</si>
  <si>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</si>
  <si>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</si>
  <si>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</si>
  <si>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</si>
  <si>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</si>
  <si>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</si>
  <si>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</si>
  <si>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</si>
  <si>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</si>
  <si>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</si>
  <si>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</si>
  <si>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</si>
  <si>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</si>
  <si>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</si>
  <si>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</si>
  <si>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</si>
  <si>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</si>
  <si>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</si>
  <si>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</si>
  <si>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</si>
  <si>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</si>
  <si>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</si>
  <si>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</si>
  <si>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</si>
  <si>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</si>
  <si>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</si>
  <si>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</si>
  <si>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</si>
  <si>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</si>
  <si>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</si>
  <si>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</si>
  <si>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</si>
  <si>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</si>
  <si>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</si>
  <si>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</si>
  <si>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</si>
  <si>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</si>
  <si>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</si>
  <si>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</si>
  <si>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</si>
  <si>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</si>
  <si>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</si>
  <si>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</si>
  <si>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</si>
  <si>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</si>
  <si>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</si>
  <si>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</si>
  <si>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</si>
  <si>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</si>
  <si>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</si>
  <si>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</si>
  <si>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</si>
  <si>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</si>
  <si>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</si>
  <si>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</si>
  <si>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</si>
  <si>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</si>
  <si>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</si>
  <si>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</si>
  <si>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</si>
  <si>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</si>
  <si>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</si>
  <si>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</si>
  <si>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</si>
  <si>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</si>
  <si>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</si>
  <si>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</si>
  <si>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</si>
  <si>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</si>
  <si>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</si>
  <si>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</si>
  <si>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</si>
  <si>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</si>
  <si>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</si>
  <si>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</si>
  <si>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</si>
  <si>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</si>
  <si>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</si>
  <si>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</si>
  <si>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</si>
  <si>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</si>
  <si>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</si>
  <si>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</si>
  <si>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</si>
  <si>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</si>
  <si>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</si>
  <si>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</si>
  <si>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</si>
  <si>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</si>
  <si>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</si>
  <si>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</si>
  <si>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</si>
  <si>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</si>
  <si>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</si>
  <si>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</si>
  <si>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</si>
  <si>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</si>
  <si>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</si>
  <si>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</si>
  <si>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</si>
  <si>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</si>
  <si>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</si>
  <si>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</si>
  <si>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</si>
  <si>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</si>
  <si>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</si>
  <si>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</si>
  <si>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</si>
  <si>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</si>
  <si>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</si>
  <si>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</si>
  <si>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</si>
  <si>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</si>
  <si>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</si>
  <si>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</si>
  <si>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</si>
  <si>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</si>
  <si>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</si>
  <si>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</si>
  <si>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</si>
  <si>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</si>
  <si>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</si>
  <si>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</si>
  <si>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</si>
  <si>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</si>
  <si>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</si>
  <si>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</si>
  <si>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</si>
  <si>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</si>
  <si>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</si>
  <si>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</si>
  <si>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</si>
  <si>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</si>
  <si>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</si>
  <si>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</si>
  <si>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</si>
  <si>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</si>
  <si>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</si>
  <si>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</si>
  <si>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</si>
  <si>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</si>
  <si>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</si>
  <si>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</si>
  <si>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</si>
  <si>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</si>
  <si>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</si>
  <si>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</si>
  <si>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</si>
  <si>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</si>
  <si>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</si>
  <si>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</si>
  <si>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</si>
  <si>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</si>
  <si>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</si>
  <si>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</si>
  <si>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</si>
  <si>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</si>
  <si>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</si>
  <si>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</si>
  <si>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</si>
  <si>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</si>
  <si>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</si>
  <si>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</si>
  <si>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</si>
  <si>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</si>
  <si>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</si>
  <si>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</si>
  <si>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</si>
  <si>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</si>
  <si>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</si>
  <si>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</si>
  <si>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</si>
  <si>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</si>
  <si>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</si>
  <si>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</si>
  <si>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</si>
  <si>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</si>
  <si>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</si>
  <si>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</si>
  <si>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</si>
  <si>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</si>
  <si>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</si>
  <si>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</si>
  <si>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</si>
  <si>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</si>
  <si>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</si>
  <si>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</si>
  <si>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</si>
  <si>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</si>
  <si>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</si>
  <si>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</si>
  <si>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</si>
  <si>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</si>
  <si>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</si>
  <si>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</si>
  <si>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</si>
  <si>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</si>
  <si>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</si>
  <si>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</si>
  <si>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</si>
  <si>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</si>
  <si>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</si>
  <si>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</si>
  <si>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</si>
  <si>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</si>
  <si>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</si>
  <si>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</si>
  <si>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</si>
  <si>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</si>
  <si>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</si>
  <si>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</si>
  <si>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</si>
  <si>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</si>
  <si>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</si>
  <si>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</si>
  <si>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</si>
  <si>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</si>
  <si>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</si>
  <si>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</si>
  <si>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</si>
  <si>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</si>
  <si>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</si>
  <si>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</si>
  <si>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</si>
  <si>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</si>
  <si>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</si>
  <si>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</si>
  <si>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</si>
  <si>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</si>
  <si>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</si>
  <si>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</si>
  <si>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</si>
  <si>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</si>
  <si>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</si>
  <si>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</si>
  <si>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</si>
  <si>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</si>
  <si>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</si>
  <si>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</si>
  <si>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</si>
  <si>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</si>
  <si>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</si>
  <si>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</si>
  <si>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</si>
  <si>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</si>
  <si>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</si>
  <si>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</si>
  <si>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</si>
  <si>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</si>
  <si>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</si>
  <si>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</si>
  <si>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</si>
  <si>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</si>
  <si>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</si>
  <si>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</si>
  <si>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</si>
  <si>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</si>
  <si>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</si>
  <si>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</si>
  <si>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</si>
  <si>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</si>
  <si>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</si>
  <si>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</si>
  <si>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</si>
  <si>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</si>
  <si>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</si>
  <si>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</si>
  <si>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</si>
  <si>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</si>
  <si>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</si>
  <si>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</si>
  <si>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</si>
  <si>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</si>
  <si>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</si>
  <si>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</si>
  <si>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</si>
  <si>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</si>
  <si>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</si>
  <si>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</si>
  <si>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</si>
  <si>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</si>
  <si>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</si>
  <si>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</si>
  <si>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</si>
  <si>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</si>
  <si>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</si>
  <si>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</si>
  <si>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</si>
  <si>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</si>
  <si>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</si>
  <si>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</si>
  <si>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</si>
  <si>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</si>
  <si>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</si>
  <si>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</si>
  <si>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</si>
  <si>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</si>
  <si>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</si>
  <si>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</si>
  <si>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</si>
  <si>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</si>
  <si>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</si>
  <si>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</si>
  <si>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</si>
  <si>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</si>
  <si>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</si>
  <si>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</si>
  <si>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</si>
  <si>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</si>
  <si>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</si>
  <si>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</si>
  <si>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</si>
  <si>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</si>
  <si>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</si>
  <si>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</si>
  <si>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</si>
  <si>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</si>
  <si>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</si>
  <si>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</si>
  <si>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</si>
  <si>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</si>
  <si>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</si>
  <si>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</si>
  <si>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</si>
  <si>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</si>
  <si>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</si>
  <si>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</si>
  <si>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</si>
  <si>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</si>
  <si>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</si>
  <si>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</si>
  <si>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</si>
  <si>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</si>
  <si>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</si>
  <si>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</si>
  <si>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</si>
  <si>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</si>
  <si>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</si>
  <si>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</si>
  <si>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</si>
  <si>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</si>
  <si>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</si>
  <si>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</si>
  <si>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</si>
  <si>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</si>
  <si>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</si>
  <si>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</si>
  <si>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</si>
  <si>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</si>
  <si>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</si>
  <si>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</si>
  <si>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</si>
  <si>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</si>
  <si>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</si>
  <si>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</si>
  <si>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</si>
  <si>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</si>
  <si>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</si>
  <si>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</si>
  <si>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</si>
  <si>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</si>
  <si>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</si>
  <si>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</si>
  <si>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</si>
  <si>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</si>
  <si>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</si>
  <si>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</si>
  <si>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</si>
  <si>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</si>
  <si>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</si>
  <si>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</si>
  <si>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</si>
  <si>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</si>
  <si>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</si>
  <si>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</si>
  <si>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</si>
  <si>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</si>
  <si>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</si>
  <si>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</si>
  <si>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</si>
  <si>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</si>
  <si>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</si>
  <si>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</si>
  <si>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</si>
  <si>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</si>
  <si>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</si>
  <si>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</si>
  <si>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</si>
  <si>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</si>
  <si>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</si>
  <si>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</si>
  <si>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</si>
  <si>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</si>
  <si>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</si>
  <si>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</si>
  <si>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</si>
  <si>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</si>
  <si>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</si>
  <si>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</si>
  <si>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</si>
  <si>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</si>
  <si>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</si>
  <si>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</si>
  <si>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</si>
  <si>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</si>
  <si>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</si>
  <si>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</si>
  <si>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</si>
  <si>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</si>
  <si>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</si>
  <si>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</si>
  <si>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</si>
  <si>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</si>
  <si>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</si>
  <si>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</si>
  <si>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</si>
  <si>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</si>
  <si>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</si>
  <si>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</si>
  <si>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</si>
  <si>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</si>
  <si>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</si>
  <si>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</si>
  <si>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</si>
  <si>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</si>
  <si>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</si>
  <si>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</si>
  <si>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</si>
  <si>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</si>
  <si>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</si>
  <si>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</si>
  <si>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</si>
  <si>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</si>
  <si>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</si>
  <si>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</si>
  <si>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</si>
  <si>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</si>
  <si>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</si>
  <si>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</si>
  <si>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</si>
  <si>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</si>
  <si>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</si>
  <si>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</si>
  <si>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</si>
  <si>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</si>
  <si>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</si>
  <si>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</si>
  <si>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</si>
  <si>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</si>
  <si>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</si>
  <si>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</si>
  <si>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</si>
  <si>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</si>
  <si>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</si>
  <si>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</si>
  <si>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</si>
  <si>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</si>
  <si>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</si>
  <si>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</si>
  <si>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</si>
  <si>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</si>
  <si>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</si>
  <si>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</si>
  <si>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</si>
  <si>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</si>
  <si>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</si>
  <si>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</si>
  <si>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</si>
  <si>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</si>
  <si>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</si>
  <si>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</si>
  <si>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</si>
  <si>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</si>
  <si>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</si>
  <si>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</si>
  <si>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</si>
  <si>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</si>
  <si>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</si>
  <si>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</si>
  <si>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</si>
  <si>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</si>
  <si>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</si>
  <si>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</si>
  <si>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</si>
  <si>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</si>
  <si>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</si>
  <si>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</si>
  <si>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</si>
  <si>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</si>
  <si>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</si>
  <si>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</si>
  <si>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</si>
  <si>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</si>
  <si>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</si>
  <si>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</si>
  <si>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</si>
  <si>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</si>
  <si>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</si>
  <si>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</si>
  <si>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</si>
  <si>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</si>
  <si>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</si>
  <si>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</si>
  <si>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</si>
  <si>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</si>
  <si>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</si>
  <si>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</si>
  <si>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</si>
  <si>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</si>
  <si>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</si>
  <si>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</si>
  <si>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</si>
  <si>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</si>
  <si>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</si>
  <si>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</si>
  <si>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</si>
  <si>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</si>
  <si>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</si>
  <si>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</si>
  <si>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</si>
  <si>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</si>
  <si>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</si>
  <si>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</si>
  <si>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</si>
  <si>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</si>
  <si>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</si>
  <si>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</si>
  <si>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</si>
  <si>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</si>
  <si>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</si>
  <si>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</si>
  <si>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</si>
  <si>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</si>
  <si>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</si>
  <si>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</si>
  <si>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</si>
  <si>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</si>
  <si>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</si>
  <si>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</si>
  <si>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</si>
  <si>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</si>
  <si>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</si>
  <si>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</si>
  <si>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</si>
  <si>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</si>
  <si>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</si>
  <si>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</si>
  <si>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</si>
  <si>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</si>
  <si>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</si>
  <si>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</si>
  <si>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</si>
  <si>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</si>
  <si>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</si>
  <si>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</si>
  <si>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</si>
  <si>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</si>
  <si>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</si>
  <si>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</si>
  <si>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</si>
  <si>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</si>
  <si>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</si>
  <si>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</si>
  <si>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</si>
  <si>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</si>
  <si>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</si>
  <si>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</si>
  <si>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</si>
  <si>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</si>
  <si>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</si>
  <si>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</si>
  <si>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</si>
  <si>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</si>
  <si>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</si>
  <si>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</si>
  <si>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</si>
  <si>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</si>
  <si>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</si>
  <si>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</si>
  <si>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</si>
  <si>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</si>
  <si>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</si>
  <si>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</si>
  <si>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</si>
  <si>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</si>
  <si>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</si>
  <si>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</si>
  <si>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</si>
  <si>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</si>
  <si>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</si>
  <si>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</si>
  <si>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</si>
  <si>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</si>
  <si>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</si>
  <si>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</si>
  <si>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</si>
  <si>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</si>
  <si>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</si>
  <si>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</si>
  <si>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</si>
  <si>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</si>
  <si>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</si>
  <si>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</si>
  <si>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</si>
  <si>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</si>
  <si>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</si>
  <si>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</si>
  <si>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</si>
  <si>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</si>
  <si>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</si>
  <si>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</si>
  <si>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</si>
  <si>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</si>
  <si>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</si>
  <si>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</si>
  <si>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</si>
  <si>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</si>
  <si>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</si>
  <si>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</si>
  <si>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</si>
  <si>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</si>
  <si>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</si>
  <si>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</si>
  <si>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</si>
  <si>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</si>
  <si>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</si>
  <si>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</si>
  <si>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</si>
  <si>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</si>
  <si>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</si>
  <si>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</si>
  <si>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</si>
  <si>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</si>
  <si>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</si>
  <si>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</si>
  <si>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</si>
  <si>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</si>
  <si>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</si>
  <si>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</si>
  <si>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</si>
  <si>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</si>
  <si>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</si>
  <si>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</si>
  <si>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</si>
  <si>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</si>
  <si>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</si>
  <si>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</si>
  <si>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</si>
  <si>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</si>
  <si>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</si>
  <si>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</si>
  <si>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</si>
  <si>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</si>
  <si>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</si>
  <si>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</si>
  <si>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</si>
  <si>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</si>
  <si>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</si>
  <si>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</si>
  <si>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</si>
  <si>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</si>
  <si>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</si>
  <si>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</si>
  <si>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</si>
  <si>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</si>
  <si>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</si>
  <si>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</si>
  <si>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</si>
  <si>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</si>
  <si>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</si>
  <si>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</si>
  <si>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</si>
  <si>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</si>
  <si>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</si>
  <si>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</si>
  <si>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</si>
  <si>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</si>
  <si>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</si>
  <si>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</si>
  <si>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</si>
  <si>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</si>
  <si>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</si>
  <si>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</si>
  <si>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</si>
  <si>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</si>
  <si>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</si>
  <si>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</si>
  <si>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</si>
  <si>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</si>
  <si>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</si>
  <si>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</si>
  <si>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</si>
  <si>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</si>
  <si>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</si>
  <si>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</si>
  <si>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</si>
  <si>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</si>
  <si>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</si>
  <si>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</si>
  <si>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</si>
  <si>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</si>
  <si>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</si>
  <si>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</si>
  <si>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</si>
  <si>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</si>
  <si>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</si>
  <si>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</si>
  <si>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</si>
  <si>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</si>
  <si>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</si>
  <si>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</si>
  <si>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</si>
  <si>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</si>
  <si>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</si>
  <si>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</si>
  <si>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</si>
  <si>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</si>
  <si>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</si>
  <si>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</si>
  <si>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</si>
  <si>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</si>
  <si>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</si>
  <si>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</si>
  <si>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</si>
  <si>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</si>
  <si>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</si>
  <si>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</si>
  <si>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</si>
  <si>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</si>
  <si>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</si>
  <si>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</si>
  <si>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</si>
  <si>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</si>
  <si>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</si>
  <si>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</si>
  <si>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</si>
  <si>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</si>
  <si>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</si>
  <si>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</si>
  <si>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</si>
  <si>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</si>
  <si>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</si>
  <si>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</si>
  <si>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</si>
  <si>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</si>
  <si>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</si>
  <si>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</si>
  <si>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</si>
  <si>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</si>
  <si>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</si>
  <si>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</si>
  <si>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</si>
  <si>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</si>
  <si>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</si>
  <si>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</si>
  <si>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</si>
  <si>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</si>
  <si>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</si>
  <si>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</si>
  <si>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</si>
  <si>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</si>
  <si>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</si>
  <si>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</si>
  <si>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</si>
  <si>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</si>
  <si>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</si>
  <si>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</si>
  <si>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</si>
  <si>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</si>
  <si>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</si>
  <si>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</si>
  <si>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</si>
  <si>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</si>
  <si>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</si>
  <si>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</si>
  <si>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</si>
  <si>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</si>
  <si>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</si>
  <si>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</si>
  <si>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</si>
  <si>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</si>
  <si>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</si>
  <si>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</si>
  <si>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</si>
  <si>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</si>
  <si>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</si>
  <si>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</si>
  <si>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</si>
  <si>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</si>
  <si>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</si>
  <si>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</si>
  <si>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</si>
  <si>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</si>
  <si>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</si>
  <si>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</si>
  <si>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</si>
  <si>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</si>
  <si>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</si>
  <si>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</si>
  <si>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</si>
  <si>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</si>
  <si>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</si>
  <si>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</si>
  <si>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</si>
  <si>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</si>
  <si>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</si>
  <si>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</si>
  <si>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</si>
  <si>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</si>
  <si>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</si>
  <si>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</si>
  <si>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</si>
  <si>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</si>
  <si>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</si>
  <si>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</si>
  <si>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</si>
  <si>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</si>
  <si>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</si>
  <si>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</si>
  <si>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</si>
  <si>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</si>
  <si>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</si>
  <si>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</si>
  <si>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</si>
  <si>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</si>
  <si>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</si>
  <si>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</si>
  <si>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</si>
  <si>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</si>
  <si>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</si>
  <si>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</si>
  <si>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</si>
  <si>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</si>
  <si>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</si>
  <si>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</si>
  <si>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</si>
  <si>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</si>
  <si>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</si>
  <si>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</si>
  <si>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</si>
  <si>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</si>
  <si>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</si>
  <si>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</si>
  <si>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</si>
  <si>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</si>
  <si>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</si>
  <si>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</si>
  <si>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</si>
  <si>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</si>
  <si>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</si>
  <si>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</si>
  <si>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</si>
  <si>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</si>
  <si>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</si>
  <si>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</si>
  <si>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</si>
  <si>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</si>
  <si>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</si>
  <si>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</si>
  <si>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</si>
  <si>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</si>
  <si>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</si>
  <si>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</si>
  <si>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</si>
  <si>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</si>
  <si>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</si>
  <si>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</si>
  <si>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</si>
  <si>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</si>
  <si>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</si>
  <si>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</si>
  <si>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</si>
  <si>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</si>
  <si>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</si>
  <si>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</si>
  <si>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</si>
  <si>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</si>
  <si>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</si>
  <si>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</si>
  <si>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</si>
  <si>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</si>
  <si>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</si>
  <si>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</si>
  <si>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</si>
  <si>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</si>
  <si>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</si>
  <si>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</si>
  <si>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</si>
  <si>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</si>
  <si>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</si>
  <si>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</si>
  <si>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</si>
  <si>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</si>
  <si>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</si>
  <si>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</si>
  <si>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</si>
  <si>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</si>
  <si>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</si>
  <si>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</si>
  <si>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</si>
  <si>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</si>
  <si>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</si>
  <si>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</si>
  <si>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</si>
  <si>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</si>
  <si>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</si>
  <si>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</si>
  <si>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</si>
  <si>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</si>
  <si>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</si>
  <si>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</si>
  <si>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</si>
  <si>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</si>
  <si>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</si>
  <si>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</si>
  <si>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</si>
  <si>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</si>
  <si>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</si>
  <si>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</si>
  <si>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</si>
  <si>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</si>
  <si>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</si>
  <si>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</si>
  <si>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</si>
  <si>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</si>
  <si>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</si>
  <si>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</si>
  <si>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</si>
  <si>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</si>
  <si>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</si>
  <si>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</si>
  <si>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</si>
  <si>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</si>
  <si>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</si>
  <si>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</si>
  <si>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</si>
  <si>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</si>
  <si>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</si>
  <si>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</si>
  <si>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</si>
  <si>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</si>
  <si>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</si>
  <si>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</si>
  <si>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</si>
  <si>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</si>
  <si>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</si>
  <si>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</si>
  <si>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</si>
  <si>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</si>
  <si>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</si>
  <si>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</si>
  <si>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</si>
  <si>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</si>
  <si>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</si>
  <si>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</si>
  <si>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</si>
  <si>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</si>
  <si>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</si>
  <si>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</si>
  <si>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</si>
  <si>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</si>
  <si>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</si>
  <si>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</si>
  <si>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</si>
  <si>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</si>
  <si>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</si>
  <si>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</si>
  <si>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</si>
  <si>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</si>
  <si>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</si>
  <si>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</si>
  <si>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</si>
  <si>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</si>
  <si>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</si>
  <si>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</si>
  <si>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</si>
  <si>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</si>
  <si>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</si>
  <si>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</si>
  <si>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</si>
  <si>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</si>
  <si>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</si>
  <si>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</si>
  <si>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</si>
  <si>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</si>
  <si>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</si>
  <si>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</si>
  <si>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</si>
  <si>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</si>
  <si>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</si>
  <si>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</si>
  <si>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</si>
  <si>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</si>
  <si>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</si>
  <si>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</si>
  <si>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</si>
  <si>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</si>
  <si>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</si>
  <si>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</si>
  <si>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</si>
  <si>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</si>
  <si>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</si>
  <si>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</si>
  <si>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</si>
  <si>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</si>
  <si>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</si>
  <si>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</si>
  <si>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</si>
  <si>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</si>
  <si>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</si>
  <si>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</si>
  <si>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</si>
  <si>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</si>
  <si>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</si>
  <si>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</si>
  <si>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</si>
  <si>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</si>
  <si>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</si>
  <si>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</si>
  <si>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</si>
  <si>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</si>
  <si>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</si>
  <si>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</si>
  <si>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</si>
  <si>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</si>
  <si>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</si>
  <si>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</si>
  <si>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</si>
  <si>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</si>
  <si>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</si>
  <si>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</si>
  <si>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</si>
  <si>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</si>
  <si>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 xml:space="preserve">Department of Cannabis Control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</si>
</sst>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7" zoomScale="85" zoomScaleNormal="85" workbookViewId="0">
      <selection activeCell="J45" sqref="J4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1538</v>
      </c>
      <c r="G5" s="180"/>
      <c r="H5" s="180"/>
      <c r="I5" s="180"/>
      <c r="J5" s="47"/>
      <c r="K5" s="47"/>
      <c r="L5" s="48"/>
      <c r="M5" s="48"/>
      <c r="N5" s="48"/>
    </row>
    <row r="6" spans="1:17" ht="15.75" x14ac:dyDescent="0.2">
      <c r="A6" s="173" t="s">
        <v>1</v>
      </c>
      <c r="B6" s="173"/>
      <c r="C6" s="173"/>
      <c r="D6" s="173"/>
      <c r="E6" s="173"/>
      <c r="F6" s="181">
        <v>3288</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BUS, CONSUMER SERV, HOUSING</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2746477</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2746477</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2746477</v>
      </c>
      <c r="K22" s="29">
        <f>ROUND(SUM(K18:K21),2)</f>
        <v>2746477</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0825 - BUS, CONSUMER SERV, HOUSING</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0825 - BUS, CONSUMER SERV, HOUSING</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1373238</v>
      </c>
      <c r="K45" s="33"/>
    </row>
    <row r="46" spans="1:12" ht="16.5" customHeight="1" x14ac:dyDescent="0.2">
      <c r="A46" s="56"/>
      <c r="B46" s="71"/>
      <c r="C46" s="165" t="s">
        <v>1587</v>
      </c>
      <c r="D46" s="165"/>
      <c r="E46" s="165"/>
      <c r="F46" s="165"/>
      <c r="G46" s="165"/>
      <c r="H46" s="165"/>
      <c r="I46" s="165"/>
      <c r="J46" s="36"/>
      <c r="K46" s="32">
        <f>J45</f>
        <v>1373238</v>
      </c>
    </row>
    <row r="47" spans="1:12" ht="16.5" customHeight="1" x14ac:dyDescent="0.2">
      <c r="A47" s="68"/>
      <c r="B47" s="58"/>
      <c r="C47" s="58"/>
      <c r="D47" s="58"/>
      <c r="E47" s="58"/>
      <c r="F47" s="58"/>
      <c r="G47" s="58"/>
      <c r="H47" s="58"/>
      <c r="I47" s="58"/>
      <c r="J47" s="39">
        <f>ROUND(SUM(J45:J45),2)</f>
        <v>1373238</v>
      </c>
      <c r="K47" s="39">
        <f>ROUND(SUM(K46),2)</f>
        <v>1373238</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1359551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30149</v>
      </c>
      <c r="K51" s="81"/>
    </row>
    <row r="52" spans="1:12" ht="16.5" customHeight="1" x14ac:dyDescent="0.25">
      <c r="A52" s="56"/>
      <c r="B52" s="57"/>
      <c r="C52" s="165" t="str">
        <f>VLOOKUP($F$8,'Drop Down Menus'!$D$2:$G$10,4,FALSE)</f>
        <v>Cr: Acct 0825 - BUS, CONSUMER SERV, HOUSING</v>
      </c>
      <c r="D52" s="165"/>
      <c r="E52" s="165"/>
      <c r="F52" s="165"/>
      <c r="G52" s="165"/>
      <c r="H52" s="165"/>
      <c r="I52" s="165"/>
      <c r="J52" s="81"/>
      <c r="K52" s="38">
        <f>+J50+J51</f>
        <v>1389700</v>
      </c>
    </row>
    <row r="53" spans="1:12" ht="16.5" customHeight="1" x14ac:dyDescent="0.2">
      <c r="A53" s="68"/>
      <c r="B53" s="58"/>
      <c r="C53" s="58"/>
      <c r="D53" s="58"/>
      <c r="E53" s="58"/>
      <c r="F53" s="58"/>
      <c r="G53" s="58"/>
      <c r="H53" s="58"/>
      <c r="I53" s="58"/>
      <c r="J53" s="39">
        <f>ROUND(SUM(J50:J51),2)</f>
        <v>1389700</v>
      </c>
      <c r="K53" s="39">
        <f>ROUND(SUM(K52,),2)</f>
        <v>1389700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1359551</v>
      </c>
      <c r="K56" s="36"/>
    </row>
    <row r="57" spans="1:12" ht="16.5" customHeight="1" x14ac:dyDescent="0.25">
      <c r="A57" s="56"/>
      <c r="B57" s="57"/>
      <c r="C57" s="165" t="s">
        <v>1613</v>
      </c>
      <c r="D57" s="165"/>
      <c r="E57" s="165"/>
      <c r="F57" s="165"/>
      <c r="G57" s="165"/>
      <c r="H57" s="165"/>
      <c r="I57" s="165"/>
      <c r="J57" s="36"/>
      <c r="K57" s="32">
        <f>J50</f>
        <v>1359551</v>
      </c>
    </row>
    <row r="58" spans="1:12" ht="16.5" customHeight="1" x14ac:dyDescent="0.2">
      <c r="A58" s="68"/>
      <c r="B58" s="58"/>
      <c r="C58" s="58"/>
      <c r="D58" s="58"/>
      <c r="E58" s="58"/>
      <c r="F58" s="58"/>
      <c r="G58" s="58"/>
      <c r="H58" s="58"/>
      <c r="I58" s="58"/>
      <c r="J58" s="39">
        <f>ROUND(SUM(J56:J56),2)</f>
        <v>1359551</v>
      </c>
      <c r="K58" s="39">
        <f>ROUND(SUM(K57),2)</f>
        <v>1359551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1386926</v>
      </c>
      <c r="K61" s="33"/>
    </row>
    <row r="62" spans="1:12" ht="16.5" customHeight="1" x14ac:dyDescent="0.25">
      <c r="A62" s="56"/>
      <c r="B62" s="57"/>
      <c r="C62" s="165" t="s">
        <v>1623</v>
      </c>
      <c r="D62" s="165"/>
      <c r="E62" s="165"/>
      <c r="F62" s="165"/>
      <c r="G62" s="165"/>
      <c r="H62" s="165"/>
      <c r="I62" s="165"/>
      <c r="J62" s="33"/>
      <c r="K62" s="32">
        <f>J61</f>
        <v>1386926</v>
      </c>
    </row>
    <row r="63" spans="1:12" ht="16.5" customHeight="1" x14ac:dyDescent="0.2">
      <c r="A63" s="56"/>
      <c r="B63" s="166" t="s">
        <v>1622</v>
      </c>
      <c r="C63" s="166"/>
      <c r="D63" s="166"/>
      <c r="E63" s="166"/>
      <c r="F63" s="166"/>
      <c r="G63" s="166"/>
      <c r="H63" s="166"/>
      <c r="I63" s="166"/>
      <c r="J63" s="39">
        <f>ROUND(SUM(J61:J61),2)</f>
        <v>1386926</v>
      </c>
      <c r="K63" s="39">
        <f>ROUND(SUM(K62),2)</f>
        <v>1386926</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0825 - BUS, CONSUMER SERV, HOUSING</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0825 - BUS, CONSUMER SERV, HOUSING</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2746477</v>
      </c>
    </row>
    <row r="95" spans="1:12" ht="16.5" customHeight="1" x14ac:dyDescent="0.25">
      <c r="D95" s="57" t="s">
        <v>1641</v>
      </c>
      <c r="E95"/>
      <c r="F95"/>
      <c r="G95"/>
      <c r="H95" s="44"/>
      <c r="I95"/>
      <c r="J95"/>
      <c r="K95" s="162">
        <f>-K18-K46+J68+J77</f>
        <v>-1373238</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-1386926</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6" sqref="C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1115</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1386926</v>
      </c>
      <c r="C16" s="2">
        <v>2774</v>
      </c>
      <c r="D16" s="185" t="s">
        <v>1537</v>
      </c>
      <c r="E16" s="97"/>
      <c r="F16" s="97"/>
      <c r="G16" s="97"/>
      <c r="H16" s="97"/>
      <c r="I16" s="97"/>
      <c r="J16" s="97"/>
      <c r="K16" s="97"/>
    </row>
    <row r="17" spans="1:11" ht="15" customHeight="1" x14ac:dyDescent="0.2">
      <c r="A17" s="94" t="str">
        <f>LEFT(A16,4)+1&amp;"–"&amp;RIGHT(A16,4)+1</f>
        <v>2024–2025</v>
      </c>
      <c r="B17" s="2"/>
      <c r="C17" s="2"/>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1115</v>
      </c>
      <c r="C43" s="184"/>
    </row>
    <row r="44" spans="1:11" ht="15.75" x14ac:dyDescent="0.25">
      <c r="A44" s="92" t="s">
        <v>1600</v>
      </c>
      <c r="B44" s="183" t="str">
        <f>B13</f>
        <v xml:space="preserve">Department of Cannabis Control </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1115</v>
      </c>
      <c r="C74" s="184"/>
    </row>
    <row r="75" spans="1:4" ht="15.75" x14ac:dyDescent="0.25">
      <c r="A75" s="92" t="s">
        <v>1600</v>
      </c>
      <c r="B75" s="183" t="str">
        <f>B13</f>
        <v xml:space="preserve">Department of Cannabis Control </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PSXt4hvsy5X8mnl+FJXP32DtVQiVguy/zcvomHd873KUP6OL1VaQSo8ZA1WrjKx0mp2X7Ojb1YP6Y23yMmfvgw==" saltValue="qnDsxBQfJWp/liVd9FxCHw=="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H10" sqref="H1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3288 Journal Entries'!$F$5&amp;" "&amp;'Fund 3288 Journal Entries'!$F$4</f>
        <v xml:space="preserve">Business Unit 1115 Department of Cannabis Control </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3288 Journal Entries'!$F$3,4)</f>
        <v>Balance
July 1, 2022</v>
      </c>
      <c r="G8" s="116"/>
      <c r="H8" s="117" t="s">
        <v>10</v>
      </c>
      <c r="I8" s="116"/>
      <c r="J8" s="117" t="s">
        <v>11</v>
      </c>
      <c r="K8" s="116"/>
      <c r="L8" s="115" t="str">
        <f>"Balance
June 30, "&amp;RIGHT('Fund 3288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3288 Journal Entries'!$F$7="Governmental Fund",'Fund 3288 Journal Entries'!$K$19,0)</f>
        <v>2746477</v>
      </c>
      <c r="H10" s="3">
        <f>IF('Fund 3288 Journal Entries'!$F$7="Governmental Fund",'Fund 3288 Journal Entries'!$K$37,0)</f>
        <v>0</v>
      </c>
      <c r="J10" s="3">
        <f>IF('Fund 3288 Journal Entries'!$F$7="Governmental Fund",'Fund 3288 Journal Entries'!$J$56,0)</f>
        <v>1359551</v>
      </c>
      <c r="L10" s="119">
        <f>SUM(F10+H10-J10)</f>
        <v>1386926</v>
      </c>
      <c r="N10" s="3">
        <f>IF('Fund 3288 Journal Entries'!$F$7="Governmental Fund",'Fund 3288 Journal Entries'!$J$61,0)</f>
        <v>1386926</v>
      </c>
      <c r="P10" s="119">
        <f>L10-N10</f>
        <v>0</v>
      </c>
      <c r="Q10" s="109"/>
    </row>
    <row r="11" spans="2:17" ht="19.5" thickTop="1" thickBot="1" x14ac:dyDescent="0.3">
      <c r="B11" s="107"/>
      <c r="C11" s="197" t="s">
        <v>15</v>
      </c>
      <c r="D11" s="197"/>
      <c r="F11" s="120">
        <f>SUM(F10:F10)</f>
        <v>2746477</v>
      </c>
      <c r="H11" s="120">
        <f>SUM(H10:H10)</f>
        <v>0</v>
      </c>
      <c r="J11" s="120">
        <f>SUM(J10:J10)</f>
        <v>1359551</v>
      </c>
      <c r="L11" s="120">
        <f>SUM(L10:L10)</f>
        <v>1386926</v>
      </c>
      <c r="N11" s="120">
        <f>SUM(N10:N10)</f>
        <v>1386926</v>
      </c>
      <c r="P11" s="120">
        <f>SUM(P10:P10)</f>
        <v>0</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3288 Journal Entries'!$F$7="Proprietary - Internal Service Fund",'Fund 3288 Journal Entries'!$K$19,0)</f>
        <v>0</v>
      </c>
      <c r="H14" s="3">
        <f>IF('Fund 3288 Journal Entries'!$F$7="Proprietary - Internal Service Fund",'Fund 3288 Journal Entries'!$K$37,0)</f>
        <v>0</v>
      </c>
      <c r="J14" s="3">
        <f>IF('Fund 3288 Journal Entries'!$F$7="Proprietary - Internal Service Fund",'Fund 3288 Journal Entries'!$J$56,0)</f>
        <v>0</v>
      </c>
      <c r="L14" s="119">
        <f>SUM(F14+H14-J14)</f>
        <v>0</v>
      </c>
      <c r="N14" s="3">
        <f>IF('Fund 3288 Journal Entries'!$F$7="Proprietary - Internal Service Fund",'Fund 3288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3288 Journal Entries'!$F$7="Proprietary - Enterprise Fund",'Fund 3288 Journal Entries'!$K$19,0)</f>
        <v>0</v>
      </c>
      <c r="H18" s="3">
        <f>IF('Fund 3288 Journal Entries'!$F$7="Proprietary - Enterprise Fund",'Fund 3288 Journal Entries'!$K$37,0)</f>
        <v>0</v>
      </c>
      <c r="J18" s="3">
        <f>IF('Fund 3288 Journal Entries'!$F$7="Proprietary - Enterprise Fund",'Fund 3288 Journal Entries'!$J$56,0)</f>
        <v>0</v>
      </c>
      <c r="L18" s="119">
        <f>SUM(F18+H18-J18)</f>
        <v>0</v>
      </c>
      <c r="N18" s="3">
        <f>IF('Fund 3288 Journal Entries'!$F$7="Proprietary - Enterprise Fund",'Fund 3288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6" zoomScale="112" zoomScaleNormal="112" workbookViewId="0">
      <selection activeCell="F31" sqref="F31"/>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3288 Journal Entries'!$F$7="Governmental Fund",ROUND('Fund 3288 Journal Entries'!$K$19,0),0)</f>
        <v>2746477</v>
      </c>
      <c r="C16" s="15" t="s">
        <v>1552</v>
      </c>
      <c r="D16" s="14">
        <f>IF('Fund 3288 Journal Entries'!$F$7="Governmental Fund",ROUND('Fund 3288 Journal Entries'!$K$37,0),0)</f>
        <v>0</v>
      </c>
      <c r="E16" s="16" t="s">
        <v>1554</v>
      </c>
      <c r="F16" s="14">
        <f>IF('Fund 3288 Journal Entries'!$F$7="Governmental Fund",ROUND('Fund 3288 Journal Entries'!$J$56,0),0)</f>
        <v>1359551</v>
      </c>
      <c r="G16" s="16" t="s">
        <v>1556</v>
      </c>
      <c r="H16" s="17">
        <f>+B16+D16-F16</f>
        <v>1386926</v>
      </c>
      <c r="I16" s="16"/>
      <c r="J16" s="18">
        <f>ROUND(SUM('Department Note Disclosure'!$B$16:$B$39),0)</f>
        <v>1386926</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3288 Journal Entries'!$F$7="Proprietary - Internal Service Fund",ROUND('Fund 3288 Journal Entries'!$K$19,0),0)</f>
        <v>0</v>
      </c>
      <c r="C23" s="15" t="s">
        <v>1552</v>
      </c>
      <c r="D23" s="14">
        <f>IF('Fund 3288 Journal Entries'!$F$7="Proprietary - Internal Service Fund",ROUND('Fund 3288 Journal Entries'!$K$37,0),0)</f>
        <v>0</v>
      </c>
      <c r="E23" s="16" t="s">
        <v>1554</v>
      </c>
      <c r="F23" s="14">
        <f>IF('Fund 3288 Journal Entries'!$F$7="Proprietary - Internal Service Fund",ROUND('Fund 3288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3288 Journal Entries'!$F$7="Proprietary - Enterprise Fund",ROUND('Fund 3288 Journal Entries'!$K$19,0),0)</f>
        <v>0</v>
      </c>
      <c r="C31" s="15" t="s">
        <v>1552</v>
      </c>
      <c r="D31" s="14">
        <f>IF('Fund 3288 Journal Entries'!$F$7="Proprietary - Enterprise Fund",ROUND('Fund 3288 Journal Entries'!$K$37,0),0)</f>
        <v>0</v>
      </c>
      <c r="E31" s="16" t="s">
        <v>1554</v>
      </c>
      <c r="F31" s="14">
        <f>IF('Fund 3288 Journal Entries'!$F$7="Proprietary - Enterprise Fund",ROUND('Fund 3288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3288 Journal Entries'!$F$7="Governmental Fund",ROUND('Fund 3288 Journal Entries'!$K$62,0),0)</f>
        <v>1386926</v>
      </c>
      <c r="G39" s="150"/>
      <c r="H39" s="150"/>
      <c r="I39" s="20"/>
      <c r="J39" s="18">
        <f>ROUND('Department Note Disclosure'!$B$16,0)</f>
        <v>1386926</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3288 Journal Entries'!$F$7="Proprietary - Internal Service Fund",ROUND('Fund 3288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3288 Journal Entries'!$F$7="Proprietary - Enterprise Fund",ROUND('Fund 3288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2746477</v>
      </c>
      <c r="H61" s="154" t="str">
        <f>"Balance July 1, "&amp;LEFT('Fund 3288 Journal Entries'!$F$3,4)</f>
        <v>Balance July 1, 2022</v>
      </c>
      <c r="J61" s="22">
        <f>ROUND('SBITA Liabilities'!$F$10,0)</f>
        <v>2746477</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1359551</v>
      </c>
      <c r="H63" s="154" t="s">
        <v>11</v>
      </c>
      <c r="J63" s="22">
        <f>ROUND('SBITA Liabilities'!$J$10,0)</f>
        <v>1359551</v>
      </c>
      <c r="L63" s="19">
        <f>D63-J63</f>
        <v>0</v>
      </c>
    </row>
    <row r="64" spans="1:13" x14ac:dyDescent="0.25">
      <c r="B64" s="152" t="s">
        <v>1559</v>
      </c>
      <c r="D64" s="22">
        <f>$F$39</f>
        <v>1386926</v>
      </c>
      <c r="H64" s="154" t="s">
        <v>12</v>
      </c>
      <c r="J64" s="22">
        <f>ROUND('SBITA Liabilities'!$N$10,0)</f>
        <v>1386926</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3288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3288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3acb6f5-a267-438f-a085-1cd1a6c988ea">
      <Terms xmlns="http://schemas.microsoft.com/office/infopath/2007/PartnerControls"/>
    </lcf76f155ced4ddcb4097134ff3c332f>
    <TaxCatchAll xmlns="34c91bc0-47e8-459a-859a-0a8b02681609" xsi:nil="true"/>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D52D204-D512-46AF-B9A8-288E5C03ADD8}"/>
</file>

<file path=customXml/itemProps2.xml><?xml version="1.0" encoding="utf-8"?>
<ds:datastoreItem xmlns:ds="http://schemas.openxmlformats.org/officeDocument/2006/customXml" ds:itemID="{90F9E7D8-72D3-4BC4-8BEE-E5C93F3D1E91}">
  <ds:schemaRefs>
    <ds:schemaRef ds:uri="http://schemas.microsoft.com/sharepoint/v3/contenttype/forms"/>
  </ds:schemaRefs>
</ds:datastoreItem>
</file>

<file path=customXml/itemProps3.xml><?xml version="1.0" encoding="utf-8"?>
<ds:datastoreItem xmlns:ds="http://schemas.openxmlformats.org/officeDocument/2006/customXml" ds:itemID="{962F5004-D3A7-4B08-9A03-FC2D354ABD2A}">
  <ds:schemaRefs>
    <ds:schemaRef ds:uri="http://purl.org/dc/elements/1.1/"/>
    <ds:schemaRef ds:uri="http://purl.org/dc/dcmitype/"/>
    <ds:schemaRef ds:uri="0f6df037-9403-42ee-aacf-e3ec23ca5163"/>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d1270194-eee5-4d94-8f94-34852d67e2f1"/>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3288 Journal Entries</vt:lpstr>
      <vt:lpstr>Department Note Disclosure</vt:lpstr>
      <vt:lpstr>SBITA Liabilities</vt:lpstr>
      <vt:lpstr>Check Figures </vt:lpstr>
      <vt:lpstr>Drop Down Menus</vt:lpstr>
      <vt:lpstr>GAAP02Aindex</vt:lpstr>
      <vt:lpstr>'Department Note Disclosure'!Print_Area</vt:lpstr>
      <vt:lpstr>'Fund 3288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2024-06-13T01:10:36Z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MediaServiceImageTags">
    <vt:lpwstr/>
  </property>
  <property fmtid="{D5CDD505-2E9C-101B-9397-08002B2CF9AE}" pid="4" name="Order">
    <vt:r8>3303100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