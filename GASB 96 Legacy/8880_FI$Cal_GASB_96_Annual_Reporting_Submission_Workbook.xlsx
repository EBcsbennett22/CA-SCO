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3F6F4AEE-49A7-4E39-B17A-6A5A8C09BAA0}"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 i="2" l="1"/>
  <c r="D89" i="3" l="1"/>
  <c r="D58" i="3"/>
  <c r="D27" i="3" l="1"/>
  <c r="B16" i="9" l="1"/>
  <c r="D16" i="9"/>
  <c r="B23" i="9"/>
  <c r="D23" i="9"/>
  <c r="F23" i="9"/>
  <c r="B31" i="9"/>
  <c r="D31" i="9"/>
  <c r="F31" i="9"/>
  <c r="F46" i="9"/>
  <c r="F53" i="9"/>
  <c r="F10" i="4"/>
  <c r="H10" i="4"/>
  <c r="N10" i="4"/>
  <c r="N14" i="4"/>
  <c r="J14" i="4"/>
  <c r="H14" i="4"/>
  <c r="F14" i="4"/>
  <c r="F18" i="4"/>
  <c r="H18" i="4"/>
  <c r="J18" i="4"/>
  <c r="N18" i="4"/>
  <c r="K46" i="2"/>
  <c r="K52" i="2"/>
  <c r="G5" i="4" l="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<sst xmlns="http://schemas.openxmlformats.org/spreadsheetml/2006/main" count="7551" uniqueCount="1643">
  <si>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</si>
  <si>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</si>
  <si>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</si>
  <si>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</si>
  <si>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</si>
  <si>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</si>
  <si>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</si>
  <si>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</si>
  <si>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</si>
  <si>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</si>
  <si>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</si>
  <si>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</si>
  <si>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</si>
  <si>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</si>
  <si>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</si>
  <si>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</si>
  <si>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</si>
  <si>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</si>
  <si>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</si>
  <si>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</si>
  <si>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</si>
  <si>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</si>
  <si>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</si>
  <si>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</si>
  <si>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</si>
  <si>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</si>
  <si>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</si>
  <si>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</si>
  <si>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</si>
  <si>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</si>
  <si>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</si>
  <si>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</si>
  <si>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</si>
  <si>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</si>
  <si>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</si>
  <si>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</si>
  <si>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</si>
  <si>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</si>
  <si>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</si>
  <si>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</si>
  <si>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</si>
  <si>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</si>
  <si>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</si>
  <si>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</si>
  <si>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</si>
  <si>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</si>
  <si>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</si>
  <si>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</si>
  <si>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</si>
  <si>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</si>
  <si>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</si>
  <si>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</si>
  <si>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</si>
  <si>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</si>
  <si>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</si>
  <si>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</si>
  <si>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</si>
  <si>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</si>
  <si>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</si>
  <si>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</si>
  <si>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</si>
  <si>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</si>
  <si>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</si>
  <si>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</si>
  <si>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</si>
  <si>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</si>
  <si>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</si>
  <si>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</si>
  <si>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</si>
  <si>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</si>
  <si>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</si>
  <si>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</si>
  <si>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</si>
  <si>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</si>
  <si>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</si>
  <si>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</si>
  <si>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</si>
  <si>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</si>
  <si>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</si>
  <si>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</si>
  <si>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</si>
  <si>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</si>
  <si>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</si>
  <si>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</si>
  <si>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</si>
  <si>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</si>
  <si>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</si>
  <si>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</si>
  <si>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</si>
  <si>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</si>
  <si>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</si>
  <si>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</si>
  <si>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</si>
  <si>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</si>
  <si>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</si>
  <si>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</si>
  <si>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</si>
  <si>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</si>
  <si>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</si>
  <si>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</si>
  <si>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</si>
  <si>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</si>
  <si>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</si>
  <si>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</si>
  <si>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</si>
  <si>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</si>
  <si>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</si>
  <si>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</si>
  <si>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</si>
  <si>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</si>
  <si>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</si>
  <si>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</si>
  <si>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</si>
  <si>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</si>
  <si>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</si>
  <si>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</si>
  <si>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</si>
  <si>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</si>
  <si>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</si>
  <si>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</si>
  <si>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</si>
  <si>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</si>
  <si>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</si>
  <si>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</si>
  <si>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</si>
  <si>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</si>
  <si>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</si>
  <si>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</si>
  <si>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</si>
  <si>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</si>
  <si>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</si>
  <si>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</si>
  <si>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</si>
  <si>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</si>
  <si>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</si>
  <si>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</si>
  <si>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</si>
  <si>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</si>
  <si>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</si>
  <si>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</si>
  <si>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</si>
  <si>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</si>
  <si>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</si>
  <si>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</si>
  <si>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</si>
  <si>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</si>
  <si>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</si>
  <si>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</si>
  <si>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</si>
  <si>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</si>
  <si>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</si>
  <si>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</si>
  <si>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</si>
  <si>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</si>
  <si>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</si>
  <si>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</si>
  <si>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</si>
  <si>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</si>
  <si>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</si>
  <si>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</si>
  <si>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</si>
  <si>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</si>
  <si>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</si>
  <si>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</si>
  <si>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</si>
  <si>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</si>
  <si>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</si>
  <si>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</si>
  <si>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</si>
  <si>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</si>
  <si>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</si>
  <si>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</si>
  <si>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</si>
  <si>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</si>
  <si>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</si>
  <si>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</si>
  <si>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</si>
  <si>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</si>
  <si>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</si>
  <si>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</si>
  <si>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</si>
  <si>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</si>
  <si>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</si>
  <si>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</si>
  <si>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</si>
  <si>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</si>
  <si>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</si>
  <si>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</si>
  <si>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</si>
  <si>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</si>
  <si>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</si>
  <si>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</si>
  <si>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</si>
  <si>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</si>
  <si>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</si>
  <si>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</si>
  <si>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</si>
  <si>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</si>
  <si>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</si>
  <si>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</si>
  <si>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</si>
  <si>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</si>
  <si>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</si>
  <si>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</si>
  <si>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</si>
  <si>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</si>
  <si>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</si>
  <si>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</si>
  <si>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</si>
  <si>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</si>
  <si>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</si>
  <si>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</si>
  <si>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</si>
  <si>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</si>
  <si>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</si>
  <si>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</si>
  <si>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</si>
  <si>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</si>
  <si>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</si>
  <si>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</si>
  <si>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</si>
  <si>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</si>
  <si>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</si>
  <si>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</si>
  <si>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</si>
  <si>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</si>
  <si>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</si>
  <si>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</si>
  <si>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</si>
  <si>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</si>
  <si>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</si>
  <si>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</si>
  <si>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</si>
  <si>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</si>
  <si>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</si>
  <si>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</si>
  <si>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</si>
  <si>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</si>
  <si>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</si>
  <si>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</si>
  <si>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</si>
  <si>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</si>
  <si>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</si>
  <si>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</si>
  <si>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</si>
  <si>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</si>
  <si>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</si>
  <si>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</si>
  <si>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</si>
  <si>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</si>
  <si>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</si>
  <si>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</si>
  <si>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</si>
  <si>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</si>
  <si>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</si>
  <si>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</si>
  <si>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</si>
  <si>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</si>
  <si>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</si>
  <si>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</si>
  <si>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</si>
  <si>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</si>
  <si>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</si>
  <si>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</si>
  <si>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</si>
  <si>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</si>
  <si>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</si>
  <si>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</si>
  <si>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</si>
  <si>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</si>
  <si>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</si>
  <si>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</si>
  <si>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</si>
  <si>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</si>
  <si>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</si>
  <si>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</si>
  <si>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</si>
  <si>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</si>
  <si>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</si>
  <si>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</si>
  <si>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</si>
  <si>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</si>
  <si>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</si>
  <si>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</si>
  <si>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</si>
  <si>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</si>
  <si>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</si>
  <si>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</si>
  <si>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</si>
  <si>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</si>
  <si>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</si>
  <si>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</si>
  <si>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</si>
  <si>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</si>
  <si>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</si>
  <si>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</si>
  <si>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</si>
  <si>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</si>
  <si>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</si>
  <si>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</si>
  <si>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</si>
  <si>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</si>
  <si>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</si>
  <si>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</si>
  <si>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</si>
  <si>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</si>
  <si>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</si>
  <si>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</si>
  <si>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</si>
  <si>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</si>
  <si>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</si>
  <si>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</si>
  <si>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</si>
  <si>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</si>
  <si>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</si>
  <si>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</si>
  <si>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</si>
  <si>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</si>
  <si>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</si>
  <si>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</si>
  <si>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</si>
  <si>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</si>
  <si>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</si>
  <si>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</si>
  <si>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</si>
  <si>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</si>
  <si>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</si>
  <si>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</si>
  <si>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</si>
  <si>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</si>
  <si>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</si>
  <si>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</si>
  <si>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</si>
  <si>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</si>
  <si>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</si>
  <si>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</si>
  <si>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</si>
  <si>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</si>
  <si>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</si>
  <si>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</si>
  <si>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</si>
  <si>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</si>
  <si>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</si>
  <si>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</si>
  <si>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</si>
  <si>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</si>
  <si>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</si>
  <si>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</si>
  <si>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</si>
  <si>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</si>
  <si>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</si>
  <si>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</si>
  <si>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</si>
  <si>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</si>
  <si>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</si>
  <si>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</si>
  <si>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</si>
  <si>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</si>
  <si>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</si>
  <si>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</si>
  <si>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</si>
  <si>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</si>
  <si>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</si>
  <si>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</si>
  <si>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</si>
  <si>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</si>
  <si>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</si>
  <si>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</si>
  <si>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</si>
  <si>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</si>
  <si>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</si>
  <si>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</si>
  <si>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</si>
  <si>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</si>
  <si>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</si>
  <si>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</si>
  <si>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</si>
  <si>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</si>
  <si>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</si>
  <si>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</si>
  <si>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</si>
  <si>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</si>
  <si>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</si>
  <si>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</si>
  <si>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</si>
  <si>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</si>
  <si>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</si>
  <si>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</si>
  <si>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</si>
  <si>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</si>
  <si>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</si>
  <si>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</si>
  <si>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</si>
  <si>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</si>
  <si>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</si>
  <si>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</si>
  <si>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</si>
  <si>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</si>
  <si>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</si>
  <si>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</si>
  <si>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</si>
  <si>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</si>
  <si>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</si>
  <si>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</si>
  <si>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</si>
  <si>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</si>
  <si>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</si>
  <si>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</si>
  <si>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</si>
  <si>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</si>
  <si>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</si>
  <si>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</si>
  <si>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</si>
  <si>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</si>
  <si>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</si>
  <si>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</si>
  <si>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</si>
  <si>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</si>
  <si>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</si>
  <si>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</si>
  <si>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</si>
  <si>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</si>
  <si>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</si>
  <si>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</si>
  <si>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</si>
  <si>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</si>
  <si>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</si>
  <si>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</si>
  <si>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</si>
  <si>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</si>
  <si>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</si>
  <si>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</si>
  <si>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</si>
  <si>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</si>
  <si>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</si>
  <si>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</si>
  <si>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</si>
  <si>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</si>
  <si>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</si>
  <si>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</si>
  <si>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</si>
  <si>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</si>
  <si>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</si>
  <si>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</si>
  <si>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</si>
  <si>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</si>
  <si>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</si>
  <si>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</si>
  <si>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</si>
  <si>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</si>
  <si>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</si>
  <si>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</si>
  <si>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</si>
  <si>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</si>
  <si>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</si>
  <si>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</si>
  <si>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</si>
  <si>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</si>
  <si>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</si>
  <si>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</si>
  <si>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</si>
  <si>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</si>
  <si>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</si>
  <si>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</si>
  <si>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</si>
  <si>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</si>
  <si>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</si>
  <si>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</si>
  <si>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</si>
  <si>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</si>
  <si>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</si>
  <si>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</si>
  <si>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</si>
  <si>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</si>
  <si>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</si>
  <si>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</si>
  <si>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</si>
  <si>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</si>
  <si>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</si>
  <si>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</si>
  <si>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</si>
  <si>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</si>
  <si>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</si>
  <si>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</si>
  <si>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</si>
  <si>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</si>
  <si>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</si>
  <si>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</si>
  <si>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</si>
  <si>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</si>
  <si>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</si>
  <si>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</si>
  <si>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</si>
  <si>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</si>
  <si>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</si>
  <si>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</si>
  <si>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</si>
  <si>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</si>
  <si>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</si>
  <si>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</si>
  <si>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</si>
  <si>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</si>
  <si>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</si>
  <si>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</si>
  <si>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</si>
  <si>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</si>
  <si>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</si>
  <si>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</si>
  <si>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</si>
  <si>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</si>
  <si>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</si>
  <si>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</si>
  <si>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</si>
  <si>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</si>
  <si>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</si>
  <si>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</si>
  <si>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</si>
  <si>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</si>
  <si>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</si>
  <si>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</si>
  <si>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</si>
  <si>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</si>
  <si>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</si>
  <si>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</si>
  <si>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</si>
  <si>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</si>
  <si>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</si>
  <si>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</si>
  <si>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</si>
  <si>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</si>
  <si>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</si>
  <si>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</si>
  <si>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</si>
  <si>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</si>
  <si>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</si>
  <si>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</si>
  <si>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</si>
  <si>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</si>
  <si>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</si>
  <si>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</si>
  <si>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</si>
  <si>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</si>
  <si>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</si>
  <si>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</si>
  <si>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</si>
  <si>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</si>
  <si>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</si>
  <si>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</si>
  <si>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</si>
  <si>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</si>
  <si>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</si>
  <si>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</si>
  <si>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</si>
  <si>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</si>
  <si>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</si>
  <si>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</si>
  <si>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</si>
  <si>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</si>
  <si>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</si>
  <si>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</si>
  <si>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</si>
  <si>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</si>
  <si>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</si>
  <si>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</si>
  <si>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</si>
  <si>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</si>
  <si>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</si>
  <si>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</si>
  <si>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</si>
  <si>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</si>
  <si>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</si>
  <si>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</si>
  <si>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</si>
  <si>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</si>
  <si>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</si>
  <si>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</si>
  <si>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</si>
  <si>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</si>
  <si>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</si>
  <si>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</si>
  <si>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</si>
  <si>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</si>
  <si>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</si>
  <si>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</si>
  <si>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</si>
  <si>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</si>
  <si>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</si>
  <si>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</si>
  <si>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</si>
  <si>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</si>
  <si>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</si>
  <si>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</si>
  <si>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</si>
  <si>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</si>
  <si>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</si>
  <si>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</si>
  <si>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</si>
  <si>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</si>
  <si>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</si>
  <si>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</si>
  <si>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</si>
  <si>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</si>
  <si>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</si>
  <si>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</si>
  <si>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</si>
  <si>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</si>
  <si>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</si>
  <si>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</si>
  <si>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</si>
  <si>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</si>
  <si>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</si>
  <si>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</si>
  <si>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</si>
  <si>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</si>
  <si>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</si>
  <si>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</si>
  <si>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</si>
  <si>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</si>
  <si>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</si>
  <si>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</si>
  <si>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</si>
  <si>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</si>
  <si>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</si>
  <si>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</si>
  <si>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</si>
  <si>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</si>
  <si>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</si>
  <si>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</si>
  <si>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</si>
  <si>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</si>
  <si>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</si>
  <si>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</si>
  <si>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</si>
  <si>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</si>
  <si>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</si>
  <si>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</si>
  <si>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</si>
  <si>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</si>
  <si>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</si>
  <si>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</si>
  <si>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</si>
  <si>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</si>
  <si>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</si>
  <si>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</si>
  <si>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</si>
  <si>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</si>
  <si>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</si>
  <si>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</si>
  <si>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</si>
  <si>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</si>
  <si>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</si>
  <si>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</si>
  <si>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</si>
  <si>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</si>
  <si>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</si>
  <si>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</si>
  <si>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</si>
  <si>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</si>
  <si>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</si>
  <si>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</si>
  <si>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</si>
  <si>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</si>
  <si>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</si>
  <si>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</si>
  <si>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</si>
  <si>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</si>
  <si>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</si>
  <si>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</si>
  <si>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</si>
  <si>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</si>
  <si>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</si>
  <si>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</si>
  <si>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</si>
  <si>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</si>
  <si>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</si>
  <si>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</si>
  <si>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</si>
  <si>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</si>
  <si>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</si>
  <si>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</si>
  <si>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</si>
  <si>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</si>
  <si>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</si>
  <si>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</si>
  <si>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</si>
  <si>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</si>
  <si>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</si>
  <si>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</si>
  <si>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</si>
  <si>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</si>
  <si>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</si>
  <si>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</si>
  <si>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</si>
  <si>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</si>
  <si>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</si>
  <si>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</si>
  <si>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</si>
  <si>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</si>
  <si>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</si>
  <si>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</si>
  <si>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</si>
  <si>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</si>
  <si>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</si>
  <si>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</si>
  <si>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</si>
  <si>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</si>
  <si>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</si>
  <si>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</si>
  <si>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</si>
  <si>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</si>
  <si>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</si>
  <si>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</si>
  <si>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</si>
  <si>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</si>
  <si>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</si>
  <si>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</si>
  <si>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</si>
  <si>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</si>
  <si>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</si>
  <si>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</si>
  <si>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</si>
  <si>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</si>
  <si>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</si>
  <si>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</si>
  <si>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</si>
  <si>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</si>
  <si>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</si>
  <si>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</si>
  <si>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</si>
  <si>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</si>
  <si>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</si>
  <si>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</si>
  <si>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</si>
  <si>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</si>
  <si>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</si>
  <si>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</si>
  <si>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</si>
  <si>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</si>
  <si>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</si>
  <si>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</si>
  <si>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</si>
  <si>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</si>
  <si>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</si>
  <si>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</si>
  <si>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</si>
  <si>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</si>
  <si>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</si>
  <si>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</si>
  <si>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</si>
  <si>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</si>
  <si>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</si>
  <si>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</si>
  <si>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</si>
  <si>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</si>
  <si>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</si>
  <si>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</si>
  <si>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</si>
  <si>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</si>
  <si>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</si>
  <si>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</si>
  <si>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</si>
  <si>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</si>
  <si>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</si>
  <si>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</si>
  <si>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</si>
  <si>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</si>
  <si>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</si>
  <si>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</si>
  <si>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</si>
  <si>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</si>
  <si>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</si>
  <si>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</si>
  <si>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</si>
  <si>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</si>
  <si>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</si>
  <si>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</si>
  <si>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</si>
  <si>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</si>
  <si>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</si>
  <si>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</si>
  <si>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</si>
  <si>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</si>
  <si>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</si>
  <si>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</si>
  <si>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</si>
  <si>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</si>
  <si>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</si>
  <si>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</si>
  <si>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</si>
  <si>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</si>
  <si>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</si>
  <si>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</si>
  <si>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</si>
  <si>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</si>
  <si>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</si>
  <si>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</si>
  <si>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</si>
  <si>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</si>
  <si>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</si>
  <si>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</si>
  <si>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</si>
  <si>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</si>
  <si>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</si>
  <si>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</si>
  <si>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</si>
  <si>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</si>
  <si>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</si>
  <si>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</si>
  <si>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</si>
  <si>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</si>
  <si>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</si>
  <si>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</si>
  <si>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</si>
  <si>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</si>
  <si>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</si>
  <si>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</si>
  <si>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</si>
  <si>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</si>
  <si>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</si>
  <si>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</si>
  <si>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</si>
  <si>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</si>
  <si>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</si>
  <si>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</si>
  <si>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</si>
  <si>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</si>
  <si>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</si>
  <si>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</si>
  <si>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</si>
  <si>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</si>
  <si>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</si>
  <si>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</si>
  <si>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</si>
  <si>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</si>
  <si>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</si>
  <si>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</si>
  <si>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</si>
  <si>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</si>
  <si>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</si>
  <si>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</si>
  <si>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</si>
  <si>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</si>
  <si>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</si>
  <si>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</si>
  <si>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</si>
  <si>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</si>
  <si>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</si>
  <si>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</si>
  <si>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</si>
  <si>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</si>
  <si>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</si>
  <si>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</si>
  <si>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</si>
  <si>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</si>
  <si>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</si>
  <si>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</si>
  <si>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</si>
  <si>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</si>
  <si>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</si>
  <si>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</si>
  <si>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</si>
  <si>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</si>
  <si>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</si>
  <si>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</si>
  <si>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</si>
  <si>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</si>
  <si>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</si>
  <si>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</si>
  <si>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</si>
  <si>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</si>
  <si>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</si>
  <si>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</si>
  <si>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</si>
  <si>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</si>
  <si>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</si>
  <si>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</si>
  <si>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</si>
  <si>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</si>
  <si>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</si>
  <si>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</si>
  <si>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</si>
  <si>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</si>
  <si>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</si>
  <si>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</si>
  <si>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</si>
  <si>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</si>
  <si>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</si>
  <si>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</si>
  <si>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</si>
  <si>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</si>
  <si>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</si>
  <si>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</si>
  <si>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</si>
  <si>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</si>
  <si>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</si>
  <si>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</si>
  <si>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</si>
  <si>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</si>
  <si>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</si>
  <si>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</si>
  <si>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</si>
  <si>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</si>
  <si>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</si>
  <si>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</si>
  <si>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</si>
  <si>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</si>
  <si>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</si>
  <si>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</si>
  <si>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</si>
  <si>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</si>
  <si>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</si>
  <si>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</si>
  <si>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</si>
  <si>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</si>
  <si>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</si>
  <si>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</si>
  <si>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</si>
  <si>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</si>
  <si>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</si>
  <si>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</si>
  <si>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</si>
  <si>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</si>
  <si>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</si>
  <si>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</si>
  <si>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</si>
  <si>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</si>
  <si>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</si>
  <si>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</si>
  <si>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</si>
  <si>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</si>
  <si>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</si>
  <si>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</si>
  <si>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</si>
  <si>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</si>
  <si>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</si>
  <si>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</si>
  <si>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</si>
  <si>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</si>
  <si>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</si>
  <si>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</si>
  <si>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</si>
  <si>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</si>
  <si>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</si>
  <si>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</si>
  <si>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</si>
  <si>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</si>
  <si>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</si>
  <si>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</si>
  <si>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</si>
  <si>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</si>
  <si>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</si>
  <si>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</si>
  <si>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</si>
  <si>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</si>
  <si>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</si>
  <si>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</si>
  <si>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</si>
  <si>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</si>
  <si>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</si>
  <si>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</si>
  <si>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</si>
  <si>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</si>
  <si>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</si>
  <si>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</si>
  <si>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</si>
  <si>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</si>
  <si>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</si>
  <si>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</si>
  <si>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</si>
  <si>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</si>
  <si>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</si>
  <si>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</si>
  <si>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</si>
  <si>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</si>
  <si>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</si>
  <si>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</si>
  <si>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</si>
  <si>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</si>
  <si>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</si>
  <si>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</si>
  <si>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</si>
  <si>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</si>
  <si>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</si>
  <si>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</si>
  <si>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</si>
  <si>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</si>
  <si>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</si>
  <si>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</si>
  <si>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</si>
  <si>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</si>
  <si>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</si>
  <si>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</si>
  <si>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</si>
  <si>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</si>
  <si>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</si>
  <si>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</si>
  <si>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</si>
  <si>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</si>
  <si>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</si>
  <si>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</si>
  <si>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</si>
  <si>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</si>
  <si>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</si>
  <si>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</si>
  <si>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</si>
  <si>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</si>
  <si>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</si>
  <si>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</si>
  <si>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</si>
  <si>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</si>
  <si>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</si>
  <si>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</si>
  <si>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</si>
  <si>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</si>
  <si>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</si>
  <si>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</si>
  <si>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</si>
  <si>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</si>
  <si>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</si>
  <si>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</si>
  <si>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</si>
  <si>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</si>
  <si>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</si>
  <si>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</si>
  <si>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</si>
  <si>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</si>
  <si>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</si>
  <si>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</si>
  <si>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</si>
  <si>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</si>
  <si>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</si>
  <si>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</si>
  <si>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</si>
  <si>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</si>
  <si>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</si>
  <si>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</si>
  <si>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</si>
  <si>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</si>
  <si>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</si>
  <si>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</si>
  <si>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</si>
  <si>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</si>
  <si>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</si>
  <si>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</si>
  <si>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</si>
  <si>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</si>
  <si>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</si>
  <si>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</si>
  <si>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</si>
  <si>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</si>
  <si>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</si>
  <si>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</si>
  <si>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</si>
  <si>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</si>
  <si>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</si>
  <si>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</si>
  <si>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</si>
  <si>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</si>
  <si>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</si>
  <si>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</si>
  <si>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</si>
  <si>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</si>
  <si>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</si>
  <si>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</si>
  <si>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</si>
  <si>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</si>
  <si>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</si>
  <si>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</si>
  <si>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</si>
  <si>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</si>
  <si>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</si>
  <si>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</si>
  <si>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</si>
  <si>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</si>
  <si>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</si>
  <si>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</si>
  <si>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</si>
  <si>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</si>
  <si>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</si>
  <si>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</si>
  <si>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</si>
  <si>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</si>
  <si>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</si>
  <si>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</si>
  <si>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</si>
  <si>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</si>
  <si>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</si>
  <si>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</si>
  <si>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</si>
  <si>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</si>
  <si>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</si>
  <si>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</si>
  <si>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</si>
  <si>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</si>
  <si>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</si>
  <si>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</si>
  <si>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</si>
  <si>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</si>
  <si>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</si>
  <si>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</si>
  <si>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</si>
  <si>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</si>
  <si>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</si>
  <si>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</si>
  <si>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</si>
  <si>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</si>
  <si>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</si>
  <si>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</si>
  <si>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</si>
  <si>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</si>
  <si>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</si>
  <si>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</si>
  <si>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</si>
  <si>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</si>
  <si>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</si>
  <si>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</si>
  <si>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</si>
  <si>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</si>
  <si>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</si>
  <si>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</si>
  <si>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</si>
  <si>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</si>
  <si>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</si>
  <si>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</si>
  <si>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</si>
  <si>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</si>
  <si>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</si>
  <si>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</si>
  <si>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</si>
  <si>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</si>
  <si>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</si>
  <si>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</si>
  <si>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</si>
  <si>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</si>
  <si>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</si>
  <si>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</si>
  <si>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</si>
  <si>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</si>
  <si>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</si>
  <si>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</si>
  <si>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</si>
  <si>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</si>
  <si>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</si>
  <si>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</si>
  <si>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</si>
  <si>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</si>
  <si>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</si>
  <si>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</si>
  <si>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</si>
  <si>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</si>
  <si>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</si>
  <si>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</si>
  <si>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</si>
  <si>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</si>
  <si>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</si>
  <si>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</si>
  <si>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</si>
  <si>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</si>
  <si>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</si>
  <si>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</si>
  <si>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</si>
  <si>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</si>
  <si>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</si>
  <si>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</si>
  <si>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</si>
  <si>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</si>
  <si>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</si>
  <si>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</si>
  <si>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</si>
  <si>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</si>
  <si>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</si>
  <si>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</si>
  <si>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</si>
  <si>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</si>
  <si>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</si>
  <si>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</si>
  <si>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</si>
  <si>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</si>
  <si>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</si>
  <si>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</si>
  <si>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</si>
  <si>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</si>
  <si>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</si>
  <si>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</si>
  <si>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</si>
  <si>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</si>
  <si>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</si>
  <si>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</si>
  <si>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</si>
  <si>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</si>
  <si>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</si>
  <si>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</si>
  <si>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</si>
  <si>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</si>
  <si>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</si>
  <si>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</si>
  <si>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</si>
  <si>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</si>
  <si>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</si>
  <si>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</si>
  <si>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</si>
  <si>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</si>
  <si>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</si>
  <si>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</si>
  <si>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</si>
  <si>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</si>
  <si>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</si>
  <si>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</si>
  <si>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</si>
  <si>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</si>
  <si>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</si>
  <si>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</si>
  <si>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</si>
  <si>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</si>
  <si>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</si>
  <si>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</si>
  <si>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</si>
  <si>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</si>
  <si>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</si>
  <si>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</si>
  <si>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</si>
  <si>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</si>
  <si>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</si>
  <si>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</si>
  <si>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</si>
  <si>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</si>
  <si>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</si>
  <si>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</si>
  <si>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</si>
  <si>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</si>
  <si>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</si>
  <si>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</si>
  <si>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</si>
  <si>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</si>
  <si>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</si>
  <si>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</si>
  <si>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</si>
  <si>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</si>
  <si>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</si>
  <si>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</si>
  <si>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</si>
  <si>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</si>
  <si>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</si>
  <si>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</si>
  <si>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</si>
  <si>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</si>
  <si>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</si>
  <si>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</si>
  <si>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</si>
  <si>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</si>
  <si>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</si>
  <si>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</si>
  <si>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</si>
  <si>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</si>
  <si>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</si>
  <si>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</si>
  <si>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</si>
  <si>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</si>
  <si>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</si>
  <si>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</si>
  <si>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</si>
  <si>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</si>
  <si>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</si>
  <si>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</si>
  <si>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</si>
  <si>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</si>
  <si>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</si>
  <si>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</si>
  <si>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</si>
  <si>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</si>
  <si>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</si>
  <si>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</si>
  <si>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</si>
  <si>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</si>
  <si>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</si>
  <si>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</si>
  <si>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</si>
  <si>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</si>
  <si>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</si>
  <si>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</si>
  <si>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</si>
  <si>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</si>
  <si>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</si>
  <si>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</si>
  <si>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</si>
  <si>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</si>
  <si>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</si>
  <si>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</si>
  <si>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</si>
  <si>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</si>
  <si>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</si>
  <si>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</si>
  <si>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</si>
  <si>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</si>
  <si>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</si>
  <si>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</si>
  <si>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</si>
  <si>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</si>
  <si>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</si>
  <si>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</si>
  <si>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</si>
  <si>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</si>
  <si>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</si>
  <si>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</si>
  <si>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</si>
  <si>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</si>
  <si>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</si>
  <si>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</si>
  <si>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</si>
  <si>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</si>
  <si>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</si>
  <si>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</si>
  <si>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</si>
  <si>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</si>
  <si>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</si>
  <si>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</si>
  <si>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</si>
  <si>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</si>
  <si>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</si>
  <si>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</si>
  <si>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</si>
  <si>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</si>
  <si>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</si>
  <si>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</si>
  <si>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</si>
  <si>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</si>
  <si>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</si>
  <si>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</si>
  <si>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</si>
  <si>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</si>
  <si>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</si>
  <si>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</si>
  <si>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</si>
  <si>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</si>
  <si>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</si>
  <si>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</si>
  <si>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</si>
  <si>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</si>
  <si>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</si>
  <si>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</si>
  <si>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</si>
  <si>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</si>
  <si>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</si>
  <si>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</si>
  <si>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</si>
  <si>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</si>
  <si>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</si>
  <si>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</si>
  <si>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</si>
  <si>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</si>
  <si>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</si>
  <si>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</si>
  <si>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</si>
  <si>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</si>
  <si>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</si>
  <si>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</si>
  <si>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</si>
  <si>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</si>
  <si>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</si>
  <si>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</si>
  <si>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</si>
  <si>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</si>
  <si>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</si>
  <si>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</si>
  <si>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</si>
  <si>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</si>
  <si>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</si>
  <si>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</si>
  <si>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</si>
  <si>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</si>
  <si>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</si>
  <si>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</si>
  <si>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</si>
  <si>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</si>
  <si>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</si>
  <si>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</si>
  <si>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</si>
  <si>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</si>
  <si>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</si>
  <si>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</si>
  <si>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</si>
  <si>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</si>
  <si>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</si>
  <si>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</si>
  <si>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</si>
  <si>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</si>
  <si>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</si>
  <si>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</si>
  <si>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</si>
  <si>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</si>
  <si>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</si>
  <si>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</si>
  <si>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</si>
  <si>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</si>
  <si>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</si>
  <si>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</si>
  <si>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</si>
  <si>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</si>
  <si>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</si>
  <si>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</si>
  <si>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</si>
  <si>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</si>
  <si>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</si>
  <si>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</si>
  <si>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</si>
  <si>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</si>
  <si>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</si>
  <si>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</si>
  <si>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</si>
  <si>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</si>
  <si>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</si>
  <si>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</si>
  <si>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</si>
  <si>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</si>
  <si>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</si>
  <si>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</si>
  <si>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</si>
  <si>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</si>
  <si>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</si>
  <si>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</si>
  <si>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</si>
  <si>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</si>
  <si>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</si>
  <si>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</si>
  <si>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</si>
  <si>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</si>
  <si>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</si>
  <si>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</si>
  <si>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</si>
  <si>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</si>
  <si>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</si>
  <si>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</si>
  <si>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</si>
  <si>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</si>
  <si>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</si>
  <si>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</si>
  <si>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</si>
  <si>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</si>
  <si>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</si>
  <si>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</si>
  <si>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</si>
  <si>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</si>
  <si>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</si>
  <si>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</si>
  <si>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</si>
  <si>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</si>
  <si>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</si>
  <si>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</si>
  <si>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</si>
  <si>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</si>
  <si>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</si>
  <si>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</si>
  <si>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</si>
  <si>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</si>
  <si>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</si>
  <si>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</si>
  <si>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</si>
  <si>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</si>
  <si>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</si>
  <si>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</si>
  <si>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</si>
  <si>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</si>
  <si>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</si>
  <si>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</si>
  <si>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</si>
  <si>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</si>
  <si>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</si>
  <si>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</si>
  <si>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</si>
  <si>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</si>
  <si>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</si>
  <si>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</si>
  <si>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</si>
  <si>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</si>
  <si>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</si>
  <si>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</si>
  <si>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</si>
  <si>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</si>
  <si>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</si>
  <si>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</si>
  <si>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</si>
  <si>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</si>
  <si>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</si>
  <si>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</si>
  <si>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</si>
  <si>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</si>
  <si>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</si>
  <si>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</si>
  <si>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</si>
  <si>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</si>
  <si>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</si>
  <si>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</si>
  <si>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</si>
  <si>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</si>
  <si>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</si>
  <si>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</si>
  <si>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</si>
  <si>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</si>
  <si>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</si>
  <si>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</si>
  <si>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</si>
  <si>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</si>
  <si>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</si>
  <si>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</si>
  <si>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</si>
  <si>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</si>
  <si>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</si>
  <si>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</si>
  <si>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</si>
  <si>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</si>
  <si>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</si>
  <si>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</si>
  <si>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</si>
  <si>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</si>
  <si>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</si>
  <si>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</si>
  <si>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</si>
  <si>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</si>
  <si>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</si>
  <si>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</si>
  <si>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</si>
  <si>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</si>
  <si>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</si>
  <si>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</si>
  <si>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</si>
  <si>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</si>
  <si>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</si>
  <si>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</si>
  <si>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</si>
  <si>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</si>
  <si>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</si>
  <si>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</si>
  <si>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</si>
  <si>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</si>
  <si>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</si>
  <si>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</si>
  <si>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</si>
  <si>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</si>
  <si>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</si>
  <si>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</si>
  <si>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</si>
  <si>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</si>
  <si>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</si>
  <si>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</si>
  <si>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</si>
  <si>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</si>
  <si>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</si>
  <si>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</si>
  <si>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</si>
  <si>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</si>
  <si>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</si>
  <si>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</si>
  <si>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</si>
  <si>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</si>
  <si>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</si>
  <si>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</si>
  <si>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</si>
  <si>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</si>
  <si>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</si>
  <si>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</si>
  <si>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</si>
  <si>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</si>
  <si>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</si>
  <si>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</si>
  <si>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</si>
  <si>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</si>
  <si>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</si>
  <si>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</si>
  <si>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</si>
  <si>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</si>
  <si>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</si>
  <si>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</si>
  <si>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</si>
  <si>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</si>
  <si>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</si>
  <si>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</si>
  <si>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</si>
  <si>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</si>
  <si>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</si>
  <si>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</si>
  <si>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</si>
  <si>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</si>
  <si>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</si>
  <si>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</si>
  <si>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</si>
  <si>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</si>
  <si>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</si>
  <si>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</si>
  <si>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</si>
  <si>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</si>
  <si>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</si>
  <si>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</si>
  <si>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</si>
  <si>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</si>
  <si>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</si>
  <si>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</si>
  <si>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</si>
  <si>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</si>
  <si>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</si>
  <si>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</si>
  <si>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</si>
  <si>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</si>
  <si>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</si>
  <si>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</si>
  <si>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</si>
  <si>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</si>
  <si>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</si>
  <si>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</si>
  <si>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</si>
  <si>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</si>
  <si>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</si>
  <si>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</si>
  <si>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</si>
  <si>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</si>
  <si>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</si>
  <si>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</si>
  <si>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</si>
  <si>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</si>
  <si>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</si>
  <si>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</si>
  <si>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</si>
  <si>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</si>
  <si>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</si>
  <si>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</si>
  <si>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</si>
  <si>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</si>
  <si>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</si>
  <si>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</si>
  <si>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</si>
  <si>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</si>
  <si>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</si>
  <si>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</si>
  <si>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</si>
  <si>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</si>
  <si>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</si>
  <si>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</si>
  <si>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</si>
  <si>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</si>
  <si>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</si>
  <si>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</si>
  <si>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</si>
  <si>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</si>
  <si>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Financial Information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</si>
</sst>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00000000-0005-0000-0000-000002000000}"/>
    <cellStyle name="Normal" xfId="0" builtinId="0"/>
    <cellStyle name="Normal 2" xfId="3" xr:uid="{00000000-0005-0000-0000-000004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3" zoomScale="85" zoomScaleNormal="85" workbookViewId="0">
      <selection activeCell="K38" sqref="K38"/>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1266</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589387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276033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313354</v>
      </c>
      <c r="Q21" s="28"/>
    </row>
    <row r="22" spans="1:17" ht="16.5" customHeight="1" x14ac:dyDescent="0.2">
      <c r="A22" s="56"/>
      <c r="B22" s="58"/>
      <c r="C22" s="58"/>
      <c r="D22" s="58"/>
      <c r="E22" s="58"/>
      <c r="F22" s="58"/>
      <c r="G22" s="58"/>
      <c r="H22" s="58"/>
      <c r="I22" s="58"/>
      <c r="J22" s="29">
        <f>ROUND(SUM(J15:J17),2)</f>
        <v>589387</v>
      </c>
      <c r="K22" s="29">
        <f>ROUND(SUM(K18:K21),2)</f>
        <v>589387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690023</v>
      </c>
      <c r="K28" s="33"/>
      <c r="L28" s="54"/>
    </row>
    <row r="29" spans="1:17" ht="16.5" customHeight="1" x14ac:dyDescent="0.25">
      <c r="A29" s="56"/>
      <c r="B29" s="57"/>
      <c r="C29" s="165" t="s">
        <v>1578</v>
      </c>
      <c r="D29" s="165"/>
      <c r="E29" s="165"/>
      <c r="F29" s="165"/>
      <c r="G29" s="165"/>
      <c r="H29" s="165"/>
      <c r="I29" s="165"/>
      <c r="J29" s="33"/>
      <c r="K29" s="32">
        <v>690023</v>
      </c>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690023</v>
      </c>
      <c r="K31" s="29">
        <f>ROUND(SUM(K28:K30),2)</f>
        <v>690023</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690023</v>
      </c>
      <c r="K34" s="70"/>
      <c r="L34" s="54"/>
    </row>
    <row r="35" spans="1:12" ht="16.5" customHeight="1" x14ac:dyDescent="0.2">
      <c r="B35" s="165" t="s">
        <v>1579</v>
      </c>
      <c r="C35" s="165"/>
      <c r="D35" s="165"/>
      <c r="E35" s="165"/>
      <c r="F35" s="165"/>
      <c r="G35" s="165"/>
      <c r="H35" s="165"/>
      <c r="I35" s="165"/>
      <c r="J35" s="32">
        <v>690023</v>
      </c>
      <c r="K35" s="36"/>
    </row>
    <row r="36" spans="1:12" ht="16.5" customHeight="1" x14ac:dyDescent="0.2">
      <c r="A36" s="56"/>
      <c r="B36" s="71"/>
      <c r="C36" s="165" t="s">
        <v>1581</v>
      </c>
      <c r="D36" s="165"/>
      <c r="E36" s="165"/>
      <c r="F36" s="165"/>
      <c r="G36" s="165"/>
      <c r="H36" s="165"/>
      <c r="I36" s="165"/>
      <c r="J36" s="36"/>
      <c r="K36" s="32">
        <v>690023</v>
      </c>
    </row>
    <row r="37" spans="1:12" ht="16.5" customHeight="1" x14ac:dyDescent="0.2">
      <c r="A37" s="56"/>
      <c r="C37" s="165" t="s">
        <v>1626</v>
      </c>
      <c r="D37" s="165"/>
      <c r="E37" s="165"/>
      <c r="F37" s="165"/>
      <c r="G37" s="165"/>
      <c r="H37" s="165"/>
      <c r="I37" s="165"/>
      <c r="J37" s="36"/>
      <c r="K37" s="32">
        <v>690023</v>
      </c>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1380046</v>
      </c>
      <c r="K39" s="29">
        <f>ROUND(SUM(K36:K38),2)</f>
        <v>1380046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647458</v>
      </c>
      <c r="K45" s="33"/>
    </row>
    <row r="46" spans="1:12" ht="16.5" customHeight="1" x14ac:dyDescent="0.2">
      <c r="A46" s="56"/>
      <c r="B46" s="71"/>
      <c r="C46" s="165" t="s">
        <v>1587</v>
      </c>
      <c r="D46" s="165"/>
      <c r="E46" s="165"/>
      <c r="F46" s="165"/>
      <c r="G46" s="165"/>
      <c r="H46" s="165"/>
      <c r="I46" s="165"/>
      <c r="J46" s="36"/>
      <c r="K46" s="32">
        <f>J45</f>
        <v>647458</v>
      </c>
    </row>
    <row r="47" spans="1:12" ht="16.5" customHeight="1" x14ac:dyDescent="0.2">
      <c r="A47" s="68"/>
      <c r="B47" s="58"/>
      <c r="C47" s="58"/>
      <c r="D47" s="58"/>
      <c r="E47" s="58"/>
      <c r="F47" s="58"/>
      <c r="G47" s="58"/>
      <c r="H47" s="58"/>
      <c r="I47" s="58"/>
      <c r="J47" s="39">
        <f>ROUND(SUM(J45:J45),2)</f>
        <v>647458</v>
      </c>
      <c r="K47" s="39">
        <f>ROUND(SUM(K46),2)</f>
        <v>647458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477300</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23185</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500485</v>
      </c>
    </row>
    <row r="53" spans="1:12" ht="16.5" customHeight="1" x14ac:dyDescent="0.2">
      <c r="A53" s="68"/>
      <c r="B53" s="58"/>
      <c r="C53" s="58"/>
      <c r="D53" s="58"/>
      <c r="E53" s="58"/>
      <c r="F53" s="58"/>
      <c r="G53" s="58"/>
      <c r="H53" s="58"/>
      <c r="I53" s="58"/>
      <c r="J53" s="39">
        <f>ROUND(SUM(J50:J51),2)</f>
        <v>500485</v>
      </c>
      <c r="K53" s="39">
        <f>ROUND(SUM(K52,),2)</f>
        <v>500485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477300</v>
      </c>
      <c r="K56" s="36"/>
    </row>
    <row r="57" spans="1:12" ht="16.5" customHeight="1" x14ac:dyDescent="0.25">
      <c r="A57" s="56"/>
      <c r="B57" s="57"/>
      <c r="C57" s="165" t="s">
        <v>1613</v>
      </c>
      <c r="D57" s="165"/>
      <c r="E57" s="165"/>
      <c r="F57" s="165"/>
      <c r="G57" s="165"/>
      <c r="H57" s="165"/>
      <c r="I57" s="165"/>
      <c r="J57" s="36"/>
      <c r="K57" s="32">
        <v>477300</v>
      </c>
    </row>
    <row r="58" spans="1:12" ht="16.5" customHeight="1" x14ac:dyDescent="0.2">
      <c r="A58" s="68"/>
      <c r="B58" s="58"/>
      <c r="C58" s="58"/>
      <c r="D58" s="58"/>
      <c r="E58" s="58"/>
      <c r="F58" s="58"/>
      <c r="G58" s="58"/>
      <c r="H58" s="58"/>
      <c r="I58" s="58"/>
      <c r="J58" s="39">
        <f>ROUND(SUM(J56:J56),2)</f>
        <v>477300</v>
      </c>
      <c r="K58" s="39">
        <f>ROUND(SUM(K57),2)</f>
        <v>477300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488756</v>
      </c>
      <c r="K61" s="33"/>
    </row>
    <row r="62" spans="1:12" ht="16.5" customHeight="1" x14ac:dyDescent="0.25">
      <c r="A62" s="56"/>
      <c r="B62" s="57"/>
      <c r="C62" s="165" t="s">
        <v>1623</v>
      </c>
      <c r="D62" s="165"/>
      <c r="E62" s="165"/>
      <c r="F62" s="165"/>
      <c r="G62" s="165"/>
      <c r="H62" s="165"/>
      <c r="I62" s="165"/>
      <c r="J62" s="33"/>
      <c r="K62" s="32">
        <f>J61</f>
        <v>488756</v>
      </c>
    </row>
    <row r="63" spans="1:12" ht="16.5" customHeight="1" x14ac:dyDescent="0.2">
      <c r="A63" s="56"/>
      <c r="B63" s="179" t="s">
        <v>1622</v>
      </c>
      <c r="C63" s="179"/>
      <c r="D63" s="179"/>
      <c r="E63" s="179"/>
      <c r="F63" s="179"/>
      <c r="G63" s="179"/>
      <c r="H63" s="179"/>
      <c r="I63" s="179"/>
      <c r="J63" s="39">
        <f>ROUND(SUM(J61:J61),2)</f>
        <v>488756</v>
      </c>
      <c r="K63" s="39">
        <f>ROUND(SUM(K62),2)</f>
        <v>488756</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1279410</v>
      </c>
    </row>
    <row r="95" spans="1:12" ht="16.5" customHeight="1" x14ac:dyDescent="0.25">
      <c r="D95" s="57" t="s">
        <v>1641</v>
      </c>
      <c r="E95"/>
      <c r="F95"/>
      <c r="G95"/>
      <c r="H95" s="44"/>
      <c r="I95"/>
      <c r="J95"/>
      <c r="K95" s="162">
        <f>-K18-K46+J68+J77</f>
        <v>-647458</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-488756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00000000-0002-0000-0000-000002000000}">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'Drop Down Menus'!$A$1:$A$101</xm:f>
          </x14:formula1>
          <xm:sqref>F3</xm:sqref>
        </x14:dataValidation>
        <x14:dataValidation type="list" allowBlank="1" showInputMessage="1" showErrorMessage="1" xr:uid="{00000000-0002-0000-0000-000004000000}">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8880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488756</v>
      </c>
      <c r="C16" s="2">
        <v>11730</v>
      </c>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8880</v>
      </c>
      <c r="C43" s="189"/>
    </row>
    <row r="44" spans="1:11" ht="15.75" x14ac:dyDescent="0.25">
      <c r="A44" s="92" t="s">
        <v>1600</v>
      </c>
      <c r="B44" s="190" t="str">
        <f>B13</f>
        <v>Financial Information System</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8880</v>
      </c>
      <c r="C74" s="189"/>
    </row>
    <row r="75" spans="1:4" ht="15.75" x14ac:dyDescent="0.25">
      <c r="A75" s="92" t="s">
        <v>1600</v>
      </c>
      <c r="B75" s="190" t="str">
        <f>B13</f>
        <v>Financial Information System</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8880 Financial Information System</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276033</v>
      </c>
      <c r="H10" s="3">
        <f>IF('Fund 0001 Journal Entries'!$F$7="Governmental Fund",'Fund 0001 Journal Entries'!$K$37,0)</f>
        <v>690023</v>
      </c>
      <c r="J10" s="3">
        <f>IF('Fund 0001 Journal Entries'!$F$7="Governmental Fund",'Fund 0001 Journal Entries'!$J$56,0)</f>
        <v>477300</v>
      </c>
      <c r="L10" s="119">
        <f>SUM(F10+H10-J10)</f>
        <v>488756</v>
      </c>
      <c r="N10" s="3">
        <f>IF('Fund 0001 Journal Entries'!$F$7="Governmental Fund",'Fund 0001 Journal Entries'!$J$61,0)</f>
        <v>488756</v>
      </c>
      <c r="P10" s="119">
        <f>L10-N10</f>
        <v>0</v>
      </c>
      <c r="Q10" s="109"/>
    </row>
    <row r="11" spans="2:17" ht="19.5" thickTop="1" thickBot="1" x14ac:dyDescent="0.3">
      <c r="B11" s="107"/>
      <c r="C11" s="195" t="s">
        <v>15</v>
      </c>
      <c r="D11" s="195"/>
      <c r="F11" s="120">
        <f>SUM(F10:F10)</f>
        <v>276033</v>
      </c>
      <c r="H11" s="120">
        <f>SUM(H10:H10)</f>
        <v>690023</v>
      </c>
      <c r="J11" s="120">
        <f>SUM(J10:J10)</f>
        <v>477300</v>
      </c>
      <c r="L11" s="120">
        <f>SUM(L10:L10)</f>
        <v>488756</v>
      </c>
      <c r="N11" s="120">
        <f>SUM(N10:N10)</f>
        <v>488756</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O87"/>
  <sheetViews>
    <sheetView showGridLines="0" topLeftCell="A16" zoomScale="112" zoomScaleNormal="112" workbookViewId="0">
      <selection activeCell="H16" sqref="H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276033</v>
      </c>
      <c r="C16" s="15" t="s">
        <v>1552</v>
      </c>
      <c r="D16" s="14">
        <f>IF('Fund 0001 Journal Entries'!$F$7="Governmental Fund",ROUND('Fund 0001 Journal Entries'!$K$37,0),0)</f>
        <v>690023</v>
      </c>
      <c r="E16" s="16" t="s">
        <v>1554</v>
      </c>
      <c r="F16" s="14">
        <f>IF('Fund 0001 Journal Entries'!$F$7="Governmental Fund",ROUND('Fund 0001 Journal Entries'!$J$56,0),0)</f>
        <v>477300</v>
      </c>
      <c r="G16" s="16" t="s">
        <v>1556</v>
      </c>
      <c r="H16" s="17">
        <f>+B16+D16-F16</f>
        <v>488756</v>
      </c>
      <c r="I16" s="16"/>
      <c r="J16" s="18">
        <f>ROUND(SUM('Department Note Disclosure'!$B$16:$B$39),0)</f>
        <v>488756</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488756</v>
      </c>
      <c r="G39" s="150"/>
      <c r="H39" s="150"/>
      <c r="I39" s="20"/>
      <c r="J39" s="18">
        <f>ROUND('Department Note Disclosure'!$B$16,0)</f>
        <v>488756</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276033</v>
      </c>
      <c r="H61" s="154" t="str">
        <f>"Balance July 1, "&amp;LEFT('Fund 0001 Journal Entries'!$F$3,4)</f>
        <v>Balance July 1, 2022</v>
      </c>
      <c r="J61" s="22">
        <f>ROUND('SBITA Liabilities'!$F$10,0)</f>
        <v>276033</v>
      </c>
      <c r="L61" s="19">
        <f>D61-J61</f>
        <v>0</v>
      </c>
    </row>
    <row r="62" spans="1:13" x14ac:dyDescent="0.25">
      <c r="B62" s="152" t="s">
        <v>1630</v>
      </c>
      <c r="D62" s="22">
        <f>$D$16</f>
        <v>690023</v>
      </c>
      <c r="H62" s="154" t="s">
        <v>10</v>
      </c>
      <c r="J62" s="22">
        <f>ROUND('SBITA Liabilities'!$H$10,0)</f>
        <v>690023</v>
      </c>
      <c r="L62" s="19">
        <f>D62-J62</f>
        <v>0</v>
      </c>
    </row>
    <row r="63" spans="1:13" x14ac:dyDescent="0.25">
      <c r="B63" s="152" t="s">
        <v>1555</v>
      </c>
      <c r="D63" s="22">
        <f>$F$16</f>
        <v>477300</v>
      </c>
      <c r="H63" s="154" t="s">
        <v>11</v>
      </c>
      <c r="J63" s="22">
        <f>ROUND('SBITA Liabilities'!$J$10,0)</f>
        <v>477300</v>
      </c>
      <c r="L63" s="19">
        <f>D63-J63</f>
        <v>0</v>
      </c>
    </row>
    <row r="64" spans="1:13" x14ac:dyDescent="0.25">
      <c r="B64" s="152" t="s">
        <v>1559</v>
      </c>
      <c r="D64" s="22">
        <f>$F$39</f>
        <v>488756</v>
      </c>
      <c r="H64" s="154" t="s">
        <v>12</v>
      </c>
      <c r="J64" s="22">
        <f>ROUND('SBITA Liabilities'!$N$10,0)</f>
        <v>488756</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CA348EC-ABF2-4C20-86A4-EDC4770D0A3B}"/>
</file>

<file path=customXml/itemProps2.xml><?xml version="1.0" encoding="utf-8"?>
<ds:datastoreItem xmlns:ds="http://schemas.openxmlformats.org/officeDocument/2006/customXml" ds:itemID="{95A29ACC-D81E-429C-A21C-BBBEE5E39276}"/>
</file>

<file path=customXml/itemProps3.xml><?xml version="1.0" encoding="utf-8"?>
<ds:datastoreItem xmlns:ds="http://schemas.openxmlformats.org/officeDocument/2006/customXml" ds:itemID="{84DB2692-90F9-4ECE-A268-136C42E00D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