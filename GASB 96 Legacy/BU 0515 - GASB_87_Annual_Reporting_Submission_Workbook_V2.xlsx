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49B0580B-23EB-4ACE-8400-D7EA3CC48B75}"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4" l="1"/>
  <c r="J10" i="4"/>
  <c r="K129" i="2" l="1"/>
  <c r="S20" i="2"/>
  <c r="K20" i="2"/>
  <c r="K125" i="2" s="1"/>
  <c r="P18" i="2" l="1"/>
  <c r="J18" i="2" s="1"/>
  <c r="S25" i="2"/>
  <c r="Q24" i="2"/>
  <c r="S24" i="2" s="1"/>
  <c r="S23" i="2"/>
  <c r="K23" i="2"/>
  <c r="S22" i="2"/>
  <c r="K22" i="2"/>
  <c r="K127" i="2" s="1"/>
  <c r="S21" i="2"/>
  <c r="K21" i="2"/>
  <c r="K126" i="2" s="1"/>
  <c r="S19" i="2"/>
  <c r="S17" i="2"/>
  <c r="J17" i="2"/>
  <c r="K124" i="2" s="1"/>
  <c r="S16" i="2"/>
  <c r="J16" i="2"/>
  <c r="K123" i="2" s="1"/>
  <c r="S15" i="2"/>
  <c r="J15" i="2"/>
  <c r="K122" i="2" s="1"/>
  <c r="K128" i="2" l="1"/>
  <c r="F10" i="4"/>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<sst xmlns="http://schemas.openxmlformats.org/spreadsheetml/2006/main" count="7784" uniqueCount="1761">
  <si>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</si>
  <si>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</si>
  <si>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</si>
  <si>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</si>
  <si>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</si>
  <si>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</si>
  <si>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</si>
  <si>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</si>
  <si>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</si>
  <si>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</si>
  <si>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</si>
  <si>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</si>
  <si>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</si>
  <si>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</si>
  <si>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</si>
  <si>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</si>
  <si>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</si>
  <si>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</si>
  <si>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</si>
  <si>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</si>
  <si>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</si>
  <si>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</si>
  <si>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</si>
  <si>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</si>
  <si>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</si>
  <si>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</si>
  <si>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</si>
  <si>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</si>
  <si>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</si>
  <si>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</si>
  <si>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</si>
  <si>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</si>
  <si>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</si>
  <si>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</si>
  <si>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</si>
  <si>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</si>
  <si>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</si>
  <si>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</si>
  <si>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</si>
  <si>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</si>
  <si>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</si>
  <si>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</si>
  <si>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</si>
  <si>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</si>
  <si>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</si>
  <si>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</si>
  <si>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</si>
  <si>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</si>
  <si>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</si>
  <si>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</si>
  <si>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</si>
  <si>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</si>
  <si>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</si>
  <si>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</si>
  <si>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</si>
  <si>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</si>
  <si>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</si>
  <si>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</si>
  <si>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</si>
  <si>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</si>
  <si>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</si>
  <si>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</si>
  <si>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</si>
  <si>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</si>
  <si>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</si>
  <si>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</si>
  <si>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</si>
  <si>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</si>
  <si>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</si>
  <si>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</si>
  <si>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</si>
  <si>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</si>
  <si>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</si>
  <si>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</si>
  <si>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</si>
  <si>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</si>
  <si>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</si>
  <si>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</si>
  <si>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</si>
  <si>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</si>
  <si>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</si>
  <si>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</si>
  <si>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</si>
  <si>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</si>
  <si>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</si>
  <si>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</si>
  <si>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</si>
  <si>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</si>
  <si>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</si>
  <si>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</si>
  <si>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</si>
  <si>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</si>
  <si>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</si>
  <si>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</si>
  <si>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</si>
  <si>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</si>
  <si>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</si>
  <si>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</si>
  <si>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</si>
  <si>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</si>
  <si>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</si>
  <si>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</si>
  <si>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</si>
  <si>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</si>
  <si>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</si>
  <si>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</si>
  <si>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</si>
  <si>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</si>
  <si>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</si>
  <si>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</si>
  <si>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</si>
  <si>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</si>
  <si>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</si>
  <si>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</si>
  <si>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</si>
  <si>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</si>
  <si>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</si>
  <si>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</si>
  <si>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</si>
  <si>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</si>
  <si>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</si>
  <si>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</si>
  <si>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</si>
  <si>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</si>
  <si>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</si>
  <si>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</si>
  <si>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</si>
  <si>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</si>
  <si>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</si>
  <si>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</si>
  <si>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</si>
  <si>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</si>
  <si>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</si>
  <si>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</si>
  <si>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</si>
  <si>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</si>
  <si>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</si>
  <si>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</si>
  <si>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</si>
  <si>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</si>
  <si>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</si>
  <si>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</si>
  <si>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</si>
  <si>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</si>
  <si>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</si>
  <si>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</si>
  <si>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</si>
  <si>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</si>
  <si>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</si>
  <si>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</si>
  <si>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</si>
  <si>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</si>
  <si>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</si>
  <si>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</si>
  <si>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</si>
  <si>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</si>
  <si>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</si>
  <si>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</si>
  <si>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</si>
  <si>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</si>
  <si>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</si>
  <si>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</si>
  <si>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</si>
  <si>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</si>
  <si>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</si>
  <si>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</si>
  <si>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</si>
  <si>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</si>
  <si>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</si>
  <si>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</si>
  <si>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</si>
  <si>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</si>
  <si>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</si>
  <si>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</si>
  <si>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</si>
  <si>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</si>
  <si>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</si>
  <si>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</si>
  <si>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</si>
  <si>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</si>
  <si>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</si>
  <si>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</si>
  <si>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</si>
  <si>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</si>
  <si>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</si>
  <si>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</si>
  <si>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</si>
  <si>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</si>
  <si>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</si>
  <si>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</si>
  <si>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</si>
  <si>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</si>
  <si>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</si>
  <si>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</si>
  <si>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</si>
  <si>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</si>
  <si>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</si>
  <si>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</si>
  <si>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</si>
  <si>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</si>
  <si>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</si>
  <si>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</si>
  <si>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</si>
  <si>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</si>
  <si>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</si>
  <si>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</si>
  <si>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</si>
  <si>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</si>
  <si>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</si>
  <si>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</si>
  <si>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</si>
  <si>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</si>
  <si>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</si>
  <si>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</si>
  <si>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</si>
  <si>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</si>
  <si>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</si>
  <si>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</si>
  <si>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</si>
  <si>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</si>
  <si>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</si>
  <si>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</si>
  <si>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</si>
  <si>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</si>
  <si>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</si>
  <si>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</si>
  <si>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</si>
  <si>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</si>
  <si>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</si>
  <si>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</si>
  <si>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</si>
  <si>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</si>
  <si>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</si>
  <si>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</si>
  <si>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</si>
  <si>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</si>
  <si>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</si>
  <si>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</si>
  <si>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</si>
  <si>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</si>
  <si>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</si>
  <si>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</si>
  <si>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</si>
  <si>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</si>
  <si>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</si>
  <si>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</si>
  <si>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</si>
  <si>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</si>
  <si>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</si>
  <si>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</si>
  <si>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</si>
  <si>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</si>
  <si>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</si>
  <si>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</si>
  <si>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</si>
  <si>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</si>
  <si>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</si>
  <si>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</si>
  <si>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</si>
  <si>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</si>
  <si>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</si>
  <si>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</si>
  <si>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</si>
  <si>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</si>
  <si>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</si>
  <si>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</si>
  <si>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</si>
  <si>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</si>
  <si>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</si>
  <si>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</si>
  <si>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</si>
  <si>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</si>
  <si>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</si>
  <si>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</si>
  <si>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</si>
  <si>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</si>
  <si>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</si>
  <si>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</si>
  <si>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</si>
  <si>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</si>
  <si>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</si>
  <si>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</si>
  <si>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</si>
  <si>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</si>
  <si>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</si>
  <si>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</si>
  <si>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</si>
  <si>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</si>
  <si>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</si>
  <si>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</si>
  <si>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</si>
  <si>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</si>
  <si>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</si>
  <si>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</si>
  <si>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</si>
  <si>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</si>
  <si>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</si>
  <si>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</si>
  <si>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</si>
  <si>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</si>
  <si>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</si>
  <si>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</si>
  <si>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</si>
  <si>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</si>
  <si>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</si>
  <si>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</si>
  <si>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</si>
  <si>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</si>
  <si>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</si>
  <si>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</si>
  <si>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</si>
  <si>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</si>
  <si>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</si>
  <si>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</si>
  <si>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</si>
  <si>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</si>
  <si>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</si>
  <si>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</si>
  <si>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</si>
  <si>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</si>
  <si>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</si>
  <si>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</si>
  <si>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</si>
  <si>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</si>
  <si>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</si>
  <si>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</si>
  <si>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</si>
  <si>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</si>
  <si>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</si>
  <si>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</si>
  <si>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</si>
  <si>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</si>
  <si>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</si>
  <si>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</si>
  <si>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</si>
  <si>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</si>
  <si>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</si>
  <si>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</si>
  <si>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</si>
  <si>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</si>
  <si>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</si>
  <si>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</si>
  <si>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</si>
  <si>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</si>
  <si>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</si>
  <si>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</si>
  <si>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</si>
  <si>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</si>
  <si>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</si>
  <si>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</si>
  <si>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</si>
  <si>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</si>
  <si>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</si>
  <si>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</si>
  <si>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</si>
  <si>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</si>
  <si>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</si>
  <si>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</si>
  <si>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</si>
  <si>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</si>
  <si>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</si>
  <si>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</si>
  <si>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</si>
  <si>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</si>
  <si>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</si>
  <si>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</si>
  <si>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</si>
  <si>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</si>
  <si>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</si>
  <si>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</si>
  <si>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</si>
  <si>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</si>
  <si>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</si>
  <si>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</si>
  <si>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</si>
  <si>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</si>
  <si>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</si>
  <si>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</si>
  <si>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</si>
  <si>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</si>
  <si>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</si>
  <si>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</si>
  <si>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</si>
  <si>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</si>
  <si>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</si>
  <si>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</si>
  <si>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</si>
  <si>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</si>
  <si>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</si>
  <si>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</si>
  <si>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</si>
  <si>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</si>
  <si>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</si>
  <si>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</si>
  <si>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</si>
  <si>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</si>
  <si>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</si>
  <si>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</si>
  <si>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</si>
  <si>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</si>
  <si>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</si>
  <si>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</si>
  <si>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</si>
  <si>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</si>
  <si>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</si>
  <si>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</si>
  <si>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</si>
  <si>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</si>
  <si>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</si>
  <si>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</si>
  <si>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</si>
  <si>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</si>
  <si>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</si>
  <si>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</si>
  <si>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</si>
  <si>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</si>
  <si>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</si>
  <si>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</si>
  <si>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</si>
  <si>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</si>
  <si>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</si>
  <si>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</si>
  <si>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</si>
  <si>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</si>
  <si>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</si>
  <si>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</si>
  <si>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</si>
  <si>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</si>
  <si>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</si>
  <si>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</si>
  <si>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</si>
  <si>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</si>
  <si>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</si>
  <si>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</si>
  <si>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</si>
  <si>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</si>
  <si>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</si>
  <si>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</si>
  <si>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</si>
  <si>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</si>
  <si>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</si>
  <si>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</si>
  <si>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</si>
  <si>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</si>
  <si>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</si>
  <si>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</si>
  <si>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</si>
  <si>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</si>
  <si>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</si>
  <si>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</si>
  <si>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</si>
  <si>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</si>
  <si>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</si>
  <si>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</si>
  <si>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</si>
  <si>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</si>
  <si>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</si>
  <si>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</si>
  <si>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</si>
  <si>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</si>
  <si>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</si>
  <si>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</si>
  <si>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</si>
  <si>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</si>
  <si>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</si>
  <si>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</si>
  <si>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</si>
  <si>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</si>
  <si>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</si>
  <si>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</si>
  <si>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</si>
  <si>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</si>
  <si>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</si>
  <si>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</si>
  <si>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</si>
  <si>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</si>
  <si>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</si>
  <si>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</si>
  <si>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</si>
  <si>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</si>
  <si>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</si>
  <si>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</si>
  <si>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</si>
  <si>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</si>
  <si>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</si>
  <si>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</si>
  <si>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</si>
  <si>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</si>
  <si>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</si>
  <si>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</si>
  <si>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</si>
  <si>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</si>
  <si>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</si>
  <si>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</si>
  <si>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</si>
  <si>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</si>
  <si>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</si>
  <si>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</si>
  <si>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</si>
  <si>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</si>
  <si>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</si>
  <si>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</si>
  <si>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</si>
  <si>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</si>
  <si>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</si>
  <si>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</si>
  <si>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</si>
  <si>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</si>
  <si>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</si>
  <si>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</si>
  <si>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</si>
  <si>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</si>
  <si>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</si>
  <si>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</si>
  <si>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</si>
  <si>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</si>
  <si>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</si>
  <si>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</si>
  <si>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</si>
  <si>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</si>
  <si>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</si>
  <si>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</si>
  <si>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</si>
  <si>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</si>
  <si>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</si>
  <si>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</si>
  <si>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</si>
  <si>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</si>
  <si>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</si>
  <si>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</si>
  <si>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</si>
  <si>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</si>
  <si>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</si>
  <si>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</si>
  <si>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</si>
  <si>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</si>
  <si>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</si>
  <si>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</si>
  <si>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</si>
  <si>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</si>
  <si>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</si>
  <si>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</si>
  <si>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</si>
  <si>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</si>
  <si>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</si>
  <si>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</si>
  <si>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</si>
  <si>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</si>
  <si>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</si>
  <si>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</si>
  <si>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</si>
  <si>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</si>
  <si>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</si>
  <si>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</si>
  <si>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</si>
  <si>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</si>
  <si>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</si>
  <si>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</si>
  <si>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</si>
  <si>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</si>
  <si>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</si>
  <si>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</si>
  <si>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</si>
  <si>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</si>
  <si>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</si>
  <si>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</si>
  <si>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</si>
  <si>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</si>
  <si>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</si>
  <si>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</si>
  <si>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</si>
  <si>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</si>
  <si>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</si>
  <si>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</si>
  <si>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</si>
  <si>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</si>
  <si>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</si>
  <si>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</si>
  <si>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</si>
  <si>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</si>
  <si>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</si>
  <si>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</si>
  <si>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</si>
  <si>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</si>
  <si>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</si>
  <si>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</si>
  <si>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</si>
  <si>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</si>
  <si>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</si>
  <si>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</si>
  <si>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</si>
  <si>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</si>
  <si>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</si>
  <si>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</si>
  <si>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</si>
  <si>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</si>
  <si>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</si>
  <si>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</si>
  <si>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</si>
  <si>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</si>
  <si>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</si>
  <si>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</si>
  <si>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</si>
  <si>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</si>
  <si>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</si>
  <si>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</si>
  <si>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</si>
  <si>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</si>
  <si>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</si>
  <si>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</si>
  <si>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</si>
  <si>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</si>
  <si>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</si>
  <si>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</si>
  <si>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</si>
  <si>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</si>
  <si>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</si>
  <si>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</si>
  <si>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</si>
  <si>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</si>
  <si>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</si>
  <si>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</si>
  <si>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</si>
  <si>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</si>
  <si>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</si>
  <si>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</si>
  <si>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</si>
  <si>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</si>
  <si>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</si>
  <si>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</si>
  <si>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</si>
  <si>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</si>
  <si>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</si>
  <si>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</si>
  <si>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</si>
  <si>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</si>
  <si>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</si>
  <si>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</si>
  <si>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</si>
  <si>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</si>
  <si>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</si>
  <si>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</si>
  <si>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</si>
  <si>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</si>
  <si>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</si>
  <si>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</si>
  <si>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</si>
  <si>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</si>
  <si>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</si>
  <si>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</si>
  <si>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</si>
  <si>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</si>
  <si>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</si>
  <si>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</si>
  <si>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</si>
  <si>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</si>
  <si>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</si>
  <si>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</si>
  <si>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</si>
  <si>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</si>
  <si>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</si>
  <si>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</si>
  <si>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</si>
  <si>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</si>
  <si>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</si>
  <si>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</si>
  <si>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</si>
  <si>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</si>
  <si>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</si>
  <si>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</si>
  <si>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</si>
  <si>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</si>
  <si>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</si>
  <si>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</si>
  <si>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</si>
  <si>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</si>
  <si>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</si>
  <si>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</si>
  <si>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</si>
  <si>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</si>
  <si>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</si>
  <si>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</si>
  <si>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</si>
  <si>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</si>
  <si>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</si>
  <si>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</si>
  <si>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</si>
  <si>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</si>
  <si>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</si>
  <si>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</si>
  <si>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</si>
  <si>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</si>
  <si>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</si>
  <si>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</si>
  <si>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</si>
  <si>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</si>
  <si>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</si>
  <si>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</si>
  <si>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</si>
  <si>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</si>
  <si>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</si>
  <si>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</si>
  <si>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</si>
  <si>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</si>
  <si>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</si>
  <si>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</si>
  <si>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</si>
  <si>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</si>
  <si>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</si>
  <si>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</si>
  <si>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</si>
  <si>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</si>
  <si>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</si>
  <si>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</si>
  <si>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</si>
  <si>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</si>
  <si>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</si>
  <si>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</si>
  <si>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</si>
  <si>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</si>
  <si>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</si>
  <si>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</si>
  <si>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</si>
  <si>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</si>
  <si>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</si>
  <si>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</si>
  <si>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</si>
  <si>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</si>
  <si>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</si>
  <si>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</si>
  <si>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</si>
  <si>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</si>
  <si>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</si>
  <si>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</si>
  <si>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</si>
  <si>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</si>
  <si>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</si>
  <si>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</si>
  <si>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</si>
  <si>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</si>
  <si>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</si>
  <si>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</si>
  <si>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</si>
  <si>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</si>
  <si>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</si>
  <si>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</si>
  <si>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</si>
  <si>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</si>
  <si>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</si>
  <si>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</si>
  <si>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</si>
  <si>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</si>
  <si>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</si>
  <si>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</si>
  <si>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</si>
  <si>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</si>
  <si>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</si>
  <si>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</si>
  <si>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</si>
  <si>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</si>
  <si>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</si>
  <si>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</si>
  <si>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</si>
  <si>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</si>
  <si>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</si>
  <si>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</si>
  <si>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</si>
  <si>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</si>
  <si>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</si>
  <si>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</si>
  <si>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</si>
  <si>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</si>
  <si>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</si>
  <si>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</si>
  <si>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</si>
  <si>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</si>
  <si>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</si>
  <si>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</si>
  <si>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</si>
  <si>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</si>
  <si>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</si>
  <si>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</si>
  <si>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</si>
  <si>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</si>
  <si>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</si>
  <si>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</si>
  <si>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</si>
  <si>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</si>
  <si>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</si>
  <si>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</si>
  <si>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</si>
  <si>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</si>
  <si>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</si>
  <si>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</si>
  <si>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</si>
  <si>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</si>
  <si>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</si>
  <si>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</si>
  <si>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</si>
  <si>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</si>
  <si>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</si>
  <si>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</si>
  <si>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</si>
  <si>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</si>
  <si>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</si>
  <si>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</si>
  <si>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</si>
  <si>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</si>
  <si>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</si>
  <si>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</si>
  <si>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</si>
  <si>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</si>
  <si>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</si>
  <si>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</si>
  <si>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</si>
  <si>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</si>
  <si>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</si>
  <si>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</si>
  <si>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</si>
  <si>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</si>
  <si>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</si>
  <si>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</si>
  <si>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</si>
  <si>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</si>
  <si>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</si>
  <si>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</si>
  <si>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</si>
  <si>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</si>
  <si>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</si>
  <si>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</si>
  <si>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</si>
  <si>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</si>
  <si>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</si>
  <si>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</si>
  <si>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</si>
  <si>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</si>
  <si>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</si>
  <si>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</si>
  <si>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</si>
  <si>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</si>
  <si>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</si>
  <si>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</si>
  <si>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</si>
  <si>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</si>
  <si>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</si>
  <si>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</si>
  <si>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</si>
  <si>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</si>
  <si>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</si>
  <si>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</si>
  <si>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</si>
  <si>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</si>
  <si>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</si>
  <si>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</si>
  <si>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</si>
  <si>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</si>
  <si>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</si>
  <si>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</si>
  <si>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</si>
  <si>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</si>
  <si>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</si>
  <si>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</si>
  <si>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</si>
  <si>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</si>
  <si>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</si>
  <si>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</si>
  <si>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</si>
  <si>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</si>
  <si>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</si>
  <si>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</si>
  <si>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</si>
  <si>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</si>
  <si>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</si>
  <si>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</si>
  <si>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</si>
  <si>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</si>
  <si>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</si>
  <si>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</si>
  <si>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</si>
  <si>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</si>
  <si>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</si>
  <si>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</si>
  <si>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</si>
  <si>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</si>
  <si>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</si>
  <si>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</si>
  <si>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</si>
  <si>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</si>
  <si>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</si>
  <si>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</si>
  <si>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</si>
  <si>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</si>
  <si>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</si>
  <si>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</si>
  <si>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</si>
  <si>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</si>
  <si>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</si>
  <si>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</si>
  <si>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</si>
  <si>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</si>
  <si>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</si>
  <si>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</si>
  <si>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</si>
  <si>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</si>
  <si>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</si>
  <si>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</si>
  <si>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</si>
  <si>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</si>
  <si>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</si>
  <si>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</si>
  <si>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</si>
  <si>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</si>
  <si>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</si>
  <si>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</si>
  <si>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</si>
  <si>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</si>
  <si>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</si>
  <si>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</si>
  <si>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</si>
  <si>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</si>
  <si>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</si>
  <si>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</si>
  <si>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</si>
  <si>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</si>
  <si>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</si>
  <si>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</si>
  <si>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</si>
  <si>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</si>
  <si>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</si>
  <si>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</si>
  <si>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</si>
  <si>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</si>
  <si>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</si>
  <si>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</si>
  <si>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</si>
  <si>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</si>
  <si>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</si>
  <si>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</si>
  <si>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</si>
  <si>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</si>
  <si>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</si>
  <si>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</si>
  <si>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</si>
  <si>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</si>
  <si>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</si>
  <si>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</si>
  <si>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</si>
  <si>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</si>
  <si>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</si>
  <si>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</si>
  <si>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</si>
  <si>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</si>
  <si>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</si>
  <si>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</si>
  <si>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</si>
  <si>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</si>
  <si>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</si>
  <si>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</si>
  <si>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</si>
  <si>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</si>
  <si>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</si>
  <si>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</si>
  <si>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</si>
  <si>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</si>
  <si>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</si>
  <si>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</si>
  <si>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</si>
  <si>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</si>
  <si>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</si>
  <si>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</si>
  <si>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</si>
  <si>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</si>
  <si>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</si>
  <si>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</si>
  <si>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</si>
  <si>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</si>
  <si>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</si>
  <si>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</si>
  <si>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</si>
  <si>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</si>
  <si>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</si>
  <si>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</si>
  <si>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</si>
  <si>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</si>
  <si>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</si>
  <si>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</si>
  <si>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</si>
  <si>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</si>
  <si>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</si>
  <si>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</si>
  <si>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</si>
  <si>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</si>
  <si>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</si>
  <si>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</si>
  <si>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</si>
  <si>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</si>
  <si>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</si>
  <si>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</si>
  <si>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</si>
  <si>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</si>
  <si>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</si>
  <si>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</si>
  <si>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</si>
  <si>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</si>
  <si>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</si>
  <si>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</si>
  <si>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</si>
  <si>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</si>
  <si>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</si>
  <si>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</si>
  <si>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</si>
  <si>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</si>
  <si>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</si>
  <si>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</si>
  <si>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</si>
  <si>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</si>
  <si>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</si>
  <si>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</si>
  <si>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</si>
  <si>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</si>
  <si>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</si>
  <si>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</si>
  <si>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</si>
  <si>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</si>
  <si>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</si>
  <si>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</si>
  <si>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</si>
  <si>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</si>
  <si>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</si>
  <si>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</si>
  <si>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</si>
  <si>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</si>
  <si>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</si>
  <si>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</si>
  <si>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</si>
  <si>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</si>
  <si>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</si>
  <si>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</si>
  <si>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</si>
  <si>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</si>
  <si>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</si>
  <si>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</si>
  <si>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</si>
  <si>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</si>
  <si>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</si>
  <si>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</si>
  <si>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</si>
  <si>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</si>
  <si>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</si>
  <si>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</si>
  <si>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</si>
  <si>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</si>
  <si>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</si>
  <si>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</si>
  <si>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</si>
  <si>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</si>
  <si>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</si>
  <si>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</si>
  <si>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</si>
  <si>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</si>
  <si>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</si>
  <si>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</si>
  <si>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</si>
  <si>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</si>
  <si>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</si>
  <si>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</si>
  <si>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</si>
  <si>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</si>
  <si>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</si>
  <si>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</si>
  <si>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</si>
  <si>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</si>
  <si>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</si>
  <si>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</si>
  <si>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</si>
  <si>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</si>
  <si>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</si>
  <si>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</si>
  <si>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</si>
  <si>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</si>
  <si>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</si>
  <si>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</si>
  <si>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</si>
  <si>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</si>
  <si>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</si>
  <si>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</si>
  <si>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</si>
  <si>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</si>
  <si>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</si>
  <si>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</si>
  <si>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</si>
  <si>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</si>
  <si>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</si>
  <si>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</si>
  <si>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</si>
  <si>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</si>
  <si>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</si>
  <si>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</si>
  <si>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</si>
  <si>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</si>
  <si>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</si>
  <si>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</si>
  <si>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</si>
  <si>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</si>
  <si>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</si>
  <si>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</si>
  <si>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</si>
  <si>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</si>
  <si>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</si>
  <si>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</si>
  <si>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</si>
  <si>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</si>
  <si>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</si>
  <si>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</si>
  <si>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</si>
  <si>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</si>
  <si>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</si>
  <si>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</si>
  <si>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</si>
  <si>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</si>
  <si>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</si>
  <si>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</si>
  <si>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</si>
  <si>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</si>
  <si>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</si>
  <si>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</si>
  <si>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</si>
  <si>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</si>
  <si>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</si>
  <si>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</si>
  <si>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</si>
  <si>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</si>
  <si>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</si>
  <si>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</si>
  <si>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</si>
  <si>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</si>
  <si>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</si>
  <si>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</si>
  <si>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</si>
  <si>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</si>
  <si>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</si>
  <si>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</si>
  <si>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</si>
  <si>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</si>
  <si>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</si>
  <si>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</si>
  <si>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</si>
  <si>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</si>
  <si>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</si>
  <si>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</si>
  <si>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</si>
  <si>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</si>
  <si>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</si>
  <si>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</si>
  <si>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</si>
  <si>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</si>
  <si>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</si>
  <si>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</si>
  <si>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</si>
  <si>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</si>
  <si>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</si>
  <si>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</si>
  <si>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</si>
  <si>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</si>
  <si>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</si>
  <si>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</si>
  <si>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</si>
  <si>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</si>
  <si>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</si>
  <si>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</si>
  <si>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</si>
  <si>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</si>
  <si>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</si>
  <si>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</si>
  <si>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</si>
  <si>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</si>
  <si>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</si>
  <si>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</si>
  <si>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</si>
  <si>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</si>
  <si>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</si>
  <si>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</si>
  <si>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</si>
  <si>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</si>
  <si>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</si>
  <si>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</si>
  <si>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</si>
  <si>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</si>
  <si>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</si>
  <si>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</si>
  <si>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</si>
  <si>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</si>
  <si>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</si>
  <si>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</si>
  <si>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</si>
  <si>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</si>
  <si>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</si>
  <si>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</si>
  <si>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</si>
  <si>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</si>
  <si>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</si>
  <si>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</si>
  <si>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</si>
  <si>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</si>
  <si>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</si>
  <si>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</si>
  <si>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</si>
  <si>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</si>
  <si>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</si>
  <si>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</si>
  <si>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</si>
  <si>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</si>
  <si>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</si>
  <si>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</si>
  <si>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</si>
  <si>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</si>
  <si>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</si>
  <si>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</si>
  <si>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</si>
  <si>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</si>
  <si>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</si>
  <si>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</si>
  <si>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</si>
  <si>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</si>
  <si>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</si>
  <si>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</si>
  <si>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</si>
  <si>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</si>
  <si>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</si>
  <si>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</si>
  <si>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</si>
  <si>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</si>
  <si>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</si>
  <si>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</si>
  <si>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</si>
  <si>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</si>
  <si>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</si>
  <si>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</si>
  <si>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</si>
  <si>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</si>
  <si>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</si>
  <si>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</si>
  <si>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</si>
  <si>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</si>
  <si>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</si>
  <si>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</si>
  <si>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</si>
  <si>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</si>
  <si>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</si>
  <si>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</si>
  <si>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</si>
  <si>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</si>
  <si>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</si>
  <si>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</si>
  <si>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</si>
  <si>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</si>
  <si>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</si>
  <si>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</si>
  <si>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</si>
  <si>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</si>
  <si>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</si>
  <si>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</si>
  <si>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</si>
  <si>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</si>
  <si>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</si>
  <si>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</si>
  <si>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</si>
  <si>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</si>
  <si>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</si>
  <si>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</si>
  <si>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</si>
  <si>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</si>
  <si>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</si>
  <si>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</si>
  <si>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</si>
  <si>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</si>
  <si>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</si>
  <si>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</si>
  <si>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</si>
  <si>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</si>
  <si>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</si>
  <si>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</si>
  <si>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</si>
  <si>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</si>
  <si>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</si>
  <si>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</si>
  <si>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</si>
  <si>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</si>
  <si>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</si>
  <si>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</si>
  <si>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</si>
  <si>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</si>
  <si>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</si>
  <si>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</si>
  <si>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</si>
  <si>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</si>
  <si>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</si>
  <si>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</si>
  <si>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</si>
  <si>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</si>
  <si>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</si>
  <si>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</si>
  <si>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</si>
  <si>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</si>
  <si>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</si>
  <si>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</si>
  <si>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</si>
  <si>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</si>
  <si>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</si>
  <si>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</si>
  <si>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</si>
  <si>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</si>
  <si>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</si>
  <si>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</si>
  <si>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</si>
  <si>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</si>
  <si>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</si>
  <si>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</si>
  <si>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</si>
  <si>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</si>
  <si>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</si>
  <si>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</si>
  <si>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</si>
  <si>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</si>
  <si>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</si>
  <si>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</si>
  <si>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</si>
  <si>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</si>
  <si>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</si>
  <si>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</si>
  <si>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</si>
  <si>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</si>
  <si>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</si>
  <si>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</si>
  <si>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</si>
  <si>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</si>
  <si>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</si>
  <si>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</si>
  <si>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</si>
  <si>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</si>
  <si>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</si>
  <si>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</si>
  <si>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</si>
  <si>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</si>
  <si>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</si>
  <si>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</si>
  <si>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</si>
  <si>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</si>
  <si>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</si>
  <si>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</si>
  <si>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</si>
  <si>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</si>
  <si>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</si>
  <si>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</si>
  <si>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</si>
  <si>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</si>
  <si>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</si>
  <si>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</si>
  <si>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</si>
  <si>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</si>
  <si>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</si>
  <si>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</si>
  <si>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</si>
  <si>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</si>
  <si>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</si>
  <si>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</si>
  <si>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</si>
  <si>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</si>
  <si>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</si>
  <si>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</si>
  <si>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</si>
  <si>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</si>
  <si>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</si>
  <si>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</si>
  <si>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</si>
  <si>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</si>
  <si>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</si>
  <si>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</si>
  <si>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</si>
  <si>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</si>
  <si>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</si>
  <si>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</si>
  <si>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</si>
  <si>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</si>
  <si>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</si>
  <si>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</si>
  <si>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</si>
  <si>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</si>
  <si>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</si>
  <si>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</si>
  <si>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</si>
  <si>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</si>
  <si>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</si>
  <si>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</si>
  <si>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</si>
  <si>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</si>
  <si>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</si>
  <si>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</si>
  <si>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</si>
  <si>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</si>
  <si>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</si>
  <si>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</si>
  <si>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</si>
  <si>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</si>
  <si>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</si>
  <si>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</si>
  <si>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</si>
  <si>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</si>
  <si>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</si>
  <si>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</si>
  <si>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</si>
  <si>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</si>
  <si>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</si>
  <si>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</si>
  <si>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</si>
  <si>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</si>
  <si>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</si>
  <si>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</si>
  <si>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</si>
  <si>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</si>
  <si>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</si>
  <si>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</si>
  <si>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</si>
  <si>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</si>
  <si>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</si>
  <si>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</si>
  <si>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</si>
  <si>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</si>
  <si>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</si>
  <si>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</si>
  <si>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</si>
  <si>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</si>
  <si>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</si>
  <si>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</si>
  <si>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</si>
  <si>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</si>
  <si>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</si>
  <si>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</si>
  <si>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</si>
  <si>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</si>
  <si>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</si>
  <si>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</si>
  <si>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</si>
  <si>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</si>
  <si>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</si>
  <si>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</si>
  <si>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</si>
  <si>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</si>
  <si>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</si>
  <si>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</si>
  <si>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</si>
  <si>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</si>
  <si>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</si>
  <si>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</si>
  <si>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</si>
  <si>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</si>
  <si>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</si>
  <si>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</si>
  <si>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</si>
  <si>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</si>
  <si>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</si>
  <si>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</si>
  <si>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</si>
  <si>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</si>
  <si>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</si>
  <si>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</si>
  <si>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</si>
  <si>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</si>
  <si>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</si>
  <si>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</si>
  <si>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</si>
  <si>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</si>
  <si>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</si>
  <si>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</si>
  <si>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</si>
  <si>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</si>
  <si>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</si>
  <si>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</si>
  <si>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</si>
  <si>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</si>
  <si>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</si>
  <si>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</si>
  <si>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</si>
  <si>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</si>
  <si>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</si>
  <si>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</si>
  <si>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</si>
  <si>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</si>
  <si>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</si>
  <si>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</si>
  <si>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</si>
  <si>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</si>
  <si>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</si>
  <si>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</si>
  <si>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</si>
  <si>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</si>
  <si>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</si>
  <si>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</si>
  <si>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</si>
  <si>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</si>
  <si>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</si>
  <si>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</si>
  <si>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</si>
  <si>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</si>
  <si>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</si>
  <si>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</si>
  <si>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</si>
  <si>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</si>
  <si>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</si>
  <si>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</si>
  <si>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</si>
  <si>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</si>
  <si>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</si>
  <si>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</si>
  <si>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</si>
  <si>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</si>
  <si>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</si>
  <si>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</si>
  <si>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</si>
  <si>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</si>
  <si>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</si>
  <si>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</si>
  <si>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</si>
  <si>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</si>
  <si>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</si>
  <si>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</si>
  <si>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</si>
  <si>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</si>
  <si>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</si>
  <si>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</si>
  <si>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</si>
  <si>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</si>
  <si>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</si>
  <si>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</si>
  <si>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</si>
  <si>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</si>
  <si>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</si>
  <si>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</si>
  <si>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</si>
  <si>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</si>
  <si>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</si>
  <si>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</si>
  <si>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</si>
  <si>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</si>
  <si>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</si>
  <si>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</si>
  <si>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</si>
  <si>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</si>
  <si>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</si>
  <si>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</si>
  <si>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</si>
  <si>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</si>
  <si>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</si>
  <si>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</si>
  <si>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</si>
  <si>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</si>
  <si>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</si>
  <si>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</si>
  <si>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</si>
  <si>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</si>
  <si>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</si>
  <si>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</si>
  <si>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</si>
  <si>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</si>
  <si>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</si>
  <si>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</si>
  <si>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</si>
  <si>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</si>
  <si>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</si>
  <si>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</si>
  <si>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</si>
  <si>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</si>
  <si>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</si>
  <si>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</si>
  <si>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</si>
  <si>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</si>
  <si>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</si>
  <si>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</si>
  <si>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</si>
  <si>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</si>
  <si>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</si>
  <si>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</si>
  <si>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</si>
  <si>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</si>
  <si>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</si>
  <si>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</si>
  <si>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</si>
  <si>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</si>
  <si>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</si>
  <si>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</si>
  <si>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</si>
  <si>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</si>
  <si>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</si>
  <si>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</si>
  <si>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</si>
  <si>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</si>
  <si>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</si>
  <si>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</si>
  <si>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</si>
  <si>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</si>
  <si>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</si>
  <si>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</si>
  <si>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</si>
  <si>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</si>
  <si>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</si>
  <si>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</si>
  <si>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</si>
  <si>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</si>
  <si>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</si>
  <si>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</si>
  <si>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</si>
  <si>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</si>
  <si>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</si>
  <si>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</si>
  <si>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</si>
  <si>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</si>
  <si>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</si>
  <si>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</si>
  <si>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</si>
  <si>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</si>
  <si>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</si>
  <si>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</si>
  <si>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</si>
  <si>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</si>
  <si>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</si>
  <si>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</si>
  <si>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</si>
  <si>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</si>
  <si>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</si>
  <si>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</si>
  <si>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</si>
  <si>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</si>
  <si>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</si>
  <si>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</si>
  <si>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</si>
  <si>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</si>
  <si>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</si>
  <si>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</si>
  <si>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</si>
  <si>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</si>
  <si>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</si>
  <si>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</si>
  <si>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</si>
  <si>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</si>
  <si>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</si>
  <si>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</si>
  <si>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</si>
  <si>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</si>
  <si>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</si>
  <si>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</si>
  <si>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</si>
  <si>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</si>
  <si>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</si>
  <si>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</si>
  <si>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</si>
  <si>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</si>
  <si>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</si>
  <si>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</si>
  <si>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</si>
  <si>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</si>
  <si>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</si>
  <si>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</si>
  <si>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</si>
  <si>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</si>
  <si>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</si>
  <si>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</si>
  <si>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</si>
  <si>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</si>
  <si>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</si>
  <si>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</si>
  <si>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</si>
  <si>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</si>
  <si>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</si>
  <si>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</si>
  <si>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</si>
  <si>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</si>
  <si>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</si>
  <si>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</si>
  <si>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</si>
  <si>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</si>
  <si>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</si>
  <si>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</si>
  <si>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</si>
  <si>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</si>
  <si>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</si>
  <si>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</si>
  <si>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</si>
  <si>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</si>
  <si>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</si>
  <si>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</si>
  <si>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</si>
  <si>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</si>
  <si>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</si>
  <si>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</si>
  <si>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</si>
  <si>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</si>
  <si>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</si>
  <si>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</si>
  <si>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</si>
  <si>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</si>
  <si>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</si>
  <si>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</si>
  <si>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</si>
  <si>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</si>
  <si>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</si>
  <si>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</si>
  <si>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</si>
  <si>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</si>
  <si>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</si>
  <si>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</si>
  <si>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</si>
  <si>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</si>
  <si>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</si>
  <si>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</si>
  <si>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</si>
  <si>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</si>
  <si>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</si>
  <si>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</si>
  <si>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</si>
  <si>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</si>
  <si>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</si>
  <si>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</si>
  <si>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</si>
  <si>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</si>
  <si>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</si>
  <si>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</si>
  <si>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</si>
  <si>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</si>
  <si>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</si>
  <si>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</si>
  <si>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</si>
  <si>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</si>
  <si>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</si>
  <si>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</si>
  <si>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</si>
  <si>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</si>
  <si>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</si>
  <si>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</si>
  <si>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</si>
  <si>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</si>
  <si>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</si>
  <si>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</si>
  <si>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</si>
  <si>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</si>
  <si>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</si>
  <si>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</si>
  <si>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</si>
  <si>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</si>
  <si>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</si>
  <si>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</si>
  <si>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</si>
  <si>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</si>
  <si>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</si>
  <si>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</si>
  <si>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</si>
  <si>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</si>
  <si>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</si>
  <si>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</si>
  <si>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</si>
  <si>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</si>
  <si>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Business, Consumer Services and Housing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</si>
</sst>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441406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44140625" bestFit="1" customWidth="1"/>
    <col min="2" max="2" width="34.88671875" bestFit="1" customWidth="1"/>
    <col min="3" max="3" width="5.44140625" bestFit="1" customWidth="1"/>
    <col min="4" max="4" width="33.44140625" bestFit="1" customWidth="1"/>
    <col min="5" max="5" width="8.5546875" customWidth="1"/>
    <col min="6" max="9" width="5.44140625" bestFit="1" customWidth="1"/>
    <col min="10" max="10" width="12.441406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5546875" style="171" customWidth="1"/>
    <col min="6" max="6" width="26.441406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L4" sqref="L4"/>
    </sheetView>
  </sheetViews>
  <sheetFormatPr defaultColWidth="9.109375" defaultRowHeight="15" x14ac:dyDescent="0.3"/>
  <cols>
    <col min="1" max="1" width="13.44140625" style="10" customWidth="1"/>
    <col min="2" max="5" width="10.5546875" style="10" customWidth="1"/>
    <col min="6" max="7" width="15.44140625" style="10" customWidth="1"/>
    <col min="8" max="8" width="15.44140625" style="26" customWidth="1"/>
    <col min="9" max="9" width="15.44140625" style="10" customWidth="1"/>
    <col min="10" max="10" width="21.44140625" style="10" customWidth="1"/>
    <col min="11" max="11" width="19.109375" style="10" customWidth="1"/>
    <col min="12" max="12" width="4" style="10" customWidth="1"/>
    <col min="13" max="14" width="17.441406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300</v>
      </c>
      <c r="G5" s="191"/>
      <c r="H5" s="191"/>
      <c r="I5" s="191"/>
      <c r="L5" s="12"/>
      <c r="M5" s="12"/>
      <c r="N5" s="12"/>
      <c r="O5" s="12"/>
      <c r="P5" s="12"/>
      <c r="Q5" s="12"/>
    </row>
    <row r="6" spans="1:19" ht="16.5" customHeight="1" x14ac:dyDescent="0.3">
      <c r="A6" s="185" t="s">
        <v>1635</v>
      </c>
      <c r="B6" s="185"/>
      <c r="C6" s="185"/>
      <c r="D6" s="185"/>
      <c r="E6" s="185"/>
      <c r="F6" s="192">
        <v>1</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BUS, CONSUMER SERV, HOUSING</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v>0</v>
      </c>
      <c r="P15" s="143">
        <v>0</v>
      </c>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v>0</v>
      </c>
      <c r="P16" s="143">
        <v>0</v>
      </c>
      <c r="Q16" s="155"/>
      <c r="S16" s="154">
        <f t="shared" si="0"/>
        <v>0</v>
      </c>
    </row>
    <row r="17" spans="1:19" ht="16.5" customHeight="1" x14ac:dyDescent="0.3">
      <c r="A17" s="159" t="s">
        <v>1638</v>
      </c>
      <c r="B17" s="9" t="s">
        <v>173</v>
      </c>
      <c r="C17" s="9"/>
      <c r="D17" s="9"/>
      <c r="E17" s="140"/>
      <c r="F17" s="141"/>
      <c r="G17" s="141"/>
      <c r="H17" s="142"/>
      <c r="I17" s="142"/>
      <c r="J17" s="178">
        <f>M17</f>
        <v>2485655</v>
      </c>
      <c r="M17" s="143">
        <v>2485655</v>
      </c>
      <c r="P17" s="143">
        <v>0</v>
      </c>
      <c r="Q17" s="155"/>
      <c r="S17" s="154">
        <f t="shared" si="0"/>
        <v>-2485655</v>
      </c>
    </row>
    <row r="18" spans="1:19" ht="16.5" customHeight="1" x14ac:dyDescent="0.3">
      <c r="A18" s="54"/>
      <c r="B18" s="9" t="s">
        <v>169</v>
      </c>
      <c r="C18" s="9"/>
      <c r="D18" s="9"/>
      <c r="E18" s="140"/>
      <c r="F18" s="141"/>
      <c r="G18" s="141"/>
      <c r="H18" s="142"/>
      <c r="I18" s="142"/>
      <c r="J18" s="178">
        <f>P18</f>
        <v>0</v>
      </c>
      <c r="M18" s="143">
        <v>0</v>
      </c>
      <c r="P18" s="152">
        <f>IF(SUM($Q$21:$Q$23)&gt;SUM($P$15:$P$17),SUM($Q$21:$Q$23)-SUM($P$15:$P$17),0)</f>
        <v>0</v>
      </c>
      <c r="Q18" s="155"/>
      <c r="S18" s="154">
        <f t="shared" si="0"/>
        <v>0</v>
      </c>
    </row>
    <row r="19" spans="1:19" ht="16.5" customHeight="1" x14ac:dyDescent="0.3">
      <c r="A19" s="54"/>
      <c r="B19" s="9" t="s">
        <v>170</v>
      </c>
      <c r="C19" s="9"/>
      <c r="D19" s="9"/>
      <c r="E19" s="140"/>
      <c r="F19" s="141"/>
      <c r="G19" s="141"/>
      <c r="H19" s="142"/>
      <c r="I19" s="142"/>
      <c r="J19" s="178">
        <f>IF(SUM($K$21:$K$24)&gt;SUM($J$15:$J$18),SUM($K$21:$K$24)-SUM($J$15:$J$18),0)</f>
        <v>21681</v>
      </c>
      <c r="M19" s="143">
        <v>21681</v>
      </c>
      <c r="P19" s="155"/>
      <c r="Q19" s="155"/>
      <c r="S19" s="154">
        <f t="shared" si="0"/>
        <v>-21681</v>
      </c>
    </row>
    <row r="20" spans="1:19" ht="16.5" customHeight="1" x14ac:dyDescent="0.3">
      <c r="A20" s="54"/>
      <c r="B20" s="9"/>
      <c r="C20" s="9" t="s">
        <v>178</v>
      </c>
      <c r="D20" s="9"/>
      <c r="E20" s="140"/>
      <c r="F20" s="141"/>
      <c r="G20" s="141"/>
      <c r="H20" s="142"/>
      <c r="I20" s="142"/>
      <c r="J20" s="150"/>
      <c r="K20" s="178">
        <f>N20</f>
        <v>0</v>
      </c>
      <c r="N20" s="143">
        <v>0</v>
      </c>
      <c r="P20" s="155"/>
      <c r="Q20" s="143">
        <v>0</v>
      </c>
      <c r="S20" s="154">
        <f t="shared" si="0"/>
        <v>0</v>
      </c>
    </row>
    <row r="21" spans="1:19" ht="16.5" customHeight="1" x14ac:dyDescent="0.3">
      <c r="A21" s="54"/>
      <c r="B21" s="9"/>
      <c r="C21" s="9" t="s">
        <v>175</v>
      </c>
      <c r="D21" s="9"/>
      <c r="E21" s="140"/>
      <c r="F21" s="141"/>
      <c r="G21" s="141"/>
      <c r="H21" s="142"/>
      <c r="I21" s="142"/>
      <c r="J21" s="150"/>
      <c r="K21" s="178">
        <f>N21</f>
        <v>0</v>
      </c>
      <c r="N21" s="143">
        <v>0</v>
      </c>
      <c r="P21" s="155"/>
      <c r="Q21" s="143">
        <v>0</v>
      </c>
      <c r="S21" s="154">
        <f>Q21-N21</f>
        <v>0</v>
      </c>
    </row>
    <row r="22" spans="1:19" ht="16.5" customHeight="1" x14ac:dyDescent="0.3">
      <c r="A22" s="54"/>
      <c r="B22" s="9"/>
      <c r="C22" s="9" t="s">
        <v>179</v>
      </c>
      <c r="D22" s="9"/>
      <c r="E22" s="140"/>
      <c r="F22" s="141"/>
      <c r="G22" s="141"/>
      <c r="H22" s="142"/>
      <c r="I22" s="142"/>
      <c r="J22" s="150"/>
      <c r="K22" s="178">
        <f>N22</f>
        <v>181246</v>
      </c>
      <c r="N22" s="143">
        <v>181246</v>
      </c>
      <c r="P22" s="155"/>
      <c r="Q22" s="143">
        <v>0</v>
      </c>
      <c r="S22" s="154">
        <f t="shared" ref="S22:S25" si="1">Q22-N22</f>
        <v>-181246</v>
      </c>
    </row>
    <row r="23" spans="1:19" ht="16.5" customHeight="1" x14ac:dyDescent="0.3">
      <c r="A23" s="165" t="s">
        <v>1646</v>
      </c>
      <c r="B23" s="9"/>
      <c r="C23" s="9" t="s">
        <v>174</v>
      </c>
      <c r="D23" s="9"/>
      <c r="E23" s="140"/>
      <c r="F23" s="141"/>
      <c r="G23" s="141"/>
      <c r="H23" s="142"/>
      <c r="I23" s="142"/>
      <c r="J23" s="150"/>
      <c r="K23" s="178">
        <f>N23</f>
        <v>2326090</v>
      </c>
      <c r="N23" s="143">
        <v>2326090</v>
      </c>
      <c r="P23" s="155"/>
      <c r="Q23" s="143">
        <v>0</v>
      </c>
      <c r="S23" s="154">
        <f t="shared" si="1"/>
        <v>-2326090</v>
      </c>
    </row>
    <row r="24" spans="1:19" ht="16.5" customHeight="1" x14ac:dyDescent="0.3">
      <c r="A24" s="54"/>
      <c r="B24" s="9"/>
      <c r="C24" s="9" t="s">
        <v>176</v>
      </c>
      <c r="D24" s="9"/>
      <c r="E24" s="140"/>
      <c r="F24" s="141"/>
      <c r="G24" s="141"/>
      <c r="H24" s="142"/>
      <c r="I24" s="142"/>
      <c r="J24" s="150"/>
      <c r="K24" s="178">
        <f>Q24</f>
        <v>0</v>
      </c>
      <c r="N24" s="143">
        <v>0</v>
      </c>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v>0</v>
      </c>
      <c r="P25" s="155"/>
      <c r="Q25" s="155"/>
      <c r="S25" s="154">
        <f t="shared" si="1"/>
        <v>0</v>
      </c>
    </row>
    <row r="26" spans="1:19" ht="16.5" customHeight="1" x14ac:dyDescent="0.3">
      <c r="A26" s="54"/>
      <c r="C26" s="20"/>
      <c r="D26" s="20"/>
      <c r="E26" s="20"/>
      <c r="F26" s="127"/>
      <c r="G26" s="127"/>
      <c r="H26" s="22"/>
      <c r="I26" s="22"/>
      <c r="J26" s="107">
        <f>SUM(J15:J25)</f>
        <v>2507336</v>
      </c>
      <c r="K26" s="107">
        <f>SUM(K15:K25)</f>
        <v>2507336</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350000000000001" customHeight="1" x14ac:dyDescent="0.35">
      <c r="A28" s="1"/>
      <c r="B28" s="166" t="s">
        <v>1650</v>
      </c>
      <c r="C28" s="129"/>
      <c r="D28" s="20"/>
      <c r="E28" s="20"/>
      <c r="F28" s="127"/>
      <c r="G28" s="127"/>
      <c r="H28" s="22"/>
      <c r="I28" s="22"/>
      <c r="J28" s="19"/>
      <c r="K28" s="19"/>
      <c r="L28" s="8"/>
    </row>
    <row r="29" spans="1:19" ht="16.350000000000001"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ADJ)",VLOOKUP($F$9,'Drop Down Menus'!$F$2:$G$10,2,FALSE))</f>
        <v>Cr: Acct 0825 - BUS, CONSUMER SERV, HOUSING</v>
      </c>
      <c r="D35" s="140"/>
      <c r="E35" s="140"/>
      <c r="F35" s="141"/>
      <c r="G35" s="141"/>
      <c r="H35" s="142"/>
      <c r="I35" s="142"/>
      <c r="J35" s="144"/>
      <c r="K35" s="143">
        <v>0</v>
      </c>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v>0</v>
      </c>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310707</v>
      </c>
      <c r="K55" s="144"/>
    </row>
    <row r="56" spans="1:16" ht="16.5" customHeight="1" x14ac:dyDescent="0.3">
      <c r="A56" s="54"/>
      <c r="B56" s="25"/>
      <c r="C56" s="9" t="s">
        <v>178</v>
      </c>
      <c r="D56" s="140"/>
      <c r="E56" s="140"/>
      <c r="F56" s="141"/>
      <c r="G56" s="141"/>
      <c r="H56" s="142"/>
      <c r="I56" s="142"/>
      <c r="J56" s="145"/>
      <c r="K56" s="143">
        <v>0</v>
      </c>
    </row>
    <row r="57" spans="1:16" ht="16.5" customHeight="1" x14ac:dyDescent="0.3">
      <c r="A57" s="54"/>
      <c r="B57" s="25"/>
      <c r="C57" s="9" t="s">
        <v>175</v>
      </c>
      <c r="D57" s="140"/>
      <c r="E57" s="140"/>
      <c r="F57" s="141"/>
      <c r="G57" s="141"/>
      <c r="H57" s="142"/>
      <c r="I57" s="142"/>
      <c r="J57" s="145"/>
      <c r="K57" s="143">
        <v>0</v>
      </c>
    </row>
    <row r="58" spans="1:16" ht="16.5" customHeight="1" x14ac:dyDescent="0.3">
      <c r="A58" s="54"/>
      <c r="B58" s="9"/>
      <c r="C58" s="9" t="s">
        <v>179</v>
      </c>
      <c r="D58" s="140"/>
      <c r="E58" s="140"/>
      <c r="F58" s="141"/>
      <c r="G58" s="141"/>
      <c r="H58" s="142"/>
      <c r="I58" s="142"/>
      <c r="J58" s="144"/>
      <c r="K58" s="143">
        <v>310707</v>
      </c>
    </row>
    <row r="59" spans="1:16" ht="16.5" customHeight="1" x14ac:dyDescent="0.3">
      <c r="A59" s="54"/>
      <c r="C59" s="16"/>
      <c r="D59" s="16"/>
      <c r="E59" s="16"/>
      <c r="F59" s="17"/>
      <c r="G59" s="17"/>
      <c r="H59" s="18"/>
      <c r="I59" s="18"/>
      <c r="J59" s="107">
        <f>SUM(J55:J58)</f>
        <v>310707</v>
      </c>
      <c r="K59" s="107">
        <f>SUM(K55:K58)</f>
        <v>310707</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279812</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19790</v>
      </c>
      <c r="K63" s="147"/>
    </row>
    <row r="64" spans="1:16" ht="16.5" customHeight="1" x14ac:dyDescent="0.3">
      <c r="A64" s="54"/>
      <c r="B64" s="9"/>
      <c r="C64" s="9" t="str">
        <f>IF($F$7="Proprietary","Cr: Acct 0870 - SERVICES &amp; CHARGES (MG ADJ)",VLOOKUP($F$9,'Drop Down Menus'!$F$2:$G$10,2,FALSE))</f>
        <v>Cr: Acct 0825 - BUS, CONSUMER SERV, HOUSING</v>
      </c>
      <c r="D64" s="140"/>
      <c r="E64" s="140"/>
      <c r="F64" s="141"/>
      <c r="G64" s="141"/>
      <c r="H64" s="142"/>
      <c r="I64" s="142"/>
      <c r="J64" s="147"/>
      <c r="K64" s="143">
        <v>299602</v>
      </c>
    </row>
    <row r="65" spans="1:12" ht="16.5" customHeight="1" x14ac:dyDescent="0.3">
      <c r="A65" s="54"/>
      <c r="C65" s="16"/>
      <c r="D65" s="16"/>
      <c r="E65" s="16"/>
      <c r="F65" s="17"/>
      <c r="G65" s="17"/>
      <c r="H65" s="18"/>
      <c r="I65" s="18"/>
      <c r="J65" s="107">
        <f>SUM(J62:J64)</f>
        <v>299602</v>
      </c>
      <c r="K65" s="107">
        <f>SUM(K62:K64)</f>
        <v>299602</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279812</v>
      </c>
      <c r="K68" s="144"/>
    </row>
    <row r="69" spans="1:12" ht="16.5" customHeight="1" x14ac:dyDescent="0.3">
      <c r="A69" s="54"/>
      <c r="B69" s="9"/>
      <c r="C69" s="9" t="s">
        <v>186</v>
      </c>
      <c r="D69" s="140"/>
      <c r="E69" s="140"/>
      <c r="F69" s="141"/>
      <c r="G69" s="141"/>
      <c r="H69" s="142"/>
      <c r="I69" s="142"/>
      <c r="J69" s="144"/>
      <c r="K69" s="143">
        <v>279812</v>
      </c>
    </row>
    <row r="70" spans="1:12" ht="16.5" customHeight="1" x14ac:dyDescent="0.3">
      <c r="A70" s="54"/>
      <c r="C70" s="16"/>
      <c r="D70" s="16"/>
      <c r="E70" s="16"/>
      <c r="F70" s="17"/>
      <c r="G70" s="17"/>
      <c r="H70" s="18"/>
      <c r="I70" s="18"/>
      <c r="J70" s="107">
        <f>SUM(J68:J69)</f>
        <v>279812</v>
      </c>
      <c r="K70" s="107">
        <f>SUM(K68:K69)</f>
        <v>279812</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289754</v>
      </c>
      <c r="K75" s="144"/>
    </row>
    <row r="76" spans="1:12" ht="16.5" customHeight="1" x14ac:dyDescent="0.3">
      <c r="A76" s="54"/>
      <c r="B76" s="9"/>
      <c r="C76" s="9" t="s">
        <v>194</v>
      </c>
      <c r="D76" s="140"/>
      <c r="E76" s="140"/>
      <c r="F76" s="141"/>
      <c r="G76" s="141"/>
      <c r="H76" s="142"/>
      <c r="I76" s="142"/>
      <c r="J76" s="144"/>
      <c r="K76" s="143">
        <v>289754</v>
      </c>
    </row>
    <row r="77" spans="1:12" ht="16.5" customHeight="1" x14ac:dyDescent="0.25">
      <c r="A77" s="54"/>
      <c r="B77" s="188" t="s">
        <v>1735</v>
      </c>
      <c r="C77" s="188"/>
      <c r="D77" s="188"/>
      <c r="E77" s="188"/>
      <c r="F77" s="188"/>
      <c r="G77" s="188"/>
      <c r="H77" s="188"/>
      <c r="I77" s="188"/>
      <c r="J77" s="107">
        <f>SUM(J75:J76)</f>
        <v>289754</v>
      </c>
      <c r="K77" s="107">
        <f>SUM(K75:K76)</f>
        <v>289754</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v>0</v>
      </c>
      <c r="K85" s="144"/>
      <c r="L85" s="8"/>
    </row>
    <row r="86" spans="1:16" ht="16.5" customHeight="1" x14ac:dyDescent="0.25">
      <c r="A86" s="54"/>
      <c r="B86" s="9" t="s">
        <v>163</v>
      </c>
      <c r="C86" s="25"/>
      <c r="D86" s="25"/>
      <c r="E86" s="25"/>
      <c r="F86" s="25"/>
      <c r="G86" s="25"/>
      <c r="H86" s="25"/>
      <c r="I86" s="25"/>
      <c r="J86" s="143">
        <v>0</v>
      </c>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v>0</v>
      </c>
    </row>
    <row r="89" spans="1:16" ht="16.5" customHeight="1" x14ac:dyDescent="0.25">
      <c r="A89" s="159" t="s">
        <v>1638</v>
      </c>
      <c r="B89" s="25"/>
      <c r="C89" s="9" t="s">
        <v>164</v>
      </c>
      <c r="D89" s="25"/>
      <c r="E89" s="25"/>
      <c r="F89" s="25"/>
      <c r="G89" s="25"/>
      <c r="H89" s="25"/>
      <c r="I89" s="25"/>
      <c r="J89" s="148"/>
      <c r="K89" s="143">
        <v>0</v>
      </c>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0</v>
      </c>
      <c r="K96" s="149"/>
    </row>
    <row r="97" spans="1:12" ht="16.5" customHeight="1" x14ac:dyDescent="0.25">
      <c r="B97" s="9" t="s">
        <v>187</v>
      </c>
      <c r="C97" s="25"/>
      <c r="D97" s="25"/>
      <c r="E97" s="25"/>
      <c r="F97" s="25"/>
      <c r="G97" s="25"/>
      <c r="H97" s="25"/>
      <c r="I97" s="25"/>
      <c r="J97" s="143">
        <v>0</v>
      </c>
      <c r="K97" s="25"/>
    </row>
    <row r="98" spans="1:12" ht="16.5" customHeight="1" x14ac:dyDescent="0.25">
      <c r="B98" s="9" t="s">
        <v>163</v>
      </c>
      <c r="C98" s="25"/>
      <c r="D98" s="25"/>
      <c r="E98" s="25"/>
      <c r="F98" s="25"/>
      <c r="G98" s="25"/>
      <c r="H98" s="25"/>
      <c r="I98" s="25"/>
      <c r="J98" s="143">
        <v>0</v>
      </c>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ADJ)",VLOOKUP($F$9,'Drop Down Menus'!$F$2:$H$10,3,FALSE))</f>
        <v>Dr: Acct 0825 - BUS, CONSUMER SERV, HOUSING</v>
      </c>
      <c r="C100" s="25"/>
      <c r="D100" s="25"/>
      <c r="E100" s="25"/>
      <c r="F100" s="25"/>
      <c r="G100" s="25"/>
      <c r="H100" s="25"/>
      <c r="I100" s="25"/>
      <c r="J100" s="143">
        <v>0</v>
      </c>
      <c r="K100" s="25"/>
    </row>
    <row r="101" spans="1:12" ht="16.5" customHeight="1" x14ac:dyDescent="0.25">
      <c r="A101" s="159" t="s">
        <v>1638</v>
      </c>
      <c r="B101" s="25"/>
      <c r="C101" s="9" t="s">
        <v>189</v>
      </c>
      <c r="D101" s="25"/>
      <c r="E101" s="25"/>
      <c r="F101" s="25"/>
      <c r="G101" s="25"/>
      <c r="H101" s="25"/>
      <c r="I101" s="25"/>
      <c r="J101" s="25"/>
      <c r="K101" s="143">
        <v>0</v>
      </c>
    </row>
    <row r="102" spans="1:12" ht="16.5" customHeight="1" x14ac:dyDescent="0.25">
      <c r="A102" s="159" t="s">
        <v>1638</v>
      </c>
      <c r="B102" s="25"/>
      <c r="C102" s="9" t="s">
        <v>164</v>
      </c>
      <c r="D102" s="25"/>
      <c r="E102" s="25"/>
      <c r="F102" s="25"/>
      <c r="G102" s="25"/>
      <c r="H102" s="25"/>
      <c r="I102" s="25"/>
      <c r="J102" s="25"/>
      <c r="K102" s="143">
        <v>0</v>
      </c>
    </row>
    <row r="103" spans="1:12" ht="16.5" customHeight="1" x14ac:dyDescent="0.25">
      <c r="A103" s="159" t="s">
        <v>1638</v>
      </c>
      <c r="B103" s="25"/>
      <c r="C103" s="9" t="s">
        <v>190</v>
      </c>
      <c r="D103" s="25"/>
      <c r="E103" s="25"/>
      <c r="F103" s="25"/>
      <c r="G103" s="25"/>
      <c r="H103" s="25"/>
      <c r="I103" s="25"/>
      <c r="J103" s="25"/>
      <c r="K103" s="143">
        <v>0</v>
      </c>
    </row>
    <row r="104" spans="1:12" ht="16.5" customHeight="1" x14ac:dyDescent="0.25">
      <c r="B104" s="25"/>
      <c r="C104" s="9" t="str">
        <f>IF($F$7="Proprietary","Dr: Acct 0870 - SERVICES &amp; CHARGES (MG ADJ)",VLOOKUP($F$9,'Drop Down Menus'!$F$2:$G$10,2,FALSE))</f>
        <v>Cr: Acct 0825 - BUS, CONSUMER SERV, HOUSING</v>
      </c>
      <c r="D104" s="25"/>
      <c r="E104" s="25"/>
      <c r="F104" s="25"/>
      <c r="G104" s="25"/>
      <c r="H104" s="25"/>
      <c r="I104" s="25"/>
      <c r="J104" s="25"/>
      <c r="K104" s="143">
        <v>0</v>
      </c>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v>0</v>
      </c>
      <c r="K110" s="25"/>
    </row>
    <row r="111" spans="1:12" ht="16.5" customHeight="1" x14ac:dyDescent="0.25">
      <c r="A111" s="159" t="s">
        <v>1638</v>
      </c>
      <c r="B111" s="9" t="s">
        <v>172</v>
      </c>
      <c r="C111" s="9"/>
      <c r="D111" s="7"/>
      <c r="E111" s="25"/>
      <c r="F111" s="25"/>
      <c r="G111" s="25"/>
      <c r="H111" s="25"/>
      <c r="I111" s="25"/>
      <c r="J111" s="143">
        <v>0</v>
      </c>
      <c r="K111" s="25"/>
    </row>
    <row r="112" spans="1:12" ht="16.5" customHeight="1" x14ac:dyDescent="0.25">
      <c r="A112" s="159" t="s">
        <v>1638</v>
      </c>
      <c r="B112" s="9" t="s">
        <v>173</v>
      </c>
      <c r="C112" s="9"/>
      <c r="D112" s="7"/>
      <c r="E112" s="25"/>
      <c r="F112" s="25"/>
      <c r="G112" s="25"/>
      <c r="H112" s="25"/>
      <c r="I112" s="25"/>
      <c r="J112" s="143">
        <v>0</v>
      </c>
      <c r="K112" s="25"/>
    </row>
    <row r="113" spans="1:12" ht="16.5" customHeight="1" x14ac:dyDescent="0.25">
      <c r="A113" s="165" t="s">
        <v>1646</v>
      </c>
      <c r="B113" s="9"/>
      <c r="C113" s="9" t="s">
        <v>174</v>
      </c>
      <c r="D113" s="7"/>
      <c r="E113" s="25"/>
      <c r="F113" s="25"/>
      <c r="G113" s="25"/>
      <c r="H113" s="25"/>
      <c r="I113" s="25"/>
      <c r="J113" s="25"/>
      <c r="K113" s="143">
        <v>0</v>
      </c>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2485655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-491953</v>
      </c>
    </row>
    <row r="128" spans="1:12" ht="16.5" customHeight="1" x14ac:dyDescent="0.3">
      <c r="D128" s="140" t="s">
        <v>1657</v>
      </c>
      <c r="H128" s="10"/>
      <c r="K128" s="169">
        <f>-K23-K48+J68+J75+J96-K113</f>
        <v>-1756524</v>
      </c>
    </row>
    <row r="129" spans="4:11" ht="16.5" customHeight="1" x14ac:dyDescent="0.3">
      <c r="D129" s="140" t="s">
        <v>1658</v>
      </c>
      <c r="H129" s="10"/>
      <c r="K129" s="169">
        <f>-K76</f>
        <v>-289754</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9" zoomScale="80" zoomScaleNormal="80" workbookViewId="0">
      <selection activeCell="D40" sqref="D40"/>
    </sheetView>
  </sheetViews>
  <sheetFormatPr defaultColWidth="9.109375" defaultRowHeight="15" x14ac:dyDescent="0.25"/>
  <cols>
    <col min="1" max="1" width="37.44140625" style="1" customWidth="1"/>
    <col min="2" max="3" width="33.44140625" style="1" customWidth="1"/>
    <col min="4" max="4" width="86.88671875" style="1" customWidth="1"/>
    <col min="5" max="5" width="9.109375" style="1"/>
    <col min="6" max="6" width="19.441406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349999999999994" customHeight="1" x14ac:dyDescent="0.3">
      <c r="A2" s="203" t="s">
        <v>138</v>
      </c>
      <c r="B2" s="203"/>
      <c r="C2" s="203"/>
      <c r="D2" s="203"/>
      <c r="E2" s="203"/>
      <c r="F2" s="203"/>
      <c r="G2" s="3"/>
      <c r="H2" s="3"/>
      <c r="I2" s="3"/>
      <c r="J2" s="3"/>
      <c r="K2" s="3"/>
      <c r="L2" s="3"/>
      <c r="M2" s="3"/>
    </row>
    <row r="3" spans="1:13" ht="32.1" customHeight="1" x14ac:dyDescent="0.3">
      <c r="A3" s="208" t="s">
        <v>195</v>
      </c>
      <c r="B3" s="208"/>
      <c r="C3" s="208"/>
      <c r="D3" s="24"/>
      <c r="E3" s="3"/>
      <c r="F3" s="3"/>
      <c r="G3" s="3"/>
      <c r="H3" s="3"/>
      <c r="I3" s="3"/>
      <c r="J3" s="3"/>
      <c r="K3" s="3"/>
      <c r="L3" s="3"/>
      <c r="M3" s="3"/>
    </row>
    <row r="4" spans="1:13" ht="31.35" customHeight="1" x14ac:dyDescent="0.3">
      <c r="A4" s="209" t="s">
        <v>5</v>
      </c>
      <c r="B4" s="209"/>
      <c r="C4" s="209"/>
      <c r="D4" s="24"/>
      <c r="E4" s="3"/>
      <c r="F4" s="3"/>
      <c r="G4" s="3"/>
      <c r="H4" s="3"/>
      <c r="I4" s="3"/>
      <c r="J4" s="3"/>
      <c r="K4" s="3"/>
      <c r="L4" s="3"/>
      <c r="M4" s="3"/>
    </row>
    <row r="5" spans="1:13" ht="31.35"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515</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289754</v>
      </c>
      <c r="C13" s="55">
        <v>17231</v>
      </c>
      <c r="D13" s="197" t="s">
        <v>4</v>
      </c>
      <c r="E13" s="198"/>
      <c r="F13" s="198"/>
      <c r="G13" s="29"/>
      <c r="H13" s="29"/>
      <c r="I13" s="29"/>
      <c r="J13" s="29"/>
      <c r="K13" s="29"/>
      <c r="L13" s="29"/>
      <c r="M13" s="29"/>
    </row>
    <row r="14" spans="1:13" x14ac:dyDescent="0.25">
      <c r="A14" s="51" t="str">
        <f>LEFT(A13,4)+1&amp;"–"&amp;RIGHT(A13,4)+1</f>
        <v>2024–2025</v>
      </c>
      <c r="B14" s="55">
        <v>300217</v>
      </c>
      <c r="C14" s="55">
        <v>14581</v>
      </c>
      <c r="D14" s="197"/>
      <c r="E14" s="198"/>
      <c r="F14" s="198"/>
    </row>
    <row r="15" spans="1:13" ht="15.6" x14ac:dyDescent="0.25">
      <c r="A15" s="51" t="str">
        <f>LEFT(A14,4)+1&amp;"–"&amp;RIGHT(A14,4)+1</f>
        <v>2025–2026</v>
      </c>
      <c r="B15" s="55">
        <v>311084</v>
      </c>
      <c r="C15" s="55">
        <v>11835</v>
      </c>
      <c r="D15" s="194" t="s">
        <v>125</v>
      </c>
      <c r="E15" s="194"/>
      <c r="F15" s="194"/>
      <c r="G15" s="30"/>
      <c r="H15" s="30"/>
      <c r="I15" s="30"/>
      <c r="J15" s="30"/>
      <c r="K15" s="30"/>
      <c r="L15" s="30"/>
      <c r="M15" s="30"/>
    </row>
    <row r="16" spans="1:13" x14ac:dyDescent="0.25">
      <c r="A16" s="51" t="str">
        <f>LEFT(A15,4)+1&amp;"–"&amp;RIGHT(A15,4)+1</f>
        <v>2026–2027</v>
      </c>
      <c r="B16" s="55">
        <v>322050</v>
      </c>
      <c r="C16" s="55">
        <v>8990</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333113</v>
      </c>
      <c r="C17" s="55">
        <v>6046</v>
      </c>
      <c r="D17" s="194"/>
      <c r="E17" s="194"/>
      <c r="F17" s="194"/>
      <c r="G17" s="31"/>
      <c r="H17" s="31"/>
      <c r="I17" s="31"/>
      <c r="J17" s="31"/>
      <c r="K17" s="31"/>
    </row>
    <row r="18" spans="1:13" ht="15" customHeight="1" x14ac:dyDescent="0.3">
      <c r="A18" s="51" t="str">
        <f>LEFT(A17,4)+1&amp;"–"&amp;RIGHT(A17,4)+5</f>
        <v>2028–2033</v>
      </c>
      <c r="B18" s="55">
        <v>490060</v>
      </c>
      <c r="C18" s="55">
        <v>3330</v>
      </c>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v>0</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515</v>
      </c>
      <c r="C40" s="202"/>
      <c r="E40" s="32"/>
    </row>
    <row r="41" spans="1:13" ht="15.6" x14ac:dyDescent="0.3">
      <c r="A41" s="5" t="s">
        <v>192</v>
      </c>
      <c r="B41" s="200" t="str">
        <f>B10</f>
        <v>Business, Consumer Services and Housing Agency</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515</v>
      </c>
      <c r="C71" s="202"/>
    </row>
    <row r="72" spans="1:13" ht="15.6" x14ac:dyDescent="0.3">
      <c r="A72" s="5" t="s">
        <v>192</v>
      </c>
      <c r="B72" s="200" t="str">
        <f>B10</f>
        <v>Business, Consumer Services and Housing Agency</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5546875" style="35" customWidth="1"/>
    <col min="4" max="4" width="35.5546875" style="35" customWidth="1"/>
    <col min="5" max="5" width="3.5546875" style="35" customWidth="1"/>
    <col min="6" max="6" width="16.88671875" style="36" customWidth="1"/>
    <col min="7" max="7" width="3.5546875" style="35" customWidth="1"/>
    <col min="8" max="8" width="16.88671875" style="36" customWidth="1"/>
    <col min="9" max="9" width="3.5546875" style="35" customWidth="1"/>
    <col min="10" max="10" width="16.88671875" style="36" customWidth="1"/>
    <col min="11" max="11" width="3.5546875" style="35" customWidth="1"/>
    <col min="12" max="12" width="16.88671875" style="36" customWidth="1"/>
    <col min="13" max="13" width="3.5546875" style="35" customWidth="1"/>
    <col min="14" max="14" width="16.88671875" style="36" customWidth="1"/>
    <col min="15" max="15" width="3.5546875" style="35" customWidth="1"/>
    <col min="16" max="16" width="17.5546875" style="36" bestFit="1" customWidth="1"/>
    <col min="17" max="17" width="3.554687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515 - Business, Consumer Services and Housing Agency</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0001 Journal Entries'!K23</f>
        <v>2326090</v>
      </c>
      <c r="G10" s="58"/>
      <c r="H10" s="61"/>
      <c r="I10" s="58"/>
      <c r="J10" s="61">
        <f>'LS-Fund 0001 Journal Entries'!J68+'LS-Fund 0001 Journal Entries'!J85</f>
        <v>279812</v>
      </c>
      <c r="K10" s="58"/>
      <c r="L10" s="63">
        <f>SUM(F10+H10-J10)</f>
        <v>2046278</v>
      </c>
      <c r="M10" s="58"/>
      <c r="N10" s="61">
        <f>'LS-Fund 0001 Journal Entries'!J75</f>
        <v>289754</v>
      </c>
      <c r="O10" s="58"/>
      <c r="P10" s="63">
        <f>L10-N10</f>
        <v>1756524</v>
      </c>
      <c r="Q10" s="43"/>
    </row>
    <row r="11" spans="2:17" ht="19.2" thickTop="1" thickBot="1" x14ac:dyDescent="0.4">
      <c r="B11" s="41"/>
      <c r="C11" s="45" t="s">
        <v>19</v>
      </c>
      <c r="F11" s="62">
        <f>SUM(F10:F10)</f>
        <v>2326090</v>
      </c>
      <c r="G11" s="58"/>
      <c r="H11" s="62">
        <f>SUM(H10:H10)</f>
        <v>0</v>
      </c>
      <c r="I11" s="58"/>
      <c r="J11" s="62">
        <f>SUM(J10:J10)</f>
        <v>279812</v>
      </c>
      <c r="K11" s="58"/>
      <c r="L11" s="62">
        <f>SUM(L10:L10)</f>
        <v>2046278</v>
      </c>
      <c r="M11" s="58"/>
      <c r="N11" s="62">
        <f>SUM(N10:N10)</f>
        <v>289754</v>
      </c>
      <c r="O11" s="58"/>
      <c r="P11" s="62">
        <f>SUM(P10:P10)</f>
        <v>1756524</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13" zoomScaleNormal="100" workbookViewId="0">
      <selection activeCell="N20" sqref="N20"/>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2326090</v>
      </c>
      <c r="C16" s="116" t="s">
        <v>146</v>
      </c>
      <c r="D16" s="84">
        <f>IF('LS-Fund 0001 Journal Entries'!$F$8="Governmental Fund",'LS-Fund 0001 Journal Entries'!$K$48,0)</f>
        <v>0</v>
      </c>
      <c r="E16" s="118" t="s">
        <v>147</v>
      </c>
      <c r="F16" s="84">
        <f>IF('LS-Fund 0001 Journal Entries'!$F$8="Governmental Fund",'LS-Fund 0001 Journal Entries'!$J$68,0)</f>
        <v>279812</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2046278</v>
      </c>
      <c r="M16" s="86"/>
      <c r="N16" s="88">
        <f>SUM('LS-Department Note Disclosure'!B13:B36)</f>
        <v>2046278</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289754</v>
      </c>
      <c r="C42" s="92"/>
      <c r="E42" s="92"/>
      <c r="G42" s="115"/>
      <c r="H42" s="115"/>
      <c r="I42" s="115"/>
      <c r="J42" s="115"/>
      <c r="K42" s="92"/>
      <c r="L42" s="92"/>
      <c r="M42" s="93"/>
      <c r="N42" s="88">
        <f>'LS-Department Note Disclosure'!B13</f>
        <v>289754</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2326090</v>
      </c>
      <c r="J66" s="97">
        <f>SUM(D66)</f>
        <v>2326090</v>
      </c>
      <c r="L66" s="98" t="str">
        <f>CONCATENATE("Balance July 1, ",LEFT('LS-Department Note Disclosure'!$B$8,4))</f>
        <v>Balance July 1, 2022</v>
      </c>
      <c r="N66" s="97">
        <f>'LS-Lease Liabilities'!F10</f>
        <v>2326090</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279812</v>
      </c>
      <c r="E68" s="119" t="s">
        <v>146</v>
      </c>
      <c r="F68" s="79" t="s">
        <v>1753</v>
      </c>
      <c r="H68" s="97">
        <f>$H$16</f>
        <v>0</v>
      </c>
      <c r="J68" s="97">
        <f>SUM(D68,H68)</f>
        <v>279812</v>
      </c>
      <c r="L68" s="98" t="s">
        <v>14</v>
      </c>
      <c r="N68" s="97">
        <f>'LS-Lease Liabilities'!J10</f>
        <v>279812</v>
      </c>
      <c r="P68" s="89">
        <f t="shared" si="0"/>
        <v>0</v>
      </c>
    </row>
    <row r="69" spans="1:17" x14ac:dyDescent="0.3">
      <c r="B69" s="79" t="s">
        <v>156</v>
      </c>
      <c r="D69" s="97">
        <f>$B$42</f>
        <v>289754</v>
      </c>
      <c r="J69" s="97">
        <f>SUM(D69)</f>
        <v>289754</v>
      </c>
      <c r="L69" s="98" t="s">
        <v>15</v>
      </c>
      <c r="N69" s="97">
        <f>'LS-Lease Liabilities'!N10</f>
        <v>289754</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5.0999999999999996"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BB9945B9-B448-4627-9062-E744E05AE2F7}"/>
</file>

<file path=customXml/itemProps2.xml><?xml version="1.0" encoding="utf-8"?>
<ds:datastoreItem xmlns:ds="http://schemas.openxmlformats.org/officeDocument/2006/customXml" ds:itemID="{3CE55E25-F69B-4C18-9824-5E0465CF96D2}"/>
</file>

<file path=customXml/itemProps3.xml><?xml version="1.0" encoding="utf-8"?>
<ds:datastoreItem xmlns:ds="http://schemas.openxmlformats.org/officeDocument/2006/customXml" ds:itemID="{E621BD54-A442-4F3A-8E06-B475E640A9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2024-04-29T19:09:21Z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3403100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