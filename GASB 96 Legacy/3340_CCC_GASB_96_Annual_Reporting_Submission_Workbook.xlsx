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DD584AF7-C67A-4756-8F6A-A3180ECFCEC3}" xr6:coauthVersionLast="47" xr6:coauthVersionMax="47" xr10:uidLastSave="{00000000-0000-0000-0000-000000000000}"/>
  <bookViews>
    <workbookView xWindow="39150" yWindow="-110" windowWidth="38620" windowHeight="21220" xr2:uid="{00000000-000D-0000-FFFF-FFFF00000000}"/>
  </bookViews>
  <sheets>
    <sheet name="Fund 0001 Journal Entries" sheetId="10" r:id="rId1"/>
    <sheet name="Fund 0318 Journal Entries" sheetId="2"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Entries'!$A$1:$L$98</definedName>
    <definedName name="_xlnm.Print_Area" localSheetId="1">'Fund 0318 Journal Entries'!$A$1:$R$97</definedName>
    <definedName name="_xlnm.Print_Area" localSheetId="3">'SBITA Liabilities'!$A$1:$R$27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N10" i="4"/>
  <c r="F10" i="4"/>
  <c r="F16" i="9"/>
  <c r="B16" i="9"/>
  <c r="K86" i="10"/>
  <c r="J86" i="10"/>
  <c r="L86" i="10" s="1"/>
  <c r="L81" i="10"/>
  <c r="K81" i="10"/>
  <c r="J81" i="10"/>
  <c r="J70" i="10"/>
  <c r="K69" i="10"/>
  <c r="K94" i="10" s="1"/>
  <c r="J63" i="10"/>
  <c r="K62" i="10"/>
  <c r="K97" i="10" s="1"/>
  <c r="K57" i="10"/>
  <c r="J56" i="10" s="1"/>
  <c r="J53" i="10"/>
  <c r="K52" i="10"/>
  <c r="K53" i="10" s="1"/>
  <c r="L53" i="10" s="1"/>
  <c r="B51" i="10"/>
  <c r="J47" i="10"/>
  <c r="K46" i="10"/>
  <c r="K95" i="10" s="1"/>
  <c r="K39" i="10"/>
  <c r="J39" i="10"/>
  <c r="K31" i="10"/>
  <c r="J31" i="10"/>
  <c r="A26" i="10"/>
  <c r="K22" i="10"/>
  <c r="J22" i="10"/>
  <c r="B14" i="10"/>
  <c r="A12" i="10"/>
  <c r="F8" i="10"/>
  <c r="C80" i="10" s="1"/>
  <c r="D16" i="9"/>
  <c r="B23" i="9"/>
  <c r="D23" i="9"/>
  <c r="F23" i="9"/>
  <c r="B31" i="9"/>
  <c r="D31" i="9"/>
  <c r="F31" i="9"/>
  <c r="F46" i="9"/>
  <c r="F53" i="9"/>
  <c r="H10" i="4"/>
  <c r="N14" i="4"/>
  <c r="J14" i="4"/>
  <c r="H14" i="4"/>
  <c r="F14" i="4"/>
  <c r="F18" i="4"/>
  <c r="H18" i="4"/>
  <c r="J18" i="4"/>
  <c r="N18" i="4"/>
  <c r="K46" i="2"/>
  <c r="K52" i="2"/>
  <c r="K63" i="10" l="1"/>
  <c r="L63" i="10" s="1"/>
  <c r="K47" i="10"/>
  <c r="L47" i="10" s="1"/>
  <c r="L39" i="10"/>
  <c r="L31" i="10"/>
  <c r="L22" i="10"/>
  <c r="K96" i="10"/>
  <c r="J58" i="10"/>
  <c r="C38" i="10"/>
  <c r="C52" i="10"/>
  <c r="K58" i="10"/>
  <c r="K70" i="10"/>
  <c r="L70" i="10" s="1"/>
  <c r="B78" i="10"/>
  <c r="C30" i="10"/>
  <c r="G5" i="4"/>
  <c r="K62" i="2"/>
  <c r="F39" i="9" s="1"/>
  <c r="K57" i="2"/>
  <c r="J56" i="2" s="1"/>
  <c r="J10" i="4" s="1"/>
  <c r="D86" i="3"/>
  <c r="D55" i="3"/>
  <c r="D24" i="3"/>
  <c r="L58" i="10" l="1"/>
  <c r="K97" i="2"/>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<sst xmlns="http://schemas.openxmlformats.org/spreadsheetml/2006/main" count="7615" uniqueCount="1643">
  <si>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</si>
  <si>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</si>
  <si>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</si>
  <si>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</si>
  <si>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</si>
  <si>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</si>
  <si>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</si>
  <si>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</si>
  <si>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</si>
  <si>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</si>
  <si>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</si>
  <si>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</si>
  <si>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</si>
  <si>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</si>
  <si>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</si>
  <si>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</si>
  <si>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</si>
  <si>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</si>
  <si>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</si>
  <si>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</si>
  <si>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</si>
  <si>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</si>
  <si>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</si>
  <si>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</si>
  <si>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</si>
  <si>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</si>
  <si>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</si>
  <si>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</si>
  <si>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</si>
  <si>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</si>
  <si>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</si>
  <si>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</si>
  <si>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</si>
  <si>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</si>
  <si>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</si>
  <si>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</si>
  <si>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</si>
  <si>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</si>
  <si>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</si>
  <si>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</si>
  <si>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</si>
  <si>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</si>
  <si>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</si>
  <si>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</si>
  <si>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</si>
  <si>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</si>
  <si>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</si>
  <si>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</si>
  <si>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</si>
  <si>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</si>
  <si>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</si>
  <si>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</si>
  <si>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</si>
  <si>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</si>
  <si>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</si>
  <si>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</si>
  <si>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</si>
  <si>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</si>
  <si>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</si>
  <si>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</si>
  <si>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</si>
  <si>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</si>
  <si>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</si>
  <si>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</si>
  <si>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</si>
  <si>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</si>
  <si>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</si>
  <si>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</si>
  <si>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</si>
  <si>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</si>
  <si>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</si>
  <si>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</si>
  <si>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</si>
  <si>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</si>
  <si>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</si>
  <si>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</si>
  <si>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</si>
  <si>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</si>
  <si>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</si>
  <si>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</si>
  <si>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</si>
  <si>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</si>
  <si>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</si>
  <si>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</si>
  <si>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</si>
  <si>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</si>
  <si>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</si>
  <si>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</si>
  <si>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</si>
  <si>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</si>
  <si>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</si>
  <si>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</si>
  <si>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</si>
  <si>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</si>
  <si>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</si>
  <si>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</si>
  <si>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</si>
  <si>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</si>
  <si>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</si>
  <si>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</si>
  <si>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</si>
  <si>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</si>
  <si>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</si>
  <si>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</si>
  <si>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</si>
  <si>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</si>
  <si>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</si>
  <si>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</si>
  <si>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</si>
  <si>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</si>
  <si>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</si>
  <si>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</si>
  <si>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</si>
  <si>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</si>
  <si>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</si>
  <si>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</si>
  <si>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</si>
  <si>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</si>
  <si>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</si>
  <si>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</si>
  <si>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</si>
  <si>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</si>
  <si>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</si>
  <si>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</si>
  <si>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</si>
  <si>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</si>
  <si>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</si>
  <si>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</si>
  <si>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</si>
  <si>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</si>
  <si>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</si>
  <si>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</si>
  <si>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</si>
  <si>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</si>
  <si>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</si>
  <si>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</si>
  <si>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</si>
  <si>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</si>
  <si>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</si>
  <si>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</si>
  <si>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</si>
  <si>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</si>
  <si>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</si>
  <si>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</si>
  <si>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</si>
  <si>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</si>
  <si>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</si>
  <si>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</si>
  <si>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</si>
  <si>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</si>
  <si>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</si>
  <si>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</si>
  <si>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</si>
  <si>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</si>
  <si>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</si>
  <si>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</si>
  <si>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</si>
  <si>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</si>
  <si>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</si>
  <si>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</si>
  <si>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</si>
  <si>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</si>
  <si>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</si>
  <si>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</si>
  <si>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</si>
  <si>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</si>
  <si>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</si>
  <si>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</si>
  <si>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</si>
  <si>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</si>
  <si>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</si>
  <si>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</si>
  <si>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</si>
  <si>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</si>
  <si>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</si>
  <si>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</si>
  <si>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</si>
  <si>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</si>
  <si>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</si>
  <si>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</si>
  <si>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</si>
  <si>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</si>
  <si>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</si>
  <si>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</si>
  <si>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</si>
  <si>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</si>
  <si>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</si>
  <si>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</si>
  <si>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</si>
  <si>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</si>
  <si>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</si>
  <si>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</si>
  <si>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</si>
  <si>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</si>
  <si>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</si>
  <si>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</si>
  <si>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</si>
  <si>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</si>
  <si>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</si>
  <si>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</si>
  <si>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</si>
  <si>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</si>
  <si>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</si>
  <si>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</si>
  <si>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</si>
  <si>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</si>
  <si>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</si>
  <si>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</si>
  <si>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</si>
  <si>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</si>
  <si>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</si>
  <si>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</si>
  <si>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</si>
  <si>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</si>
  <si>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</si>
  <si>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</si>
  <si>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</si>
  <si>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</si>
  <si>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</si>
  <si>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</si>
  <si>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</si>
  <si>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</si>
  <si>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</si>
  <si>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</si>
  <si>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</si>
  <si>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</si>
  <si>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</si>
  <si>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</si>
  <si>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</si>
  <si>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</si>
  <si>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</si>
  <si>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</si>
  <si>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</si>
  <si>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</si>
  <si>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</si>
  <si>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</si>
  <si>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</si>
  <si>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</si>
  <si>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</si>
  <si>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</si>
  <si>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</si>
  <si>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</si>
  <si>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</si>
  <si>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</si>
  <si>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</si>
  <si>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</si>
  <si>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</si>
  <si>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</si>
  <si>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</si>
  <si>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</si>
  <si>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</si>
  <si>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</si>
  <si>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</si>
  <si>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</si>
  <si>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</si>
  <si>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</si>
  <si>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</si>
  <si>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</si>
  <si>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</si>
  <si>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</si>
  <si>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</si>
  <si>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</si>
  <si>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</si>
  <si>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</si>
  <si>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</si>
  <si>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</si>
  <si>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</si>
  <si>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</si>
  <si>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</si>
  <si>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</si>
  <si>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</si>
  <si>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</si>
  <si>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</si>
  <si>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</si>
  <si>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</si>
  <si>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</si>
  <si>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</si>
  <si>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</si>
  <si>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</si>
  <si>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</si>
  <si>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</si>
  <si>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</si>
  <si>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</si>
  <si>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</si>
  <si>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</si>
  <si>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</si>
  <si>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</si>
  <si>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</si>
  <si>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</si>
  <si>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</si>
  <si>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</si>
  <si>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</si>
  <si>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</si>
  <si>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</si>
  <si>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</si>
  <si>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</si>
  <si>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</si>
  <si>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</si>
  <si>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</si>
  <si>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</si>
  <si>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</si>
  <si>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</si>
  <si>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</si>
  <si>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</si>
  <si>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</si>
  <si>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</si>
  <si>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</si>
  <si>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</si>
  <si>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</si>
  <si>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</si>
  <si>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</si>
  <si>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</si>
  <si>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</si>
  <si>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</si>
  <si>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</si>
  <si>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</si>
  <si>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</si>
  <si>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</si>
  <si>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</si>
  <si>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</si>
  <si>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</si>
  <si>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</si>
  <si>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</si>
  <si>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</si>
  <si>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</si>
  <si>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</si>
  <si>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</si>
  <si>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</si>
  <si>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</si>
  <si>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</si>
  <si>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</si>
  <si>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</si>
  <si>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</si>
  <si>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</si>
  <si>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</si>
  <si>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</si>
  <si>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</si>
  <si>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</si>
  <si>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</si>
  <si>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</si>
  <si>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</si>
  <si>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</si>
  <si>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</si>
  <si>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</si>
  <si>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</si>
  <si>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</si>
  <si>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</si>
  <si>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</si>
  <si>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</si>
  <si>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</si>
  <si>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</si>
  <si>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</si>
  <si>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</si>
  <si>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</si>
  <si>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</si>
  <si>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</si>
  <si>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</si>
  <si>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</si>
  <si>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</si>
  <si>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</si>
  <si>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</si>
  <si>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</si>
  <si>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</si>
  <si>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</si>
  <si>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</si>
  <si>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</si>
  <si>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</si>
  <si>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</si>
  <si>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</si>
  <si>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</si>
  <si>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</si>
  <si>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</si>
  <si>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</si>
  <si>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</si>
  <si>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</si>
  <si>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</si>
  <si>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</si>
  <si>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</si>
  <si>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</si>
  <si>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</si>
  <si>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</si>
  <si>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</si>
  <si>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</si>
  <si>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</si>
  <si>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</si>
  <si>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</si>
  <si>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</si>
  <si>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</si>
  <si>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</si>
  <si>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</si>
  <si>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</si>
  <si>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</si>
  <si>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</si>
  <si>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</si>
  <si>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</si>
  <si>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</si>
  <si>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</si>
  <si>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</si>
  <si>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</si>
  <si>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</si>
  <si>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</si>
  <si>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</si>
  <si>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</si>
  <si>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</si>
  <si>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</si>
  <si>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</si>
  <si>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</si>
  <si>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</si>
  <si>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</si>
  <si>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</si>
  <si>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</si>
  <si>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</si>
  <si>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</si>
  <si>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</si>
  <si>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</si>
  <si>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</si>
  <si>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</si>
  <si>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</si>
  <si>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</si>
  <si>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</si>
  <si>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</si>
  <si>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</si>
  <si>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</si>
  <si>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</si>
  <si>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</si>
  <si>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</si>
  <si>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</si>
  <si>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</si>
  <si>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</si>
  <si>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</si>
  <si>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</si>
  <si>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</si>
  <si>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</si>
  <si>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</si>
  <si>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</si>
  <si>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</si>
  <si>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</si>
  <si>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</si>
  <si>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</si>
  <si>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</si>
  <si>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</si>
  <si>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</si>
  <si>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</si>
  <si>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</si>
  <si>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</si>
  <si>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</si>
  <si>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</si>
  <si>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</si>
  <si>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</si>
  <si>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</si>
  <si>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</si>
  <si>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</si>
  <si>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</si>
  <si>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</si>
  <si>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</si>
  <si>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</si>
  <si>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</si>
  <si>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</si>
  <si>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</si>
  <si>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</si>
  <si>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</si>
  <si>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</si>
  <si>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</si>
  <si>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</si>
  <si>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</si>
  <si>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</si>
  <si>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</si>
  <si>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</si>
  <si>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</si>
  <si>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</si>
  <si>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</si>
  <si>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</si>
  <si>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</si>
  <si>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</si>
  <si>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</si>
  <si>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</si>
  <si>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</si>
  <si>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</si>
  <si>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</si>
  <si>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</si>
  <si>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</si>
  <si>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</si>
  <si>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</si>
  <si>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</si>
  <si>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</si>
  <si>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</si>
  <si>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</si>
  <si>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</si>
  <si>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</si>
  <si>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</si>
  <si>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</si>
  <si>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</si>
  <si>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</si>
  <si>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</si>
  <si>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</si>
  <si>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</si>
  <si>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</si>
  <si>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</si>
  <si>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</si>
  <si>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</si>
  <si>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</si>
  <si>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</si>
  <si>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</si>
  <si>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</si>
  <si>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</si>
  <si>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</si>
  <si>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</si>
  <si>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</si>
  <si>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</si>
  <si>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</si>
  <si>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</si>
  <si>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</si>
  <si>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</si>
  <si>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</si>
  <si>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</si>
  <si>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</si>
  <si>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</si>
  <si>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</si>
  <si>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</si>
  <si>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</si>
  <si>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</si>
  <si>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</si>
  <si>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</si>
  <si>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</si>
  <si>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</si>
  <si>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</si>
  <si>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</si>
  <si>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</si>
  <si>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</si>
  <si>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</si>
  <si>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</si>
  <si>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</si>
  <si>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</si>
  <si>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</si>
  <si>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</si>
  <si>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</si>
  <si>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</si>
  <si>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</si>
  <si>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</si>
  <si>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</si>
  <si>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</si>
  <si>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</si>
  <si>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</si>
  <si>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</si>
  <si>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</si>
  <si>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</si>
  <si>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</si>
  <si>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</si>
  <si>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</si>
  <si>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</si>
  <si>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</si>
  <si>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</si>
  <si>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</si>
  <si>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</si>
  <si>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</si>
  <si>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</si>
  <si>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</si>
  <si>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</si>
  <si>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</si>
  <si>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</si>
  <si>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</si>
  <si>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</si>
  <si>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</si>
  <si>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</si>
  <si>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</si>
  <si>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</si>
  <si>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</si>
  <si>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</si>
  <si>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</si>
  <si>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</si>
  <si>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</si>
  <si>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</si>
  <si>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</si>
  <si>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</si>
  <si>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</si>
  <si>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</si>
  <si>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</si>
  <si>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</si>
  <si>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</si>
  <si>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</si>
  <si>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</si>
  <si>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</si>
  <si>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</si>
  <si>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</si>
  <si>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</si>
  <si>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</si>
  <si>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</si>
  <si>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</si>
  <si>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</si>
  <si>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</si>
  <si>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</si>
  <si>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</si>
  <si>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</si>
  <si>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</si>
  <si>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</si>
  <si>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</si>
  <si>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</si>
  <si>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</si>
  <si>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</si>
  <si>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</si>
  <si>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</si>
  <si>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</si>
  <si>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</si>
  <si>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</si>
  <si>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</si>
  <si>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</si>
  <si>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</si>
  <si>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</si>
  <si>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</si>
  <si>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</si>
  <si>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</si>
  <si>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</si>
  <si>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</si>
  <si>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</si>
  <si>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</si>
  <si>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</si>
  <si>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</si>
  <si>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</si>
  <si>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</si>
  <si>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</si>
  <si>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</si>
  <si>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</si>
  <si>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</si>
  <si>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</si>
  <si>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</si>
  <si>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</si>
  <si>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</si>
  <si>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</si>
  <si>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</si>
  <si>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</si>
  <si>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</si>
  <si>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</si>
  <si>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</si>
  <si>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</si>
  <si>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</si>
  <si>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</si>
  <si>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</si>
  <si>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</si>
  <si>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</si>
  <si>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</si>
  <si>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</si>
  <si>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</si>
  <si>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</si>
  <si>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</si>
  <si>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</si>
  <si>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</si>
  <si>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</si>
  <si>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</si>
  <si>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</si>
  <si>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</si>
  <si>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</si>
  <si>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</si>
  <si>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</si>
  <si>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</si>
  <si>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</si>
  <si>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</si>
  <si>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</si>
  <si>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</si>
  <si>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</si>
  <si>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</si>
  <si>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</si>
  <si>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</si>
  <si>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</si>
  <si>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</si>
  <si>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</si>
  <si>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</si>
  <si>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</si>
  <si>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</si>
  <si>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</si>
  <si>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</si>
  <si>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</si>
  <si>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</si>
  <si>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</si>
  <si>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</si>
  <si>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</si>
  <si>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</si>
  <si>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</si>
  <si>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</si>
  <si>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</si>
  <si>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</si>
  <si>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</si>
  <si>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</si>
  <si>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</si>
  <si>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</si>
  <si>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</si>
  <si>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</si>
  <si>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</si>
  <si>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</si>
  <si>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</si>
  <si>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</si>
  <si>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</si>
  <si>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</si>
  <si>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</si>
  <si>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</si>
  <si>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</si>
  <si>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</si>
  <si>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</si>
  <si>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</si>
  <si>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</si>
  <si>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</si>
  <si>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</si>
  <si>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</si>
  <si>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</si>
  <si>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</si>
  <si>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</si>
  <si>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</si>
  <si>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</si>
  <si>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</si>
  <si>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</si>
  <si>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</si>
  <si>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</si>
  <si>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</si>
  <si>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</si>
  <si>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</si>
  <si>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</si>
  <si>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</si>
  <si>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</si>
  <si>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</si>
  <si>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</si>
  <si>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</si>
  <si>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</si>
  <si>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</si>
  <si>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</si>
  <si>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</si>
  <si>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</si>
  <si>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</si>
  <si>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</si>
  <si>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</si>
  <si>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</si>
  <si>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</si>
  <si>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</si>
  <si>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</si>
  <si>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</si>
  <si>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</si>
  <si>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</si>
  <si>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</si>
  <si>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</si>
  <si>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</si>
  <si>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</si>
  <si>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</si>
  <si>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</si>
  <si>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</si>
  <si>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</si>
  <si>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</si>
  <si>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</si>
  <si>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</si>
  <si>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</si>
  <si>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</si>
  <si>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</si>
  <si>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</si>
  <si>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</si>
  <si>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</si>
  <si>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</si>
  <si>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</si>
  <si>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</si>
  <si>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</si>
  <si>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</si>
  <si>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</si>
  <si>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</si>
  <si>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</si>
  <si>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</si>
  <si>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</si>
  <si>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</si>
  <si>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</si>
  <si>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</si>
  <si>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</si>
  <si>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</si>
  <si>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</si>
  <si>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</si>
  <si>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</si>
  <si>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</si>
  <si>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</si>
  <si>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</si>
  <si>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</si>
  <si>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</si>
  <si>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</si>
  <si>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</si>
  <si>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</si>
  <si>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</si>
  <si>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</si>
  <si>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</si>
  <si>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</si>
  <si>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</si>
  <si>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</si>
  <si>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</si>
  <si>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</si>
  <si>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</si>
  <si>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</si>
  <si>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</si>
  <si>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</si>
  <si>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</si>
  <si>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</si>
  <si>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</si>
  <si>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</si>
  <si>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</si>
  <si>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</si>
  <si>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</si>
  <si>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</si>
  <si>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</si>
  <si>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</si>
  <si>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</si>
  <si>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</si>
  <si>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</si>
  <si>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</si>
  <si>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</si>
  <si>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</si>
  <si>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</si>
  <si>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</si>
  <si>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</si>
  <si>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</si>
  <si>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</si>
  <si>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</si>
  <si>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</si>
  <si>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</si>
  <si>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</si>
  <si>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</si>
  <si>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</si>
  <si>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</si>
  <si>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</si>
  <si>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</si>
  <si>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</si>
  <si>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</si>
  <si>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</si>
  <si>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</si>
  <si>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</si>
  <si>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</si>
  <si>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</si>
  <si>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</si>
  <si>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</si>
  <si>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</si>
  <si>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</si>
  <si>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</si>
  <si>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</si>
  <si>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</si>
  <si>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</si>
  <si>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</si>
  <si>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</si>
  <si>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</si>
  <si>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</si>
  <si>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</si>
  <si>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</si>
  <si>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</si>
  <si>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</si>
  <si>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</si>
  <si>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</si>
  <si>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</si>
  <si>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</si>
  <si>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</si>
  <si>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</si>
  <si>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</si>
  <si>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</si>
  <si>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</si>
  <si>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</si>
  <si>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</si>
  <si>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</si>
  <si>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</si>
  <si>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</si>
  <si>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</si>
  <si>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</si>
  <si>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</si>
  <si>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</si>
  <si>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</si>
  <si>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</si>
  <si>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</si>
  <si>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</si>
  <si>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</si>
  <si>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</si>
  <si>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</si>
  <si>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</si>
  <si>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</si>
  <si>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</si>
  <si>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</si>
  <si>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</si>
  <si>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</si>
  <si>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</si>
  <si>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</si>
  <si>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</si>
  <si>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</si>
  <si>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</si>
  <si>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</si>
  <si>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</si>
  <si>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</si>
  <si>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</si>
  <si>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</si>
  <si>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</si>
  <si>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</si>
  <si>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</si>
  <si>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</si>
  <si>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</si>
  <si>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</si>
  <si>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</si>
  <si>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</si>
  <si>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</si>
  <si>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</si>
  <si>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</si>
  <si>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</si>
  <si>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</si>
  <si>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</si>
  <si>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</si>
  <si>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</si>
  <si>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</si>
  <si>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</si>
  <si>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</si>
  <si>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</si>
  <si>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</si>
  <si>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</si>
  <si>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</si>
  <si>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</si>
  <si>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</si>
  <si>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</si>
  <si>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</si>
  <si>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</si>
  <si>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</si>
  <si>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</si>
  <si>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</si>
  <si>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</si>
  <si>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</si>
  <si>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</si>
  <si>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</si>
  <si>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</si>
  <si>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</si>
  <si>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</si>
  <si>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</si>
  <si>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</si>
  <si>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</si>
  <si>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</si>
  <si>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</si>
  <si>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</si>
  <si>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</si>
  <si>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</si>
  <si>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</si>
  <si>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</si>
  <si>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</si>
  <si>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</si>
  <si>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</si>
  <si>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</si>
  <si>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</si>
  <si>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</si>
  <si>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</si>
  <si>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</si>
  <si>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</si>
  <si>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</si>
  <si>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</si>
  <si>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</si>
  <si>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</si>
  <si>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</si>
  <si>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</si>
  <si>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</si>
  <si>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</si>
  <si>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</si>
  <si>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</si>
  <si>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</si>
  <si>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</si>
  <si>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</si>
  <si>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</si>
  <si>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</si>
  <si>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</si>
  <si>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</si>
  <si>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</si>
  <si>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</si>
  <si>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</si>
  <si>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</si>
  <si>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</si>
  <si>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</si>
  <si>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</si>
  <si>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</si>
  <si>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</si>
  <si>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</si>
  <si>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</si>
  <si>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</si>
  <si>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</si>
  <si>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</si>
  <si>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</si>
  <si>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</si>
  <si>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</si>
  <si>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</si>
  <si>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</si>
  <si>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</si>
  <si>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</si>
  <si>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</si>
  <si>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</si>
  <si>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</si>
  <si>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</si>
  <si>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</si>
  <si>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</si>
  <si>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</si>
  <si>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</si>
  <si>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</si>
  <si>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</si>
  <si>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</si>
  <si>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</si>
  <si>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</si>
  <si>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</si>
  <si>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</si>
  <si>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</si>
  <si>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</si>
  <si>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</si>
  <si>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</si>
  <si>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</si>
  <si>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</si>
  <si>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</si>
  <si>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</si>
  <si>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</si>
  <si>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</si>
  <si>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</si>
  <si>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</si>
  <si>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</si>
  <si>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</si>
  <si>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</si>
  <si>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</si>
  <si>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</si>
  <si>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</si>
  <si>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</si>
  <si>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</si>
  <si>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</si>
  <si>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</si>
  <si>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</si>
  <si>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</si>
  <si>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</si>
  <si>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</si>
  <si>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</si>
  <si>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</si>
  <si>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</si>
  <si>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</si>
  <si>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</si>
  <si>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</si>
  <si>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</si>
  <si>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</si>
  <si>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</si>
  <si>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</si>
  <si>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</si>
  <si>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</si>
  <si>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</si>
  <si>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</si>
  <si>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</si>
  <si>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</si>
  <si>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</si>
  <si>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</si>
  <si>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</si>
  <si>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</si>
  <si>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</si>
  <si>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</si>
  <si>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</si>
  <si>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</si>
  <si>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</si>
  <si>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</si>
  <si>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</si>
  <si>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</si>
  <si>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</si>
  <si>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</si>
  <si>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</si>
  <si>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</si>
  <si>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</si>
  <si>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</si>
  <si>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</si>
  <si>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</si>
  <si>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</si>
  <si>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</si>
  <si>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</si>
  <si>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</si>
  <si>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</si>
  <si>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</si>
  <si>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</si>
  <si>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</si>
  <si>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</si>
  <si>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</si>
  <si>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</si>
  <si>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</si>
  <si>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</si>
  <si>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</si>
  <si>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</si>
  <si>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</si>
  <si>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</si>
  <si>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</si>
  <si>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</si>
  <si>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</si>
  <si>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</si>
  <si>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</si>
  <si>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</si>
  <si>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</si>
  <si>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</si>
  <si>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</si>
  <si>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</si>
  <si>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</si>
  <si>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</si>
  <si>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</si>
  <si>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</si>
  <si>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</si>
  <si>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</si>
  <si>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</si>
  <si>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</si>
  <si>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</si>
  <si>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</si>
  <si>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</si>
  <si>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</si>
  <si>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</si>
  <si>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</si>
  <si>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</si>
  <si>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</si>
  <si>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</si>
  <si>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</si>
  <si>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</si>
  <si>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</si>
  <si>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</si>
  <si>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</si>
  <si>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</si>
  <si>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</si>
  <si>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</si>
  <si>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</si>
  <si>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</si>
  <si>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</si>
  <si>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</si>
  <si>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</si>
  <si>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</si>
  <si>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</si>
  <si>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</si>
  <si>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</si>
  <si>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</si>
  <si>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</si>
  <si>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</si>
  <si>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</si>
  <si>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</si>
  <si>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</si>
  <si>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</si>
  <si>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</si>
  <si>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</si>
  <si>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</si>
  <si>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</si>
  <si>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</si>
  <si>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</si>
  <si>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</si>
  <si>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</si>
  <si>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</si>
  <si>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</si>
  <si>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</si>
  <si>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</si>
  <si>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</si>
  <si>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</si>
  <si>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</si>
  <si>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</si>
  <si>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</si>
  <si>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</si>
  <si>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</si>
  <si>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</si>
  <si>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</si>
  <si>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</si>
  <si>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</si>
  <si>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</si>
  <si>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</si>
  <si>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</si>
  <si>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</si>
  <si>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</si>
  <si>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</si>
  <si>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</si>
  <si>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</si>
  <si>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</si>
  <si>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</si>
  <si>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</si>
  <si>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</si>
  <si>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</si>
  <si>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</si>
  <si>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</si>
  <si>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</si>
  <si>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</si>
  <si>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</si>
  <si>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</si>
  <si>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</si>
  <si>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</si>
  <si>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</si>
  <si>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</si>
  <si>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</si>
  <si>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</si>
  <si>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</si>
  <si>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</si>
  <si>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</si>
  <si>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</si>
  <si>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</si>
  <si>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</si>
  <si>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</si>
  <si>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</si>
  <si>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</si>
  <si>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</si>
  <si>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</si>
  <si>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</si>
  <si>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</si>
  <si>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</si>
  <si>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</si>
  <si>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</si>
  <si>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</si>
  <si>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</si>
  <si>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</si>
  <si>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</si>
  <si>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</si>
  <si>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</si>
  <si>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</si>
  <si>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</si>
  <si>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</si>
  <si>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</si>
  <si>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</si>
  <si>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</si>
  <si>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</si>
  <si>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</si>
  <si>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</si>
  <si>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</si>
  <si>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</si>
  <si>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</si>
  <si>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</si>
  <si>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</si>
  <si>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</si>
  <si>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</si>
  <si>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</si>
  <si>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</si>
  <si>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</si>
  <si>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</si>
  <si>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</si>
  <si>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</si>
  <si>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</si>
  <si>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</si>
  <si>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</si>
  <si>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</si>
  <si>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</si>
  <si>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</si>
  <si>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</si>
  <si>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</si>
  <si>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</si>
  <si>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</si>
  <si>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</si>
  <si>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</si>
  <si>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</si>
  <si>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</si>
  <si>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</si>
  <si>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</si>
  <si>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</si>
  <si>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</si>
  <si>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</si>
  <si>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</si>
  <si>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</si>
  <si>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</si>
  <si>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</si>
  <si>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</si>
  <si>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</si>
  <si>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</si>
  <si>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</si>
  <si>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</si>
  <si>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</si>
  <si>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</si>
  <si>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</si>
  <si>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</si>
  <si>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</si>
  <si>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</si>
  <si>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</si>
  <si>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</si>
  <si>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</si>
  <si>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</si>
  <si>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</si>
  <si>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</si>
  <si>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</si>
  <si>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</si>
  <si>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</si>
  <si>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</si>
  <si>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</si>
  <si>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</si>
  <si>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</si>
  <si>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</si>
  <si>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</si>
  <si>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</si>
  <si>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</si>
  <si>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</si>
  <si>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</si>
  <si>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</si>
  <si>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</si>
  <si>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</si>
  <si>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</si>
  <si>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</si>
  <si>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</si>
  <si>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</si>
  <si>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</si>
  <si>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</si>
  <si>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</si>
  <si>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</si>
  <si>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</si>
  <si>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</si>
  <si>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</si>
  <si>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</si>
  <si>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</si>
  <si>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</si>
  <si>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</si>
  <si>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</si>
  <si>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</si>
  <si>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</si>
  <si>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</si>
  <si>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</si>
  <si>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</si>
  <si>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</si>
  <si>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</si>
  <si>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</si>
  <si>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</si>
  <si>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</si>
  <si>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</si>
  <si>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</si>
  <si>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</si>
  <si>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</si>
  <si>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</si>
  <si>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</si>
  <si>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</si>
  <si>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</si>
  <si>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</si>
  <si>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</si>
  <si>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</si>
  <si>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</si>
  <si>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</si>
  <si>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</si>
  <si>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</si>
  <si>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</si>
  <si>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</si>
  <si>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</si>
  <si>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</si>
  <si>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</si>
  <si>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</si>
  <si>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</si>
  <si>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</si>
  <si>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</si>
  <si>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</si>
  <si>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</si>
  <si>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</si>
  <si>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</si>
  <si>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</si>
  <si>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</si>
  <si>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</si>
  <si>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</si>
  <si>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</si>
  <si>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</si>
  <si>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</si>
  <si>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</si>
  <si>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</si>
  <si>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</si>
  <si>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</si>
  <si>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</si>
  <si>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</si>
  <si>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</si>
  <si>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</si>
  <si>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</si>
  <si>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</si>
  <si>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</si>
  <si>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</si>
  <si>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</si>
  <si>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</si>
  <si>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</si>
  <si>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</si>
  <si>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</si>
  <si>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</si>
  <si>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</si>
  <si>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</si>
  <si>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</si>
  <si>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</si>
  <si>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</si>
  <si>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</si>
  <si>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</si>
  <si>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</si>
  <si>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</si>
  <si>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</si>
  <si>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</si>
  <si>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</si>
  <si>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</si>
  <si>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</si>
  <si>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</si>
  <si>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</si>
  <si>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</si>
  <si>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</si>
  <si>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</si>
  <si>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</si>
  <si>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</si>
  <si>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</si>
  <si>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</si>
  <si>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</si>
  <si>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</si>
  <si>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</si>
  <si>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</si>
  <si>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</si>
  <si>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</si>
  <si>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</si>
  <si>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</si>
  <si>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</si>
  <si>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</si>
  <si>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</si>
  <si>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</si>
  <si>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</si>
  <si>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</si>
  <si>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</si>
  <si>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</si>
  <si>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</si>
  <si>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</si>
  <si>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</si>
  <si>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</si>
  <si>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</si>
  <si>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</si>
  <si>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</si>
  <si>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</si>
  <si>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</si>
  <si>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</si>
  <si>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</si>
  <si>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</si>
  <si>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</si>
  <si>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</si>
  <si>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</si>
  <si>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</si>
  <si>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</si>
  <si>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</si>
  <si>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</si>
  <si>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</si>
  <si>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</si>
  <si>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</si>
  <si>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</si>
  <si>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</si>
  <si>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</si>
  <si>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</si>
  <si>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</si>
  <si>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</si>
  <si>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</si>
  <si>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</si>
  <si>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</si>
  <si>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</si>
  <si>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</si>
  <si>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</si>
  <si>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</si>
  <si>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</si>
  <si>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</si>
  <si>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</si>
  <si>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</si>
  <si>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</si>
  <si>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</si>
  <si>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</si>
  <si>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</si>
  <si>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</si>
  <si>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</si>
  <si>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</si>
  <si>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</si>
  <si>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</si>
  <si>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</si>
  <si>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</si>
  <si>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</si>
  <si>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</si>
  <si>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</si>
  <si>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</si>
  <si>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</si>
  <si>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</si>
  <si>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</si>
  <si>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</si>
  <si>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</si>
  <si>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</si>
  <si>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</si>
  <si>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</si>
  <si>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</si>
  <si>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</si>
  <si>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</si>
  <si>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</si>
  <si>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</si>
  <si>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</si>
  <si>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</si>
  <si>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</si>
  <si>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</si>
  <si>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</si>
  <si>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</si>
  <si>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</si>
  <si>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</si>
  <si>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</si>
  <si>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</si>
  <si>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</si>
  <si>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</si>
  <si>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</si>
  <si>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</si>
  <si>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</si>
  <si>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</si>
  <si>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</si>
  <si>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</si>
  <si>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</si>
  <si>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</si>
  <si>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</si>
  <si>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</si>
  <si>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</si>
  <si>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</si>
  <si>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</si>
  <si>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</si>
  <si>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</si>
  <si>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</si>
  <si>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</si>
  <si>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</si>
  <si>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</si>
  <si>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</si>
  <si>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</si>
  <si>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</si>
  <si>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</si>
  <si>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</si>
  <si>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</si>
  <si>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</si>
  <si>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</si>
  <si>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</si>
  <si>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</si>
  <si>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</si>
  <si>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</si>
  <si>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</si>
  <si>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</si>
  <si>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</si>
  <si>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</si>
  <si>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</si>
  <si>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</si>
  <si>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</si>
  <si>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</si>
  <si>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</si>
  <si>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</si>
  <si>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</si>
  <si>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</si>
  <si>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</si>
  <si>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</si>
  <si>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</si>
  <si>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</si>
  <si>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</si>
  <si>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</si>
  <si>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</si>
  <si>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</si>
  <si>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</si>
  <si>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</si>
  <si>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</si>
  <si>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</si>
  <si>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</si>
  <si>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</si>
  <si>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</si>
  <si>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</si>
  <si>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</si>
  <si>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</si>
  <si>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</si>
  <si>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</si>
  <si>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</si>
  <si>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</si>
  <si>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</si>
  <si>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</si>
  <si>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</si>
  <si>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</si>
  <si>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</si>
  <si>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</si>
  <si>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</si>
  <si>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</si>
  <si>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</si>
  <si>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</si>
  <si>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</si>
  <si>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</si>
  <si>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</si>
  <si>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</si>
  <si>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</si>
  <si>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</si>
  <si>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</si>
  <si>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</si>
  <si>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</si>
  <si>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</si>
  <si>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</si>
  <si>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</si>
  <si>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</si>
  <si>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</si>
  <si>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</si>
  <si>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</si>
  <si>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</si>
  <si>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</si>
  <si>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</si>
  <si>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</si>
  <si>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</si>
  <si>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</si>
  <si>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</si>
  <si>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</si>
  <si>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</si>
  <si>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</si>
  <si>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</si>
  <si>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</si>
  <si>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</si>
  <si>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</si>
  <si>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</si>
  <si>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</si>
  <si>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</si>
  <si>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</si>
  <si>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</si>
  <si>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</si>
  <si>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</si>
  <si>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</si>
  <si>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</si>
  <si>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</si>
  <si>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</si>
  <si>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</si>
  <si>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</si>
  <si>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</si>
  <si>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</si>
  <si>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</si>
  <si>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</si>
  <si>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</si>
  <si>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</si>
  <si>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</si>
  <si>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</si>
  <si>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</si>
  <si>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</si>
  <si>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</si>
  <si>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</si>
  <si>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</si>
  <si>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</si>
  <si>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</si>
  <si>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</si>
  <si>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</si>
  <si>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</si>
  <si>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</si>
  <si>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</si>
  <si>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</si>
  <si>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</si>
  <si>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</si>
  <si>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</si>
  <si>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</si>
  <si>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</si>
  <si>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</si>
  <si>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</si>
  <si>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</si>
  <si>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</si>
  <si>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</si>
  <si>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</si>
  <si>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</si>
  <si>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</si>
  <si>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</si>
  <si>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</si>
  <si>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</si>
  <si>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</si>
  <si>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</si>
  <si>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</si>
  <si>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</si>
  <si>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</si>
  <si>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</si>
  <si>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</si>
  <si>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</si>
  <si>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</si>
  <si>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</si>
  <si>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</si>
  <si>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</si>
  <si>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</si>
  <si>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</si>
  <si>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</si>
  <si>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</si>
  <si>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</si>
  <si>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</si>
  <si>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California Conservation Corps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</si>
</sst>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0" fontId="39" fillId="0" borderId="0" xfId="0" applyFont="1" applyAlignment="1">
      <alignment horizontal="center" vertical="top" wrapText="1"/>
    </xf>
    <xf numFmtId="0" fontId="41" fillId="0" borderId="0" xfId="0" applyFont="1" applyAlignment="1">
      <alignment horizontal="left" vertical="center"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164" fontId="6" fillId="0" borderId="0" xfId="0" quotePrefix="1" applyNumberFormat="1" applyFont="1" applyAlignment="1">
      <alignment horizontal="left" vertical="top"/>
    </xf>
    <xf numFmtId="0" fontId="35" fillId="7" borderId="0" xfId="0" applyFont="1" applyFill="1" applyAlignment="1">
      <alignment horizontal="left"/>
    </xf>
    <xf numFmtId="165" fontId="37" fillId="0" borderId="0" xfId="0" applyNumberFormat="1" applyFont="1" applyAlignment="1">
      <alignment horizontal="left"/>
    </xf>
    <xf numFmtId="165" fontId="3" fillId="0" borderId="0" xfId="0" applyNumberFormat="1" applyFont="1" applyAlignment="1" applyProtection="1">
      <alignment horizontal="left"/>
      <protection hidden="1"/>
    </xf>
    <xf numFmtId="165" fontId="37" fillId="0" borderId="14" xfId="0" applyNumberFormat="1" applyFont="1" applyBorder="1" applyAlignment="1">
      <alignment horizontal="left"/>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165" fontId="3"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596E-9F77-473D-A400-C5CDC6DE0FB3}">
  <sheetPr>
    <tabColor rgb="FF92D050"/>
    <pageSetUpPr fitToPage="1"/>
  </sheetPr>
  <dimension ref="A1:Q115"/>
  <sheetViews>
    <sheetView tabSelected="1" zoomScale="85" zoomScaleNormal="85" zoomScaleSheetLayoutView="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4" t="s">
        <v>1608</v>
      </c>
      <c r="B1" s="164"/>
      <c r="C1" s="164"/>
      <c r="D1" s="164"/>
      <c r="E1" s="164"/>
      <c r="F1" s="164"/>
      <c r="G1" s="164"/>
      <c r="H1" s="164"/>
      <c r="I1" s="164"/>
      <c r="J1" s="164"/>
      <c r="K1" s="164"/>
      <c r="L1" s="43"/>
    </row>
    <row r="2" spans="1:17" ht="18" x14ac:dyDescent="0.25">
      <c r="A2" s="165" t="s">
        <v>1565</v>
      </c>
      <c r="B2" s="165"/>
      <c r="C2" s="165"/>
      <c r="D2" s="165"/>
      <c r="E2" s="165"/>
      <c r="F2" s="165"/>
      <c r="G2" s="165"/>
      <c r="H2" s="165"/>
      <c r="I2" s="165"/>
      <c r="J2" s="165"/>
      <c r="K2" s="165"/>
      <c r="L2" s="45"/>
    </row>
    <row r="3" spans="1:17" ht="15.75" x14ac:dyDescent="0.25">
      <c r="A3" s="166" t="s">
        <v>0</v>
      </c>
      <c r="B3" s="166"/>
      <c r="C3" s="166"/>
      <c r="D3" s="166"/>
      <c r="E3" s="166"/>
      <c r="F3" s="167" t="s">
        <v>16</v>
      </c>
      <c r="G3" s="167"/>
      <c r="H3" s="167"/>
      <c r="I3" s="167"/>
    </row>
    <row r="4" spans="1:17" ht="15.75" x14ac:dyDescent="0.25">
      <c r="A4" s="166" t="s">
        <v>1586</v>
      </c>
      <c r="B4" s="166"/>
      <c r="C4" s="166"/>
      <c r="D4" s="166"/>
      <c r="E4" s="166"/>
      <c r="F4" s="167" t="s">
        <v>1642</v>
      </c>
      <c r="G4" s="167"/>
      <c r="H4" s="167"/>
      <c r="I4" s="167"/>
    </row>
    <row r="5" spans="1:17" ht="15.75" x14ac:dyDescent="0.2">
      <c r="A5" s="166" t="s">
        <v>1602</v>
      </c>
      <c r="B5" s="166"/>
      <c r="C5" s="166"/>
      <c r="D5" s="166"/>
      <c r="E5" s="166"/>
      <c r="F5" s="168" t="s">
        <v>645</v>
      </c>
      <c r="G5" s="168"/>
      <c r="H5" s="168"/>
      <c r="I5" s="168"/>
      <c r="J5" s="47"/>
      <c r="K5" s="47"/>
      <c r="L5" s="48"/>
      <c r="M5" s="48"/>
      <c r="N5" s="48"/>
    </row>
    <row r="6" spans="1:17" ht="15.75" x14ac:dyDescent="0.2">
      <c r="A6" s="166" t="s">
        <v>1</v>
      </c>
      <c r="B6" s="166"/>
      <c r="C6" s="166"/>
      <c r="D6" s="166"/>
      <c r="E6" s="166"/>
      <c r="F6" s="169">
        <v>1</v>
      </c>
      <c r="G6" s="169"/>
      <c r="H6" s="169"/>
      <c r="I6" s="169"/>
      <c r="L6" s="49"/>
      <c r="M6" s="48"/>
      <c r="N6" s="48"/>
      <c r="P6" s="27"/>
    </row>
    <row r="7" spans="1:17" ht="15.75" x14ac:dyDescent="0.2">
      <c r="A7" s="166" t="s">
        <v>1571</v>
      </c>
      <c r="B7" s="166"/>
      <c r="C7" s="166"/>
      <c r="D7" s="166"/>
      <c r="E7" s="166"/>
      <c r="F7" s="167" t="s">
        <v>1568</v>
      </c>
      <c r="G7" s="167"/>
      <c r="H7" s="167"/>
      <c r="I7" s="167"/>
      <c r="L7" s="49"/>
      <c r="M7" s="48"/>
      <c r="N7" s="48"/>
      <c r="P7" s="27"/>
    </row>
    <row r="8" spans="1:17" ht="15.75" x14ac:dyDescent="0.2">
      <c r="A8" s="166" t="s">
        <v>2</v>
      </c>
      <c r="B8" s="166"/>
      <c r="C8" s="166"/>
      <c r="D8" s="166"/>
      <c r="E8" s="166"/>
      <c r="F8" s="171" t="str">
        <f>IF(OR($F$7='Drop Down Menus'!B2,$F$7='Drop Down Menus'!$B$3),'Drop Down Menus'!$D$9,IFERROR(VLOOKUP($F$5,GAAP02Aindex!$A$2:$D$900,4,FALSE),"Unidentified"))</f>
        <v>RESOURCES</v>
      </c>
      <c r="G8" s="171"/>
      <c r="H8" s="171"/>
      <c r="I8" s="171"/>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2" t="str">
        <f>IF($F$3="2022–2023","Establish Beginning Balances (SBITAs commenced on or before 07/01/2022)","Establish Beginning Balances (existing SBITAs only)")</f>
        <v>Establish Beginning Balances (SBITAs commenced on or before 07/01/2022)</v>
      </c>
      <c r="B12" s="172"/>
      <c r="C12" s="172"/>
      <c r="D12" s="172"/>
      <c r="E12" s="172"/>
      <c r="F12" s="172"/>
      <c r="G12" s="172"/>
      <c r="H12" s="172"/>
      <c r="I12" s="172"/>
      <c r="J12" s="172"/>
      <c r="K12" s="172"/>
      <c r="L12" s="48"/>
      <c r="M12" s="48"/>
    </row>
    <row r="13" spans="1:17" ht="16.5" customHeight="1" x14ac:dyDescent="0.2">
      <c r="A13" s="53" t="s">
        <v>3</v>
      </c>
      <c r="H13" s="44"/>
      <c r="L13" s="54"/>
    </row>
    <row r="14" spans="1:17" ht="16.5" customHeight="1" x14ac:dyDescent="0.3">
      <c r="A14" s="55">
        <v>0</v>
      </c>
      <c r="B14" s="173" t="str">
        <f>IF($F$3="2022–2023","To establish the beginning balance of SBITAs as of 07/01/2022.","Roll forward prior year right-to-use SBITAs to record opening balances.")</f>
        <v>To establish the beginning balance of SBITAs as of 07/01/2022.</v>
      </c>
      <c r="C14" s="173"/>
      <c r="D14" s="173"/>
      <c r="E14" s="173"/>
      <c r="F14" s="173"/>
      <c r="G14" s="173"/>
      <c r="H14" s="173"/>
      <c r="I14" s="173"/>
      <c r="J14" s="173"/>
      <c r="K14" s="173"/>
      <c r="L14" s="54"/>
    </row>
    <row r="15" spans="1:17" ht="16.5" customHeight="1" x14ac:dyDescent="0.2">
      <c r="B15" s="174" t="s">
        <v>1580</v>
      </c>
      <c r="C15" s="174"/>
      <c r="D15" s="174"/>
      <c r="E15" s="174"/>
      <c r="F15" s="174"/>
      <c r="G15" s="174"/>
      <c r="H15" s="174"/>
      <c r="I15" s="174"/>
      <c r="J15" s="32">
        <v>228634</v>
      </c>
      <c r="K15" s="33"/>
    </row>
    <row r="16" spans="1:17" ht="16.5" hidden="1" customHeight="1" x14ac:dyDescent="0.2">
      <c r="A16" s="56"/>
      <c r="B16" s="174" t="s">
        <v>1588</v>
      </c>
      <c r="C16" s="174"/>
      <c r="D16" s="174"/>
      <c r="E16" s="174"/>
      <c r="F16" s="174"/>
      <c r="G16" s="174"/>
      <c r="H16" s="174"/>
      <c r="I16" s="174"/>
      <c r="J16" s="32"/>
      <c r="K16" s="33"/>
    </row>
    <row r="17" spans="1:17" ht="16.5" customHeight="1" x14ac:dyDescent="0.2">
      <c r="A17" s="56"/>
      <c r="B17" s="174" t="s">
        <v>1589</v>
      </c>
      <c r="C17" s="174"/>
      <c r="D17" s="174"/>
      <c r="E17" s="174"/>
      <c r="F17" s="174"/>
      <c r="G17" s="174"/>
      <c r="H17" s="174"/>
      <c r="I17" s="174"/>
      <c r="J17" s="32">
        <v>0</v>
      </c>
      <c r="K17" s="33"/>
    </row>
    <row r="18" spans="1:17" ht="16.5" hidden="1" customHeight="1" x14ac:dyDescent="0.2">
      <c r="A18" s="56"/>
      <c r="B18" s="42"/>
      <c r="C18" s="174" t="s">
        <v>1587</v>
      </c>
      <c r="D18" s="174"/>
      <c r="E18" s="174"/>
      <c r="F18" s="174"/>
      <c r="G18" s="174"/>
      <c r="H18" s="174"/>
      <c r="I18" s="174"/>
      <c r="J18" s="33"/>
      <c r="K18" s="32"/>
    </row>
    <row r="19" spans="1:17" ht="16.5" customHeight="1" x14ac:dyDescent="0.25">
      <c r="A19" s="56"/>
      <c r="B19" s="57"/>
      <c r="C19" s="174" t="s">
        <v>1626</v>
      </c>
      <c r="D19" s="174"/>
      <c r="E19" s="174"/>
      <c r="F19" s="174"/>
      <c r="G19" s="174"/>
      <c r="H19" s="174"/>
      <c r="I19" s="174"/>
      <c r="J19" s="33"/>
      <c r="K19" s="32">
        <v>174642</v>
      </c>
      <c r="P19" s="27"/>
    </row>
    <row r="20" spans="1:17" ht="16.5" hidden="1" customHeight="1" x14ac:dyDescent="0.25">
      <c r="A20" s="56"/>
      <c r="B20" s="57"/>
      <c r="C20" s="174" t="s">
        <v>1590</v>
      </c>
      <c r="D20" s="174"/>
      <c r="E20" s="174"/>
      <c r="F20" s="174"/>
      <c r="G20" s="174"/>
      <c r="H20" s="174"/>
      <c r="I20" s="174"/>
      <c r="K20" s="32"/>
      <c r="Q20" s="28"/>
    </row>
    <row r="21" spans="1:17" ht="16.5" customHeight="1" x14ac:dyDescent="0.25">
      <c r="A21" s="56"/>
      <c r="B21" s="57"/>
      <c r="C21" s="174" t="s">
        <v>1591</v>
      </c>
      <c r="D21" s="174"/>
      <c r="E21" s="174"/>
      <c r="F21" s="174"/>
      <c r="G21" s="174"/>
      <c r="H21" s="174"/>
      <c r="I21" s="174"/>
      <c r="J21" s="33"/>
      <c r="K21" s="32">
        <v>53992</v>
      </c>
      <c r="Q21" s="28"/>
    </row>
    <row r="22" spans="1:17" ht="16.5" customHeight="1" x14ac:dyDescent="0.2">
      <c r="A22" s="56"/>
      <c r="B22" s="58"/>
      <c r="C22" s="58"/>
      <c r="D22" s="58"/>
      <c r="E22" s="58"/>
      <c r="F22" s="58"/>
      <c r="G22" s="58"/>
      <c r="H22" s="58"/>
      <c r="I22" s="58"/>
      <c r="J22" s="29">
        <f>ROUND(SUM(J15:J17),2)</f>
        <v>228634</v>
      </c>
      <c r="K22" s="29">
        <f>ROUND(SUM(K18:K21),2)</f>
        <v>228634</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0" t="s">
        <v>1605</v>
      </c>
      <c r="C24" s="170"/>
      <c r="D24" s="170"/>
      <c r="E24" s="170"/>
      <c r="F24" s="170"/>
      <c r="G24" s="170"/>
      <c r="H24" s="170"/>
      <c r="I24" s="170"/>
      <c r="J24" s="170"/>
      <c r="K24" s="170"/>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5" t="s">
        <v>1606</v>
      </c>
      <c r="C27" s="173"/>
      <c r="D27" s="173"/>
      <c r="E27" s="173"/>
      <c r="F27" s="173"/>
      <c r="G27" s="173"/>
      <c r="H27" s="173"/>
      <c r="I27" s="173"/>
      <c r="J27" s="173"/>
      <c r="K27" s="173"/>
      <c r="L27" s="54"/>
    </row>
    <row r="28" spans="1:17" ht="16.5" customHeight="1" x14ac:dyDescent="0.2">
      <c r="A28" s="56"/>
      <c r="B28" s="174" t="s">
        <v>1577</v>
      </c>
      <c r="C28" s="174"/>
      <c r="D28" s="174"/>
      <c r="E28" s="174"/>
      <c r="F28" s="174"/>
      <c r="G28" s="174"/>
      <c r="H28" s="174"/>
      <c r="I28" s="174"/>
      <c r="J28" s="32">
        <v>0</v>
      </c>
      <c r="K28" s="33"/>
      <c r="L28" s="54"/>
    </row>
    <row r="29" spans="1:17" ht="16.5" customHeight="1" x14ac:dyDescent="0.25">
      <c r="A29" s="56"/>
      <c r="B29" s="57"/>
      <c r="C29" s="174" t="s">
        <v>1578</v>
      </c>
      <c r="D29" s="174"/>
      <c r="E29" s="174"/>
      <c r="F29" s="174"/>
      <c r="G29" s="174"/>
      <c r="H29" s="174"/>
      <c r="I29" s="174"/>
      <c r="J29" s="33"/>
      <c r="K29" s="32">
        <v>0</v>
      </c>
      <c r="L29" s="54"/>
    </row>
    <row r="30" spans="1:17" ht="16.5" customHeight="1" x14ac:dyDescent="0.25">
      <c r="A30" s="56"/>
      <c r="B30" s="57"/>
      <c r="C30" s="174" t="str">
        <f>VLOOKUP($F$8,'Drop Down Menus'!$D$2:$G$10,4,FALSE)</f>
        <v>Cr: Acct 0820 - NAT RES &amp; ENVIRON (GAAP ADJ)</v>
      </c>
      <c r="D30" s="174"/>
      <c r="E30" s="174"/>
      <c r="F30" s="174"/>
      <c r="G30" s="174"/>
      <c r="H30" s="174"/>
      <c r="I30" s="174"/>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6" t="s">
        <v>1607</v>
      </c>
      <c r="C33" s="177"/>
      <c r="D33" s="177"/>
      <c r="E33" s="177"/>
      <c r="F33" s="177"/>
      <c r="G33" s="177"/>
      <c r="H33" s="177"/>
      <c r="I33" s="177"/>
      <c r="J33" s="177"/>
      <c r="K33" s="177"/>
      <c r="L33" s="54"/>
    </row>
    <row r="34" spans="1:12" ht="16.5" customHeight="1" x14ac:dyDescent="0.3">
      <c r="A34" s="68"/>
      <c r="B34" s="174" t="s">
        <v>1580</v>
      </c>
      <c r="C34" s="174"/>
      <c r="D34" s="174"/>
      <c r="E34" s="174"/>
      <c r="F34" s="174"/>
      <c r="G34" s="174"/>
      <c r="H34" s="174"/>
      <c r="I34" s="174"/>
      <c r="J34" s="32">
        <v>0</v>
      </c>
      <c r="K34" s="70"/>
      <c r="L34" s="54"/>
    </row>
    <row r="35" spans="1:12" ht="16.5" customHeight="1" x14ac:dyDescent="0.2">
      <c r="B35" s="174" t="s">
        <v>1579</v>
      </c>
      <c r="C35" s="174"/>
      <c r="D35" s="174"/>
      <c r="E35" s="174"/>
      <c r="F35" s="174"/>
      <c r="G35" s="174"/>
      <c r="H35" s="174"/>
      <c r="I35" s="174"/>
      <c r="J35" s="32">
        <v>0</v>
      </c>
      <c r="K35" s="36"/>
    </row>
    <row r="36" spans="1:12" ht="16.5" customHeight="1" x14ac:dyDescent="0.2">
      <c r="A36" s="56"/>
      <c r="B36" s="71"/>
      <c r="C36" s="174" t="s">
        <v>1581</v>
      </c>
      <c r="D36" s="174"/>
      <c r="E36" s="174"/>
      <c r="F36" s="174"/>
      <c r="G36" s="174"/>
      <c r="H36" s="174"/>
      <c r="I36" s="174"/>
      <c r="J36" s="36"/>
      <c r="K36" s="32">
        <v>0</v>
      </c>
    </row>
    <row r="37" spans="1:12" ht="16.5" customHeight="1" x14ac:dyDescent="0.2">
      <c r="A37" s="56"/>
      <c r="C37" s="174" t="s">
        <v>1626</v>
      </c>
      <c r="D37" s="174"/>
      <c r="E37" s="174"/>
      <c r="F37" s="174"/>
      <c r="G37" s="174"/>
      <c r="H37" s="174"/>
      <c r="I37" s="174"/>
      <c r="J37" s="36"/>
      <c r="K37" s="32">
        <v>0</v>
      </c>
    </row>
    <row r="38" spans="1:12" ht="16.5" customHeight="1" x14ac:dyDescent="0.25">
      <c r="A38" s="56"/>
      <c r="B38" s="57"/>
      <c r="C38" s="174" t="str">
        <f>VLOOKUP($F$8,'Drop Down Menus'!$D$2:$G$10,4,FALSE)</f>
        <v>Cr: Acct 0820 - NAT RES &amp; ENVIRON (GAAP ADJ)</v>
      </c>
      <c r="D38" s="174"/>
      <c r="E38" s="174"/>
      <c r="F38" s="174"/>
      <c r="G38" s="174"/>
      <c r="H38" s="174"/>
      <c r="I38" s="174"/>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0" t="s">
        <v>1609</v>
      </c>
      <c r="C41" s="170"/>
      <c r="D41" s="170"/>
      <c r="E41" s="170"/>
      <c r="F41" s="170"/>
      <c r="G41" s="170"/>
      <c r="H41" s="170"/>
      <c r="I41" s="170"/>
      <c r="J41" s="170"/>
      <c r="K41" s="170"/>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74" t="s">
        <v>1582</v>
      </c>
      <c r="C45" s="174"/>
      <c r="D45" s="174"/>
      <c r="E45" s="174"/>
      <c r="F45" s="174"/>
      <c r="G45" s="174"/>
      <c r="H45" s="174"/>
      <c r="I45" s="174"/>
      <c r="J45" s="32">
        <v>105737</v>
      </c>
      <c r="K45" s="33"/>
    </row>
    <row r="46" spans="1:12" ht="16.5" customHeight="1" x14ac:dyDescent="0.2">
      <c r="A46" s="56"/>
      <c r="B46" s="71"/>
      <c r="C46" s="174" t="s">
        <v>1587</v>
      </c>
      <c r="D46" s="174"/>
      <c r="E46" s="174"/>
      <c r="F46" s="174"/>
      <c r="G46" s="174"/>
      <c r="H46" s="174"/>
      <c r="I46" s="174"/>
      <c r="J46" s="36"/>
      <c r="K46" s="32">
        <f>J45</f>
        <v>105737</v>
      </c>
    </row>
    <row r="47" spans="1:12" ht="16.5" customHeight="1" x14ac:dyDescent="0.2">
      <c r="A47" s="68"/>
      <c r="B47" s="58"/>
      <c r="C47" s="58"/>
      <c r="D47" s="58"/>
      <c r="E47" s="58"/>
      <c r="F47" s="58"/>
      <c r="G47" s="58"/>
      <c r="H47" s="58"/>
      <c r="I47" s="58"/>
      <c r="J47" s="39">
        <f>ROUND(SUM(J45:J45),2)</f>
        <v>105737</v>
      </c>
      <c r="K47" s="39">
        <f>ROUND(SUM(K46),2)</f>
        <v>105737</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74" t="s">
        <v>1611</v>
      </c>
      <c r="C50" s="174"/>
      <c r="D50" s="174"/>
      <c r="E50" s="174"/>
      <c r="F50" s="174"/>
      <c r="G50" s="174"/>
      <c r="H50" s="174"/>
      <c r="I50" s="174"/>
      <c r="J50" s="37">
        <v>53137</v>
      </c>
      <c r="K50" s="81"/>
    </row>
    <row r="51" spans="1:12" ht="16.5" customHeight="1" x14ac:dyDescent="0.2">
      <c r="A51" s="56"/>
      <c r="B51" s="174" t="str">
        <f>IF(OR($F$7="Proprietary - Internal Service Fund",$F$7="Proprietary - Enterprise Fund"),"Dr: Acct 0894 - INTEREST EXPENSE AND FISCAL CHARGES","Dr: Acct 0851 - DEBT SERVICE - INTEREST LEASES")</f>
        <v>Dr: Acct 0851 - DEBT SERVICE - INTEREST LEASES</v>
      </c>
      <c r="C51" s="174"/>
      <c r="D51" s="174"/>
      <c r="E51" s="174"/>
      <c r="F51" s="174"/>
      <c r="G51" s="174"/>
      <c r="H51" s="174"/>
      <c r="I51" s="174"/>
      <c r="J51" s="37">
        <v>4191</v>
      </c>
      <c r="K51" s="81"/>
    </row>
    <row r="52" spans="1:12" ht="16.5" customHeight="1" x14ac:dyDescent="0.25">
      <c r="A52" s="56"/>
      <c r="B52" s="57"/>
      <c r="C52" s="174" t="str">
        <f>VLOOKUP($F$8,'Drop Down Menus'!$D$2:$G$10,4,FALSE)</f>
        <v>Cr: Acct 0820 - NAT RES &amp; ENVIRON (GAAP ADJ)</v>
      </c>
      <c r="D52" s="174"/>
      <c r="E52" s="174"/>
      <c r="F52" s="174"/>
      <c r="G52" s="174"/>
      <c r="H52" s="174"/>
      <c r="I52" s="174"/>
      <c r="J52" s="81"/>
      <c r="K52" s="38">
        <f>+J50+J51</f>
        <v>57328</v>
      </c>
    </row>
    <row r="53" spans="1:12" ht="16.5" customHeight="1" x14ac:dyDescent="0.2">
      <c r="A53" s="68"/>
      <c r="B53" s="58"/>
      <c r="C53" s="58"/>
      <c r="D53" s="58"/>
      <c r="E53" s="58"/>
      <c r="F53" s="58"/>
      <c r="G53" s="58"/>
      <c r="H53" s="58"/>
      <c r="I53" s="58"/>
      <c r="J53" s="39">
        <f>ROUND(SUM(J50:J51),2)</f>
        <v>57328</v>
      </c>
      <c r="K53" s="39">
        <f>ROUND(SUM(K52,),2)</f>
        <v>57328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74" t="s">
        <v>1627</v>
      </c>
      <c r="C56" s="174"/>
      <c r="D56" s="174"/>
      <c r="E56" s="174"/>
      <c r="F56" s="174"/>
      <c r="G56" s="174"/>
      <c r="H56" s="174"/>
      <c r="I56" s="174"/>
      <c r="J56" s="32">
        <f>K57</f>
        <v>53137</v>
      </c>
      <c r="K56" s="36"/>
    </row>
    <row r="57" spans="1:12" ht="16.5" customHeight="1" x14ac:dyDescent="0.25">
      <c r="A57" s="56"/>
      <c r="B57" s="57"/>
      <c r="C57" s="174" t="s">
        <v>1613</v>
      </c>
      <c r="D57" s="174"/>
      <c r="E57" s="174"/>
      <c r="F57" s="174"/>
      <c r="G57" s="174"/>
      <c r="H57" s="174"/>
      <c r="I57" s="174"/>
      <c r="J57" s="36"/>
      <c r="K57" s="32">
        <f>J50</f>
        <v>53137</v>
      </c>
    </row>
    <row r="58" spans="1:12" ht="16.5" customHeight="1" x14ac:dyDescent="0.2">
      <c r="A58" s="68"/>
      <c r="B58" s="58"/>
      <c r="C58" s="58"/>
      <c r="D58" s="58"/>
      <c r="E58" s="58"/>
      <c r="F58" s="58"/>
      <c r="G58" s="58"/>
      <c r="H58" s="58"/>
      <c r="I58" s="58"/>
      <c r="J58" s="39">
        <f>ROUND(SUM(J56:J56),2)</f>
        <v>53137</v>
      </c>
      <c r="K58" s="39">
        <f>ROUND(SUM(K57),2)</f>
        <v>53137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74" t="s">
        <v>1627</v>
      </c>
      <c r="C61" s="174"/>
      <c r="D61" s="174"/>
      <c r="E61" s="174"/>
      <c r="F61" s="174"/>
      <c r="G61" s="174"/>
      <c r="H61" s="174"/>
      <c r="I61" s="174"/>
      <c r="J61" s="41">
        <v>99023</v>
      </c>
      <c r="K61" s="33"/>
    </row>
    <row r="62" spans="1:12" ht="16.5" customHeight="1" x14ac:dyDescent="0.25">
      <c r="A62" s="56"/>
      <c r="B62" s="57"/>
      <c r="C62" s="174" t="s">
        <v>1623</v>
      </c>
      <c r="D62" s="174"/>
      <c r="E62" s="174"/>
      <c r="F62" s="174"/>
      <c r="G62" s="174"/>
      <c r="H62" s="174"/>
      <c r="I62" s="174"/>
      <c r="J62" s="33"/>
      <c r="K62" s="32">
        <f>J61</f>
        <v>99023</v>
      </c>
    </row>
    <row r="63" spans="1:12" ht="16.5" customHeight="1" x14ac:dyDescent="0.2">
      <c r="A63" s="56"/>
      <c r="B63" s="178" t="s">
        <v>1622</v>
      </c>
      <c r="C63" s="178"/>
      <c r="D63" s="178"/>
      <c r="E63" s="178"/>
      <c r="F63" s="178"/>
      <c r="G63" s="178"/>
      <c r="H63" s="178"/>
      <c r="I63" s="178"/>
      <c r="J63" s="39">
        <f>ROUND(SUM(J61:J61),2)</f>
        <v>99023</v>
      </c>
      <c r="K63" s="39">
        <f>ROUND(SUM(K62),2)</f>
        <v>99023</v>
      </c>
      <c r="L63" s="54" t="str">
        <f>IF(J63=K63,"&lt;- Debits and Credits equal each other.","&lt;- Debits and Credits do not equal each other.")</f>
        <v>&lt;- Debits and Credits equal each other.</v>
      </c>
    </row>
    <row r="64" spans="1:12" ht="16.5" customHeight="1" x14ac:dyDescent="0.2">
      <c r="A64" s="56"/>
      <c r="B64" s="178"/>
      <c r="C64" s="178"/>
      <c r="D64" s="178"/>
      <c r="E64" s="178"/>
      <c r="F64" s="178"/>
      <c r="G64" s="178"/>
      <c r="H64" s="178"/>
      <c r="I64" s="178"/>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9" t="s">
        <v>1594</v>
      </c>
      <c r="C68" s="179"/>
      <c r="D68" s="179"/>
      <c r="E68" s="179"/>
      <c r="F68" s="179"/>
      <c r="G68" s="179"/>
      <c r="H68" s="179"/>
      <c r="I68" s="179"/>
      <c r="J68" s="41"/>
      <c r="K68" s="34"/>
      <c r="L68" s="54"/>
    </row>
    <row r="69" spans="1:12" ht="16.5" hidden="1" customHeight="1" x14ac:dyDescent="0.2">
      <c r="A69" s="56"/>
      <c r="B69" s="84"/>
      <c r="C69" s="179" t="s">
        <v>1595</v>
      </c>
      <c r="D69" s="179"/>
      <c r="E69" s="179"/>
      <c r="F69" s="179"/>
      <c r="G69" s="179"/>
      <c r="H69" s="179"/>
      <c r="I69" s="179"/>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0" t="s">
        <v>1610</v>
      </c>
      <c r="C72" s="170"/>
      <c r="D72" s="170"/>
      <c r="E72" s="170"/>
      <c r="F72" s="170"/>
      <c r="G72" s="170"/>
      <c r="H72" s="170"/>
      <c r="I72" s="170"/>
      <c r="J72" s="170"/>
      <c r="K72" s="170"/>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74" t="s">
        <v>1626</v>
      </c>
      <c r="C76" s="174"/>
      <c r="D76" s="174"/>
      <c r="E76" s="174"/>
      <c r="F76" s="174"/>
      <c r="G76" s="174"/>
      <c r="H76" s="174"/>
      <c r="I76" s="174"/>
      <c r="J76" s="41"/>
    </row>
    <row r="77" spans="1:12" ht="16.5" hidden="1" customHeight="1" x14ac:dyDescent="0.2">
      <c r="B77" s="179" t="s">
        <v>1594</v>
      </c>
      <c r="C77" s="179"/>
      <c r="D77" s="179"/>
      <c r="E77" s="179"/>
      <c r="F77" s="179"/>
      <c r="G77" s="179"/>
      <c r="H77" s="179"/>
      <c r="I77" s="179"/>
      <c r="J77" s="41"/>
    </row>
    <row r="78" spans="1:12" ht="16.5" hidden="1" customHeight="1" x14ac:dyDescent="0.2">
      <c r="B78" s="174" t="str">
        <f>VLOOKUP($F$8,'Drop Down Menus'!$D$2:$G$10,4,FALSE)</f>
        <v>Cr: Acct 0820 - NAT RES &amp; ENVIRON (GAAP ADJ)</v>
      </c>
      <c r="C78" s="174"/>
      <c r="D78" s="174"/>
      <c r="E78" s="174"/>
      <c r="F78" s="174"/>
      <c r="G78" s="174"/>
      <c r="H78" s="174"/>
      <c r="I78" s="174"/>
      <c r="J78" s="41"/>
    </row>
    <row r="79" spans="1:12" ht="16.5" hidden="1" customHeight="1" x14ac:dyDescent="0.2">
      <c r="C79" s="179" t="s">
        <v>1595</v>
      </c>
      <c r="D79" s="179"/>
      <c r="E79" s="179"/>
      <c r="F79" s="179"/>
      <c r="G79" s="179"/>
      <c r="H79" s="179"/>
      <c r="I79" s="179"/>
      <c r="K79" s="41"/>
    </row>
    <row r="80" spans="1:12" ht="16.5" hidden="1" customHeight="1" x14ac:dyDescent="0.2">
      <c r="C80" s="174" t="str">
        <f>VLOOKUP($F$8,'Drop Down Menus'!$D$2:$G$10,4,FALSE)</f>
        <v>Cr: Acct 0820 - NAT RES &amp; ENVIRON (GAAP ADJ)</v>
      </c>
      <c r="D80" s="174"/>
      <c r="E80" s="174"/>
      <c r="F80" s="174"/>
      <c r="G80" s="174"/>
      <c r="H80" s="174"/>
      <c r="I80" s="174"/>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5" t="s">
        <v>1614</v>
      </c>
      <c r="C83" s="173"/>
      <c r="D83" s="173"/>
      <c r="E83" s="173"/>
      <c r="F83" s="173"/>
      <c r="G83" s="173"/>
      <c r="H83" s="173"/>
      <c r="I83" s="173"/>
      <c r="J83" s="173"/>
      <c r="K83" s="173"/>
    </row>
    <row r="84" spans="1:12" ht="16.5" hidden="1" customHeight="1" x14ac:dyDescent="0.2">
      <c r="B84" s="174" t="s">
        <v>1580</v>
      </c>
      <c r="C84" s="174"/>
      <c r="D84" s="174"/>
      <c r="E84" s="174"/>
      <c r="F84" s="174"/>
      <c r="G84" s="174"/>
      <c r="H84" s="174"/>
      <c r="I84" s="174"/>
      <c r="J84" s="41"/>
    </row>
    <row r="85" spans="1:12" ht="16.5" hidden="1" customHeight="1" x14ac:dyDescent="0.2">
      <c r="C85" s="174" t="s">
        <v>1626</v>
      </c>
      <c r="D85" s="174"/>
      <c r="E85" s="174"/>
      <c r="F85" s="174"/>
      <c r="G85" s="174"/>
      <c r="H85" s="174"/>
      <c r="I85" s="174"/>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0" t="s">
        <v>1619</v>
      </c>
      <c r="C88" s="170"/>
      <c r="D88" s="170"/>
      <c r="E88" s="170"/>
      <c r="F88" s="170"/>
      <c r="G88" s="170"/>
      <c r="H88" s="170"/>
      <c r="I88" s="170"/>
      <c r="J88" s="170"/>
      <c r="K88" s="170"/>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228634</v>
      </c>
    </row>
    <row r="95" spans="1:12" ht="16.5" customHeight="1" x14ac:dyDescent="0.25">
      <c r="D95" s="57" t="s">
        <v>1641</v>
      </c>
      <c r="E95"/>
      <c r="F95"/>
      <c r="G95"/>
      <c r="H95" s="44"/>
      <c r="I95"/>
      <c r="J95"/>
      <c r="K95" s="162">
        <f>-K18-K46+J68+J77</f>
        <v>-105737</v>
      </c>
    </row>
    <row r="96" spans="1:12" ht="16.5" customHeight="1" x14ac:dyDescent="0.25">
      <c r="D96" s="57" t="s">
        <v>1639</v>
      </c>
      <c r="E96"/>
      <c r="F96"/>
      <c r="G96"/>
      <c r="H96" s="44"/>
      <c r="I96"/>
      <c r="J96"/>
      <c r="K96" s="162">
        <f>-K19-K37+J56+J61+J76-K85</f>
        <v>-22482</v>
      </c>
    </row>
    <row r="97" spans="1:11" ht="16.5" customHeight="1" x14ac:dyDescent="0.25">
      <c r="D97" s="57" t="s">
        <v>1640</v>
      </c>
      <c r="E97"/>
      <c r="F97"/>
      <c r="G97"/>
      <c r="H97" s="44"/>
      <c r="I97"/>
      <c r="J97"/>
      <c r="K97" s="162">
        <f>-K62</f>
        <v>-99023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F80AD0B2-1CEE-4B47-A7B0-9258FFDEC209}">
      <formula1>4</formula1>
    </dataValidation>
    <dataValidation type="textLength" operator="lessThan" allowBlank="1" showInputMessage="1" showErrorMessage="1" sqref="E11 A6:A8" xr:uid="{96027D9F-BC61-4E5D-BCA5-2700F403F282}">
      <formula1>0</formula1>
    </dataValidation>
    <dataValidation operator="lessThan" allowBlank="1" showInputMessage="1" showErrorMessage="1" sqref="A3:A5 A7:A8 A11" xr:uid="{44AF47BF-6D29-4923-B7D6-29F24BDCD526}"/>
  </dataValidations>
  <printOptions horizontalCentered="1"/>
  <pageMargins left="0.5" right="0.5" top="0.75" bottom="1" header="0.3" footer="0.3"/>
  <pageSetup scale="42"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D6CBA75A-3BE0-4964-8B99-A3E955939772}">
          <x14:formula1>
            <xm:f>'Drop Down Menus'!$B$1:$B$3</xm:f>
          </x14:formula1>
          <xm:sqref>F7</xm:sqref>
        </x14:dataValidation>
        <x14:dataValidation type="list" allowBlank="1" showInputMessage="1" showErrorMessage="1" xr:uid="{2CAEA5B1-A8A8-4558-8B24-649743ECBE6A}">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opLeftCell="A32"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4" t="s">
        <v>1608</v>
      </c>
      <c r="B1" s="164"/>
      <c r="C1" s="164"/>
      <c r="D1" s="164"/>
      <c r="E1" s="164"/>
      <c r="F1" s="164"/>
      <c r="G1" s="164"/>
      <c r="H1" s="164"/>
      <c r="I1" s="164"/>
      <c r="J1" s="164"/>
      <c r="K1" s="164"/>
      <c r="L1" s="43"/>
    </row>
    <row r="2" spans="1:17" ht="18" x14ac:dyDescent="0.25">
      <c r="A2" s="165" t="s">
        <v>1565</v>
      </c>
      <c r="B2" s="165"/>
      <c r="C2" s="165"/>
      <c r="D2" s="165"/>
      <c r="E2" s="165"/>
      <c r="F2" s="165"/>
      <c r="G2" s="165"/>
      <c r="H2" s="165"/>
      <c r="I2" s="165"/>
      <c r="J2" s="165"/>
      <c r="K2" s="165"/>
      <c r="L2" s="45"/>
    </row>
    <row r="3" spans="1:17" ht="15.75" x14ac:dyDescent="0.25">
      <c r="A3" s="166" t="s">
        <v>0</v>
      </c>
      <c r="B3" s="166"/>
      <c r="C3" s="166"/>
      <c r="D3" s="166"/>
      <c r="E3" s="166"/>
      <c r="F3" s="167" t="s">
        <v>16</v>
      </c>
      <c r="G3" s="167"/>
      <c r="H3" s="167"/>
      <c r="I3" s="167"/>
    </row>
    <row r="4" spans="1:17" ht="15.75" x14ac:dyDescent="0.25">
      <c r="A4" s="166" t="s">
        <v>1586</v>
      </c>
      <c r="B4" s="166"/>
      <c r="C4" s="166"/>
      <c r="D4" s="166"/>
      <c r="E4" s="166"/>
      <c r="F4" s="167" t="s">
        <v>1642</v>
      </c>
      <c r="G4" s="167"/>
      <c r="H4" s="167"/>
      <c r="I4" s="167"/>
    </row>
    <row r="5" spans="1:17" ht="15.75" x14ac:dyDescent="0.2">
      <c r="A5" s="166" t="s">
        <v>1602</v>
      </c>
      <c r="B5" s="166"/>
      <c r="C5" s="166"/>
      <c r="D5" s="166"/>
      <c r="E5" s="166"/>
      <c r="F5" s="168" t="s">
        <v>645</v>
      </c>
      <c r="G5" s="168"/>
      <c r="H5" s="168"/>
      <c r="I5" s="168"/>
      <c r="J5" s="47"/>
      <c r="K5" s="47"/>
      <c r="L5" s="48"/>
      <c r="M5" s="48"/>
      <c r="N5" s="48"/>
    </row>
    <row r="6" spans="1:17" ht="15.75" x14ac:dyDescent="0.2">
      <c r="A6" s="166" t="s">
        <v>1</v>
      </c>
      <c r="B6" s="166"/>
      <c r="C6" s="166"/>
      <c r="D6" s="166"/>
      <c r="E6" s="166"/>
      <c r="F6" s="169">
        <v>318</v>
      </c>
      <c r="G6" s="169"/>
      <c r="H6" s="169"/>
      <c r="I6" s="169"/>
      <c r="L6" s="49"/>
      <c r="M6" s="48"/>
      <c r="N6" s="48"/>
      <c r="P6" s="27"/>
    </row>
    <row r="7" spans="1:17" ht="15.75" x14ac:dyDescent="0.2">
      <c r="A7" s="166" t="s">
        <v>1571</v>
      </c>
      <c r="B7" s="166"/>
      <c r="C7" s="166"/>
      <c r="D7" s="166"/>
      <c r="E7" s="166"/>
      <c r="F7" s="167" t="s">
        <v>1568</v>
      </c>
      <c r="G7" s="167"/>
      <c r="H7" s="167"/>
      <c r="I7" s="167"/>
      <c r="L7" s="49"/>
      <c r="M7" s="48"/>
      <c r="N7" s="48"/>
      <c r="P7" s="27"/>
    </row>
    <row r="8" spans="1:17" ht="15.75" x14ac:dyDescent="0.2">
      <c r="A8" s="166" t="s">
        <v>2</v>
      </c>
      <c r="B8" s="166"/>
      <c r="C8" s="166"/>
      <c r="D8" s="166"/>
      <c r="E8" s="166"/>
      <c r="F8" s="171" t="str">
        <f>IF(OR($F$7='Drop Down Menus'!B2,$F$7='Drop Down Menus'!$B$3),'Drop Down Menus'!$D$9,IFERROR(VLOOKUP($F$5,GAAP02Aindex!$A$2:$D$900,4,FALSE),"Unidentified"))</f>
        <v>RESOURCES</v>
      </c>
      <c r="G8" s="171"/>
      <c r="H8" s="171"/>
      <c r="I8" s="171"/>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2" t="str">
        <f>IF($F$3="2022–2023","Establish Beginning Balances (SBITAs commenced on or before 07/01/2022)","Establish Beginning Balances (existing SBITAs only)")</f>
        <v>Establish Beginning Balances (SBITAs commenced on or before 07/01/2022)</v>
      </c>
      <c r="B12" s="172"/>
      <c r="C12" s="172"/>
      <c r="D12" s="172"/>
      <c r="E12" s="172"/>
      <c r="F12" s="172"/>
      <c r="G12" s="172"/>
      <c r="H12" s="172"/>
      <c r="I12" s="172"/>
      <c r="J12" s="172"/>
      <c r="K12" s="172"/>
      <c r="L12" s="48"/>
      <c r="M12" s="48"/>
    </row>
    <row r="13" spans="1:17" ht="16.5" customHeight="1" x14ac:dyDescent="0.2">
      <c r="A13" s="53" t="s">
        <v>3</v>
      </c>
      <c r="H13" s="44"/>
      <c r="L13" s="54"/>
    </row>
    <row r="14" spans="1:17" ht="16.5" customHeight="1" x14ac:dyDescent="0.3">
      <c r="A14" s="55">
        <v>0</v>
      </c>
      <c r="B14" s="173" t="str">
        <f>IF($F$3="2022–2023","To establish the beginning balance of SBITAs as of 07/01/2022.","Roll forward prior year right-to-use SBITAs to record opening balances.")</f>
        <v>To establish the beginning balance of SBITAs as of 07/01/2022.</v>
      </c>
      <c r="C14" s="173"/>
      <c r="D14" s="173"/>
      <c r="E14" s="173"/>
      <c r="F14" s="173"/>
      <c r="G14" s="173"/>
      <c r="H14" s="173"/>
      <c r="I14" s="173"/>
      <c r="J14" s="173"/>
      <c r="K14" s="173"/>
      <c r="L14" s="54"/>
    </row>
    <row r="15" spans="1:17" ht="16.5" customHeight="1" x14ac:dyDescent="0.2">
      <c r="B15" s="174" t="s">
        <v>1580</v>
      </c>
      <c r="C15" s="174"/>
      <c r="D15" s="174"/>
      <c r="E15" s="174"/>
      <c r="F15" s="174"/>
      <c r="G15" s="174"/>
      <c r="H15" s="174"/>
      <c r="I15" s="174"/>
      <c r="J15" s="32">
        <v>183616</v>
      </c>
      <c r="K15" s="33"/>
    </row>
    <row r="16" spans="1:17" ht="16.5" hidden="1" customHeight="1" x14ac:dyDescent="0.2">
      <c r="A16" s="56"/>
      <c r="B16" s="174" t="s">
        <v>1588</v>
      </c>
      <c r="C16" s="174"/>
      <c r="D16" s="174"/>
      <c r="E16" s="174"/>
      <c r="F16" s="174"/>
      <c r="G16" s="174"/>
      <c r="H16" s="174"/>
      <c r="I16" s="174"/>
      <c r="J16" s="32"/>
      <c r="K16" s="33"/>
    </row>
    <row r="17" spans="1:17" ht="16.5" customHeight="1" x14ac:dyDescent="0.2">
      <c r="A17" s="56"/>
      <c r="B17" s="174" t="s">
        <v>1589</v>
      </c>
      <c r="C17" s="174"/>
      <c r="D17" s="174"/>
      <c r="E17" s="174"/>
      <c r="F17" s="174"/>
      <c r="G17" s="174"/>
      <c r="H17" s="174"/>
      <c r="I17" s="174"/>
      <c r="J17" s="32">
        <v>0</v>
      </c>
      <c r="K17" s="33"/>
    </row>
    <row r="18" spans="1:17" ht="16.5" hidden="1" customHeight="1" x14ac:dyDescent="0.2">
      <c r="A18" s="56"/>
      <c r="B18" s="42"/>
      <c r="C18" s="174" t="s">
        <v>1587</v>
      </c>
      <c r="D18" s="174"/>
      <c r="E18" s="174"/>
      <c r="F18" s="174"/>
      <c r="G18" s="174"/>
      <c r="H18" s="174"/>
      <c r="I18" s="174"/>
      <c r="J18" s="33"/>
      <c r="K18" s="32"/>
    </row>
    <row r="19" spans="1:17" ht="16.5" customHeight="1" x14ac:dyDescent="0.25">
      <c r="A19" s="56"/>
      <c r="B19" s="57"/>
      <c r="C19" s="174" t="s">
        <v>1626</v>
      </c>
      <c r="D19" s="174"/>
      <c r="E19" s="174"/>
      <c r="F19" s="174"/>
      <c r="G19" s="174"/>
      <c r="H19" s="174"/>
      <c r="I19" s="174"/>
      <c r="J19" s="33"/>
      <c r="K19" s="32">
        <v>140255</v>
      </c>
      <c r="P19" s="27"/>
    </row>
    <row r="20" spans="1:17" ht="16.5" hidden="1" customHeight="1" x14ac:dyDescent="0.25">
      <c r="A20" s="56"/>
      <c r="B20" s="57"/>
      <c r="C20" s="174" t="s">
        <v>1590</v>
      </c>
      <c r="D20" s="174"/>
      <c r="E20" s="174"/>
      <c r="F20" s="174"/>
      <c r="G20" s="174"/>
      <c r="H20" s="174"/>
      <c r="I20" s="174"/>
      <c r="K20" s="32"/>
      <c r="Q20" s="28"/>
    </row>
    <row r="21" spans="1:17" ht="16.5" customHeight="1" x14ac:dyDescent="0.25">
      <c r="A21" s="56"/>
      <c r="B21" s="57"/>
      <c r="C21" s="174" t="s">
        <v>1591</v>
      </c>
      <c r="D21" s="174"/>
      <c r="E21" s="174"/>
      <c r="F21" s="174"/>
      <c r="G21" s="174"/>
      <c r="H21" s="174"/>
      <c r="I21" s="174"/>
      <c r="J21" s="33"/>
      <c r="K21" s="32">
        <v>43361</v>
      </c>
      <c r="Q21" s="28"/>
    </row>
    <row r="22" spans="1:17" ht="16.5" customHeight="1" x14ac:dyDescent="0.2">
      <c r="A22" s="56"/>
      <c r="B22" s="58"/>
      <c r="C22" s="58"/>
      <c r="D22" s="58"/>
      <c r="E22" s="58"/>
      <c r="F22" s="58"/>
      <c r="G22" s="58"/>
      <c r="H22" s="58"/>
      <c r="I22" s="58"/>
      <c r="J22" s="29">
        <f>ROUND(SUM(J15:J17),2)</f>
        <v>183616</v>
      </c>
      <c r="K22" s="29">
        <f>ROUND(SUM(K18:K21),2)</f>
        <v>183616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0" t="s">
        <v>1605</v>
      </c>
      <c r="C24" s="170"/>
      <c r="D24" s="170"/>
      <c r="E24" s="170"/>
      <c r="F24" s="170"/>
      <c r="G24" s="170"/>
      <c r="H24" s="170"/>
      <c r="I24" s="170"/>
      <c r="J24" s="170"/>
      <c r="K24" s="170"/>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5" t="s">
        <v>1606</v>
      </c>
      <c r="C27" s="173"/>
      <c r="D27" s="173"/>
      <c r="E27" s="173"/>
      <c r="F27" s="173"/>
      <c r="G27" s="173"/>
      <c r="H27" s="173"/>
      <c r="I27" s="173"/>
      <c r="J27" s="173"/>
      <c r="K27" s="173"/>
      <c r="L27" s="54"/>
    </row>
    <row r="28" spans="1:17" ht="16.5" customHeight="1" x14ac:dyDescent="0.2">
      <c r="A28" s="56"/>
      <c r="B28" s="174" t="s">
        <v>1577</v>
      </c>
      <c r="C28" s="174"/>
      <c r="D28" s="174"/>
      <c r="E28" s="174"/>
      <c r="F28" s="174"/>
      <c r="G28" s="174"/>
      <c r="H28" s="174"/>
      <c r="I28" s="174"/>
      <c r="J28" s="32">
        <v>0</v>
      </c>
      <c r="K28" s="33"/>
      <c r="L28" s="54"/>
    </row>
    <row r="29" spans="1:17" ht="16.5" customHeight="1" x14ac:dyDescent="0.25">
      <c r="A29" s="56"/>
      <c r="B29" s="57"/>
      <c r="C29" s="174" t="s">
        <v>1578</v>
      </c>
      <c r="D29" s="174"/>
      <c r="E29" s="174"/>
      <c r="F29" s="174"/>
      <c r="G29" s="174"/>
      <c r="H29" s="174"/>
      <c r="I29" s="174"/>
      <c r="J29" s="33"/>
      <c r="K29" s="32">
        <v>0</v>
      </c>
      <c r="L29" s="54"/>
    </row>
    <row r="30" spans="1:17" ht="16.5" customHeight="1" x14ac:dyDescent="0.25">
      <c r="A30" s="56"/>
      <c r="B30" s="57"/>
      <c r="C30" s="174" t="str">
        <f>VLOOKUP($F$8,'Drop Down Menus'!$D$2:$G$10,4,FALSE)</f>
        <v>Cr: Acct 0820 - NAT RES &amp; ENVIRON (GAAP ADJ)</v>
      </c>
      <c r="D30" s="174"/>
      <c r="E30" s="174"/>
      <c r="F30" s="174"/>
      <c r="G30" s="174"/>
      <c r="H30" s="174"/>
      <c r="I30" s="174"/>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6" t="s">
        <v>1607</v>
      </c>
      <c r="C33" s="177"/>
      <c r="D33" s="177"/>
      <c r="E33" s="177"/>
      <c r="F33" s="177"/>
      <c r="G33" s="177"/>
      <c r="H33" s="177"/>
      <c r="I33" s="177"/>
      <c r="J33" s="177"/>
      <c r="K33" s="177"/>
      <c r="L33" s="54"/>
    </row>
    <row r="34" spans="1:12" ht="16.5" customHeight="1" x14ac:dyDescent="0.3">
      <c r="A34" s="68"/>
      <c r="B34" s="174" t="s">
        <v>1580</v>
      </c>
      <c r="C34" s="174"/>
      <c r="D34" s="174"/>
      <c r="E34" s="174"/>
      <c r="F34" s="174"/>
      <c r="G34" s="174"/>
      <c r="H34" s="174"/>
      <c r="I34" s="174"/>
      <c r="J34" s="32">
        <v>0</v>
      </c>
      <c r="K34" s="70"/>
      <c r="L34" s="54"/>
    </row>
    <row r="35" spans="1:12" ht="16.5" customHeight="1" x14ac:dyDescent="0.2">
      <c r="B35" s="174" t="s">
        <v>1579</v>
      </c>
      <c r="C35" s="174"/>
      <c r="D35" s="174"/>
      <c r="E35" s="174"/>
      <c r="F35" s="174"/>
      <c r="G35" s="174"/>
      <c r="H35" s="174"/>
      <c r="I35" s="174"/>
      <c r="J35" s="32">
        <v>0</v>
      </c>
      <c r="K35" s="36"/>
    </row>
    <row r="36" spans="1:12" ht="16.5" customHeight="1" x14ac:dyDescent="0.2">
      <c r="A36" s="56"/>
      <c r="B36" s="71"/>
      <c r="C36" s="174" t="s">
        <v>1581</v>
      </c>
      <c r="D36" s="174"/>
      <c r="E36" s="174"/>
      <c r="F36" s="174"/>
      <c r="G36" s="174"/>
      <c r="H36" s="174"/>
      <c r="I36" s="174"/>
      <c r="J36" s="36"/>
      <c r="K36" s="32">
        <v>0</v>
      </c>
    </row>
    <row r="37" spans="1:12" ht="16.5" customHeight="1" x14ac:dyDescent="0.2">
      <c r="A37" s="56"/>
      <c r="C37" s="174" t="s">
        <v>1626</v>
      </c>
      <c r="D37" s="174"/>
      <c r="E37" s="174"/>
      <c r="F37" s="174"/>
      <c r="G37" s="174"/>
      <c r="H37" s="174"/>
      <c r="I37" s="174"/>
      <c r="J37" s="36"/>
      <c r="K37" s="32">
        <v>0</v>
      </c>
    </row>
    <row r="38" spans="1:12" ht="16.5" customHeight="1" x14ac:dyDescent="0.25">
      <c r="A38" s="56"/>
      <c r="B38" s="57"/>
      <c r="C38" s="174" t="str">
        <f>VLOOKUP($F$8,'Drop Down Menus'!$D$2:$G$10,4,FALSE)</f>
        <v>Cr: Acct 0820 - NAT RES &amp; ENVIRON (GAAP ADJ)</v>
      </c>
      <c r="D38" s="174"/>
      <c r="E38" s="174"/>
      <c r="F38" s="174"/>
      <c r="G38" s="174"/>
      <c r="H38" s="174"/>
      <c r="I38" s="174"/>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0" t="s">
        <v>1609</v>
      </c>
      <c r="C41" s="170"/>
      <c r="D41" s="170"/>
      <c r="E41" s="170"/>
      <c r="F41" s="170"/>
      <c r="G41" s="170"/>
      <c r="H41" s="170"/>
      <c r="I41" s="170"/>
      <c r="J41" s="170"/>
      <c r="K41" s="170"/>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74" t="s">
        <v>1582</v>
      </c>
      <c r="C45" s="174"/>
      <c r="D45" s="174"/>
      <c r="E45" s="174"/>
      <c r="F45" s="174"/>
      <c r="G45" s="174"/>
      <c r="H45" s="174"/>
      <c r="I45" s="174"/>
      <c r="J45" s="32">
        <v>84918</v>
      </c>
      <c r="K45" s="33"/>
    </row>
    <row r="46" spans="1:12" ht="16.5" customHeight="1" x14ac:dyDescent="0.2">
      <c r="A46" s="56"/>
      <c r="B46" s="71"/>
      <c r="C46" s="174" t="s">
        <v>1587</v>
      </c>
      <c r="D46" s="174"/>
      <c r="E46" s="174"/>
      <c r="F46" s="174"/>
      <c r="G46" s="174"/>
      <c r="H46" s="174"/>
      <c r="I46" s="174"/>
      <c r="J46" s="36"/>
      <c r="K46" s="32">
        <f>J45</f>
        <v>84918</v>
      </c>
    </row>
    <row r="47" spans="1:12" ht="16.5" customHeight="1" x14ac:dyDescent="0.2">
      <c r="A47" s="68"/>
      <c r="B47" s="58"/>
      <c r="C47" s="58"/>
      <c r="D47" s="58"/>
      <c r="E47" s="58"/>
      <c r="F47" s="58"/>
      <c r="G47" s="58"/>
      <c r="H47" s="58"/>
      <c r="I47" s="58"/>
      <c r="J47" s="39">
        <f>ROUND(SUM(J45:J45),2)</f>
        <v>84918</v>
      </c>
      <c r="K47" s="39">
        <f>ROUND(SUM(K46),2)</f>
        <v>84918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74" t="s">
        <v>1611</v>
      </c>
      <c r="C50" s="174"/>
      <c r="D50" s="174"/>
      <c r="E50" s="174"/>
      <c r="F50" s="174"/>
      <c r="G50" s="174"/>
      <c r="H50" s="174"/>
      <c r="I50" s="174"/>
      <c r="J50" s="37">
        <v>42675</v>
      </c>
      <c r="K50" s="81"/>
    </row>
    <row r="51" spans="1:12" ht="16.5" customHeight="1" x14ac:dyDescent="0.2">
      <c r="A51" s="56"/>
      <c r="B51" s="174" t="str">
        <f>IF(OR($F$7="Proprietary - Internal Service Fund",$F$7="Proprietary - Enterprise Fund"),"Dr: Acct 0894 - INTEREST EXPENSE AND FISCAL CHARGES","Dr: Acct 0851 - DEBT SERVICE - INTEREST LEASES")</f>
        <v>Dr: Acct 0851 - DEBT SERVICE - INTEREST LEASES</v>
      </c>
      <c r="C51" s="174"/>
      <c r="D51" s="174"/>
      <c r="E51" s="174"/>
      <c r="F51" s="174"/>
      <c r="G51" s="174"/>
      <c r="H51" s="174"/>
      <c r="I51" s="174"/>
      <c r="J51" s="37">
        <v>3366</v>
      </c>
      <c r="K51" s="81"/>
    </row>
    <row r="52" spans="1:12" ht="16.5" customHeight="1" x14ac:dyDescent="0.25">
      <c r="A52" s="56"/>
      <c r="B52" s="57"/>
      <c r="C52" s="174" t="str">
        <f>VLOOKUP($F$8,'Drop Down Menus'!$D$2:$G$10,4,FALSE)</f>
        <v>Cr: Acct 0820 - NAT RES &amp; ENVIRON (GAAP ADJ)</v>
      </c>
      <c r="D52" s="174"/>
      <c r="E52" s="174"/>
      <c r="F52" s="174"/>
      <c r="G52" s="174"/>
      <c r="H52" s="174"/>
      <c r="I52" s="174"/>
      <c r="J52" s="81"/>
      <c r="K52" s="38">
        <f>+J50+J51</f>
        <v>46041</v>
      </c>
    </row>
    <row r="53" spans="1:12" ht="16.5" customHeight="1" x14ac:dyDescent="0.2">
      <c r="A53" s="68"/>
      <c r="B53" s="58"/>
      <c r="C53" s="58"/>
      <c r="D53" s="58"/>
      <c r="E53" s="58"/>
      <c r="F53" s="58"/>
      <c r="G53" s="58"/>
      <c r="H53" s="58"/>
      <c r="I53" s="58"/>
      <c r="J53" s="39">
        <f>ROUND(SUM(J50:J51),2)</f>
        <v>46041</v>
      </c>
      <c r="K53" s="39">
        <f>ROUND(SUM(K52,),2)</f>
        <v>46041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74" t="s">
        <v>1627</v>
      </c>
      <c r="C56" s="174"/>
      <c r="D56" s="174"/>
      <c r="E56" s="174"/>
      <c r="F56" s="174"/>
      <c r="G56" s="174"/>
      <c r="H56" s="174"/>
      <c r="I56" s="174"/>
      <c r="J56" s="32">
        <f>K57</f>
        <v>42675</v>
      </c>
      <c r="K56" s="36"/>
    </row>
    <row r="57" spans="1:12" ht="16.5" customHeight="1" x14ac:dyDescent="0.25">
      <c r="A57" s="56"/>
      <c r="B57" s="57"/>
      <c r="C57" s="174" t="s">
        <v>1613</v>
      </c>
      <c r="D57" s="174"/>
      <c r="E57" s="174"/>
      <c r="F57" s="174"/>
      <c r="G57" s="174"/>
      <c r="H57" s="174"/>
      <c r="I57" s="174"/>
      <c r="J57" s="36"/>
      <c r="K57" s="32">
        <f>J50</f>
        <v>42675</v>
      </c>
    </row>
    <row r="58" spans="1:12" ht="16.5" customHeight="1" x14ac:dyDescent="0.2">
      <c r="A58" s="68"/>
      <c r="B58" s="58"/>
      <c r="C58" s="58"/>
      <c r="D58" s="58"/>
      <c r="E58" s="58"/>
      <c r="F58" s="58"/>
      <c r="G58" s="58"/>
      <c r="H58" s="58"/>
      <c r="I58" s="58"/>
      <c r="J58" s="39">
        <f>ROUND(SUM(J56:J56),2)</f>
        <v>42675</v>
      </c>
      <c r="K58" s="39">
        <f>ROUND(SUM(K57),2)</f>
        <v>42675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74" t="s">
        <v>1627</v>
      </c>
      <c r="C61" s="174"/>
      <c r="D61" s="174"/>
      <c r="E61" s="174"/>
      <c r="F61" s="174"/>
      <c r="G61" s="174"/>
      <c r="H61" s="174"/>
      <c r="I61" s="174"/>
      <c r="J61" s="41">
        <v>79526</v>
      </c>
      <c r="K61" s="33"/>
    </row>
    <row r="62" spans="1:12" ht="16.5" customHeight="1" x14ac:dyDescent="0.25">
      <c r="A62" s="56"/>
      <c r="B62" s="57"/>
      <c r="C62" s="174" t="s">
        <v>1623</v>
      </c>
      <c r="D62" s="174"/>
      <c r="E62" s="174"/>
      <c r="F62" s="174"/>
      <c r="G62" s="174"/>
      <c r="H62" s="174"/>
      <c r="I62" s="174"/>
      <c r="J62" s="33"/>
      <c r="K62" s="32">
        <f>J61</f>
        <v>79526</v>
      </c>
    </row>
    <row r="63" spans="1:12" ht="16.5" customHeight="1" x14ac:dyDescent="0.2">
      <c r="A63" s="56"/>
      <c r="B63" s="178" t="s">
        <v>1622</v>
      </c>
      <c r="C63" s="178"/>
      <c r="D63" s="178"/>
      <c r="E63" s="178"/>
      <c r="F63" s="178"/>
      <c r="G63" s="178"/>
      <c r="H63" s="178"/>
      <c r="I63" s="178"/>
      <c r="J63" s="39">
        <f>ROUND(SUM(J61:J61),2)</f>
        <v>79526</v>
      </c>
      <c r="K63" s="39">
        <f>ROUND(SUM(K62),2)</f>
        <v>79526</v>
      </c>
      <c r="L63" s="54" t="str">
        <f>IF(J63=K63,"&lt;- Debits and Credits equal each other.","&lt;- Debits and Credits do not equal each other.")</f>
        <v>&lt;- Debits and Credits equal each other.</v>
      </c>
    </row>
    <row r="64" spans="1:12" ht="16.5" customHeight="1" x14ac:dyDescent="0.2">
      <c r="A64" s="56"/>
      <c r="B64" s="178"/>
      <c r="C64" s="178"/>
      <c r="D64" s="178"/>
      <c r="E64" s="178"/>
      <c r="F64" s="178"/>
      <c r="G64" s="178"/>
      <c r="H64" s="178"/>
      <c r="I64" s="178"/>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9" t="s">
        <v>1594</v>
      </c>
      <c r="C68" s="179"/>
      <c r="D68" s="179"/>
      <c r="E68" s="179"/>
      <c r="F68" s="179"/>
      <c r="G68" s="179"/>
      <c r="H68" s="179"/>
      <c r="I68" s="179"/>
      <c r="J68" s="41"/>
      <c r="K68" s="34"/>
      <c r="L68" s="54"/>
    </row>
    <row r="69" spans="1:12" ht="16.5" hidden="1" customHeight="1" x14ac:dyDescent="0.2">
      <c r="A69" s="56"/>
      <c r="B69" s="84"/>
      <c r="C69" s="179" t="s">
        <v>1595</v>
      </c>
      <c r="D69" s="179"/>
      <c r="E69" s="179"/>
      <c r="F69" s="179"/>
      <c r="G69" s="179"/>
      <c r="H69" s="179"/>
      <c r="I69" s="179"/>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0" t="s">
        <v>1610</v>
      </c>
      <c r="C72" s="170"/>
      <c r="D72" s="170"/>
      <c r="E72" s="170"/>
      <c r="F72" s="170"/>
      <c r="G72" s="170"/>
      <c r="H72" s="170"/>
      <c r="I72" s="170"/>
      <c r="J72" s="170"/>
      <c r="K72" s="170"/>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74" t="s">
        <v>1626</v>
      </c>
      <c r="C76" s="174"/>
      <c r="D76" s="174"/>
      <c r="E76" s="174"/>
      <c r="F76" s="174"/>
      <c r="G76" s="174"/>
      <c r="H76" s="174"/>
      <c r="I76" s="174"/>
      <c r="J76" s="41"/>
    </row>
    <row r="77" spans="1:12" ht="16.5" hidden="1" customHeight="1" x14ac:dyDescent="0.2">
      <c r="B77" s="179" t="s">
        <v>1594</v>
      </c>
      <c r="C77" s="179"/>
      <c r="D77" s="179"/>
      <c r="E77" s="179"/>
      <c r="F77" s="179"/>
      <c r="G77" s="179"/>
      <c r="H77" s="179"/>
      <c r="I77" s="179"/>
      <c r="J77" s="41"/>
    </row>
    <row r="78" spans="1:12" ht="16.5" hidden="1" customHeight="1" x14ac:dyDescent="0.2">
      <c r="B78" s="174" t="str">
        <f>VLOOKUP($F$8,'Drop Down Menus'!$D$2:$G$10,4,FALSE)</f>
        <v>Cr: Acct 0820 - NAT RES &amp; ENVIRON (GAAP ADJ)</v>
      </c>
      <c r="C78" s="174"/>
      <c r="D78" s="174"/>
      <c r="E78" s="174"/>
      <c r="F78" s="174"/>
      <c r="G78" s="174"/>
      <c r="H78" s="174"/>
      <c r="I78" s="174"/>
      <c r="J78" s="41"/>
    </row>
    <row r="79" spans="1:12" ht="16.5" hidden="1" customHeight="1" x14ac:dyDescent="0.2">
      <c r="C79" s="179" t="s">
        <v>1595</v>
      </c>
      <c r="D79" s="179"/>
      <c r="E79" s="179"/>
      <c r="F79" s="179"/>
      <c r="G79" s="179"/>
      <c r="H79" s="179"/>
      <c r="I79" s="179"/>
      <c r="K79" s="41"/>
    </row>
    <row r="80" spans="1:12" ht="16.5" hidden="1" customHeight="1" x14ac:dyDescent="0.2">
      <c r="C80" s="174" t="str">
        <f>VLOOKUP($F$8,'Drop Down Menus'!$D$2:$G$10,4,FALSE)</f>
        <v>Cr: Acct 0820 - NAT RES &amp; ENVIRON (GAAP ADJ)</v>
      </c>
      <c r="D80" s="174"/>
      <c r="E80" s="174"/>
      <c r="F80" s="174"/>
      <c r="G80" s="174"/>
      <c r="H80" s="174"/>
      <c r="I80" s="174"/>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5" t="s">
        <v>1614</v>
      </c>
      <c r="C83" s="173"/>
      <c r="D83" s="173"/>
      <c r="E83" s="173"/>
      <c r="F83" s="173"/>
      <c r="G83" s="173"/>
      <c r="H83" s="173"/>
      <c r="I83" s="173"/>
      <c r="J83" s="173"/>
      <c r="K83" s="173"/>
    </row>
    <row r="84" spans="1:12" ht="16.5" hidden="1" customHeight="1" x14ac:dyDescent="0.2">
      <c r="B84" s="174" t="s">
        <v>1580</v>
      </c>
      <c r="C84" s="174"/>
      <c r="D84" s="174"/>
      <c r="E84" s="174"/>
      <c r="F84" s="174"/>
      <c r="G84" s="174"/>
      <c r="H84" s="174"/>
      <c r="I84" s="174"/>
      <c r="J84" s="41"/>
    </row>
    <row r="85" spans="1:12" ht="16.5" hidden="1" customHeight="1" x14ac:dyDescent="0.2">
      <c r="C85" s="174" t="s">
        <v>1626</v>
      </c>
      <c r="D85" s="174"/>
      <c r="E85" s="174"/>
      <c r="F85" s="174"/>
      <c r="G85" s="174"/>
      <c r="H85" s="174"/>
      <c r="I85" s="174"/>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0" t="s">
        <v>1619</v>
      </c>
      <c r="C88" s="170"/>
      <c r="D88" s="170"/>
      <c r="E88" s="170"/>
      <c r="F88" s="170"/>
      <c r="G88" s="170"/>
      <c r="H88" s="170"/>
      <c r="I88" s="170"/>
      <c r="J88" s="170"/>
      <c r="K88" s="170"/>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183616</v>
      </c>
    </row>
    <row r="95" spans="1:12" ht="16.5" customHeight="1" x14ac:dyDescent="0.25">
      <c r="D95" s="57" t="s">
        <v>1641</v>
      </c>
      <c r="E95"/>
      <c r="F95"/>
      <c r="G95"/>
      <c r="H95" s="44"/>
      <c r="I95"/>
      <c r="J95"/>
      <c r="K95" s="162">
        <f>-K18-K46+J68+J77</f>
        <v>-84918</v>
      </c>
    </row>
    <row r="96" spans="1:12" ht="16.5" customHeight="1" x14ac:dyDescent="0.25">
      <c r="D96" s="57" t="s">
        <v>1639</v>
      </c>
      <c r="E96"/>
      <c r="F96"/>
      <c r="G96"/>
      <c r="H96" s="44"/>
      <c r="I96"/>
      <c r="J96"/>
      <c r="K96" s="162">
        <f>-K19-K37+J56+J61+J76-K85</f>
        <v>-18054</v>
      </c>
    </row>
    <row r="97" spans="1:11" ht="16.5" customHeight="1" x14ac:dyDescent="0.25">
      <c r="D97" s="57" t="s">
        <v>1640</v>
      </c>
      <c r="E97"/>
      <c r="F97"/>
      <c r="G97"/>
      <c r="H97" s="44"/>
      <c r="I97"/>
      <c r="J97"/>
      <c r="K97" s="162">
        <f>-K62</f>
        <v>-79526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42"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3" zoomScaleNormal="100" workbookViewId="0">
      <selection activeCell="B18" sqref="B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3340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178549</v>
      </c>
      <c r="C16" s="2">
        <v>7189</v>
      </c>
      <c r="D16" s="185" t="s">
        <v>1537</v>
      </c>
      <c r="E16" s="97"/>
      <c r="F16" s="97"/>
      <c r="G16" s="97"/>
      <c r="H16" s="97"/>
      <c r="I16" s="97"/>
      <c r="J16" s="97"/>
      <c r="K16" s="97"/>
    </row>
    <row r="17" spans="1:11" ht="15" customHeight="1" x14ac:dyDescent="0.2">
      <c r="A17" s="94" t="str">
        <f>LEFT(A16,4)+1&amp;"–"&amp;RIGHT(A16,4)+1</f>
        <v>2024–2025</v>
      </c>
      <c r="B17" s="2">
        <v>40536</v>
      </c>
      <c r="C17" s="2">
        <v>1465</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3340</v>
      </c>
      <c r="C43" s="184"/>
    </row>
    <row r="44" spans="1:11" ht="15.75" x14ac:dyDescent="0.25">
      <c r="A44" s="92" t="s">
        <v>1600</v>
      </c>
      <c r="B44" s="183" t="str">
        <f>B13</f>
        <v>California Conservation Corps</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3340</v>
      </c>
      <c r="C74" s="184"/>
    </row>
    <row r="75" spans="1:4" ht="15.75" x14ac:dyDescent="0.25">
      <c r="A75" s="92" t="s">
        <v>1600</v>
      </c>
      <c r="B75" s="183" t="str">
        <f>B13</f>
        <v>California Conservation Corps</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PBkqBCXm9ZXnLyYahZw3vm3ZU9ZDzpj9fo0TtL6nS9pa0i2o0Unya2CVknyYGTJh+dAHSLsHFkLVYALA+GkyNA==" saltValue="Nx1yn6tnuDZxLZXThLUEl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2" manualBreakCount="2">
    <brk id="40" max="3" man="1"/>
    <brk id="71"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K16" sqref="K16"/>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0318 Journal Entries'!$F$5&amp;" "&amp;'Fund 0318 Journal Entries'!$F$4</f>
        <v>Business Unit 3340 California Conservation Corps</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0318 Journal Entries'!$F$3,4)</f>
        <v>Balance
July 1, 2022</v>
      </c>
      <c r="G8" s="116"/>
      <c r="H8" s="117" t="s">
        <v>10</v>
      </c>
      <c r="I8" s="116"/>
      <c r="J8" s="117" t="s">
        <v>11</v>
      </c>
      <c r="K8" s="116"/>
      <c r="L8" s="115" t="str">
        <f>"Balance
June 30, "&amp;RIGHT('Fund 0318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'Fund 0318 Journal Entries'!K19+'Fund 0001 Journal Entries'!K19</f>
        <v>314897</v>
      </c>
      <c r="H10" s="3">
        <f>IF('Fund 0318 Journal Entries'!$F$7="Governmental Fund",'Fund 0318 Journal Entries'!$K$37,0)</f>
        <v>0</v>
      </c>
      <c r="J10" s="3">
        <f>'Fund 0318 Journal Entries'!J56+'Fund 0001 Journal Entries'!J56</f>
        <v>95812</v>
      </c>
      <c r="L10" s="119">
        <f>SUM(F10+H10-J10)</f>
        <v>219085</v>
      </c>
      <c r="N10" s="3">
        <f>'Fund 0318 Journal Entries'!J61+'Fund 0001 Journal Entries'!J61</f>
        <v>178549</v>
      </c>
      <c r="P10" s="119">
        <f>L10-N10</f>
        <v>40536</v>
      </c>
      <c r="Q10" s="109"/>
    </row>
    <row r="11" spans="2:17" ht="19.5" thickTop="1" thickBot="1" x14ac:dyDescent="0.3">
      <c r="B11" s="107"/>
      <c r="C11" s="197" t="s">
        <v>15</v>
      </c>
      <c r="D11" s="197"/>
      <c r="F11" s="120">
        <f>SUM(F10:F10)</f>
        <v>314897</v>
      </c>
      <c r="H11" s="120">
        <f>SUM(H10:H10)</f>
        <v>0</v>
      </c>
      <c r="J11" s="120">
        <f>SUM(J10:J10)</f>
        <v>95812</v>
      </c>
      <c r="L11" s="120">
        <f>SUM(L10:L10)</f>
        <v>219085</v>
      </c>
      <c r="N11" s="120">
        <f>SUM(N10:N10)</f>
        <v>178549</v>
      </c>
      <c r="P11" s="120">
        <f>SUM(P10:P10)</f>
        <v>40536</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0318 Journal Entries'!$F$7="Proprietary - Internal Service Fund",'Fund 0318 Journal Entries'!$K$19,0)</f>
        <v>0</v>
      </c>
      <c r="H14" s="3">
        <f>IF('Fund 0318 Journal Entries'!$F$7="Proprietary - Internal Service Fund",'Fund 0318 Journal Entries'!$K$37,0)</f>
        <v>0</v>
      </c>
      <c r="J14" s="3">
        <f>IF('Fund 0318 Journal Entries'!$F$7="Proprietary - Internal Service Fund",'Fund 0318 Journal Entries'!$J$56,0)</f>
        <v>0</v>
      </c>
      <c r="L14" s="119">
        <f>SUM(F14+H14-J14)</f>
        <v>0</v>
      </c>
      <c r="N14" s="3">
        <f>IF('Fund 0318 Journal Entries'!$F$7="Proprietary - Internal Service Fund",'Fund 0318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0318 Journal Entries'!$F$7="Proprietary - Enterprise Fund",'Fund 0318 Journal Entries'!$K$19,0)</f>
        <v>0</v>
      </c>
      <c r="H18" s="3">
        <f>IF('Fund 0318 Journal Entries'!$F$7="Proprietary - Enterprise Fund",'Fund 0318 Journal Entries'!$K$37,0)</f>
        <v>0</v>
      </c>
      <c r="J18" s="3">
        <f>IF('Fund 0318 Journal Entries'!$F$7="Proprietary - Enterprise Fund",'Fund 0318 Journal Entries'!$J$56,0)</f>
        <v>0</v>
      </c>
      <c r="L18" s="119">
        <f>SUM(F18+H18-J18)</f>
        <v>0</v>
      </c>
      <c r="N18" s="3">
        <f>IF('Fund 0318 Journal Entries'!$F$7="Proprietary - Enterprise Fund",'Fund 0318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2"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B19" sqref="B19:M19"/>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0318 Journal Entries'!K19</f>
        <v>314897</v>
      </c>
      <c r="C16" s="15" t="s">
        <v>1552</v>
      </c>
      <c r="D16" s="14">
        <f>IF('Fund 0318 Journal Entries'!$F$7="Governmental Fund",ROUND('Fund 0318 Journal Entries'!$K$37,0),0)</f>
        <v>0</v>
      </c>
      <c r="E16" s="16" t="s">
        <v>1554</v>
      </c>
      <c r="F16" s="14">
        <f>'Fund 0318 Journal Entries'!J50+'Fund 0001 Journal Entries'!J50</f>
        <v>95812</v>
      </c>
      <c r="G16" s="16" t="s">
        <v>1556</v>
      </c>
      <c r="H16" s="17">
        <f>+B16+D16-F16</f>
        <v>219085</v>
      </c>
      <c r="I16" s="16"/>
      <c r="J16" s="18">
        <f>ROUND(SUM('Department Note Disclosure'!$B$16:$B$39),0)</f>
        <v>219085</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0318 Journal Entries'!$F$7="Proprietary - Internal Service Fund",ROUND('Fund 0318 Journal Entries'!$K$19,0),0)</f>
        <v>0</v>
      </c>
      <c r="C23" s="15" t="s">
        <v>1552</v>
      </c>
      <c r="D23" s="14">
        <f>IF('Fund 0318 Journal Entries'!$F$7="Proprietary - Internal Service Fund",ROUND('Fund 0318 Journal Entries'!$K$37,0),0)</f>
        <v>0</v>
      </c>
      <c r="E23" s="16" t="s">
        <v>1554</v>
      </c>
      <c r="F23" s="14">
        <f>IF('Fund 0318 Journal Entries'!$F$7="Proprietary - Internal Service Fund",ROUND('Fund 0318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0318 Journal Entries'!$F$7="Proprietary - Enterprise Fund",ROUND('Fund 0318 Journal Entries'!$K$19,0),0)</f>
        <v>0</v>
      </c>
      <c r="C31" s="15" t="s">
        <v>1552</v>
      </c>
      <c r="D31" s="14">
        <f>IF('Fund 0318 Journal Entries'!$F$7="Proprietary - Enterprise Fund",ROUND('Fund 0318 Journal Entries'!$K$37,0),0)</f>
        <v>0</v>
      </c>
      <c r="E31" s="16" t="s">
        <v>1554</v>
      </c>
      <c r="F31" s="14">
        <f>IF('Fund 0318 Journal Entries'!$F$7="Proprietary - Enterprise Fund",ROUND('Fund 0318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0318 Journal Entries'!K62+'Fund 0001 Journal Entries'!K62</f>
        <v>178549</v>
      </c>
      <c r="G39" s="150"/>
      <c r="H39" s="150"/>
      <c r="I39" s="20"/>
      <c r="J39" s="18">
        <f>ROUND('Department Note Disclosure'!$B$16,0)</f>
        <v>178549</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0318 Journal Entries'!$F$7="Proprietary - Internal Service Fund",ROUND('Fund 0318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0318 Journal Entries'!$F$7="Proprietary - Enterprise Fund",ROUND('Fund 0318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314897</v>
      </c>
      <c r="H61" s="154" t="str">
        <f>"Balance July 1, "&amp;LEFT('Fund 0318 Journal Entries'!$F$3,4)</f>
        <v>Balance July 1, 2022</v>
      </c>
      <c r="J61" s="22">
        <f>ROUND('SBITA Liabilities'!$F$10,0)</f>
        <v>314897</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95812</v>
      </c>
      <c r="H63" s="154" t="s">
        <v>11</v>
      </c>
      <c r="J63" s="22">
        <f>ROUND('SBITA Liabilities'!$J$10,0)</f>
        <v>95812</v>
      </c>
      <c r="L63" s="19">
        <f>D63-J63</f>
        <v>0</v>
      </c>
    </row>
    <row r="64" spans="1:13" x14ac:dyDescent="0.25">
      <c r="B64" s="152" t="s">
        <v>1559</v>
      </c>
      <c r="D64" s="22">
        <f>$F$39</f>
        <v>178549</v>
      </c>
      <c r="H64" s="154" t="s">
        <v>12</v>
      </c>
      <c r="J64" s="22">
        <f>ROUND('SBITA Liabilities'!$N$10,0)</f>
        <v>178549</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0318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0318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6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AED8B55-44F2-4E7C-BF35-4E06481687F9}"/>
</file>

<file path=customXml/itemProps2.xml><?xml version="1.0" encoding="utf-8"?>
<ds:datastoreItem xmlns:ds="http://schemas.openxmlformats.org/officeDocument/2006/customXml" ds:itemID="{8C582CA2-E703-4E1E-9208-9718BE95E1AA}"/>
</file>

<file path=customXml/itemProps3.xml><?xml version="1.0" encoding="utf-8"?>
<ds:datastoreItem xmlns:ds="http://schemas.openxmlformats.org/officeDocument/2006/customXml" ds:itemID="{AC2EA27A-3FDC-4708-A6DA-777D965C42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0318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0318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2024-04-30T16:04:22Z</cp:lastPrinted>
  <dcterms:created xsi:type="dcterms:W3CDTF">2023-03-08T17:19:33Z</dcterms:created>
  <dcterms:modified xsi:type="dcterms:W3CDTF">2024-06-13T01:30:19Z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