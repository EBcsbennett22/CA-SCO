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8A28922B-80CE-4621-A5C9-310F64F74FDC}" xr6:coauthVersionLast="47" xr6:coauthVersionMax="47" xr10:uidLastSave="{00000000-0000-0000-0000-000000000000}"/>
  <bookViews>
    <workbookView xWindow="20370" yWindow="-120" windowWidth="38640" windowHeight="15840" xr2:uid="{00000000-000D-0000-FFFF-FFFF00000000}"/>
  </bookViews>
  <sheets>
    <sheet name="Fund 069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0690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2" l="1"/>
  <c r="D92" i="3"/>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<sst xmlns="http://schemas.openxmlformats.org/spreadsheetml/2006/main" count="7552" uniqueCount="1644">
  <si>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</si>
  <si>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</si>
  <si>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</si>
  <si>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</si>
  <si>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</si>
  <si>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</si>
  <si>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</si>
  <si>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</si>
  <si>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</si>
  <si>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</si>
  <si>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</si>
  <si>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</si>
  <si>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</si>
  <si>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</si>
  <si>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</si>
  <si>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</si>
  <si>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</si>
  <si>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</si>
  <si>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</si>
  <si>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</si>
  <si>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</si>
  <si>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</si>
  <si>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</si>
  <si>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</si>
  <si>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</si>
  <si>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</si>
  <si>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</si>
  <si>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</si>
  <si>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</si>
  <si>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</si>
  <si>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</si>
  <si>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</si>
  <si>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</si>
  <si>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</si>
  <si>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</si>
  <si>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</si>
  <si>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</si>
  <si>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</si>
  <si>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</si>
  <si>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</si>
  <si>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</si>
  <si>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</si>
  <si>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</si>
  <si>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</si>
  <si>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</si>
  <si>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</si>
  <si>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</si>
  <si>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</si>
  <si>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</si>
  <si>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</si>
  <si>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</si>
  <si>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</si>
  <si>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</si>
  <si>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</si>
  <si>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</si>
  <si>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</si>
  <si>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</si>
  <si>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</si>
  <si>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</si>
  <si>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</si>
  <si>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</si>
  <si>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</si>
  <si>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</si>
  <si>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</si>
  <si>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</si>
  <si>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</si>
  <si>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</si>
  <si>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</si>
  <si>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</si>
  <si>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</si>
  <si>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</si>
  <si>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</si>
  <si>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</si>
  <si>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</si>
  <si>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</si>
  <si>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</si>
  <si>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</si>
  <si>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</si>
  <si>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</si>
  <si>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</si>
  <si>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</si>
  <si>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</si>
  <si>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</si>
  <si>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</si>
  <si>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</si>
  <si>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</si>
  <si>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</si>
  <si>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</si>
  <si>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</si>
  <si>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</si>
  <si>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</si>
  <si>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</si>
  <si>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</si>
  <si>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</si>
  <si>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</si>
  <si>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</si>
  <si>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</si>
  <si>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</si>
  <si>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</si>
  <si>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</si>
  <si>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</si>
  <si>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</si>
  <si>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</si>
  <si>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</si>
  <si>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</si>
  <si>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</si>
  <si>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</si>
  <si>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</si>
  <si>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</si>
  <si>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</si>
  <si>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</si>
  <si>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</si>
  <si>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</si>
  <si>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</si>
  <si>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</si>
  <si>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</si>
  <si>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</si>
  <si>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</si>
  <si>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</si>
  <si>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</si>
  <si>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</si>
  <si>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</si>
  <si>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</si>
  <si>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</si>
  <si>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</si>
  <si>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</si>
  <si>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</si>
  <si>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</si>
  <si>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</si>
  <si>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</si>
  <si>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</si>
  <si>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</si>
  <si>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</si>
  <si>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</si>
  <si>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</si>
  <si>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</si>
  <si>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</si>
  <si>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</si>
  <si>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</si>
  <si>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</si>
  <si>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</si>
  <si>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</si>
  <si>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</si>
  <si>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</si>
  <si>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</si>
  <si>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</si>
  <si>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</si>
  <si>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</si>
  <si>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</si>
  <si>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</si>
  <si>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</si>
  <si>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</si>
  <si>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</si>
  <si>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</si>
  <si>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</si>
  <si>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</si>
  <si>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</si>
  <si>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</si>
  <si>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</si>
  <si>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</si>
  <si>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</si>
  <si>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</si>
  <si>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</si>
  <si>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</si>
  <si>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</si>
  <si>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</si>
  <si>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</si>
  <si>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</si>
  <si>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</si>
  <si>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</si>
  <si>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</si>
  <si>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</si>
  <si>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</si>
  <si>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</si>
  <si>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</si>
  <si>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</si>
  <si>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</si>
  <si>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</si>
  <si>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</si>
  <si>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</si>
  <si>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</si>
  <si>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</si>
  <si>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</si>
  <si>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</si>
  <si>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</si>
  <si>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</si>
  <si>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</si>
  <si>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</si>
  <si>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</si>
  <si>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</si>
  <si>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</si>
  <si>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</si>
  <si>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</si>
  <si>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</si>
  <si>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</si>
  <si>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</si>
  <si>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</si>
  <si>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</si>
  <si>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</si>
  <si>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</si>
  <si>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</si>
  <si>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</si>
  <si>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</si>
  <si>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</si>
  <si>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</si>
  <si>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</si>
  <si>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</si>
  <si>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</si>
  <si>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</si>
  <si>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</si>
  <si>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</si>
  <si>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</si>
  <si>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</si>
  <si>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</si>
  <si>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</si>
  <si>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</si>
  <si>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</si>
  <si>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</si>
  <si>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</si>
  <si>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</si>
  <si>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</si>
  <si>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</si>
  <si>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</si>
  <si>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</si>
  <si>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</si>
  <si>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</si>
  <si>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</si>
  <si>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</si>
  <si>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</si>
  <si>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</si>
  <si>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</si>
  <si>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</si>
  <si>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</si>
  <si>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</si>
  <si>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</si>
  <si>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</si>
  <si>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</si>
  <si>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</si>
  <si>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</si>
  <si>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</si>
  <si>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</si>
  <si>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</si>
  <si>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</si>
  <si>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</si>
  <si>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</si>
  <si>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</si>
  <si>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</si>
  <si>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</si>
  <si>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</si>
  <si>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</si>
  <si>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</si>
  <si>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</si>
  <si>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</si>
  <si>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</si>
  <si>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</si>
  <si>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</si>
  <si>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</si>
  <si>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</si>
  <si>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</si>
  <si>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</si>
  <si>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</si>
  <si>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</si>
  <si>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</si>
  <si>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</si>
  <si>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</si>
  <si>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</si>
  <si>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</si>
  <si>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</si>
  <si>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</si>
  <si>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</si>
  <si>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</si>
  <si>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</si>
  <si>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</si>
  <si>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</si>
  <si>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</si>
  <si>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</si>
  <si>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</si>
  <si>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</si>
  <si>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</si>
  <si>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</si>
  <si>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</si>
  <si>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</si>
  <si>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</si>
  <si>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</si>
  <si>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</si>
  <si>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</si>
  <si>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</si>
  <si>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</si>
  <si>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</si>
  <si>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</si>
  <si>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</si>
  <si>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</si>
  <si>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</si>
  <si>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</si>
  <si>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</si>
  <si>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</si>
  <si>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</si>
  <si>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</si>
  <si>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</si>
  <si>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</si>
  <si>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</si>
  <si>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</si>
  <si>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</si>
  <si>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</si>
  <si>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</si>
  <si>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</si>
  <si>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</si>
  <si>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</si>
  <si>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</si>
  <si>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</si>
  <si>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</si>
  <si>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</si>
  <si>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</si>
  <si>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</si>
  <si>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</si>
  <si>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</si>
  <si>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</si>
  <si>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</si>
  <si>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</si>
  <si>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</si>
  <si>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</si>
  <si>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</si>
  <si>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</si>
  <si>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</si>
  <si>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</si>
  <si>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</si>
  <si>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</si>
  <si>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</si>
  <si>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</si>
  <si>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</si>
  <si>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</si>
  <si>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</si>
  <si>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</si>
  <si>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</si>
  <si>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</si>
  <si>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</si>
  <si>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</si>
  <si>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</si>
  <si>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</si>
  <si>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</si>
  <si>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</si>
  <si>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</si>
  <si>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</si>
  <si>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</si>
  <si>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</si>
  <si>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</si>
  <si>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</si>
  <si>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</si>
  <si>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</si>
  <si>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</si>
  <si>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</si>
  <si>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</si>
  <si>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</si>
  <si>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</si>
  <si>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</si>
  <si>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</si>
  <si>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</si>
  <si>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</si>
  <si>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</si>
  <si>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</si>
  <si>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</si>
  <si>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</si>
  <si>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</si>
  <si>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</si>
  <si>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</si>
  <si>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</si>
  <si>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</si>
  <si>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</si>
  <si>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</si>
  <si>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</si>
  <si>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</si>
  <si>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</si>
  <si>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</si>
  <si>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</si>
  <si>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</si>
  <si>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</si>
  <si>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</si>
  <si>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</si>
  <si>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</si>
  <si>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</si>
  <si>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</si>
  <si>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</si>
  <si>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</si>
  <si>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</si>
  <si>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</si>
  <si>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</si>
  <si>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</si>
  <si>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</si>
  <si>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</si>
  <si>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</si>
  <si>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</si>
  <si>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</si>
  <si>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</si>
  <si>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</si>
  <si>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</si>
  <si>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</si>
  <si>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</si>
  <si>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</si>
  <si>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</si>
  <si>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</si>
  <si>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</si>
  <si>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</si>
  <si>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</si>
  <si>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</si>
  <si>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</si>
  <si>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</si>
  <si>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</si>
  <si>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</si>
  <si>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</si>
  <si>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</si>
  <si>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</si>
  <si>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</si>
  <si>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</si>
  <si>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</si>
  <si>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</si>
  <si>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</si>
  <si>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</si>
  <si>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</si>
  <si>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</si>
  <si>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</si>
  <si>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</si>
  <si>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</si>
  <si>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</si>
  <si>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</si>
  <si>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</si>
  <si>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</si>
  <si>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</si>
  <si>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</si>
  <si>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</si>
  <si>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</si>
  <si>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</si>
  <si>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</si>
  <si>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</si>
  <si>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</si>
  <si>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</si>
  <si>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</si>
  <si>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</si>
  <si>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</si>
  <si>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</si>
  <si>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</si>
  <si>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</si>
  <si>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</si>
  <si>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</si>
  <si>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</si>
  <si>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</si>
  <si>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</si>
  <si>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</si>
  <si>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</si>
  <si>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</si>
  <si>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</si>
  <si>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</si>
  <si>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</si>
  <si>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</si>
  <si>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</si>
  <si>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</si>
  <si>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</si>
  <si>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</si>
  <si>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</si>
  <si>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</si>
  <si>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</si>
  <si>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</si>
  <si>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</si>
  <si>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</si>
  <si>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</si>
  <si>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</si>
  <si>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</si>
  <si>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</si>
  <si>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</si>
  <si>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</si>
  <si>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</si>
  <si>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</si>
  <si>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</si>
  <si>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</si>
  <si>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</si>
  <si>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</si>
  <si>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</si>
  <si>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</si>
  <si>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</si>
  <si>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</si>
  <si>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</si>
  <si>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</si>
  <si>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</si>
  <si>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</si>
  <si>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</si>
  <si>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</si>
  <si>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</si>
  <si>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</si>
  <si>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</si>
  <si>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</si>
  <si>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</si>
  <si>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</si>
  <si>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</si>
  <si>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</si>
  <si>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</si>
  <si>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</si>
  <si>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</si>
  <si>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</si>
  <si>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</si>
  <si>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</si>
  <si>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</si>
  <si>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</si>
  <si>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</si>
  <si>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</si>
  <si>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</si>
  <si>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</si>
  <si>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</si>
  <si>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</si>
  <si>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</si>
  <si>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</si>
  <si>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</si>
  <si>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</si>
  <si>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</si>
  <si>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</si>
  <si>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</si>
  <si>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</si>
  <si>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</si>
  <si>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</si>
  <si>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</si>
  <si>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</si>
  <si>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</si>
  <si>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</si>
  <si>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</si>
  <si>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</si>
  <si>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</si>
  <si>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</si>
  <si>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</si>
  <si>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</si>
  <si>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</si>
  <si>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</si>
  <si>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</si>
  <si>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</si>
  <si>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</si>
  <si>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</si>
  <si>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</si>
  <si>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</si>
  <si>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</si>
  <si>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</si>
  <si>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</si>
  <si>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</si>
  <si>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</si>
  <si>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</si>
  <si>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</si>
  <si>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</si>
  <si>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</si>
  <si>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</si>
  <si>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</si>
  <si>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</si>
  <si>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</si>
  <si>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</si>
  <si>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</si>
  <si>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</si>
  <si>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</si>
  <si>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</si>
  <si>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</si>
  <si>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</si>
  <si>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</si>
  <si>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</si>
  <si>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</si>
  <si>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</si>
  <si>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</si>
  <si>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</si>
  <si>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</si>
  <si>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</si>
  <si>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</si>
  <si>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</si>
  <si>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</si>
  <si>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</si>
  <si>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</si>
  <si>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</si>
  <si>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</si>
  <si>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</si>
  <si>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</si>
  <si>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</si>
  <si>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</si>
  <si>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</si>
  <si>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</si>
  <si>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</si>
  <si>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</si>
  <si>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</si>
  <si>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</si>
  <si>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</si>
  <si>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</si>
  <si>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</si>
  <si>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</si>
  <si>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</si>
  <si>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</si>
  <si>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</si>
  <si>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</si>
  <si>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</si>
  <si>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</si>
  <si>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</si>
  <si>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</si>
  <si>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</si>
  <si>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</si>
  <si>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</si>
  <si>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</si>
  <si>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</si>
  <si>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</si>
  <si>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</si>
  <si>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</si>
  <si>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</si>
  <si>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</si>
  <si>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</si>
  <si>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</si>
  <si>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</si>
  <si>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</si>
  <si>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</si>
  <si>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</si>
  <si>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</si>
  <si>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</si>
  <si>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</si>
  <si>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</si>
  <si>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</si>
  <si>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</si>
  <si>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</si>
  <si>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</si>
  <si>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</si>
  <si>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</si>
  <si>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</si>
  <si>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</si>
  <si>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</si>
  <si>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</si>
  <si>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</si>
  <si>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</si>
  <si>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</si>
  <si>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</si>
  <si>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</si>
  <si>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</si>
  <si>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</si>
  <si>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</si>
  <si>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</si>
  <si>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</si>
  <si>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</si>
  <si>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</si>
  <si>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</si>
  <si>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</si>
  <si>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</si>
  <si>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</si>
  <si>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</si>
  <si>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</si>
  <si>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</si>
  <si>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</si>
  <si>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</si>
  <si>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</si>
  <si>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</si>
  <si>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</si>
  <si>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</si>
  <si>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</si>
  <si>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</si>
  <si>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</si>
  <si>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</si>
  <si>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</si>
  <si>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</si>
  <si>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</si>
  <si>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</si>
  <si>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</si>
  <si>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</si>
  <si>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</si>
  <si>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</si>
  <si>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</si>
  <si>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</si>
  <si>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</si>
  <si>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</si>
  <si>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</si>
  <si>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</si>
  <si>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</si>
  <si>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</si>
  <si>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</si>
  <si>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</si>
  <si>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</si>
  <si>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</si>
  <si>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</si>
  <si>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</si>
  <si>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</si>
  <si>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</si>
  <si>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</si>
  <si>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</si>
  <si>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</si>
  <si>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</si>
  <si>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</si>
  <si>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</si>
  <si>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</si>
  <si>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</si>
  <si>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</si>
  <si>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</si>
  <si>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</si>
  <si>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</si>
  <si>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</si>
  <si>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</si>
  <si>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</si>
  <si>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</si>
  <si>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</si>
  <si>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</si>
  <si>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</si>
  <si>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</si>
  <si>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</si>
  <si>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</si>
  <si>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</si>
  <si>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</si>
  <si>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</si>
  <si>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</si>
  <si>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</si>
  <si>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</si>
  <si>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</si>
  <si>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</si>
  <si>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</si>
  <si>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</si>
  <si>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</si>
  <si>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</si>
  <si>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</si>
  <si>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</si>
  <si>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</si>
  <si>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</si>
  <si>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</si>
  <si>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</si>
  <si>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</si>
  <si>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</si>
  <si>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</si>
  <si>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</si>
  <si>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</si>
  <si>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</si>
  <si>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</si>
  <si>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</si>
  <si>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</si>
  <si>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</si>
  <si>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</si>
  <si>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</si>
  <si>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</si>
  <si>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</si>
  <si>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</si>
  <si>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</si>
  <si>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</si>
  <si>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</si>
  <si>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</si>
  <si>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</si>
  <si>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</si>
  <si>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</si>
  <si>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</si>
  <si>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</si>
  <si>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</si>
  <si>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</si>
  <si>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</si>
  <si>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</si>
  <si>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</si>
  <si>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</si>
  <si>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</si>
  <si>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</si>
  <si>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</si>
  <si>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</si>
  <si>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</si>
  <si>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</si>
  <si>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</si>
  <si>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</si>
  <si>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</si>
  <si>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</si>
  <si>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</si>
  <si>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</si>
  <si>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</si>
  <si>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</si>
  <si>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</si>
  <si>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</si>
  <si>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</si>
  <si>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</si>
  <si>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</si>
  <si>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</si>
  <si>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</si>
  <si>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</si>
  <si>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</si>
  <si>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</si>
  <si>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</si>
  <si>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</si>
  <si>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</si>
  <si>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</si>
  <si>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</si>
  <si>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</si>
  <si>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</si>
  <si>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</si>
  <si>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</si>
  <si>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</si>
  <si>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</si>
  <si>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</si>
  <si>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</si>
  <si>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</si>
  <si>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</si>
  <si>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</si>
  <si>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</si>
  <si>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</si>
  <si>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</si>
  <si>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</si>
  <si>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</si>
  <si>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</si>
  <si>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</si>
  <si>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</si>
  <si>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</si>
  <si>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</si>
  <si>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</si>
  <si>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</si>
  <si>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</si>
  <si>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</si>
  <si>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</si>
  <si>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</si>
  <si>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</si>
  <si>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</si>
  <si>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</si>
  <si>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</si>
  <si>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</si>
  <si>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</si>
  <si>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</si>
  <si>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</si>
  <si>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</si>
  <si>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</si>
  <si>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</si>
  <si>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</si>
  <si>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</si>
  <si>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</si>
  <si>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</si>
  <si>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</si>
  <si>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</si>
  <si>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</si>
  <si>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</si>
  <si>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</si>
  <si>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</si>
  <si>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</si>
  <si>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</si>
  <si>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</si>
  <si>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</si>
  <si>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</si>
  <si>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</si>
  <si>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</si>
  <si>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</si>
  <si>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</si>
  <si>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</si>
  <si>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</si>
  <si>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</si>
  <si>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</si>
  <si>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</si>
  <si>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</si>
  <si>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</si>
  <si>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</si>
  <si>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</si>
  <si>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</si>
  <si>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</si>
  <si>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</si>
  <si>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</si>
  <si>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</si>
  <si>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</si>
  <si>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</si>
  <si>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</si>
  <si>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</si>
  <si>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</si>
  <si>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</si>
  <si>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</si>
  <si>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</si>
  <si>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</si>
  <si>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</si>
  <si>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</si>
  <si>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</si>
  <si>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</si>
  <si>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</si>
  <si>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</si>
  <si>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</si>
  <si>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</si>
  <si>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</si>
  <si>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</si>
  <si>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</si>
  <si>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</si>
  <si>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</si>
  <si>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</si>
  <si>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</si>
  <si>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</si>
  <si>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</si>
  <si>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</si>
  <si>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</si>
  <si>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</si>
  <si>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</si>
  <si>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</si>
  <si>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</si>
  <si>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</si>
  <si>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</si>
  <si>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</si>
  <si>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</si>
  <si>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</si>
  <si>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</si>
  <si>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</si>
  <si>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</si>
  <si>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</si>
  <si>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</si>
  <si>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</si>
  <si>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</si>
  <si>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</si>
  <si>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</si>
  <si>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</si>
  <si>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</si>
  <si>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</si>
  <si>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</si>
  <si>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</si>
  <si>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</si>
  <si>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</si>
  <si>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</si>
  <si>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</si>
  <si>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</si>
  <si>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</si>
  <si>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</si>
  <si>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</si>
  <si>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</si>
  <si>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</si>
  <si>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</si>
  <si>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</si>
  <si>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</si>
  <si>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</si>
  <si>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</si>
  <si>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</si>
  <si>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</si>
  <si>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</si>
  <si>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</si>
  <si>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</si>
  <si>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</si>
  <si>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</si>
  <si>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</si>
  <si>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</si>
  <si>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</si>
  <si>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</si>
  <si>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</si>
  <si>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</si>
  <si>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</si>
  <si>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</si>
  <si>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</si>
  <si>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</si>
  <si>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</si>
  <si>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</si>
  <si>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</si>
  <si>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</si>
  <si>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</si>
  <si>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</si>
  <si>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</si>
  <si>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</si>
  <si>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</si>
  <si>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</si>
  <si>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</si>
  <si>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</si>
  <si>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</si>
  <si>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</si>
  <si>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</si>
  <si>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</si>
  <si>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</si>
  <si>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</si>
  <si>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</si>
  <si>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</si>
  <si>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</si>
  <si>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</si>
  <si>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</si>
  <si>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</si>
  <si>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</si>
  <si>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</si>
  <si>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</si>
  <si>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</si>
  <si>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</si>
  <si>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</si>
  <si>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</si>
  <si>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</si>
  <si>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</si>
  <si>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</si>
  <si>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</si>
  <si>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</si>
  <si>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</si>
  <si>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</si>
  <si>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</si>
  <si>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</si>
  <si>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</si>
  <si>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</si>
  <si>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</si>
  <si>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</si>
  <si>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</si>
  <si>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</si>
  <si>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</si>
  <si>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</si>
  <si>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</si>
  <si>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</si>
  <si>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</si>
  <si>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</si>
  <si>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</si>
  <si>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</si>
  <si>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</si>
  <si>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</si>
  <si>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</si>
  <si>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</si>
  <si>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</si>
  <si>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</si>
  <si>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</si>
  <si>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</si>
  <si>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</si>
  <si>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</si>
  <si>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</si>
  <si>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</si>
  <si>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</si>
  <si>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</si>
  <si>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</si>
  <si>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</si>
  <si>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</si>
  <si>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</si>
  <si>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</si>
  <si>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</si>
  <si>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</si>
  <si>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</si>
  <si>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</si>
  <si>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</si>
  <si>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</si>
  <si>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</si>
  <si>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</si>
  <si>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</si>
  <si>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</si>
  <si>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</si>
  <si>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</si>
  <si>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</si>
  <si>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</si>
  <si>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</si>
  <si>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</si>
  <si>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</si>
  <si>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</si>
  <si>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</si>
  <si>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</si>
  <si>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</si>
  <si>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</si>
  <si>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</si>
  <si>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</si>
  <si>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</si>
  <si>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</si>
  <si>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</si>
  <si>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</si>
  <si>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</si>
  <si>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</si>
  <si>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</si>
  <si>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</si>
  <si>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</si>
  <si>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</si>
  <si>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</si>
  <si>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</si>
  <si>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</si>
  <si>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</si>
  <si>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</si>
  <si>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</si>
  <si>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</si>
  <si>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</si>
  <si>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</si>
  <si>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</si>
  <si>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</si>
  <si>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</si>
  <si>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</si>
  <si>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</si>
  <si>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</si>
  <si>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</si>
  <si>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</si>
  <si>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</si>
  <si>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</si>
  <si>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</si>
  <si>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</si>
  <si>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</si>
  <si>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</si>
  <si>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</si>
  <si>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</si>
  <si>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</si>
  <si>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</si>
  <si>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</si>
  <si>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</si>
  <si>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</si>
  <si>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</si>
  <si>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</si>
  <si>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</si>
  <si>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</si>
  <si>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</si>
  <si>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</si>
  <si>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</si>
  <si>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</si>
  <si>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</si>
  <si>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</si>
  <si>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</si>
  <si>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</si>
  <si>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</si>
  <si>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</si>
  <si>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</si>
  <si>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</si>
  <si>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</si>
  <si>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</si>
  <si>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</si>
  <si>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</si>
  <si>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</si>
  <si>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</si>
  <si>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</si>
  <si>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</si>
  <si>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</si>
  <si>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</si>
  <si>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</si>
  <si>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</si>
  <si>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</si>
  <si>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</si>
  <si>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</si>
  <si>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</si>
  <si>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</si>
  <si>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</si>
  <si>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</si>
  <si>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</si>
  <si>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</si>
  <si>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</si>
  <si>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</si>
  <si>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</si>
  <si>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</si>
  <si>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</si>
  <si>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</si>
  <si>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</si>
  <si>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</si>
  <si>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</si>
  <si>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</si>
  <si>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</si>
  <si>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</si>
  <si>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</si>
  <si>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</si>
  <si>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</si>
  <si>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</si>
  <si>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</si>
  <si>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</si>
  <si>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</si>
  <si>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</si>
  <si>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</si>
  <si>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</si>
  <si>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</si>
  <si>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</si>
  <si>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</si>
  <si>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</si>
  <si>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</si>
  <si>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</si>
  <si>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</si>
  <si>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</si>
  <si>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</si>
  <si>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</si>
  <si>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</si>
  <si>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</si>
  <si>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</si>
  <si>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</si>
  <si>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</si>
  <si>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</si>
  <si>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</si>
  <si>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</si>
  <si>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</si>
  <si>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</si>
  <si>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</si>
  <si>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</si>
  <si>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</si>
  <si>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</si>
  <si>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</si>
  <si>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</si>
  <si>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</si>
  <si>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</si>
  <si>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</si>
  <si>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</si>
  <si>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</si>
  <si>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</si>
  <si>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</si>
  <si>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</si>
  <si>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</si>
  <si>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</si>
  <si>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</si>
  <si>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</si>
  <si>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</si>
  <si>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</si>
  <si>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</si>
  <si>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</si>
  <si>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</si>
  <si>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</si>
  <si>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</si>
  <si>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</si>
  <si>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</si>
  <si>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</si>
  <si>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</si>
  <si>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</si>
  <si>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</si>
  <si>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</si>
  <si>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</si>
  <si>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</si>
  <si>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</si>
  <si>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</si>
  <si>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</si>
  <si>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</si>
  <si>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</si>
  <si>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</si>
  <si>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</si>
  <si>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</si>
  <si>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</si>
  <si>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</si>
  <si>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</si>
  <si>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</si>
  <si>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</si>
  <si>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</si>
  <si>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</si>
  <si>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</si>
  <si>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</si>
  <si>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</si>
  <si>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</si>
  <si>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</si>
  <si>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</si>
  <si>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</si>
  <si>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</si>
  <si>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</si>
  <si>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</si>
  <si>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</si>
  <si>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</si>
  <si>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</si>
  <si>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</si>
  <si>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</si>
  <si>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</si>
  <si>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</si>
  <si>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</si>
  <si>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</si>
  <si>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</si>
  <si>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</si>
  <si>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</si>
  <si>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</si>
  <si>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</si>
  <si>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</si>
  <si>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</si>
  <si>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</si>
  <si>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</si>
  <si>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</si>
  <si>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</si>
  <si>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</si>
  <si>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</si>
  <si>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</si>
  <si>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</si>
  <si>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</si>
  <si>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</si>
  <si>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</si>
  <si>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</si>
  <si>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</si>
  <si>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</si>
  <si>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</si>
  <si>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</si>
  <si>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</si>
  <si>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</si>
  <si>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</si>
  <si>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</si>
  <si>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</si>
  <si>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</si>
  <si>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</si>
  <si>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</si>
  <si>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</si>
  <si>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</si>
  <si>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</si>
  <si>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</si>
  <si>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</si>
  <si>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</si>
  <si>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</si>
  <si>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</si>
  <si>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</si>
  <si>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</si>
  <si>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</si>
  <si>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</si>
  <si>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</si>
  <si>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</si>
  <si>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</si>
  <si>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</si>
  <si>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</si>
  <si>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</si>
  <si>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</si>
  <si>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</si>
  <si>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</si>
  <si>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</si>
  <si>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</si>
  <si>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</si>
  <si>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</si>
  <si>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</si>
  <si>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</si>
  <si>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</si>
  <si>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</si>
  <si>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</si>
  <si>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</si>
  <si>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</si>
  <si>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</si>
  <si>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</si>
  <si>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</si>
  <si>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</si>
  <si>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</si>
  <si>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</si>
  <si>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</si>
  <si>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</si>
  <si>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</si>
  <si>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</si>
  <si>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</si>
  <si>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</si>
  <si>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</si>
  <si>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</si>
  <si>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</si>
  <si>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</si>
  <si>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</si>
  <si>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</si>
  <si>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</si>
  <si>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</si>
  <si>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</si>
  <si>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</si>
  <si>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</si>
  <si>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</si>
  <si>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</si>
  <si>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</si>
  <si>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</si>
  <si>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</si>
  <si>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</si>
  <si>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</si>
  <si>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</si>
  <si>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</si>
  <si>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</si>
  <si>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</si>
  <si>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</si>
  <si>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</si>
  <si>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</si>
  <si>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</si>
  <si>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</si>
  <si>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</si>
  <si>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</si>
  <si>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</si>
  <si>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</si>
  <si>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</si>
  <si>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</si>
  <si>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</si>
  <si>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</si>
  <si>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</si>
  <si>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</si>
  <si>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</si>
  <si>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</si>
  <si>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</si>
  <si>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</si>
  <si>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</si>
  <si>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</si>
  <si>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</si>
  <si>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</si>
  <si>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</si>
  <si>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</si>
  <si>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</si>
  <si>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</si>
  <si>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</si>
  <si>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</si>
  <si>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</si>
  <si>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</si>
  <si>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</si>
  <si>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</si>
  <si>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</si>
  <si>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</si>
  <si>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</si>
  <si>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</si>
  <si>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</si>
  <si>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</si>
  <si>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</si>
  <si>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</si>
  <si>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</si>
  <si>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</si>
  <si>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</si>
  <si>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</si>
  <si>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</si>
  <si>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</si>
  <si>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</si>
  <si>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</si>
  <si>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</si>
  <si>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</si>
  <si>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</si>
  <si>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</si>
  <si>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</si>
  <si>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</si>
  <si>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</si>
  <si>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</si>
  <si>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</si>
  <si>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</si>
  <si>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</si>
  <si>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</si>
  <si>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</si>
  <si>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</si>
  <si>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</si>
  <si>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</si>
  <si>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</si>
  <si>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</si>
  <si>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</si>
  <si>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</si>
  <si>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</si>
  <si>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</si>
  <si>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</si>
  <si>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</si>
  <si>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</si>
  <si>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</si>
  <si>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</si>
  <si>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</si>
  <si>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</si>
  <si>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</si>
  <si>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</si>
  <si>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</si>
  <si>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</si>
  <si>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</si>
  <si>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</si>
  <si>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</si>
  <si>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</si>
  <si>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</si>
  <si>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</si>
  <si>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</si>
  <si>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</si>
  <si>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</si>
  <si>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</si>
  <si>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</si>
  <si>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</si>
  <si>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</si>
  <si>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</si>
  <si>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</si>
  <si>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</si>
  <si>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</si>
  <si>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</si>
  <si>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</si>
  <si>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</si>
  <si>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</si>
  <si>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</si>
  <si>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</si>
  <si>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</si>
  <si>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</si>
  <si>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</si>
  <si>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</si>
  <si>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</si>
  <si>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</si>
  <si>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</si>
  <si>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</si>
  <si>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</si>
  <si>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</si>
  <si>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</si>
  <si>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</si>
  <si>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</si>
  <si>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</si>
  <si>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</si>
  <si>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</si>
  <si>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</si>
  <si>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</si>
  <si>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</si>
  <si>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</si>
  <si>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</si>
  <si>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</si>
  <si>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</si>
  <si>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</si>
  <si>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</si>
  <si>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</si>
  <si>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</si>
  <si>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</si>
  <si>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</si>
  <si>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</si>
  <si>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</si>
  <si>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</si>
  <si>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</si>
  <si>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</si>
  <si>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</si>
  <si>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</si>
  <si>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</si>
  <si>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</si>
  <si>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</si>
  <si>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</si>
  <si>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</si>
  <si>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</si>
  <si>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</si>
  <si>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</si>
  <si>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</si>
  <si>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</si>
  <si>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</si>
  <si>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</si>
  <si>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</si>
  <si>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</si>
  <si>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</si>
  <si>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</si>
  <si>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</si>
  <si>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</si>
  <si>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</si>
  <si>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</si>
  <si>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</si>
  <si>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</si>
  <si>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</si>
  <si>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</si>
  <si>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</si>
  <si>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</si>
  <si>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</si>
  <si>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</si>
  <si>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</si>
  <si>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</si>
  <si>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</si>
  <si>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</si>
  <si>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</si>
  <si>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</si>
  <si>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</si>
  <si>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</si>
  <si>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</si>
  <si>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</si>
  <si>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</si>
  <si>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</si>
  <si>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</si>
  <si>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</si>
  <si>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</si>
  <si>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</si>
  <si>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</si>
  <si>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</si>
  <si>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</si>
  <si>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</si>
  <si>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</si>
  <si>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</si>
  <si>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</si>
  <si>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</si>
  <si>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</si>
  <si>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</si>
  <si>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</si>
  <si>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</si>
  <si>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</si>
  <si>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</si>
  <si>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</si>
  <si>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</si>
  <si>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</si>
  <si>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</si>
  <si>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</si>
  <si>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</si>
  <si>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</si>
  <si>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</si>
  <si>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</si>
  <si>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</si>
  <si>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</si>
  <si>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</si>
  <si>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</si>
  <si>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</si>
  <si>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</si>
  <si>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</si>
  <si>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</si>
  <si>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</si>
  <si>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</si>
  <si>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</si>
  <si>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</si>
  <si>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</si>
  <si>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</si>
  <si>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</si>
  <si>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</si>
  <si>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</si>
  <si>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</si>
  <si>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</si>
  <si>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</si>
  <si>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</si>
  <si>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</si>
  <si>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</si>
  <si>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</si>
  <si>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</si>
  <si>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</si>
  <si>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</si>
  <si>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</si>
  <si>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</si>
  <si>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</si>
  <si>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</si>
  <si>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</si>
  <si>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</si>
  <si>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</si>
  <si>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</si>
  <si>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</si>
  <si>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</si>
  <si>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</si>
  <si>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</si>
  <si>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</si>
  <si>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</si>
  <si>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</si>
  <si>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</si>
  <si>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</si>
  <si>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</si>
  <si>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</si>
  <si>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</si>
  <si>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</si>
  <si>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</si>
  <si>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</si>
  <si>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</si>
  <si>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</si>
  <si>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</si>
  <si>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</si>
  <si>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</si>
  <si>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</si>
  <si>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</si>
  <si>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</si>
  <si>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</si>
  <si>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</si>
  <si>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</si>
  <si>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</si>
  <si>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</si>
  <si>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</si>
  <si>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</si>
  <si>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</si>
  <si>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</si>
  <si>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</si>
  <si>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</si>
  <si>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</si>
  <si>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</si>
  <si>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</si>
  <si>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</si>
  <si>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</si>
  <si>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</si>
  <si>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</si>
  <si>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</si>
  <si>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</si>
  <si>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</si>
  <si>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</si>
  <si>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</si>
  <si>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</si>
  <si>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</si>
  <si>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</si>
  <si>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</si>
  <si>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</si>
  <si>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</si>
  <si>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</si>
  <si>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</si>
  <si>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</si>
  <si>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</si>
  <si>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</si>
  <si>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</si>
  <si>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</si>
  <si>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</si>
  <si>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</si>
  <si>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</si>
  <si>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</si>
  <si>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</si>
  <si>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</si>
  <si>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</si>
  <si>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</si>
  <si>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</si>
  <si>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</si>
  <si>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</si>
  <si>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</si>
  <si>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</si>
  <si>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</si>
  <si>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</si>
  <si>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</si>
  <si>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</si>
  <si>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</si>
  <si>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</si>
  <si>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</si>
  <si>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</si>
  <si>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</si>
  <si>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</si>
  <si>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</si>
  <si>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</si>
  <si>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</si>
  <si>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</si>
  <si>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</si>
  <si>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</si>
  <si>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</si>
  <si>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</si>
  <si>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Office of Emergency Services</t>
  </si>
  <si>
    <t>Office pf Emergency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</si>
</sst>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17" sqref="J17"/>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285</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GENERAL GOVERNMENT</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f>70655</f>
        <v>70655</v>
      </c>
      <c r="K28" s="33"/>
      <c r="L28" s="54"/>
    </row>
    <row r="29" spans="1:17" ht="16.5" customHeight="1" x14ac:dyDescent="0.25">
      <c r="A29" s="56"/>
      <c r="B29" s="57"/>
      <c r="C29" s="165" t="s">
        <v>1578</v>
      </c>
      <c r="D29" s="165"/>
      <c r="E29" s="165"/>
      <c r="F29" s="165"/>
      <c r="G29" s="165"/>
      <c r="H29" s="165"/>
      <c r="I29" s="165"/>
      <c r="J29" s="33"/>
      <c r="K29" s="32">
        <v>46543</v>
      </c>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v>24112</v>
      </c>
    </row>
    <row r="31" spans="1:17" ht="16.5" customHeight="1" x14ac:dyDescent="0.2">
      <c r="A31" s="68"/>
      <c r="B31" s="58"/>
      <c r="C31" s="58"/>
      <c r="D31" s="58"/>
      <c r="E31" s="58"/>
      <c r="F31" s="58"/>
      <c r="G31" s="58"/>
      <c r="H31" s="58"/>
      <c r="I31" s="58"/>
      <c r="J31" s="29">
        <f>ROUND(SUM(J28:J30),2)</f>
        <v>70655</v>
      </c>
      <c r="K31" s="29">
        <f>ROUND(SUM(K28:K30),2)</f>
        <v>70655</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70655</v>
      </c>
      <c r="K34" s="70"/>
      <c r="L34" s="54"/>
    </row>
    <row r="35" spans="1:12" ht="16.5" customHeight="1" x14ac:dyDescent="0.2">
      <c r="B35" s="165" t="s">
        <v>1579</v>
      </c>
      <c r="C35" s="165"/>
      <c r="D35" s="165"/>
      <c r="E35" s="165"/>
      <c r="F35" s="165"/>
      <c r="G35" s="165"/>
      <c r="H35" s="165"/>
      <c r="I35" s="165"/>
      <c r="J35" s="32">
        <v>46543</v>
      </c>
      <c r="K35" s="36"/>
    </row>
    <row r="36" spans="1:12" ht="16.5" customHeight="1" x14ac:dyDescent="0.2">
      <c r="A36" s="56"/>
      <c r="B36" s="71"/>
      <c r="C36" s="165" t="s">
        <v>1581</v>
      </c>
      <c r="D36" s="165"/>
      <c r="E36" s="165"/>
      <c r="F36" s="165"/>
      <c r="G36" s="165"/>
      <c r="H36" s="165"/>
      <c r="I36" s="165"/>
      <c r="J36" s="36"/>
      <c r="K36" s="32">
        <v>70655</v>
      </c>
    </row>
    <row r="37" spans="1:12" ht="16.5" customHeight="1" x14ac:dyDescent="0.2">
      <c r="A37" s="56"/>
      <c r="C37" s="165" t="s">
        <v>1626</v>
      </c>
      <c r="D37" s="165"/>
      <c r="E37" s="165"/>
      <c r="F37" s="165"/>
      <c r="G37" s="165"/>
      <c r="H37" s="165"/>
      <c r="I37" s="165"/>
      <c r="J37" s="36"/>
      <c r="K37" s="32">
        <v>46543</v>
      </c>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117198</v>
      </c>
      <c r="K39" s="29">
        <f>ROUND(SUM(K36:K38),2)</f>
        <v>117198</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20608</v>
      </c>
      <c r="K45" s="33"/>
    </row>
    <row r="46" spans="1:12" ht="16.5" customHeight="1" x14ac:dyDescent="0.2">
      <c r="A46" s="56"/>
      <c r="B46" s="71"/>
      <c r="C46" s="165" t="s">
        <v>1587</v>
      </c>
      <c r="D46" s="165"/>
      <c r="E46" s="165"/>
      <c r="F46" s="165"/>
      <c r="G46" s="165"/>
      <c r="H46" s="165"/>
      <c r="I46" s="165"/>
      <c r="J46" s="36"/>
      <c r="K46" s="32">
        <f>J45</f>
        <v>20608</v>
      </c>
    </row>
    <row r="47" spans="1:12" ht="16.5" customHeight="1" x14ac:dyDescent="0.2">
      <c r="A47" s="68"/>
      <c r="B47" s="58"/>
      <c r="C47" s="58"/>
      <c r="D47" s="58"/>
      <c r="E47" s="58"/>
      <c r="F47" s="58"/>
      <c r="G47" s="58"/>
      <c r="H47" s="58"/>
      <c r="I47" s="58"/>
      <c r="J47" s="39">
        <f>ROUND(SUM(J45:J45),2)</f>
        <v>20608</v>
      </c>
      <c r="K47" s="39">
        <f>ROUND(SUM(K46),2)</f>
        <v>20608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22430</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25795</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48225</v>
      </c>
    </row>
    <row r="53" spans="1:12" ht="16.5" customHeight="1" x14ac:dyDescent="0.2">
      <c r="A53" s="68"/>
      <c r="B53" s="58"/>
      <c r="C53" s="58"/>
      <c r="D53" s="58"/>
      <c r="E53" s="58"/>
      <c r="F53" s="58"/>
      <c r="G53" s="58"/>
      <c r="H53" s="58"/>
      <c r="I53" s="58"/>
      <c r="J53" s="39">
        <f>ROUND(SUM(J50:J51),2)</f>
        <v>48225</v>
      </c>
      <c r="K53" s="39">
        <f>ROUND(SUM(K52,),2)</f>
        <v>48225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22430</v>
      </c>
      <c r="K56" s="36"/>
    </row>
    <row r="57" spans="1:12" ht="16.5" customHeight="1" x14ac:dyDescent="0.25">
      <c r="A57" s="56"/>
      <c r="B57" s="57"/>
      <c r="C57" s="165" t="s">
        <v>1613</v>
      </c>
      <c r="D57" s="165"/>
      <c r="E57" s="165"/>
      <c r="F57" s="165"/>
      <c r="G57" s="165"/>
      <c r="H57" s="165"/>
      <c r="I57" s="165"/>
      <c r="J57" s="36"/>
      <c r="K57" s="32">
        <f>J50</f>
        <v>22430</v>
      </c>
    </row>
    <row r="58" spans="1:12" ht="16.5" customHeight="1" x14ac:dyDescent="0.2">
      <c r="A58" s="68"/>
      <c r="B58" s="58"/>
      <c r="C58" s="58"/>
      <c r="D58" s="58"/>
      <c r="E58" s="58"/>
      <c r="F58" s="58"/>
      <c r="G58" s="58"/>
      <c r="H58" s="58"/>
      <c r="I58" s="58"/>
      <c r="J58" s="39">
        <f>ROUND(SUM(J56:J56),2)</f>
        <v>22430</v>
      </c>
      <c r="K58" s="39">
        <f>ROUND(SUM(K57),2)</f>
        <v>22430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24113</v>
      </c>
      <c r="K61" s="33"/>
    </row>
    <row r="62" spans="1:12" ht="16.5" customHeight="1" x14ac:dyDescent="0.25">
      <c r="A62" s="56"/>
      <c r="B62" s="57"/>
      <c r="C62" s="165" t="s">
        <v>1623</v>
      </c>
      <c r="D62" s="165"/>
      <c r="E62" s="165"/>
      <c r="F62" s="165"/>
      <c r="G62" s="165"/>
      <c r="H62" s="165"/>
      <c r="I62" s="165"/>
      <c r="J62" s="33"/>
      <c r="K62" s="32">
        <f>J61</f>
        <v>24113</v>
      </c>
    </row>
    <row r="63" spans="1:12" ht="16.5" customHeight="1" x14ac:dyDescent="0.2">
      <c r="A63" s="56"/>
      <c r="B63" s="179" t="s">
        <v>1622</v>
      </c>
      <c r="C63" s="179"/>
      <c r="D63" s="179"/>
      <c r="E63" s="179"/>
      <c r="F63" s="179"/>
      <c r="G63" s="179"/>
      <c r="H63" s="179"/>
      <c r="I63" s="179"/>
      <c r="J63" s="39">
        <f>ROUND(SUM(J61:J61),2)</f>
        <v>24113</v>
      </c>
      <c r="K63" s="39">
        <f>ROUND(SUM(K62),2)</f>
        <v>24113</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70655</v>
      </c>
    </row>
    <row r="95" spans="1:12" ht="16.5" customHeight="1" x14ac:dyDescent="0.25">
      <c r="D95" s="57" t="s">
        <v>1641</v>
      </c>
      <c r="E95"/>
      <c r="F95"/>
      <c r="G95"/>
      <c r="H95" s="44"/>
      <c r="I95"/>
      <c r="J95"/>
      <c r="K95" s="162">
        <f>-K18-K46+J68+J77</f>
        <v>-20608</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-24113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AjE/SfL6IBLZR1Aqfmlq8l//f0BGczXsNLemzp5ogo2z4Zaug4lbEHZEq/hRc1bOqA1QyXhpUHB3aUYZRGw6nw==" saltValue="4yGgIgQYtevf4XO4xJ+IE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7" sqref="B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690</v>
      </c>
      <c r="C12" s="187"/>
    </row>
    <row r="13" spans="1:11" ht="15.75" x14ac:dyDescent="0.25">
      <c r="A13" s="92" t="s">
        <v>1600</v>
      </c>
      <c r="B13" s="191" t="s">
        <v>1643</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24113</v>
      </c>
      <c r="C16" s="2">
        <v>0</v>
      </c>
      <c r="D16" s="193" t="s">
        <v>1537</v>
      </c>
      <c r="E16" s="97"/>
      <c r="F16" s="97"/>
      <c r="G16" s="97"/>
      <c r="H16" s="97"/>
      <c r="I16" s="97"/>
      <c r="J16" s="97"/>
      <c r="K16" s="97"/>
    </row>
    <row r="17" spans="1:11" ht="15" customHeight="1" x14ac:dyDescent="0.2">
      <c r="A17" s="94" t="str">
        <f>LEFT(A16,4)+1&amp;"–"&amp;RIGHT(A16,4)+1</f>
        <v>2024–2025</v>
      </c>
      <c r="B17" s="2"/>
      <c r="C17" s="2"/>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690</v>
      </c>
      <c r="C43" s="189"/>
    </row>
    <row r="44" spans="1:11" ht="15.75" x14ac:dyDescent="0.25">
      <c r="A44" s="92" t="s">
        <v>1600</v>
      </c>
      <c r="B44" s="190" t="str">
        <f>B13</f>
        <v>Office pf Emergency Services</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690</v>
      </c>
      <c r="C74" s="189"/>
    </row>
    <row r="75" spans="1:4" ht="15.75" x14ac:dyDescent="0.25">
      <c r="A75" s="92" t="s">
        <v>1600</v>
      </c>
      <c r="B75" s="190" t="str">
        <f>B13</f>
        <v>Office pf Emergency Services</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X9oN3un32GfWjEV8AhxHFvJhCnULTRf8CuQYofNWAPAUw8QQUP9DQrxD73sQoeS7FIXogDNkkAGVMVHpRPfldQ==" saltValue="RKPl4IQDWOVS5rZmWE4/7w=="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A2" zoomScaleNormal="100" workbookViewId="0">
      <selection activeCell="N10" sqref="N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0690 Journal Entries'!$F$5&amp;" "&amp;'Fund 0690 Journal Entries'!$F$4</f>
        <v>Business Unit 0690 Office of Emergency Services</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0690 Journal Entries'!$F$3,4)</f>
        <v>Balance
July 1, 2022</v>
      </c>
      <c r="G8" s="116"/>
      <c r="H8" s="117" t="s">
        <v>10</v>
      </c>
      <c r="I8" s="116"/>
      <c r="J8" s="117" t="s">
        <v>11</v>
      </c>
      <c r="K8" s="116"/>
      <c r="L8" s="115" t="str">
        <f>"Balance
June 30, "&amp;RIGHT('Fund 0690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0690 Journal Entries'!$F$7="Governmental Fund",'Fund 0690 Journal Entries'!$K$19,0)</f>
        <v>0</v>
      </c>
      <c r="H10" s="3">
        <f>IF('Fund 0690 Journal Entries'!$F$7="Governmental Fund",'Fund 0690 Journal Entries'!$K$37,0)</f>
        <v>46543</v>
      </c>
      <c r="J10" s="3">
        <f>IF('Fund 0690 Journal Entries'!$F$7="Governmental Fund",'Fund 0690 Journal Entries'!$J$56,0)</f>
        <v>22430</v>
      </c>
      <c r="L10" s="119">
        <f>SUM(F10+H10-J10)</f>
        <v>24113</v>
      </c>
      <c r="N10" s="3">
        <f>IF('Fund 0690 Journal Entries'!$F$7="Governmental Fund",'Fund 0690 Journal Entries'!$J$61,0)</f>
        <v>24113</v>
      </c>
      <c r="P10" s="119">
        <f>L10-N10</f>
        <v>0</v>
      </c>
      <c r="Q10" s="109"/>
    </row>
    <row r="11" spans="2:17" ht="19.5" thickTop="1" thickBot="1" x14ac:dyDescent="0.3">
      <c r="B11" s="107"/>
      <c r="C11" s="195" t="s">
        <v>15</v>
      </c>
      <c r="D11" s="195"/>
      <c r="F11" s="120">
        <f>SUM(F10:F10)</f>
        <v>0</v>
      </c>
      <c r="H11" s="120">
        <f>SUM(H10:H10)</f>
        <v>46543</v>
      </c>
      <c r="J11" s="120">
        <f>SUM(J10:J10)</f>
        <v>22430</v>
      </c>
      <c r="L11" s="120">
        <f>SUM(L10:L10)</f>
        <v>24113</v>
      </c>
      <c r="N11" s="120">
        <f>SUM(N10:N10)</f>
        <v>24113</v>
      </c>
      <c r="P11" s="120">
        <f>SUM(P10:P10)</f>
        <v>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0690 Journal Entries'!$F$7="Proprietary - Internal Service Fund",'Fund 0690 Journal Entries'!$K$19,0)</f>
        <v>0</v>
      </c>
      <c r="H14" s="3">
        <f>IF('Fund 0690 Journal Entries'!$F$7="Proprietary - Internal Service Fund",'Fund 0690 Journal Entries'!$K$37,0)</f>
        <v>0</v>
      </c>
      <c r="J14" s="3">
        <f>IF('Fund 0690 Journal Entries'!$F$7="Proprietary - Internal Service Fund",'Fund 0690 Journal Entries'!$J$56,0)</f>
        <v>0</v>
      </c>
      <c r="L14" s="119">
        <f>SUM(F14+H14-J14)</f>
        <v>0</v>
      </c>
      <c r="N14" s="3">
        <f>IF('Fund 0690 Journal Entries'!$F$7="Proprietary - Internal Service Fund",'Fund 0690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0690 Journal Entries'!$F$7="Proprietary - Enterprise Fund",'Fund 0690 Journal Entries'!$K$19,0)</f>
        <v>0</v>
      </c>
      <c r="H18" s="3">
        <f>IF('Fund 0690 Journal Entries'!$F$7="Proprietary - Enterprise Fund",'Fund 0690 Journal Entries'!$K$37,0)</f>
        <v>0</v>
      </c>
      <c r="J18" s="3">
        <f>IF('Fund 0690 Journal Entries'!$F$7="Proprietary - Enterprise Fund",'Fund 0690 Journal Entries'!$J$56,0)</f>
        <v>0</v>
      </c>
      <c r="L18" s="119">
        <f>SUM(F18+H18-J18)</f>
        <v>0</v>
      </c>
      <c r="N18" s="3">
        <f>IF('Fund 0690 Journal Entries'!$F$7="Proprietary - Enterprise Fund",'Fund 0690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3" zoomScale="112" zoomScaleNormal="112" workbookViewId="0">
      <selection activeCell="J17" sqref="J17"/>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0690 Journal Entries'!$F$7="Governmental Fund",ROUND('Fund 0690 Journal Entries'!$K$19,0),0)</f>
        <v>0</v>
      </c>
      <c r="C16" s="15" t="s">
        <v>1552</v>
      </c>
      <c r="D16" s="14">
        <f>IF('Fund 0690 Journal Entries'!$F$7="Governmental Fund",ROUND('Fund 0690 Journal Entries'!$K$37,0),0)</f>
        <v>46543</v>
      </c>
      <c r="E16" s="16" t="s">
        <v>1554</v>
      </c>
      <c r="F16" s="14">
        <f>IF('Fund 0690 Journal Entries'!$F$7="Governmental Fund",ROUND('Fund 0690 Journal Entries'!$J$56,0),0)</f>
        <v>22430</v>
      </c>
      <c r="G16" s="16" t="s">
        <v>1556</v>
      </c>
      <c r="H16" s="17">
        <f>+B16+D16-F16</f>
        <v>24113</v>
      </c>
      <c r="I16" s="16"/>
      <c r="J16" s="18">
        <f>ROUND(SUM('Department Note Disclosure'!$B$16:$B$39),0)</f>
        <v>24113</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0690 Journal Entries'!$F$7="Proprietary - Internal Service Fund",ROUND('Fund 0690 Journal Entries'!$K$19,0),0)</f>
        <v>0</v>
      </c>
      <c r="C23" s="15" t="s">
        <v>1552</v>
      </c>
      <c r="D23" s="14">
        <f>IF('Fund 0690 Journal Entries'!$F$7="Proprietary - Internal Service Fund",ROUND('Fund 0690 Journal Entries'!$K$37,0),0)</f>
        <v>0</v>
      </c>
      <c r="E23" s="16" t="s">
        <v>1554</v>
      </c>
      <c r="F23" s="14">
        <f>IF('Fund 0690 Journal Entries'!$F$7="Proprietary - Internal Service Fund",ROUND('Fund 0690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0690 Journal Entries'!$F$7="Proprietary - Enterprise Fund",ROUND('Fund 0690 Journal Entries'!$K$19,0),0)</f>
        <v>0</v>
      </c>
      <c r="C31" s="15" t="s">
        <v>1552</v>
      </c>
      <c r="D31" s="14">
        <f>IF('Fund 0690 Journal Entries'!$F$7="Proprietary - Enterprise Fund",ROUND('Fund 0690 Journal Entries'!$K$37,0),0)</f>
        <v>0</v>
      </c>
      <c r="E31" s="16" t="s">
        <v>1554</v>
      </c>
      <c r="F31" s="14">
        <f>IF('Fund 0690 Journal Entries'!$F$7="Proprietary - Enterprise Fund",ROUND('Fund 0690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0690 Journal Entries'!$F$7="Governmental Fund",ROUND('Fund 0690 Journal Entries'!$K$62,0),0)</f>
        <v>24113</v>
      </c>
      <c r="G39" s="150"/>
      <c r="H39" s="150"/>
      <c r="I39" s="20"/>
      <c r="J39" s="18">
        <f>ROUND('Department Note Disclosure'!$B$16,0)</f>
        <v>24113</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0690 Journal Entries'!$F$7="Proprietary - Internal Service Fund",ROUND('Fund 0690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0690 Journal Entries'!$F$7="Proprietary - Enterprise Fund",ROUND('Fund 0690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0690 Journal Entries'!$F$3,4)</f>
        <v>Balance July 1, 2022</v>
      </c>
      <c r="J61" s="22">
        <f>ROUND('SBITA Liabilities'!$F$10,0)</f>
        <v>0</v>
      </c>
      <c r="L61" s="19">
        <f>D61-J61</f>
        <v>0</v>
      </c>
    </row>
    <row r="62" spans="1:13" x14ac:dyDescent="0.25">
      <c r="B62" s="152" t="s">
        <v>1630</v>
      </c>
      <c r="D62" s="22">
        <f>$D$16</f>
        <v>46543</v>
      </c>
      <c r="H62" s="154" t="s">
        <v>10</v>
      </c>
      <c r="J62" s="22">
        <f>ROUND('SBITA Liabilities'!$H$10,0)</f>
        <v>46543</v>
      </c>
      <c r="L62" s="19">
        <f>D62-J62</f>
        <v>0</v>
      </c>
    </row>
    <row r="63" spans="1:13" x14ac:dyDescent="0.25">
      <c r="B63" s="152" t="s">
        <v>1555</v>
      </c>
      <c r="D63" s="22">
        <f>$F$16</f>
        <v>22430</v>
      </c>
      <c r="H63" s="154" t="s">
        <v>11</v>
      </c>
      <c r="J63" s="22">
        <f>ROUND('SBITA Liabilities'!$J$10,0)</f>
        <v>22430</v>
      </c>
      <c r="L63" s="19">
        <f>D63-J63</f>
        <v>0</v>
      </c>
    </row>
    <row r="64" spans="1:13" x14ac:dyDescent="0.25">
      <c r="B64" s="152" t="s">
        <v>1559</v>
      </c>
      <c r="D64" s="22">
        <f>$F$39</f>
        <v>24113</v>
      </c>
      <c r="H64" s="154" t="s">
        <v>12</v>
      </c>
      <c r="J64" s="22">
        <f>ROUND('SBITA Liabilities'!$N$10,0)</f>
        <v>24113</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0690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0690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E2393F7-C769-4758-9655-FB151190CCC3}"/>
</file>

<file path=customXml/itemProps2.xml><?xml version="1.0" encoding="utf-8"?>
<ds:datastoreItem xmlns:ds="http://schemas.openxmlformats.org/officeDocument/2006/customXml" ds:itemID="{23021CEA-E052-48E0-9053-DC5E0CEC4F08}"/>
</file>

<file path=customXml/itemProps3.xml><?xml version="1.0" encoding="utf-8"?>
<ds:datastoreItem xmlns:ds="http://schemas.openxmlformats.org/officeDocument/2006/customXml" ds:itemID="{B00CC827-12D1-415A-A2C2-BDBAC50E2A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0690 Journal Entries</vt:lpstr>
      <vt:lpstr>Department Note Disclosure</vt:lpstr>
      <vt:lpstr>SBITA Liabilities</vt:lpstr>
      <vt:lpstr>Check Figures </vt:lpstr>
      <vt:lpstr>Drop Down Menus</vt:lpstr>
      <vt:lpstr>GAAP02Aindex</vt:lpstr>
      <vt:lpstr>'Department Note Disclosure'!Print_Area</vt:lpstr>
      <vt:lpstr>'Fund 0690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2024-06-12T22:56:17Z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3303700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